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F:\下载\"/>
    </mc:Choice>
  </mc:AlternateContent>
  <xr:revisionPtr revIDLastSave="0" documentId="13_ncr:1_{91B40682-8151-41A9-A924-5158A4330682}" xr6:coauthVersionLast="47" xr6:coauthVersionMax="47" xr10:uidLastSave="{00000000-0000-0000-0000-000000000000}"/>
  <bookViews>
    <workbookView xWindow="-110" yWindow="-110" windowWidth="25820" windowHeight="13900" tabRatio="367" activeTab="14" xr2:uid="{00000000-000D-0000-FFFF-FFFF00000000}"/>
  </bookViews>
  <sheets>
    <sheet name="SCMT授权" sheetId="10" r:id="rId1"/>
    <sheet name="迁移测试" sheetId="12" r:id="rId2"/>
    <sheet name="21 05.25 KFS" sheetId="4" state="hidden" r:id="rId3"/>
    <sheet name="22 05.27 KFS" sheetId="6" state="hidden" r:id="rId4"/>
    <sheet name="23 05.29 KFS" sheetId="8" state="hidden" r:id="rId5"/>
    <sheet name="25 6.12 ZY" sheetId="14" state="hidden" r:id="rId6"/>
    <sheet name="26  6.17 KFS" sheetId="16" state="hidden" r:id="rId7"/>
    <sheet name="27 6.24 KFS" sheetId="18" state="hidden" r:id="rId8"/>
    <sheet name="28 6.29 ZY" sheetId="20" state="hidden" r:id="rId9"/>
    <sheet name="29 0706 ZY" sheetId="21" state="hidden" r:id="rId10"/>
    <sheet name="31 0721 ZY " sheetId="23" state="hidden" r:id="rId11"/>
    <sheet name="32 0723 ZY " sheetId="24" state="hidden" r:id="rId12"/>
    <sheet name="33 0819 ZY" sheetId="26" state="hidden" r:id="rId13"/>
    <sheet name="34 0821 ZY" sheetId="27" r:id="rId14"/>
    <sheet name="35 0902 ZY" sheetId="28" r:id="rId15"/>
  </sheets>
  <definedNames>
    <definedName name="_xlnm._FilterDatabase" localSheetId="2" hidden="1">'21 05.25 KFS'!$A$1:$AU$384</definedName>
    <definedName name="_xlnm._FilterDatabase" localSheetId="3" hidden="1">'22 05.27 KFS'!$A$1:$AR$208</definedName>
    <definedName name="_xlnm._FilterDatabase" localSheetId="4" hidden="1">'23 05.29 KFS'!$A$1:$AR$177</definedName>
    <definedName name="_xlnm._FilterDatabase" localSheetId="5" hidden="1">'25 6.12 ZY'!$A$1:$AV$110</definedName>
    <definedName name="_xlnm._FilterDatabase" localSheetId="6" hidden="1">'26  6.17 KFS'!$A$1:$AU$237</definedName>
    <definedName name="_xlnm._FilterDatabase" localSheetId="7" hidden="1">'27 6.24 KFS'!$A$1:$AU$111</definedName>
    <definedName name="_xlnm._FilterDatabase" localSheetId="8" hidden="1">'28 6.29 ZY'!$A$1:$AV$97</definedName>
    <definedName name="_xlnm._FilterDatabase" localSheetId="9" hidden="1">'29 0706 ZY'!$A$1:$AV$141</definedName>
    <definedName name="_xlnm._FilterDatabase" localSheetId="10" hidden="1">'31 0721 ZY '!$A$1:$AV$162</definedName>
    <definedName name="_xlnm._FilterDatabase" localSheetId="11" hidden="1">'32 0723 ZY '!$A$1:$AV$153</definedName>
    <definedName name="_xlnm._FilterDatabase" localSheetId="12" hidden="1">'33 0819 ZY'!$A$1:$AY$149</definedName>
    <definedName name="_xlnm._FilterDatabase" localSheetId="13" hidden="1">'34 0821 ZY'!$A$1:$AV$148</definedName>
    <definedName name="_xlnm._FilterDatabase" localSheetId="14" hidden="1">'35 0902 ZY'!$A$1:$AV$148</definedName>
    <definedName name="WebWps_Link_1" hidden="1">'21 05.25 KFS'!$A:$O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L148" i="27" l="1"/>
  <c r="AL147" i="27"/>
  <c r="AL146" i="27"/>
  <c r="AL145" i="27"/>
  <c r="AL144" i="27"/>
  <c r="AL143" i="27"/>
  <c r="AL142" i="27"/>
  <c r="AL141" i="27"/>
  <c r="AL140" i="27"/>
  <c r="AL139" i="27"/>
  <c r="AL138" i="27"/>
  <c r="AL137" i="27"/>
  <c r="AL136" i="27"/>
  <c r="AL135" i="27"/>
  <c r="AL134" i="27"/>
  <c r="AL133" i="27"/>
  <c r="AL132" i="27"/>
  <c r="AL131" i="27"/>
  <c r="AL130" i="27"/>
  <c r="AL129" i="27"/>
  <c r="AL128" i="27"/>
  <c r="AL127" i="27"/>
  <c r="AL126" i="27"/>
  <c r="AL125" i="27"/>
  <c r="AL124" i="27"/>
  <c r="AL123" i="27"/>
  <c r="AL122" i="27"/>
  <c r="AL121" i="27"/>
  <c r="AL120" i="27"/>
  <c r="AL119" i="27"/>
  <c r="AL118" i="27"/>
  <c r="AL117" i="27"/>
  <c r="AL115" i="27"/>
  <c r="AL114" i="27"/>
  <c r="AL113" i="27"/>
  <c r="AL112" i="27"/>
  <c r="AL111" i="27"/>
  <c r="AL110" i="27"/>
  <c r="AL109" i="27"/>
  <c r="AL108" i="27"/>
  <c r="AL107" i="27"/>
  <c r="AL105" i="27"/>
  <c r="AL104" i="27"/>
  <c r="AL103" i="27"/>
  <c r="AL102" i="27"/>
  <c r="AL101" i="27"/>
  <c r="AL100" i="27"/>
  <c r="AL99" i="27"/>
  <c r="AL98" i="27"/>
  <c r="AL97" i="27"/>
  <c r="AL96" i="27"/>
  <c r="AL95" i="27"/>
  <c r="AL94" i="27"/>
  <c r="AL93" i="27"/>
  <c r="AL91" i="27"/>
  <c r="AL90" i="27"/>
  <c r="AL89" i="27"/>
  <c r="AL88" i="27"/>
  <c r="AL87" i="27"/>
  <c r="AL86" i="27"/>
  <c r="AL85" i="27"/>
  <c r="AL84" i="27"/>
  <c r="AL83" i="27"/>
  <c r="AL82" i="27"/>
  <c r="AL81" i="27"/>
  <c r="AL80" i="27"/>
  <c r="AL79" i="27"/>
  <c r="AL78" i="27"/>
  <c r="AL77" i="27"/>
  <c r="AL76" i="27"/>
  <c r="AL75" i="27"/>
  <c r="AL74" i="27"/>
  <c r="AL73" i="27"/>
  <c r="AL72" i="27"/>
  <c r="AL71" i="27"/>
  <c r="AL70" i="27"/>
  <c r="AL69" i="27"/>
  <c r="AL68" i="27"/>
  <c r="AL67" i="27"/>
  <c r="AL66" i="27"/>
  <c r="AL64" i="27"/>
  <c r="AL63" i="27"/>
  <c r="AL62" i="27"/>
  <c r="AL61" i="27"/>
  <c r="AL60" i="27"/>
  <c r="AL59" i="27"/>
  <c r="AL58" i="27"/>
  <c r="AL57" i="27"/>
  <c r="AL53" i="27"/>
  <c r="AL52" i="27"/>
  <c r="AL50" i="27"/>
  <c r="AL49" i="27"/>
  <c r="AL48" i="27"/>
  <c r="AL47" i="27"/>
  <c r="AL45" i="27"/>
  <c r="AL44" i="27"/>
  <c r="AL43" i="27"/>
  <c r="AL42" i="27"/>
  <c r="AL41" i="27"/>
  <c r="AL40" i="27"/>
  <c r="AL39" i="27"/>
  <c r="AL38" i="27"/>
  <c r="AL37" i="27"/>
  <c r="AL36" i="27"/>
  <c r="AL34" i="27"/>
  <c r="AL33" i="27"/>
  <c r="AL32" i="27"/>
  <c r="AL31" i="27"/>
  <c r="AL29" i="27"/>
  <c r="AL27" i="27"/>
  <c r="AL26" i="27"/>
  <c r="AL25" i="27"/>
  <c r="AL23" i="27"/>
  <c r="AL22" i="27"/>
  <c r="AL21" i="27"/>
  <c r="AL20" i="27"/>
  <c r="AL19" i="27"/>
  <c r="AL16" i="27"/>
  <c r="AL15" i="27"/>
  <c r="AL14" i="27"/>
  <c r="AL13" i="27"/>
  <c r="AL12" i="27"/>
  <c r="AL11" i="27"/>
  <c r="AL9" i="27"/>
  <c r="AL7" i="27"/>
  <c r="AL6" i="27"/>
  <c r="AL2" i="27"/>
  <c r="AL149" i="26"/>
  <c r="AL148" i="26"/>
  <c r="AL147" i="26"/>
  <c r="AL146" i="26"/>
  <c r="AL145" i="26"/>
  <c r="AL144" i="26"/>
  <c r="AL143" i="26"/>
  <c r="AL142" i="26"/>
  <c r="AL141" i="26"/>
  <c r="AL140" i="26"/>
  <c r="AL139" i="26"/>
  <c r="AL138" i="26"/>
  <c r="AL137" i="26"/>
  <c r="AL136" i="26"/>
  <c r="AL135" i="26"/>
  <c r="AL134" i="26"/>
  <c r="AL133" i="26"/>
  <c r="AL132" i="26"/>
  <c r="AL131" i="26"/>
  <c r="AL130" i="26"/>
  <c r="AL129" i="26"/>
  <c r="AL128" i="26"/>
  <c r="AL127" i="26"/>
  <c r="AL126" i="26"/>
  <c r="AL125" i="26"/>
  <c r="AL124" i="26"/>
  <c r="AL123" i="26"/>
  <c r="AL122" i="26"/>
  <c r="AL121" i="26"/>
  <c r="AL120" i="26"/>
  <c r="AL119" i="26"/>
  <c r="AL118" i="26"/>
  <c r="AL117" i="26"/>
  <c r="AL116" i="26"/>
  <c r="AL115" i="26"/>
  <c r="AL114" i="26"/>
  <c r="AL113" i="26"/>
  <c r="AL112" i="26"/>
  <c r="AL111" i="26"/>
  <c r="AL110" i="26"/>
  <c r="AL109" i="26"/>
  <c r="AL108" i="26"/>
  <c r="AL107" i="26"/>
  <c r="AL106" i="26"/>
  <c r="AL105" i="26"/>
  <c r="AL104" i="26"/>
  <c r="AL103" i="26"/>
  <c r="AL102" i="26"/>
  <c r="AL101" i="26"/>
  <c r="AL100" i="26"/>
  <c r="AL99" i="26"/>
  <c r="AL98" i="26"/>
  <c r="AL97" i="26"/>
  <c r="AL96" i="26"/>
  <c r="AL95" i="26"/>
  <c r="AL94" i="26"/>
  <c r="AL93" i="26"/>
  <c r="AL92" i="26"/>
  <c r="AL91" i="26"/>
  <c r="AL90" i="26"/>
  <c r="AL89" i="26"/>
  <c r="AL88" i="26"/>
  <c r="AL87" i="26"/>
  <c r="AL86" i="26"/>
  <c r="AL85" i="26"/>
  <c r="AL84" i="26"/>
  <c r="AL83" i="26"/>
  <c r="AL82" i="26"/>
  <c r="AL81" i="26"/>
  <c r="AL80" i="26"/>
  <c r="AL79" i="26"/>
  <c r="AL78" i="26"/>
  <c r="AL77" i="26"/>
  <c r="AL76" i="26"/>
  <c r="AL75" i="26"/>
  <c r="AL74" i="26"/>
  <c r="AL73" i="26"/>
  <c r="AL72" i="26"/>
  <c r="AL71" i="26"/>
  <c r="AL69" i="26"/>
  <c r="AL68" i="26"/>
  <c r="AL67" i="26"/>
  <c r="AL66" i="26"/>
  <c r="AL65" i="26"/>
  <c r="AL64" i="26"/>
  <c r="AL63" i="26"/>
  <c r="AL62" i="26"/>
  <c r="AL61" i="26"/>
  <c r="AL60" i="26"/>
  <c r="AL59" i="26"/>
  <c r="AL58" i="26"/>
  <c r="AL57" i="26"/>
  <c r="AL56" i="26"/>
  <c r="AL55" i="26"/>
  <c r="AL54" i="26"/>
  <c r="AL53" i="26"/>
  <c r="AL52" i="26"/>
  <c r="AL51" i="26"/>
  <c r="AL50" i="26"/>
  <c r="AL49" i="26"/>
  <c r="AL48" i="26"/>
  <c r="AL47" i="26"/>
  <c r="AL46" i="26"/>
  <c r="AL45" i="26"/>
  <c r="AL44" i="26"/>
  <c r="AL43" i="26"/>
  <c r="AL42" i="26"/>
  <c r="AL41" i="26"/>
  <c r="AL40" i="26"/>
  <c r="AL39" i="26"/>
  <c r="AL38" i="26"/>
  <c r="AL37" i="26"/>
  <c r="AL36" i="26"/>
  <c r="AL34" i="26"/>
  <c r="AL32" i="26"/>
  <c r="AL31" i="26"/>
  <c r="AL28" i="26"/>
  <c r="AL27" i="26"/>
  <c r="AL26" i="26"/>
  <c r="AL23" i="26"/>
  <c r="AL21" i="26"/>
  <c r="AL20" i="26"/>
  <c r="AL19" i="26"/>
  <c r="AL18" i="26"/>
  <c r="AL17" i="26"/>
  <c r="AL16" i="26"/>
  <c r="AL15" i="26"/>
  <c r="AL14" i="26"/>
  <c r="AL13" i="26"/>
  <c r="AL12" i="26"/>
  <c r="AL11" i="26"/>
  <c r="AL10" i="26"/>
  <c r="AL9" i="26"/>
  <c r="AL8" i="26"/>
  <c r="AL7" i="26"/>
  <c r="AL6" i="26"/>
  <c r="AL5" i="26"/>
  <c r="AL4" i="26"/>
  <c r="AL2" i="26"/>
  <c r="AL153" i="24"/>
  <c r="AG153" i="24"/>
  <c r="AL152" i="24"/>
  <c r="AG152" i="24"/>
  <c r="AL151" i="24"/>
  <c r="AG151" i="24"/>
  <c r="AL150" i="24"/>
  <c r="AG150" i="24"/>
  <c r="AL149" i="24"/>
  <c r="AG149" i="24"/>
  <c r="AL148" i="24"/>
  <c r="AG148" i="24"/>
  <c r="AL147" i="24"/>
  <c r="AG147" i="24"/>
  <c r="AL146" i="24"/>
  <c r="AG146" i="24"/>
  <c r="AL145" i="24"/>
  <c r="AG145" i="24"/>
  <c r="AL144" i="24"/>
  <c r="AG144" i="24"/>
  <c r="AG143" i="24"/>
  <c r="AL142" i="24"/>
  <c r="AG142" i="24"/>
  <c r="AL141" i="24"/>
  <c r="AG141" i="24"/>
  <c r="AL140" i="24"/>
  <c r="AG140" i="24"/>
  <c r="AL139" i="24"/>
  <c r="AG139" i="24"/>
  <c r="AL138" i="24"/>
  <c r="AG138" i="24"/>
  <c r="AL137" i="24"/>
  <c r="AG137" i="24"/>
  <c r="AL136" i="24"/>
  <c r="AG136" i="24"/>
  <c r="AL135" i="24"/>
  <c r="AG135" i="24"/>
  <c r="AL134" i="24"/>
  <c r="AG134" i="24"/>
  <c r="AL133" i="24"/>
  <c r="AG133" i="24"/>
  <c r="AL132" i="24"/>
  <c r="AG132" i="24"/>
  <c r="AL131" i="24"/>
  <c r="AG131" i="24"/>
  <c r="AL130" i="24"/>
  <c r="AG130" i="24"/>
  <c r="AL129" i="24"/>
  <c r="AG129" i="24"/>
  <c r="AL128" i="24"/>
  <c r="AG128" i="24"/>
  <c r="AL127" i="24"/>
  <c r="AG127" i="24"/>
  <c r="AL126" i="24"/>
  <c r="AG126" i="24"/>
  <c r="AL125" i="24"/>
  <c r="AG125" i="24"/>
  <c r="AL124" i="24"/>
  <c r="AG124" i="24"/>
  <c r="AL123" i="24"/>
  <c r="AG123" i="24"/>
  <c r="AL122" i="24"/>
  <c r="AG122" i="24"/>
  <c r="AL121" i="24"/>
  <c r="AG121" i="24"/>
  <c r="AL120" i="24"/>
  <c r="AG120" i="24"/>
  <c r="AL119" i="24"/>
  <c r="AG119" i="24"/>
  <c r="AL118" i="24"/>
  <c r="AG118" i="24"/>
  <c r="AL117" i="24"/>
  <c r="AG117" i="24"/>
  <c r="AL116" i="24"/>
  <c r="AG116" i="24"/>
  <c r="AL115" i="24"/>
  <c r="AG115" i="24"/>
  <c r="AL114" i="24"/>
  <c r="AG114" i="24"/>
  <c r="AL113" i="24"/>
  <c r="AG113" i="24"/>
  <c r="AL112" i="24"/>
  <c r="AG112" i="24"/>
  <c r="AL111" i="24"/>
  <c r="AG111" i="24"/>
  <c r="AL110" i="24"/>
  <c r="AG110" i="24"/>
  <c r="AL109" i="24"/>
  <c r="AG109" i="24"/>
  <c r="AL108" i="24"/>
  <c r="AG108" i="24"/>
  <c r="AL107" i="24"/>
  <c r="AG107" i="24"/>
  <c r="AL106" i="24"/>
  <c r="AG106" i="24"/>
  <c r="AL105" i="24"/>
  <c r="AG105" i="24"/>
  <c r="AL104" i="24"/>
  <c r="AG104" i="24"/>
  <c r="AL103" i="24"/>
  <c r="AG103" i="24"/>
  <c r="AL102" i="24"/>
  <c r="AG102" i="24"/>
  <c r="AL101" i="24"/>
  <c r="AG101" i="24"/>
  <c r="AL100" i="24"/>
  <c r="AG100" i="24"/>
  <c r="AL99" i="24"/>
  <c r="AG99" i="24"/>
  <c r="AL98" i="24"/>
  <c r="AG98" i="24"/>
  <c r="AL97" i="24"/>
  <c r="AG97" i="24"/>
  <c r="AL96" i="24"/>
  <c r="AG96" i="24"/>
  <c r="AL95" i="24"/>
  <c r="AG95" i="24"/>
  <c r="AL94" i="24"/>
  <c r="AG94" i="24"/>
  <c r="AL93" i="24"/>
  <c r="AG93" i="24"/>
  <c r="AL92" i="24"/>
  <c r="AG92" i="24"/>
  <c r="AL91" i="24"/>
  <c r="AG91" i="24"/>
  <c r="AL90" i="24"/>
  <c r="AG90" i="24"/>
  <c r="AL89" i="24"/>
  <c r="AG89" i="24"/>
  <c r="AG88" i="24"/>
  <c r="AL87" i="24"/>
  <c r="AG87" i="24"/>
  <c r="AL86" i="24"/>
  <c r="AG86" i="24"/>
  <c r="AL85" i="24"/>
  <c r="AG85" i="24"/>
  <c r="AL84" i="24"/>
  <c r="AG84" i="24"/>
  <c r="AL83" i="24"/>
  <c r="AG83" i="24"/>
  <c r="AL82" i="24"/>
  <c r="AG82" i="24"/>
  <c r="AL81" i="24"/>
  <c r="AG81" i="24"/>
  <c r="AL80" i="24"/>
  <c r="AG80" i="24"/>
  <c r="AL79" i="24"/>
  <c r="AG79" i="24"/>
  <c r="AL78" i="24"/>
  <c r="AG78" i="24"/>
  <c r="AL77" i="24"/>
  <c r="AG77" i="24"/>
  <c r="AL76" i="24"/>
  <c r="AG76" i="24"/>
  <c r="AL75" i="24"/>
  <c r="AG75" i="24"/>
  <c r="AL74" i="24"/>
  <c r="AG74" i="24"/>
  <c r="AL73" i="24"/>
  <c r="AG73" i="24"/>
  <c r="AL72" i="24"/>
  <c r="AG72" i="24"/>
  <c r="AL71" i="24"/>
  <c r="AG71" i="24"/>
  <c r="AL70" i="24"/>
  <c r="AG70" i="24"/>
  <c r="AL69" i="24"/>
  <c r="AG69" i="24"/>
  <c r="AL68" i="24"/>
  <c r="AG68" i="24"/>
  <c r="AL67" i="24"/>
  <c r="AG67" i="24"/>
  <c r="AL66" i="24"/>
  <c r="AG66" i="24"/>
  <c r="AL65" i="24"/>
  <c r="AG65" i="24"/>
  <c r="AL64" i="24"/>
  <c r="AG64" i="24"/>
  <c r="AL63" i="24"/>
  <c r="AG63" i="24"/>
  <c r="AL62" i="24"/>
  <c r="AG62" i="24"/>
  <c r="AL61" i="24"/>
  <c r="AG61" i="24"/>
  <c r="AL60" i="24"/>
  <c r="AG60" i="24"/>
  <c r="AL59" i="24"/>
  <c r="AG59" i="24"/>
  <c r="AL58" i="24"/>
  <c r="AG58" i="24"/>
  <c r="AL57" i="24"/>
  <c r="AG57" i="24"/>
  <c r="AL56" i="24"/>
  <c r="AG56" i="24"/>
  <c r="AL55" i="24"/>
  <c r="AG55" i="24"/>
  <c r="AL54" i="24"/>
  <c r="AG54" i="24"/>
  <c r="AL53" i="24"/>
  <c r="AG53" i="24"/>
  <c r="AL52" i="24"/>
  <c r="AG52" i="24"/>
  <c r="AL51" i="24"/>
  <c r="AG51" i="24"/>
  <c r="AL50" i="24"/>
  <c r="AG50" i="24"/>
  <c r="AL49" i="24"/>
  <c r="AG49" i="24"/>
  <c r="AL48" i="24"/>
  <c r="AG48" i="24"/>
  <c r="AL47" i="24"/>
  <c r="AG47" i="24"/>
  <c r="AL46" i="24"/>
  <c r="AG46" i="24"/>
  <c r="AG45" i="24"/>
  <c r="AL44" i="24"/>
  <c r="AG44" i="24"/>
  <c r="AL43" i="24"/>
  <c r="AG43" i="24"/>
  <c r="AL42" i="24"/>
  <c r="AG42" i="24"/>
  <c r="AL41" i="24"/>
  <c r="AG41" i="24"/>
  <c r="AL40" i="24"/>
  <c r="AG40" i="24"/>
  <c r="AL39" i="24"/>
  <c r="AG39" i="24"/>
  <c r="AL38" i="24"/>
  <c r="AG38" i="24"/>
  <c r="AL37" i="24"/>
  <c r="AG37" i="24"/>
  <c r="AL36" i="24"/>
  <c r="AG36" i="24"/>
  <c r="AL35" i="24"/>
  <c r="AG35" i="24"/>
  <c r="AL34" i="24"/>
  <c r="AG34" i="24"/>
  <c r="AL33" i="24"/>
  <c r="AG33" i="24"/>
  <c r="AL32" i="24"/>
  <c r="AG32" i="24"/>
  <c r="AL31" i="24"/>
  <c r="AG31" i="24"/>
  <c r="AL30" i="24"/>
  <c r="AG30" i="24"/>
  <c r="AL29" i="24"/>
  <c r="AG29" i="24"/>
  <c r="AL28" i="24"/>
  <c r="AG28" i="24"/>
  <c r="AL27" i="24"/>
  <c r="AG27" i="24"/>
  <c r="AL26" i="24"/>
  <c r="AG26" i="24"/>
  <c r="AL25" i="24"/>
  <c r="AG25" i="24"/>
  <c r="AL24" i="24"/>
  <c r="AG24" i="24"/>
  <c r="AL23" i="24"/>
  <c r="AG23" i="24"/>
  <c r="AL22" i="24"/>
  <c r="AG22" i="24"/>
  <c r="AL21" i="24"/>
  <c r="AG21" i="24"/>
  <c r="AL20" i="24"/>
  <c r="AG20" i="24"/>
  <c r="AL19" i="24"/>
  <c r="AG19" i="24"/>
  <c r="AL18" i="24"/>
  <c r="AG18" i="24"/>
  <c r="AL17" i="24"/>
  <c r="AG17" i="24"/>
  <c r="AL16" i="24"/>
  <c r="AG16" i="24"/>
  <c r="AL15" i="24"/>
  <c r="AG15" i="24"/>
  <c r="AL14" i="24"/>
  <c r="AG14" i="24"/>
  <c r="AL13" i="24"/>
  <c r="AG13" i="24"/>
  <c r="AL12" i="24"/>
  <c r="AG12" i="24"/>
  <c r="AL11" i="24"/>
  <c r="AG11" i="24"/>
  <c r="AL10" i="24"/>
  <c r="AG10" i="24"/>
  <c r="AL9" i="24"/>
  <c r="AG9" i="24"/>
  <c r="AL8" i="24"/>
  <c r="AG8" i="24"/>
  <c r="AL7" i="24"/>
  <c r="AG7" i="24"/>
  <c r="AL6" i="24"/>
  <c r="AG6" i="24"/>
  <c r="AL5" i="24"/>
  <c r="AG5" i="24"/>
  <c r="AL4" i="24"/>
  <c r="AG4" i="24"/>
  <c r="AL3" i="24"/>
  <c r="AG3" i="24"/>
  <c r="AL2" i="24"/>
  <c r="AG2" i="24"/>
  <c r="AL162" i="23"/>
  <c r="AG162" i="23"/>
  <c r="AL161" i="23"/>
  <c r="AG161" i="23"/>
  <c r="AL160" i="23"/>
  <c r="AG160" i="23"/>
  <c r="AL159" i="23"/>
  <c r="AG159" i="23"/>
  <c r="AL158" i="23"/>
  <c r="AG158" i="23"/>
  <c r="AL157" i="23"/>
  <c r="AG157" i="23"/>
  <c r="AL156" i="23"/>
  <c r="AG156" i="23"/>
  <c r="AL155" i="23"/>
  <c r="AG155" i="23"/>
  <c r="AL154" i="23"/>
  <c r="AG154" i="23"/>
  <c r="AL153" i="23"/>
  <c r="AG153" i="23"/>
  <c r="AL152" i="23"/>
  <c r="AG152" i="23"/>
  <c r="AL151" i="23"/>
  <c r="AG151" i="23"/>
  <c r="AL150" i="23"/>
  <c r="AG150" i="23"/>
  <c r="AL149" i="23"/>
  <c r="AG149" i="23"/>
  <c r="AL148" i="23"/>
  <c r="AG148" i="23"/>
  <c r="AL147" i="23"/>
  <c r="AG147" i="23"/>
  <c r="AL146" i="23"/>
  <c r="AG146" i="23"/>
  <c r="AL145" i="23"/>
  <c r="AG145" i="23"/>
  <c r="AL144" i="23"/>
  <c r="AG144" i="23"/>
  <c r="AL143" i="23"/>
  <c r="AG143" i="23"/>
  <c r="AL142" i="23"/>
  <c r="AG142" i="23"/>
  <c r="AL141" i="23"/>
  <c r="AG141" i="23"/>
  <c r="AL140" i="23"/>
  <c r="AG140" i="23"/>
  <c r="AG139" i="23"/>
  <c r="AL138" i="23"/>
  <c r="AG138" i="23"/>
  <c r="AL137" i="23"/>
  <c r="AG137" i="23"/>
  <c r="AG136" i="23"/>
  <c r="AL135" i="23"/>
  <c r="AG135" i="23"/>
  <c r="AL134" i="23"/>
  <c r="AG134" i="23"/>
  <c r="AL133" i="23"/>
  <c r="AG133" i="23"/>
  <c r="AL132" i="23"/>
  <c r="AG132" i="23"/>
  <c r="AL131" i="23"/>
  <c r="AG131" i="23"/>
  <c r="AL130" i="23"/>
  <c r="AG130" i="23"/>
  <c r="AL129" i="23"/>
  <c r="AG129" i="23"/>
  <c r="AL128" i="23"/>
  <c r="AG128" i="23"/>
  <c r="AL127" i="23"/>
  <c r="AG127" i="23"/>
  <c r="AL126" i="23"/>
  <c r="AG126" i="23"/>
  <c r="AL125" i="23"/>
  <c r="AG125" i="23"/>
  <c r="AL124" i="23"/>
  <c r="AG124" i="23"/>
  <c r="AL123" i="23"/>
  <c r="AG123" i="23"/>
  <c r="AL122" i="23"/>
  <c r="AG122" i="23"/>
  <c r="AL121" i="23"/>
  <c r="AG121" i="23"/>
  <c r="AG120" i="23"/>
  <c r="AL119" i="23"/>
  <c r="AG119" i="23"/>
  <c r="AL118" i="23"/>
  <c r="AG118" i="23"/>
  <c r="AL117" i="23"/>
  <c r="AG117" i="23"/>
  <c r="AL116" i="23"/>
  <c r="AG116" i="23"/>
  <c r="AL115" i="23"/>
  <c r="AG115" i="23"/>
  <c r="AL114" i="23"/>
  <c r="AG114" i="23"/>
  <c r="AL113" i="23"/>
  <c r="AG113" i="23"/>
  <c r="AL112" i="23"/>
  <c r="AG112" i="23"/>
  <c r="AL111" i="23"/>
  <c r="AG111" i="23"/>
  <c r="AL110" i="23"/>
  <c r="AG110" i="23"/>
  <c r="AL109" i="23"/>
  <c r="AG109" i="23"/>
  <c r="AG108" i="23"/>
  <c r="AL107" i="23"/>
  <c r="AG107" i="23"/>
  <c r="AL106" i="23"/>
  <c r="AG106" i="23"/>
  <c r="AL105" i="23"/>
  <c r="AG105" i="23"/>
  <c r="AL104" i="23"/>
  <c r="AG104" i="23"/>
  <c r="AL103" i="23"/>
  <c r="AG103" i="23"/>
  <c r="AL102" i="23"/>
  <c r="AG102" i="23"/>
  <c r="AL101" i="23"/>
  <c r="AG101" i="23"/>
  <c r="AL100" i="23"/>
  <c r="AG100" i="23"/>
  <c r="AL99" i="23"/>
  <c r="AG99" i="23"/>
  <c r="AL98" i="23"/>
  <c r="AG98" i="23"/>
  <c r="AL97" i="23"/>
  <c r="AG97" i="23"/>
  <c r="AL96" i="23"/>
  <c r="AG96" i="23"/>
  <c r="AG95" i="23"/>
  <c r="AL94" i="23"/>
  <c r="AG94" i="23"/>
  <c r="AL93" i="23"/>
  <c r="AG93" i="23"/>
  <c r="AL92" i="23"/>
  <c r="AG92" i="23"/>
  <c r="AL91" i="23"/>
  <c r="AG91" i="23"/>
  <c r="AL90" i="23"/>
  <c r="AG90" i="23"/>
  <c r="AL89" i="23"/>
  <c r="AG89" i="23"/>
  <c r="AL88" i="23"/>
  <c r="AG88" i="23"/>
  <c r="AL87" i="23"/>
  <c r="AG87" i="23"/>
  <c r="AL86" i="23"/>
  <c r="AG86" i="23"/>
  <c r="AL85" i="23"/>
  <c r="AG85" i="23"/>
  <c r="AL84" i="23"/>
  <c r="AG84" i="23"/>
  <c r="AL83" i="23"/>
  <c r="AG83" i="23"/>
  <c r="AL82" i="23"/>
  <c r="AG82" i="23"/>
  <c r="AL81" i="23"/>
  <c r="AG81" i="23"/>
  <c r="AL80" i="23"/>
  <c r="AG80" i="23"/>
  <c r="AL79" i="23"/>
  <c r="AG79" i="23"/>
  <c r="AL78" i="23"/>
  <c r="AG78" i="23"/>
  <c r="AL77" i="23"/>
  <c r="AG77" i="23"/>
  <c r="AL76" i="23"/>
  <c r="AG76" i="23"/>
  <c r="AL75" i="23"/>
  <c r="AG75" i="23"/>
  <c r="AL74" i="23"/>
  <c r="AG74" i="23"/>
  <c r="AL73" i="23"/>
  <c r="AG73" i="23"/>
  <c r="AL72" i="23"/>
  <c r="AL71" i="23"/>
  <c r="AG71" i="23"/>
  <c r="AL70" i="23"/>
  <c r="AG70" i="23"/>
  <c r="AL69" i="23"/>
  <c r="AG69" i="23"/>
  <c r="AL68" i="23"/>
  <c r="AG68" i="23"/>
  <c r="AL67" i="23"/>
  <c r="AG67" i="23"/>
  <c r="AL66" i="23"/>
  <c r="AG66" i="23"/>
  <c r="AL65" i="23"/>
  <c r="AG65" i="23"/>
  <c r="AL64" i="23"/>
  <c r="AG64" i="23"/>
  <c r="AL63" i="23"/>
  <c r="AG63" i="23"/>
  <c r="AG62" i="23"/>
  <c r="AL61" i="23"/>
  <c r="AG61" i="23"/>
  <c r="AL60" i="23"/>
  <c r="AG60" i="23"/>
  <c r="AL59" i="23"/>
  <c r="AG59" i="23"/>
  <c r="AL58" i="23"/>
  <c r="AG58" i="23"/>
  <c r="AL57" i="23"/>
  <c r="AG57" i="23"/>
  <c r="AL56" i="23"/>
  <c r="AG56" i="23"/>
  <c r="AL55" i="23"/>
  <c r="AG55" i="23"/>
  <c r="AL54" i="23"/>
  <c r="AG54" i="23"/>
  <c r="AL53" i="23"/>
  <c r="AG53" i="23"/>
  <c r="AL52" i="23"/>
  <c r="AG52" i="23"/>
  <c r="AL51" i="23"/>
  <c r="AG51" i="23"/>
  <c r="AL50" i="23"/>
  <c r="AG50" i="23"/>
  <c r="AL49" i="23"/>
  <c r="AG49" i="23"/>
  <c r="AL48" i="23"/>
  <c r="AG48" i="23"/>
  <c r="AL47" i="23"/>
  <c r="AG47" i="23"/>
  <c r="AL46" i="23"/>
  <c r="AG46" i="23"/>
  <c r="AL45" i="23"/>
  <c r="AG45" i="23"/>
  <c r="AL44" i="23"/>
  <c r="AG44" i="23"/>
  <c r="AL43" i="23"/>
  <c r="AG43" i="23"/>
  <c r="AL42" i="23"/>
  <c r="AG42" i="23"/>
  <c r="AL41" i="23"/>
  <c r="AG41" i="23"/>
  <c r="AL40" i="23"/>
  <c r="AG40" i="23"/>
  <c r="AL39" i="23"/>
  <c r="AG39" i="23"/>
  <c r="AL38" i="23"/>
  <c r="AG38" i="23"/>
  <c r="AL37" i="23"/>
  <c r="AG37" i="23"/>
  <c r="AG36" i="23"/>
  <c r="AL35" i="23"/>
  <c r="AG35" i="23"/>
  <c r="AL34" i="23"/>
  <c r="AG34" i="23"/>
  <c r="AL32" i="23"/>
  <c r="AG32" i="23"/>
  <c r="AL31" i="23"/>
  <c r="AG31" i="23"/>
  <c r="AL30" i="23"/>
  <c r="AG30" i="23"/>
  <c r="AL29" i="23"/>
  <c r="AG29" i="23"/>
  <c r="AL28" i="23"/>
  <c r="AG28" i="23"/>
  <c r="AL27" i="23"/>
  <c r="AG27" i="23"/>
  <c r="AL26" i="23"/>
  <c r="AG26" i="23"/>
  <c r="AL25" i="23"/>
  <c r="AG25" i="23"/>
  <c r="AL24" i="23"/>
  <c r="AG24" i="23"/>
  <c r="AL23" i="23"/>
  <c r="AG23" i="23"/>
  <c r="AL22" i="23"/>
  <c r="AG22" i="23"/>
  <c r="AL21" i="23"/>
  <c r="AG21" i="23"/>
  <c r="AL20" i="23"/>
  <c r="AG20" i="23"/>
  <c r="AL19" i="23"/>
  <c r="AG19" i="23"/>
  <c r="AL18" i="23"/>
  <c r="AG18" i="23"/>
  <c r="AL17" i="23"/>
  <c r="AG17" i="23"/>
  <c r="AL16" i="23"/>
  <c r="AG16" i="23"/>
  <c r="AL15" i="23"/>
  <c r="AG15" i="23"/>
  <c r="AL14" i="23"/>
  <c r="AG14" i="23"/>
  <c r="AL13" i="23"/>
  <c r="AG13" i="23"/>
  <c r="AL12" i="23"/>
  <c r="AG12" i="23"/>
  <c r="AL11" i="23"/>
  <c r="AG11" i="23"/>
  <c r="AL10" i="23"/>
  <c r="AG10" i="23"/>
  <c r="AL9" i="23"/>
  <c r="AG9" i="23"/>
  <c r="AL8" i="23"/>
  <c r="AG8" i="23"/>
  <c r="AL7" i="23"/>
  <c r="AG7" i="23"/>
  <c r="AL6" i="23"/>
  <c r="AG6" i="23"/>
  <c r="AL5" i="23"/>
  <c r="AG5" i="23"/>
  <c r="AL4" i="23"/>
  <c r="AG4" i="23"/>
  <c r="AL3" i="23"/>
  <c r="AG3" i="23"/>
  <c r="AL2" i="23"/>
  <c r="AG2" i="23"/>
  <c r="AL141" i="21"/>
  <c r="AL140" i="21"/>
  <c r="AL139" i="21"/>
  <c r="AG139" i="21"/>
  <c r="AL138" i="21"/>
  <c r="AG138" i="21"/>
  <c r="AL137" i="21"/>
  <c r="AG137" i="21"/>
  <c r="AL136" i="21"/>
  <c r="AG136" i="21"/>
  <c r="AL135" i="21"/>
  <c r="AG135" i="21"/>
  <c r="AL134" i="21"/>
  <c r="AG134" i="21"/>
  <c r="AL133" i="21"/>
  <c r="AG133" i="21"/>
  <c r="AL132" i="21"/>
  <c r="AG132" i="21"/>
  <c r="AL131" i="21"/>
  <c r="AG131" i="21"/>
  <c r="AL130" i="21"/>
  <c r="AG130" i="21"/>
  <c r="AL129" i="21"/>
  <c r="AG129" i="21"/>
  <c r="AL128" i="21"/>
  <c r="AG128" i="21"/>
  <c r="AL127" i="21"/>
  <c r="AG127" i="21"/>
  <c r="AL126" i="21"/>
  <c r="AG126" i="21"/>
  <c r="AL125" i="21"/>
  <c r="AG125" i="21"/>
  <c r="AL124" i="21"/>
  <c r="AG124" i="21"/>
  <c r="AL123" i="21"/>
  <c r="AG123" i="21"/>
  <c r="AL122" i="21"/>
  <c r="AG122" i="21"/>
  <c r="AL121" i="21"/>
  <c r="AG121" i="21"/>
  <c r="AL120" i="21"/>
  <c r="AG120" i="21"/>
  <c r="AL119" i="21"/>
  <c r="AG119" i="21"/>
  <c r="AL118" i="21"/>
  <c r="AG118" i="21"/>
  <c r="AL117" i="21"/>
  <c r="AG117" i="21"/>
  <c r="AL116" i="21"/>
  <c r="AG116" i="21"/>
  <c r="AL115" i="21"/>
  <c r="AG115" i="21"/>
  <c r="AL114" i="21"/>
  <c r="AG114" i="21"/>
  <c r="AL113" i="21"/>
  <c r="AG113" i="21"/>
  <c r="AL112" i="21"/>
  <c r="AG112" i="21"/>
  <c r="AL111" i="21"/>
  <c r="AG111" i="21"/>
  <c r="AL110" i="21"/>
  <c r="AG110" i="21"/>
  <c r="AL109" i="21"/>
  <c r="AG109" i="21"/>
  <c r="AL108" i="21"/>
  <c r="AG108" i="21"/>
  <c r="AL107" i="21"/>
  <c r="AG107" i="21"/>
  <c r="AL106" i="21"/>
  <c r="AG106" i="21"/>
  <c r="AL105" i="21"/>
  <c r="AG105" i="21"/>
  <c r="AL104" i="21"/>
  <c r="AG104" i="21"/>
  <c r="AL103" i="21"/>
  <c r="AG103" i="21"/>
  <c r="AL102" i="21"/>
  <c r="AL101" i="21"/>
  <c r="AG101" i="21"/>
  <c r="AL100" i="21"/>
  <c r="AG100" i="21"/>
  <c r="AL99" i="21"/>
  <c r="AG99" i="21"/>
  <c r="AL98" i="21"/>
  <c r="AG98" i="21"/>
  <c r="AL97" i="21"/>
  <c r="AG97" i="21"/>
  <c r="AL96" i="21"/>
  <c r="AG96" i="21"/>
  <c r="AL95" i="21"/>
  <c r="AG95" i="21"/>
  <c r="AL94" i="21"/>
  <c r="AG94" i="21"/>
  <c r="AL93" i="21"/>
  <c r="AG93" i="21"/>
  <c r="AL92" i="21"/>
  <c r="AG92" i="21"/>
  <c r="AL91" i="21"/>
  <c r="AG91" i="21"/>
  <c r="AL90" i="21"/>
  <c r="AG90" i="21"/>
  <c r="AL89" i="21"/>
  <c r="AG89" i="21"/>
  <c r="AL88" i="21"/>
  <c r="AG88" i="21"/>
  <c r="AL87" i="21"/>
  <c r="AG87" i="21"/>
  <c r="AL86" i="21"/>
  <c r="AG86" i="21"/>
  <c r="AL85" i="21"/>
  <c r="AG85" i="21"/>
  <c r="AL84" i="21"/>
  <c r="AG84" i="21"/>
  <c r="AL83" i="21"/>
  <c r="AG83" i="21"/>
  <c r="AL82" i="21"/>
  <c r="AG82" i="21"/>
  <c r="AL81" i="21"/>
  <c r="AG81" i="21"/>
  <c r="AL80" i="21"/>
  <c r="AG80" i="21"/>
  <c r="AL79" i="21"/>
  <c r="AG79" i="21"/>
  <c r="AL78" i="21"/>
  <c r="AG78" i="21"/>
  <c r="AL77" i="21"/>
  <c r="AG77" i="21"/>
  <c r="AL76" i="21"/>
  <c r="AG76" i="21"/>
  <c r="AL75" i="21"/>
  <c r="AG75" i="21"/>
  <c r="AL73" i="21"/>
  <c r="AG73" i="21"/>
  <c r="AL72" i="21"/>
  <c r="AG72" i="21"/>
  <c r="AL71" i="21"/>
  <c r="AG71" i="21"/>
  <c r="AL70" i="21"/>
  <c r="AG70" i="21"/>
  <c r="AL69" i="21"/>
  <c r="AG69" i="21"/>
  <c r="AL68" i="21"/>
  <c r="AG68" i="21"/>
  <c r="AL67" i="21"/>
  <c r="AG67" i="21"/>
  <c r="AL66" i="21"/>
  <c r="AG66" i="21"/>
  <c r="AL65" i="21"/>
  <c r="AG65" i="21"/>
  <c r="AL64" i="21"/>
  <c r="AG64" i="21"/>
  <c r="AL63" i="21"/>
  <c r="AG63" i="21"/>
  <c r="AL62" i="21"/>
  <c r="AG62" i="21"/>
  <c r="AL61" i="21"/>
  <c r="AG61" i="21"/>
  <c r="AL60" i="21"/>
  <c r="AG60" i="21"/>
  <c r="AL59" i="21"/>
  <c r="AG59" i="21"/>
  <c r="AL58" i="21"/>
  <c r="AG58" i="21"/>
  <c r="AL57" i="21"/>
  <c r="AG57" i="21"/>
  <c r="AL56" i="21"/>
  <c r="AG56" i="21"/>
  <c r="AL55" i="21"/>
  <c r="AG55" i="21"/>
  <c r="AL54" i="21"/>
  <c r="AG54" i="21"/>
  <c r="AL53" i="21"/>
  <c r="AG53" i="21"/>
  <c r="AL52" i="21"/>
  <c r="AG52" i="21"/>
  <c r="AL51" i="21"/>
  <c r="AG51" i="21"/>
  <c r="AL50" i="21"/>
  <c r="AG50" i="21"/>
  <c r="AL49" i="21"/>
  <c r="AG49" i="21"/>
  <c r="AL48" i="21"/>
  <c r="AG48" i="21"/>
  <c r="AL47" i="21"/>
  <c r="AG47" i="21"/>
  <c r="AL46" i="21"/>
  <c r="AG46" i="21"/>
  <c r="AL45" i="21"/>
  <c r="AG45" i="21"/>
  <c r="AL44" i="21"/>
  <c r="AG44" i="21"/>
  <c r="AL43" i="21"/>
  <c r="AG43" i="21"/>
  <c r="AL42" i="21"/>
  <c r="AG42" i="21"/>
  <c r="AL41" i="21"/>
  <c r="AG41" i="21"/>
  <c r="AL40" i="21"/>
  <c r="AG40" i="21"/>
  <c r="AL39" i="21"/>
  <c r="AG39" i="21"/>
  <c r="AL38" i="21"/>
  <c r="AG38" i="21"/>
  <c r="AL37" i="21"/>
  <c r="AG37" i="21"/>
  <c r="AL36" i="21"/>
  <c r="AG36" i="21"/>
  <c r="AL35" i="21"/>
  <c r="AG35" i="21"/>
  <c r="AL34" i="21"/>
  <c r="AG34" i="21"/>
  <c r="AL33" i="21"/>
  <c r="AG33" i="21"/>
  <c r="AL32" i="21"/>
  <c r="AG32" i="21"/>
  <c r="AL31" i="21"/>
  <c r="AG31" i="21"/>
  <c r="AL30" i="21"/>
  <c r="AG30" i="21"/>
  <c r="AL29" i="21"/>
  <c r="AG29" i="21"/>
  <c r="AL28" i="21"/>
  <c r="AG28" i="21"/>
  <c r="AL27" i="21"/>
  <c r="AG27" i="21"/>
  <c r="AL26" i="21"/>
  <c r="AG26" i="21"/>
  <c r="AL25" i="21"/>
  <c r="AG25" i="21"/>
  <c r="AL24" i="21"/>
  <c r="AG24" i="21"/>
  <c r="AL23" i="21"/>
  <c r="AG23" i="21"/>
  <c r="AL22" i="21"/>
  <c r="AG22" i="21"/>
  <c r="AL21" i="21"/>
  <c r="AG21" i="21"/>
  <c r="AL20" i="21"/>
  <c r="AG20" i="21"/>
  <c r="AL19" i="21"/>
  <c r="AG19" i="21"/>
  <c r="AL18" i="21"/>
  <c r="AG18" i="21"/>
  <c r="AL17" i="21"/>
  <c r="AG17" i="21"/>
  <c r="AL16" i="21"/>
  <c r="AG16" i="21"/>
  <c r="AL15" i="21"/>
  <c r="AG15" i="21"/>
  <c r="AL14" i="21"/>
  <c r="AG14" i="21"/>
  <c r="AL13" i="21"/>
  <c r="AG13" i="21"/>
  <c r="AL12" i="21"/>
  <c r="AG12" i="21"/>
  <c r="AL11" i="21"/>
  <c r="AG11" i="21"/>
  <c r="AL10" i="21"/>
  <c r="AG10" i="21"/>
  <c r="AL9" i="21"/>
  <c r="AG9" i="21"/>
  <c r="AL8" i="21"/>
  <c r="AG8" i="21"/>
  <c r="AL7" i="21"/>
  <c r="AG7" i="21"/>
  <c r="AL6" i="21"/>
  <c r="AG6" i="21"/>
  <c r="AL5" i="21"/>
  <c r="AG5" i="21"/>
  <c r="AL4" i="21"/>
  <c r="AG4" i="21"/>
  <c r="AL3" i="21"/>
  <c r="AG3" i="21"/>
  <c r="AL2" i="21"/>
  <c r="AG2" i="21"/>
  <c r="AL97" i="20"/>
  <c r="AL96" i="20"/>
  <c r="AG96" i="20"/>
  <c r="AL95" i="20"/>
  <c r="AG95" i="20"/>
  <c r="AL94" i="20"/>
  <c r="AG94" i="20"/>
  <c r="AL93" i="20"/>
  <c r="AG93" i="20"/>
  <c r="AL92" i="20"/>
  <c r="AG92" i="20"/>
  <c r="AL91" i="20"/>
  <c r="AG91" i="20"/>
  <c r="AL90" i="20"/>
  <c r="AG90" i="20"/>
  <c r="AL89" i="20"/>
  <c r="AG89" i="20"/>
  <c r="AL88" i="20"/>
  <c r="AG88" i="20"/>
  <c r="AL87" i="20"/>
  <c r="AG87" i="20"/>
  <c r="AL86" i="20"/>
  <c r="AG86" i="20"/>
  <c r="AL85" i="20"/>
  <c r="AG85" i="20"/>
  <c r="AL84" i="20"/>
  <c r="AG84" i="20"/>
  <c r="AL83" i="20"/>
  <c r="AG83" i="20"/>
  <c r="AL82" i="20"/>
  <c r="AG82" i="20"/>
  <c r="AL81" i="20"/>
  <c r="AG81" i="20"/>
  <c r="AL80" i="20"/>
  <c r="AG80" i="20"/>
  <c r="AL79" i="20"/>
  <c r="AG79" i="20"/>
  <c r="AL78" i="20"/>
  <c r="AG78" i="20"/>
  <c r="AL77" i="20"/>
  <c r="AG77" i="20"/>
  <c r="AL76" i="20"/>
  <c r="AG76" i="20"/>
  <c r="AL75" i="20"/>
  <c r="AG75" i="20"/>
  <c r="AL74" i="20"/>
  <c r="AG74" i="20"/>
  <c r="AL73" i="20"/>
  <c r="AG73" i="20"/>
  <c r="AL72" i="20"/>
  <c r="AG72" i="20"/>
  <c r="AL71" i="20"/>
  <c r="AG71" i="20"/>
  <c r="AL70" i="20"/>
  <c r="AG70" i="20"/>
  <c r="AL69" i="20"/>
  <c r="AG69" i="20"/>
  <c r="AL68" i="20"/>
  <c r="AG68" i="20"/>
  <c r="AL67" i="20"/>
  <c r="AG67" i="20"/>
  <c r="AL66" i="20"/>
  <c r="AG66" i="20"/>
  <c r="AL65" i="20"/>
  <c r="AG65" i="20"/>
  <c r="AL64" i="20"/>
  <c r="AG64" i="20"/>
  <c r="AL63" i="20"/>
  <c r="AG63" i="20"/>
  <c r="AL62" i="20"/>
  <c r="AG62" i="20"/>
  <c r="AL61" i="20"/>
  <c r="AG61" i="20"/>
  <c r="AL60" i="20"/>
  <c r="AG60" i="20"/>
  <c r="AL59" i="20"/>
  <c r="AG59" i="20"/>
  <c r="AL58" i="20"/>
  <c r="AG58" i="20"/>
  <c r="AL57" i="20"/>
  <c r="AG57" i="20"/>
  <c r="AL56" i="20"/>
  <c r="AG56" i="20"/>
  <c r="AL55" i="20"/>
  <c r="AG55" i="20"/>
  <c r="AL54" i="20"/>
  <c r="AG54" i="20"/>
  <c r="AL53" i="20"/>
  <c r="AG53" i="20"/>
  <c r="AL52" i="20"/>
  <c r="AG52" i="20"/>
  <c r="AL51" i="20"/>
  <c r="AG51" i="20"/>
  <c r="AL50" i="20"/>
  <c r="AG50" i="20"/>
  <c r="AL49" i="20"/>
  <c r="AG49" i="20"/>
  <c r="AL48" i="20"/>
  <c r="AG48" i="20"/>
  <c r="AL47" i="20"/>
  <c r="AG47" i="20"/>
  <c r="AL46" i="20"/>
  <c r="AG46" i="20"/>
  <c r="AL45" i="20"/>
  <c r="AG45" i="20"/>
  <c r="AL44" i="20"/>
  <c r="AG44" i="20"/>
  <c r="AL43" i="20"/>
  <c r="AG43" i="20"/>
  <c r="AL42" i="20"/>
  <c r="AG42" i="20"/>
  <c r="AL41" i="20"/>
  <c r="AG41" i="20"/>
  <c r="AL40" i="20"/>
  <c r="AG40" i="20"/>
  <c r="AL39" i="20"/>
  <c r="AG39" i="20"/>
  <c r="AL38" i="20"/>
  <c r="AG38" i="20"/>
  <c r="AL37" i="20"/>
  <c r="AG37" i="20"/>
  <c r="AL36" i="20"/>
  <c r="AG36" i="20"/>
  <c r="AL35" i="20"/>
  <c r="AG35" i="20"/>
  <c r="AL34" i="20"/>
  <c r="AG34" i="20"/>
  <c r="AL33" i="20"/>
  <c r="AG33" i="20"/>
  <c r="AL32" i="20"/>
  <c r="AG32" i="20"/>
  <c r="AL31" i="20"/>
  <c r="AG31" i="20"/>
  <c r="AL30" i="20"/>
  <c r="AG30" i="20"/>
  <c r="AL29" i="20"/>
  <c r="AG29" i="20"/>
  <c r="AL28" i="20"/>
  <c r="AG28" i="20"/>
  <c r="AL27" i="20"/>
  <c r="AG27" i="20"/>
  <c r="AL26" i="20"/>
  <c r="AG26" i="20"/>
  <c r="AL25" i="20"/>
  <c r="AG25" i="20"/>
  <c r="AL24" i="20"/>
  <c r="AG24" i="20"/>
  <c r="AL23" i="20"/>
  <c r="AG23" i="20"/>
  <c r="AL22" i="20"/>
  <c r="AG22" i="20"/>
  <c r="AL21" i="20"/>
  <c r="AG21" i="20"/>
  <c r="AL20" i="20"/>
  <c r="AG20" i="20"/>
  <c r="AL19" i="20"/>
  <c r="AG19" i="20"/>
  <c r="AL18" i="20"/>
  <c r="AG18" i="20"/>
  <c r="AL17" i="20"/>
  <c r="AG17" i="20"/>
  <c r="AL16" i="20"/>
  <c r="AG16" i="20"/>
  <c r="AL15" i="20"/>
  <c r="AG15" i="20"/>
  <c r="AL14" i="20"/>
  <c r="AG14" i="20"/>
  <c r="AL13" i="20"/>
  <c r="AG13" i="20"/>
  <c r="AL12" i="20"/>
  <c r="AG12" i="20"/>
  <c r="AL11" i="20"/>
  <c r="AG11" i="20"/>
  <c r="AL10" i="20"/>
  <c r="AG10" i="20"/>
  <c r="AL9" i="20"/>
  <c r="AG9" i="20"/>
  <c r="AL8" i="20"/>
  <c r="AG8" i="20"/>
  <c r="AL7" i="20"/>
  <c r="AG7" i="20"/>
  <c r="AL6" i="20"/>
  <c r="AG6" i="20"/>
  <c r="AL5" i="20"/>
  <c r="AG5" i="20"/>
  <c r="AL4" i="20"/>
  <c r="AG4" i="20"/>
  <c r="AL3" i="20"/>
  <c r="AG3" i="20"/>
  <c r="AL2" i="20"/>
  <c r="AG2" i="20"/>
  <c r="AK111" i="18"/>
  <c r="AF111" i="18"/>
  <c r="AK110" i="18"/>
  <c r="AF110" i="18"/>
  <c r="AK109" i="18"/>
  <c r="AF109" i="18"/>
  <c r="AK108" i="18"/>
  <c r="AF108" i="18"/>
  <c r="AK107" i="18"/>
  <c r="AF107" i="18"/>
  <c r="AK106" i="18"/>
  <c r="AF106" i="18"/>
  <c r="AK105" i="18"/>
  <c r="AF105" i="18"/>
  <c r="AK104" i="18"/>
  <c r="AF104" i="18"/>
  <c r="AK103" i="18"/>
  <c r="AF103" i="18"/>
  <c r="AK102" i="18"/>
  <c r="AF102" i="18"/>
  <c r="AK101" i="18"/>
  <c r="AF101" i="18"/>
  <c r="AK100" i="18"/>
  <c r="AF100" i="18"/>
  <c r="AK99" i="18"/>
  <c r="AF99" i="18"/>
  <c r="AK98" i="18"/>
  <c r="AF98" i="18"/>
  <c r="AK97" i="18"/>
  <c r="AF97" i="18"/>
  <c r="AK96" i="18"/>
  <c r="AF96" i="18"/>
  <c r="AK95" i="18"/>
  <c r="AF95" i="18"/>
  <c r="AK94" i="18"/>
  <c r="AF94" i="18"/>
  <c r="AK93" i="18"/>
  <c r="AF93" i="18"/>
  <c r="AK92" i="18"/>
  <c r="AF92" i="18"/>
  <c r="AK91" i="18"/>
  <c r="AF91" i="18"/>
  <c r="AK90" i="18"/>
  <c r="AF90" i="18"/>
  <c r="AK89" i="18"/>
  <c r="AF89" i="18"/>
  <c r="AK88" i="18"/>
  <c r="AF88" i="18"/>
  <c r="AK87" i="18"/>
  <c r="AF87" i="18"/>
  <c r="AK86" i="18"/>
  <c r="AF86" i="18"/>
  <c r="AK85" i="18"/>
  <c r="AF85" i="18"/>
  <c r="AK84" i="18"/>
  <c r="AF84" i="18"/>
  <c r="AK83" i="18"/>
  <c r="AF83" i="18"/>
  <c r="AK82" i="18"/>
  <c r="AF82" i="18"/>
  <c r="AK81" i="18"/>
  <c r="AF81" i="18"/>
  <c r="AK80" i="18"/>
  <c r="AF80" i="18"/>
  <c r="AK79" i="18"/>
  <c r="AF79" i="18"/>
  <c r="AK78" i="18"/>
  <c r="AF78" i="18"/>
  <c r="AK77" i="18"/>
  <c r="AF77" i="18"/>
  <c r="AK76" i="18"/>
  <c r="AF76" i="18"/>
  <c r="AK75" i="18"/>
  <c r="AF75" i="18"/>
  <c r="AK74" i="18"/>
  <c r="AF74" i="18"/>
  <c r="AK73" i="18"/>
  <c r="AF73" i="18"/>
  <c r="AK72" i="18"/>
  <c r="AF72" i="18"/>
  <c r="AK71" i="18"/>
  <c r="AF71" i="18"/>
  <c r="AK70" i="18"/>
  <c r="AF70" i="18"/>
  <c r="AK69" i="18"/>
  <c r="AF69" i="18"/>
  <c r="AK68" i="18"/>
  <c r="AF68" i="18"/>
  <c r="AK67" i="18"/>
  <c r="AF67" i="18"/>
  <c r="AK66" i="18"/>
  <c r="AF66" i="18"/>
  <c r="AK65" i="18"/>
  <c r="AF65" i="18"/>
  <c r="AK64" i="18"/>
  <c r="AF64" i="18"/>
  <c r="AK63" i="18"/>
  <c r="AF63" i="18"/>
  <c r="AK62" i="18"/>
  <c r="AF62" i="18"/>
  <c r="AK61" i="18"/>
  <c r="AF61" i="18"/>
  <c r="AK60" i="18"/>
  <c r="AF60" i="18"/>
  <c r="AK59" i="18"/>
  <c r="AF59" i="18"/>
  <c r="AK58" i="18"/>
  <c r="AF58" i="18"/>
  <c r="AK57" i="18"/>
  <c r="AF57" i="18"/>
  <c r="AK56" i="18"/>
  <c r="AF56" i="18"/>
  <c r="AK55" i="18"/>
  <c r="AF55" i="18"/>
  <c r="AK54" i="18"/>
  <c r="AF54" i="18"/>
  <c r="AK53" i="18"/>
  <c r="AF53" i="18"/>
  <c r="AK52" i="18"/>
  <c r="AF52" i="18"/>
  <c r="AK51" i="18"/>
  <c r="AF51" i="18"/>
  <c r="AK50" i="18"/>
  <c r="AF50" i="18"/>
  <c r="AK49" i="18"/>
  <c r="AF49" i="18"/>
  <c r="AK48" i="18"/>
  <c r="AF48" i="18"/>
  <c r="AK47" i="18"/>
  <c r="AF47" i="18"/>
  <c r="AK46" i="18"/>
  <c r="AF46" i="18"/>
  <c r="AK45" i="18"/>
  <c r="AF45" i="18"/>
  <c r="AK44" i="18"/>
  <c r="AF44" i="18"/>
  <c r="AK43" i="18"/>
  <c r="AF43" i="18"/>
  <c r="AK42" i="18"/>
  <c r="AF42" i="18"/>
  <c r="AK41" i="18"/>
  <c r="AF41" i="18"/>
  <c r="AK40" i="18"/>
  <c r="AF40" i="18"/>
  <c r="AK39" i="18"/>
  <c r="AF39" i="18"/>
  <c r="AK38" i="18"/>
  <c r="AF38" i="18"/>
  <c r="AK37" i="18"/>
  <c r="AF37" i="18"/>
  <c r="AK36" i="18"/>
  <c r="AF36" i="18"/>
  <c r="AK35" i="18"/>
  <c r="AF35" i="18"/>
  <c r="AK34" i="18"/>
  <c r="AF34" i="18"/>
  <c r="AK33" i="18"/>
  <c r="AF33" i="18"/>
  <c r="AK32" i="18"/>
  <c r="AF32" i="18"/>
  <c r="AK31" i="18"/>
  <c r="AF31" i="18"/>
  <c r="AK30" i="18"/>
  <c r="AF30" i="18"/>
  <c r="AK29" i="18"/>
  <c r="AF29" i="18"/>
  <c r="AK28" i="18"/>
  <c r="AF28" i="18"/>
  <c r="AK27" i="18"/>
  <c r="AF27" i="18"/>
  <c r="AK26" i="18"/>
  <c r="AF26" i="18"/>
  <c r="AK25" i="18"/>
  <c r="AF25" i="18"/>
  <c r="AK24" i="18"/>
  <c r="AF24" i="18"/>
  <c r="AK23" i="18"/>
  <c r="AF23" i="18"/>
  <c r="AK22" i="18"/>
  <c r="AF22" i="18"/>
  <c r="AK21" i="18"/>
  <c r="AF21" i="18"/>
  <c r="AK20" i="18"/>
  <c r="AF20" i="18"/>
  <c r="AK19" i="18"/>
  <c r="AF19" i="18"/>
  <c r="AK18" i="18"/>
  <c r="AF18" i="18"/>
  <c r="AK17" i="18"/>
  <c r="AF17" i="18"/>
  <c r="AK16" i="18"/>
  <c r="AF16" i="18"/>
  <c r="AK15" i="18"/>
  <c r="AF15" i="18"/>
  <c r="AK14" i="18"/>
  <c r="AF14" i="18"/>
  <c r="AK13" i="18"/>
  <c r="AF13" i="18"/>
  <c r="AK12" i="18"/>
  <c r="AF12" i="18"/>
  <c r="AK11" i="18"/>
  <c r="AF11" i="18"/>
  <c r="AK10" i="18"/>
  <c r="AF10" i="18"/>
  <c r="AK9" i="18"/>
  <c r="AF9" i="18"/>
  <c r="AK8" i="18"/>
  <c r="AF8" i="18"/>
  <c r="AK7" i="18"/>
  <c r="AF7" i="18"/>
  <c r="AK6" i="18"/>
  <c r="AF6" i="18"/>
  <c r="AK5" i="18"/>
  <c r="AF5" i="18"/>
  <c r="AK4" i="18"/>
  <c r="AF4" i="18"/>
  <c r="AK3" i="18"/>
  <c r="AF3" i="18"/>
  <c r="AK2" i="18"/>
  <c r="AF2" i="18"/>
  <c r="AL237" i="16"/>
  <c r="AF237" i="16"/>
  <c r="AL236" i="16"/>
  <c r="AF236" i="16"/>
  <c r="AL235" i="16"/>
  <c r="AF235" i="16"/>
  <c r="AL234" i="16"/>
  <c r="AF234" i="16"/>
  <c r="AL233" i="16"/>
  <c r="AF233" i="16"/>
  <c r="AL232" i="16"/>
  <c r="AF232" i="16"/>
  <c r="AL231" i="16"/>
  <c r="AF231" i="16"/>
  <c r="AL230" i="16"/>
  <c r="AF230" i="16"/>
  <c r="AL229" i="16"/>
  <c r="AF229" i="16"/>
  <c r="AL228" i="16"/>
  <c r="AF228" i="16"/>
  <c r="AL227" i="16"/>
  <c r="AF227" i="16"/>
  <c r="AL226" i="16"/>
  <c r="AF226" i="16"/>
  <c r="AL225" i="16"/>
  <c r="AF225" i="16"/>
  <c r="AL224" i="16"/>
  <c r="AF224" i="16"/>
  <c r="AL223" i="16"/>
  <c r="AF223" i="16"/>
  <c r="AL222" i="16"/>
  <c r="AF222" i="16"/>
  <c r="AL221" i="16"/>
  <c r="AF221" i="16"/>
  <c r="AL220" i="16"/>
  <c r="AF220" i="16"/>
  <c r="AL219" i="16"/>
  <c r="AF219" i="16"/>
  <c r="AL218" i="16"/>
  <c r="AF218" i="16"/>
  <c r="AL217" i="16"/>
  <c r="AF217" i="16"/>
  <c r="AL216" i="16"/>
  <c r="AF216" i="16"/>
  <c r="AL215" i="16"/>
  <c r="AF215" i="16"/>
  <c r="AL214" i="16"/>
  <c r="AF214" i="16"/>
  <c r="AL213" i="16"/>
  <c r="AF213" i="16"/>
  <c r="AL212" i="16"/>
  <c r="AF212" i="16"/>
  <c r="AL211" i="16"/>
  <c r="AF211" i="16"/>
  <c r="AL210" i="16"/>
  <c r="AF210" i="16"/>
  <c r="AL209" i="16"/>
  <c r="AF209" i="16"/>
  <c r="AL208" i="16"/>
  <c r="AF208" i="16"/>
  <c r="AL207" i="16"/>
  <c r="AF207" i="16"/>
  <c r="AL206" i="16"/>
  <c r="AF206" i="16"/>
  <c r="AL205" i="16"/>
  <c r="AF205" i="16"/>
  <c r="AL203" i="16"/>
  <c r="AF203" i="16"/>
  <c r="AL202" i="16"/>
  <c r="AF202" i="16"/>
  <c r="AL201" i="16"/>
  <c r="AF201" i="16"/>
  <c r="AL200" i="16"/>
  <c r="AF200" i="16"/>
  <c r="AL199" i="16"/>
  <c r="AF199" i="16"/>
  <c r="AL198" i="16"/>
  <c r="AF198" i="16"/>
  <c r="AL197" i="16"/>
  <c r="AF197" i="16"/>
  <c r="AL196" i="16"/>
  <c r="AF196" i="16"/>
  <c r="AL195" i="16"/>
  <c r="AF195" i="16"/>
  <c r="AL194" i="16"/>
  <c r="AF194" i="16"/>
  <c r="AL193" i="16"/>
  <c r="AF193" i="16"/>
  <c r="AL192" i="16"/>
  <c r="AF192" i="16"/>
  <c r="AL191" i="16"/>
  <c r="AF191" i="16"/>
  <c r="AL190" i="16"/>
  <c r="AF190" i="16"/>
  <c r="AL189" i="16"/>
  <c r="AF189" i="16"/>
  <c r="AL188" i="16"/>
  <c r="AF188" i="16"/>
  <c r="AL187" i="16"/>
  <c r="AF187" i="16"/>
  <c r="AL186" i="16"/>
  <c r="AF186" i="16"/>
  <c r="AL185" i="16"/>
  <c r="AF185" i="16"/>
  <c r="AL184" i="16"/>
  <c r="AF184" i="16"/>
  <c r="AL183" i="16"/>
  <c r="AF183" i="16"/>
  <c r="AL182" i="16"/>
  <c r="AF182" i="16"/>
  <c r="AL181" i="16"/>
  <c r="AF181" i="16"/>
  <c r="AL180" i="16"/>
  <c r="AF180" i="16"/>
  <c r="AL179" i="16"/>
  <c r="AF179" i="16"/>
  <c r="AL178" i="16"/>
  <c r="AF178" i="16"/>
  <c r="AL177" i="16"/>
  <c r="AF177" i="16"/>
  <c r="AL176" i="16"/>
  <c r="AF176" i="16"/>
  <c r="AL175" i="16"/>
  <c r="AF175" i="16"/>
  <c r="AL174" i="16"/>
  <c r="AF174" i="16"/>
  <c r="AL173" i="16"/>
  <c r="AF173" i="16"/>
  <c r="AL172" i="16"/>
  <c r="AF172" i="16"/>
  <c r="AL171" i="16"/>
  <c r="AF171" i="16"/>
  <c r="AL170" i="16"/>
  <c r="AF170" i="16"/>
  <c r="AL169" i="16"/>
  <c r="AF169" i="16"/>
  <c r="AL168" i="16"/>
  <c r="AF168" i="16"/>
  <c r="AL167" i="16"/>
  <c r="AF167" i="16"/>
  <c r="AL166" i="16"/>
  <c r="AF166" i="16"/>
  <c r="AL165" i="16"/>
  <c r="AF165" i="16"/>
  <c r="AL164" i="16"/>
  <c r="AF164" i="16"/>
  <c r="AL163" i="16"/>
  <c r="AF163" i="16"/>
  <c r="AL162" i="16"/>
  <c r="AF162" i="16"/>
  <c r="AL161" i="16"/>
  <c r="AF161" i="16"/>
  <c r="AL160" i="16"/>
  <c r="AF160" i="16"/>
  <c r="AL159" i="16"/>
  <c r="AF159" i="16"/>
  <c r="AL158" i="16"/>
  <c r="AF158" i="16"/>
  <c r="AL157" i="16"/>
  <c r="AF157" i="16"/>
  <c r="AL156" i="16"/>
  <c r="AF156" i="16"/>
  <c r="AL155" i="16"/>
  <c r="AF155" i="16"/>
  <c r="AL154" i="16"/>
  <c r="AF154" i="16"/>
  <c r="AL153" i="16"/>
  <c r="AF153" i="16"/>
  <c r="AL152" i="16"/>
  <c r="AF152" i="16"/>
  <c r="AL151" i="16"/>
  <c r="AF151" i="16"/>
  <c r="AL150" i="16"/>
  <c r="AF150" i="16"/>
  <c r="AL149" i="16"/>
  <c r="AF149" i="16"/>
  <c r="AL148" i="16"/>
  <c r="AF148" i="16"/>
  <c r="AL147" i="16"/>
  <c r="AF147" i="16"/>
  <c r="AL146" i="16"/>
  <c r="AF146" i="16"/>
  <c r="AL145" i="16"/>
  <c r="AF145" i="16"/>
  <c r="AL144" i="16"/>
  <c r="AF144" i="16"/>
  <c r="AL143" i="16"/>
  <c r="AF143" i="16"/>
  <c r="AL142" i="16"/>
  <c r="AF142" i="16"/>
  <c r="AL141" i="16"/>
  <c r="AF141" i="16"/>
  <c r="AL140" i="16"/>
  <c r="AF140" i="16"/>
  <c r="AL139" i="16"/>
  <c r="AF139" i="16"/>
  <c r="AL138" i="16"/>
  <c r="AF138" i="16"/>
  <c r="AL137" i="16"/>
  <c r="AF137" i="16"/>
  <c r="AL136" i="16"/>
  <c r="AF136" i="16"/>
  <c r="AL135" i="16"/>
  <c r="AF135" i="16"/>
  <c r="AL134" i="16"/>
  <c r="AF134" i="16"/>
  <c r="AL133" i="16"/>
  <c r="AF133" i="16"/>
  <c r="AL132" i="16"/>
  <c r="AF132" i="16"/>
  <c r="AL131" i="16"/>
  <c r="AF131" i="16"/>
  <c r="AL130" i="16"/>
  <c r="AF130" i="16"/>
  <c r="AL129" i="16"/>
  <c r="AF129" i="16"/>
  <c r="AL128" i="16"/>
  <c r="AF128" i="16"/>
  <c r="AL127" i="16"/>
  <c r="AF127" i="16"/>
  <c r="AL126" i="16"/>
  <c r="AF126" i="16"/>
  <c r="AL125" i="16"/>
  <c r="AF125" i="16"/>
  <c r="AL124" i="16"/>
  <c r="AF124" i="16"/>
  <c r="AL123" i="16"/>
  <c r="AF123" i="16"/>
  <c r="AL122" i="16"/>
  <c r="AF122" i="16"/>
  <c r="AL121" i="16"/>
  <c r="AF121" i="16"/>
  <c r="AL120" i="16"/>
  <c r="AF120" i="16"/>
  <c r="AL119" i="16"/>
  <c r="AF119" i="16"/>
  <c r="AL118" i="16"/>
  <c r="AF118" i="16"/>
  <c r="AL117" i="16"/>
  <c r="AF117" i="16"/>
  <c r="AL116" i="16"/>
  <c r="AF116" i="16"/>
  <c r="AL115" i="16"/>
  <c r="AF115" i="16"/>
  <c r="AL114" i="16"/>
  <c r="AF114" i="16"/>
  <c r="AL113" i="16"/>
  <c r="AF113" i="16"/>
  <c r="AL112" i="16"/>
  <c r="AF112" i="16"/>
  <c r="AL111" i="16"/>
  <c r="AF111" i="16"/>
  <c r="AL110" i="16"/>
  <c r="AF110" i="16"/>
  <c r="AL108" i="16"/>
  <c r="AF108" i="16"/>
  <c r="AL107" i="16"/>
  <c r="AF107" i="16"/>
  <c r="AL106" i="16"/>
  <c r="AF106" i="16"/>
  <c r="AL105" i="16"/>
  <c r="AF105" i="16"/>
  <c r="AL104" i="16"/>
  <c r="AF104" i="16"/>
  <c r="AL103" i="16"/>
  <c r="AF103" i="16"/>
  <c r="AL102" i="16"/>
  <c r="AF102" i="16"/>
  <c r="AL101" i="16"/>
  <c r="AF101" i="16"/>
  <c r="AL100" i="16"/>
  <c r="AF100" i="16"/>
  <c r="AL99" i="16"/>
  <c r="AF99" i="16"/>
  <c r="AL98" i="16"/>
  <c r="AF98" i="16"/>
  <c r="AL97" i="16"/>
  <c r="AF97" i="16"/>
  <c r="AL96" i="16"/>
  <c r="AF96" i="16"/>
  <c r="AL95" i="16"/>
  <c r="AF95" i="16"/>
  <c r="AL94" i="16"/>
  <c r="AF94" i="16"/>
  <c r="AL93" i="16"/>
  <c r="AF93" i="16"/>
  <c r="AL92" i="16"/>
  <c r="AF92" i="16"/>
  <c r="AL91" i="16"/>
  <c r="AF91" i="16"/>
  <c r="AL90" i="16"/>
  <c r="AF90" i="16"/>
  <c r="AL89" i="16"/>
  <c r="AF89" i="16"/>
  <c r="AL88" i="16"/>
  <c r="AF88" i="16"/>
  <c r="AL86" i="16"/>
  <c r="AF86" i="16"/>
  <c r="AL85" i="16"/>
  <c r="AF85" i="16"/>
  <c r="AL84" i="16"/>
  <c r="AF84" i="16"/>
  <c r="AL83" i="16"/>
  <c r="AF83" i="16"/>
  <c r="AL82" i="16"/>
  <c r="AF82" i="16"/>
  <c r="AL81" i="16"/>
  <c r="AF81" i="16"/>
  <c r="AL80" i="16"/>
  <c r="AF80" i="16"/>
  <c r="AL79" i="16"/>
  <c r="AF79" i="16"/>
  <c r="AL78" i="16"/>
  <c r="AF78" i="16"/>
  <c r="AL77" i="16"/>
  <c r="AF77" i="16"/>
  <c r="AL76" i="16"/>
  <c r="AF76" i="16"/>
  <c r="AL75" i="16"/>
  <c r="AF75" i="16"/>
  <c r="AL74" i="16"/>
  <c r="AF74" i="16"/>
  <c r="AL73" i="16"/>
  <c r="AF73" i="16"/>
  <c r="AL72" i="16"/>
  <c r="AF72" i="16"/>
  <c r="AL71" i="16"/>
  <c r="AF71" i="16"/>
  <c r="AL70" i="16"/>
  <c r="AF70" i="16"/>
  <c r="AL69" i="16"/>
  <c r="AF69" i="16"/>
  <c r="AL68" i="16"/>
  <c r="AF68" i="16"/>
  <c r="AL67" i="16"/>
  <c r="AF67" i="16"/>
  <c r="AL66" i="16"/>
  <c r="AF66" i="16"/>
  <c r="AL65" i="16"/>
  <c r="AF65" i="16"/>
  <c r="AL64" i="16"/>
  <c r="AF64" i="16"/>
  <c r="AL63" i="16"/>
  <c r="AF63" i="16"/>
  <c r="AL62" i="16"/>
  <c r="AF62" i="16"/>
  <c r="AL61" i="16"/>
  <c r="AF61" i="16"/>
  <c r="AL60" i="16"/>
  <c r="AF60" i="16"/>
  <c r="AL59" i="16"/>
  <c r="AF59" i="16"/>
  <c r="AL58" i="16"/>
  <c r="AF58" i="16"/>
  <c r="AL57" i="16"/>
  <c r="AF57" i="16"/>
  <c r="AL56" i="16"/>
  <c r="AF56" i="16"/>
  <c r="AL55" i="16"/>
  <c r="AF55" i="16"/>
  <c r="AL54" i="16"/>
  <c r="AF54" i="16"/>
  <c r="AL53" i="16"/>
  <c r="AF53" i="16"/>
  <c r="AL52" i="16"/>
  <c r="AF52" i="16"/>
  <c r="AL51" i="16"/>
  <c r="AF51" i="16"/>
  <c r="AL50" i="16"/>
  <c r="AF50" i="16"/>
  <c r="AL49" i="16"/>
  <c r="AF49" i="16"/>
  <c r="AL48" i="16"/>
  <c r="AF48" i="16"/>
  <c r="AL47" i="16"/>
  <c r="AF47" i="16"/>
  <c r="AL46" i="16"/>
  <c r="AF46" i="16"/>
  <c r="AL45" i="16"/>
  <c r="AF45" i="16"/>
  <c r="AL44" i="16"/>
  <c r="AF44" i="16"/>
  <c r="AL43" i="16"/>
  <c r="AF43" i="16"/>
  <c r="AL42" i="16"/>
  <c r="AF42" i="16"/>
  <c r="AL41" i="16"/>
  <c r="AF41" i="16"/>
  <c r="AL40" i="16"/>
  <c r="AF40" i="16"/>
  <c r="AL39" i="16"/>
  <c r="AF39" i="16"/>
  <c r="AL38" i="16"/>
  <c r="AF38" i="16"/>
  <c r="AL37" i="16"/>
  <c r="AF37" i="16"/>
  <c r="AL36" i="16"/>
  <c r="AF36" i="16"/>
  <c r="AL35" i="16"/>
  <c r="AF35" i="16"/>
  <c r="AL34" i="16"/>
  <c r="AF34" i="16"/>
  <c r="AL33" i="16"/>
  <c r="AF33" i="16"/>
  <c r="AL32" i="16"/>
  <c r="AF32" i="16"/>
  <c r="AL31" i="16"/>
  <c r="AF31" i="16"/>
  <c r="AL30" i="16"/>
  <c r="AF30" i="16"/>
  <c r="AL29" i="16"/>
  <c r="AF29" i="16"/>
  <c r="AL28" i="16"/>
  <c r="AF28" i="16"/>
  <c r="AL27" i="16"/>
  <c r="AF27" i="16"/>
  <c r="AL26" i="16"/>
  <c r="AF26" i="16"/>
  <c r="AL25" i="16"/>
  <c r="AF25" i="16"/>
  <c r="AL24" i="16"/>
  <c r="AF24" i="16"/>
  <c r="AL23" i="16"/>
  <c r="AF23" i="16"/>
  <c r="AL22" i="16"/>
  <c r="AF22" i="16"/>
  <c r="AL21" i="16"/>
  <c r="AF21" i="16"/>
  <c r="AL20" i="16"/>
  <c r="AF20" i="16"/>
  <c r="AL19" i="16"/>
  <c r="AF19" i="16"/>
  <c r="AL18" i="16"/>
  <c r="AF18" i="16"/>
  <c r="AL17" i="16"/>
  <c r="AF17" i="16"/>
  <c r="AL16" i="16"/>
  <c r="AF16" i="16"/>
  <c r="AL15" i="16"/>
  <c r="AF15" i="16"/>
  <c r="AL14" i="16"/>
  <c r="AF14" i="16"/>
  <c r="AL13" i="16"/>
  <c r="AF13" i="16"/>
  <c r="AL12" i="16"/>
  <c r="AF12" i="16"/>
  <c r="AL11" i="16"/>
  <c r="AF11" i="16"/>
  <c r="AL10" i="16"/>
  <c r="AF10" i="16"/>
  <c r="AL9" i="16"/>
  <c r="AF9" i="16"/>
  <c r="AL8" i="16"/>
  <c r="AF8" i="16"/>
  <c r="AL7" i="16"/>
  <c r="AF7" i="16"/>
  <c r="AL6" i="16"/>
  <c r="AF6" i="16"/>
  <c r="AL5" i="16"/>
  <c r="AF5" i="16"/>
  <c r="AL4" i="16"/>
  <c r="AF4" i="16"/>
  <c r="AL3" i="16"/>
  <c r="AF3" i="16"/>
  <c r="AL2" i="16"/>
  <c r="AF2" i="16"/>
  <c r="AR110" i="14"/>
  <c r="AM110" i="14"/>
  <c r="AG110" i="14"/>
  <c r="AR109" i="14"/>
  <c r="AM109" i="14"/>
  <c r="AG109" i="14"/>
  <c r="AR108" i="14"/>
  <c r="AM108" i="14"/>
  <c r="AG108" i="14"/>
  <c r="AR107" i="14"/>
  <c r="AM107" i="14"/>
  <c r="AG107" i="14"/>
  <c r="AR106" i="14"/>
  <c r="AM106" i="14"/>
  <c r="AG106" i="14"/>
  <c r="AR105" i="14"/>
  <c r="AM105" i="14"/>
  <c r="AG105" i="14"/>
  <c r="AR104" i="14"/>
  <c r="AM104" i="14"/>
  <c r="AG104" i="14"/>
  <c r="AR103" i="14"/>
  <c r="AM103" i="14"/>
  <c r="AG103" i="14"/>
  <c r="AR102" i="14"/>
  <c r="AM102" i="14"/>
  <c r="AG102" i="14"/>
  <c r="AR101" i="14"/>
  <c r="AM101" i="14"/>
  <c r="AG101" i="14"/>
  <c r="AR100" i="14"/>
  <c r="AM100" i="14"/>
  <c r="AG100" i="14"/>
  <c r="AR99" i="14"/>
  <c r="AM99" i="14"/>
  <c r="AG99" i="14"/>
  <c r="AR98" i="14"/>
  <c r="AM98" i="14"/>
  <c r="AG98" i="14"/>
  <c r="AR97" i="14"/>
  <c r="AM97" i="14"/>
  <c r="AG97" i="14"/>
  <c r="AR96" i="14"/>
  <c r="AM96" i="14"/>
  <c r="AG96" i="14"/>
  <c r="AR95" i="14"/>
  <c r="AM95" i="14"/>
  <c r="AG95" i="14"/>
  <c r="AR94" i="14"/>
  <c r="AM94" i="14"/>
  <c r="AG94" i="14"/>
  <c r="AR93" i="14"/>
  <c r="AM93" i="14"/>
  <c r="AG93" i="14"/>
  <c r="AR92" i="14"/>
  <c r="AM92" i="14"/>
  <c r="AG92" i="14"/>
  <c r="AR91" i="14"/>
  <c r="AM91" i="14"/>
  <c r="AG91" i="14"/>
  <c r="AR90" i="14"/>
  <c r="AM90" i="14"/>
  <c r="AG90" i="14"/>
  <c r="AR89" i="14"/>
  <c r="AM89" i="14"/>
  <c r="AG89" i="14"/>
  <c r="AR88" i="14"/>
  <c r="AM88" i="14"/>
  <c r="AG88" i="14"/>
  <c r="AR87" i="14"/>
  <c r="AM87" i="14"/>
  <c r="AR86" i="14"/>
  <c r="AM86" i="14"/>
  <c r="AG86" i="14"/>
  <c r="AR85" i="14"/>
  <c r="AM85" i="14"/>
  <c r="AG85" i="14"/>
  <c r="AR84" i="14"/>
  <c r="AM84" i="14"/>
  <c r="AG84" i="14"/>
  <c r="AR83" i="14"/>
  <c r="AM83" i="14"/>
  <c r="AG83" i="14"/>
  <c r="AR82" i="14"/>
  <c r="AM82" i="14"/>
  <c r="AG82" i="14"/>
  <c r="AR81" i="14"/>
  <c r="AM81" i="14"/>
  <c r="AG81" i="14"/>
  <c r="AR80" i="14"/>
  <c r="AM80" i="14"/>
  <c r="AG80" i="14"/>
  <c r="AR79" i="14"/>
  <c r="AM79" i="14"/>
  <c r="AG79" i="14"/>
  <c r="AR78" i="14"/>
  <c r="AM78" i="14"/>
  <c r="AG78" i="14"/>
  <c r="AR77" i="14"/>
  <c r="AM77" i="14"/>
  <c r="AG77" i="14"/>
  <c r="AR76" i="14"/>
  <c r="AM76" i="14"/>
  <c r="AG76" i="14"/>
  <c r="AR75" i="14"/>
  <c r="AM75" i="14"/>
  <c r="AG75" i="14"/>
  <c r="AR74" i="14"/>
  <c r="AM74" i="14"/>
  <c r="AG74" i="14"/>
  <c r="AR73" i="14"/>
  <c r="AM73" i="14"/>
  <c r="AG73" i="14"/>
  <c r="AR72" i="14"/>
  <c r="AM72" i="14"/>
  <c r="AG72" i="14"/>
  <c r="AR71" i="14"/>
  <c r="AM71" i="14"/>
  <c r="AG71" i="14"/>
  <c r="AR70" i="14"/>
  <c r="AM70" i="14"/>
  <c r="AG70" i="14"/>
  <c r="AR69" i="14"/>
  <c r="AM69" i="14"/>
  <c r="AG69" i="14"/>
  <c r="AR68" i="14"/>
  <c r="AM68" i="14"/>
  <c r="AG68" i="14"/>
  <c r="AR67" i="14"/>
  <c r="AM67" i="14"/>
  <c r="AG67" i="14"/>
  <c r="AR66" i="14"/>
  <c r="AM66" i="14"/>
  <c r="AG66" i="14"/>
  <c r="AR65" i="14"/>
  <c r="AM65" i="14"/>
  <c r="AG65" i="14"/>
  <c r="AR64" i="14"/>
  <c r="AM64" i="14"/>
  <c r="AG64" i="14"/>
  <c r="AR63" i="14"/>
  <c r="AM63" i="14"/>
  <c r="AG63" i="14"/>
  <c r="AR62" i="14"/>
  <c r="AM62" i="14"/>
  <c r="AG62" i="14"/>
  <c r="AR61" i="14"/>
  <c r="AM61" i="14"/>
  <c r="AG61" i="14"/>
  <c r="AR60" i="14"/>
  <c r="AM60" i="14"/>
  <c r="AG60" i="14"/>
  <c r="AR59" i="14"/>
  <c r="AM59" i="14"/>
  <c r="AG59" i="14"/>
  <c r="AR58" i="14"/>
  <c r="AM58" i="14"/>
  <c r="AG58" i="14"/>
  <c r="AR57" i="14"/>
  <c r="AM57" i="14"/>
  <c r="AG57" i="14"/>
  <c r="AG56" i="14"/>
  <c r="AR55" i="14"/>
  <c r="AM55" i="14"/>
  <c r="AG55" i="14"/>
  <c r="AR54" i="14"/>
  <c r="AM54" i="14"/>
  <c r="AG54" i="14"/>
  <c r="AR53" i="14"/>
  <c r="AM53" i="14"/>
  <c r="AG53" i="14"/>
  <c r="AR52" i="14"/>
  <c r="AM52" i="14"/>
  <c r="AG52" i="14"/>
  <c r="AR51" i="14"/>
  <c r="AM51" i="14"/>
  <c r="AG51" i="14"/>
  <c r="AR50" i="14"/>
  <c r="AM50" i="14"/>
  <c r="AG50" i="14"/>
  <c r="AR49" i="14"/>
  <c r="AM49" i="14"/>
  <c r="AG49" i="14"/>
  <c r="AR48" i="14"/>
  <c r="AM48" i="14"/>
  <c r="AG48" i="14"/>
  <c r="AR47" i="14"/>
  <c r="AM47" i="14"/>
  <c r="AG47" i="14"/>
  <c r="AR46" i="14"/>
  <c r="AM46" i="14"/>
  <c r="AG46" i="14"/>
  <c r="AR45" i="14"/>
  <c r="AM45" i="14"/>
  <c r="AG45" i="14"/>
  <c r="AR44" i="14"/>
  <c r="AM44" i="14"/>
  <c r="AG44" i="14"/>
  <c r="AR43" i="14"/>
  <c r="AM43" i="14"/>
  <c r="AG43" i="14"/>
  <c r="AR42" i="14"/>
  <c r="AM42" i="14"/>
  <c r="AG42" i="14"/>
  <c r="AR40" i="14"/>
  <c r="AM40" i="14"/>
  <c r="AG40" i="14"/>
  <c r="AR39" i="14"/>
  <c r="AM39" i="14"/>
  <c r="AG39" i="14"/>
  <c r="AR38" i="14"/>
  <c r="AM38" i="14"/>
  <c r="AG38" i="14"/>
  <c r="AR37" i="14"/>
  <c r="AM37" i="14"/>
  <c r="AG37" i="14"/>
  <c r="AR36" i="14"/>
  <c r="AM36" i="14"/>
  <c r="AG36" i="14"/>
  <c r="AR35" i="14"/>
  <c r="AM35" i="14"/>
  <c r="AG35" i="14"/>
  <c r="AR34" i="14"/>
  <c r="AM34" i="14"/>
  <c r="AG34" i="14"/>
  <c r="AR33" i="14"/>
  <c r="AM33" i="14"/>
  <c r="AG33" i="14"/>
  <c r="AR32" i="14"/>
  <c r="AM32" i="14"/>
  <c r="AG32" i="14"/>
  <c r="AR31" i="14"/>
  <c r="AM31" i="14"/>
  <c r="AG31" i="14"/>
  <c r="AR30" i="14"/>
  <c r="AM30" i="14"/>
  <c r="AG30" i="14"/>
  <c r="AR29" i="14"/>
  <c r="AM29" i="14"/>
  <c r="AG29" i="14"/>
  <c r="AR28" i="14"/>
  <c r="AM28" i="14"/>
  <c r="AG28" i="14"/>
  <c r="AR27" i="14"/>
  <c r="AM27" i="14"/>
  <c r="AG27" i="14"/>
  <c r="AM26" i="14"/>
  <c r="AG26" i="14"/>
  <c r="AM25" i="14"/>
  <c r="AG25" i="14"/>
  <c r="AM24" i="14"/>
  <c r="AG24" i="14"/>
  <c r="AM23" i="14"/>
  <c r="AG23" i="14"/>
  <c r="AM22" i="14"/>
  <c r="AG22" i="14"/>
  <c r="AM21" i="14"/>
  <c r="AG21" i="14"/>
  <c r="AM20" i="14"/>
  <c r="AG20" i="14"/>
  <c r="AM19" i="14"/>
  <c r="AG19" i="14"/>
  <c r="AM18" i="14"/>
  <c r="AG18" i="14"/>
  <c r="AM17" i="14"/>
  <c r="AG17" i="14"/>
  <c r="AM16" i="14"/>
  <c r="AG16" i="14"/>
  <c r="AM15" i="14"/>
  <c r="AG15" i="14"/>
  <c r="AM14" i="14"/>
  <c r="AG14" i="14"/>
  <c r="AM13" i="14"/>
  <c r="AG13" i="14"/>
  <c r="AM12" i="14"/>
  <c r="AG12" i="14"/>
  <c r="AM11" i="14"/>
  <c r="AG11" i="14"/>
  <c r="AM10" i="14"/>
  <c r="AG10" i="14"/>
  <c r="AM9" i="14"/>
  <c r="AG9" i="14"/>
  <c r="AR8" i="14"/>
  <c r="AM8" i="14"/>
  <c r="AG8" i="14"/>
  <c r="AR7" i="14"/>
  <c r="AM7" i="14"/>
  <c r="AG7" i="14"/>
  <c r="AR6" i="14"/>
  <c r="AM6" i="14"/>
  <c r="AG6" i="14"/>
  <c r="AR5" i="14"/>
  <c r="AM5" i="14"/>
  <c r="AG5" i="14"/>
  <c r="AR4" i="14"/>
  <c r="AM4" i="14"/>
  <c r="AG4" i="14"/>
  <c r="AR3" i="14"/>
  <c r="AM3" i="14"/>
  <c r="AG3" i="14"/>
  <c r="AR2" i="14"/>
  <c r="AM2" i="14"/>
  <c r="AG2" i="14"/>
  <c r="AM177" i="8"/>
  <c r="AH177" i="8"/>
  <c r="AB177" i="8"/>
  <c r="AH176" i="8"/>
  <c r="AB176" i="8"/>
  <c r="AH175" i="8"/>
  <c r="AB175" i="8"/>
  <c r="AH174" i="8"/>
  <c r="AB174" i="8"/>
  <c r="AH173" i="8"/>
  <c r="AB173" i="8"/>
  <c r="AH172" i="8"/>
  <c r="AB172" i="8"/>
  <c r="AH171" i="8"/>
  <c r="AB171" i="8"/>
  <c r="AH170" i="8"/>
  <c r="AB170" i="8"/>
  <c r="AH169" i="8"/>
  <c r="AB169" i="8"/>
  <c r="AH168" i="8"/>
  <c r="AB168" i="8"/>
  <c r="AH167" i="8"/>
  <c r="AB167" i="8"/>
  <c r="AH166" i="8"/>
  <c r="AB166" i="8"/>
  <c r="AH165" i="8"/>
  <c r="AB165" i="8"/>
  <c r="AH164" i="8"/>
  <c r="AB164" i="8"/>
  <c r="AH163" i="8"/>
  <c r="AB163" i="8"/>
  <c r="AM162" i="8"/>
  <c r="AH162" i="8"/>
  <c r="AB162" i="8"/>
  <c r="AM161" i="8"/>
  <c r="AH161" i="8"/>
  <c r="AB161" i="8"/>
  <c r="AM160" i="8"/>
  <c r="AH160" i="8"/>
  <c r="AB160" i="8"/>
  <c r="AM159" i="8"/>
  <c r="AH159" i="8"/>
  <c r="AB159" i="8"/>
  <c r="AM158" i="8"/>
  <c r="AH158" i="8"/>
  <c r="AB158" i="8"/>
  <c r="AM157" i="8"/>
  <c r="AH157" i="8"/>
  <c r="AB157" i="8"/>
  <c r="AM156" i="8"/>
  <c r="AH156" i="8"/>
  <c r="AB156" i="8"/>
  <c r="AM155" i="8"/>
  <c r="AH155" i="8"/>
  <c r="AB155" i="8"/>
  <c r="AM154" i="8"/>
  <c r="AH154" i="8"/>
  <c r="AB154" i="8"/>
  <c r="AM153" i="8"/>
  <c r="AH153" i="8"/>
  <c r="AB153" i="8"/>
  <c r="AM152" i="8"/>
  <c r="AH152" i="8"/>
  <c r="AB152" i="8"/>
  <c r="AM151" i="8"/>
  <c r="AH151" i="8"/>
  <c r="AB151" i="8"/>
  <c r="AM150" i="8"/>
  <c r="AH150" i="8"/>
  <c r="AB150" i="8"/>
  <c r="AM149" i="8"/>
  <c r="AH149" i="8"/>
  <c r="AB149" i="8"/>
  <c r="AM148" i="8"/>
  <c r="AH148" i="8"/>
  <c r="AB148" i="8"/>
  <c r="AM147" i="8"/>
  <c r="AH147" i="8"/>
  <c r="AB147" i="8"/>
  <c r="AM146" i="8"/>
  <c r="AH146" i="8"/>
  <c r="AB146" i="8"/>
  <c r="AM145" i="8"/>
  <c r="AH145" i="8"/>
  <c r="AB145" i="8"/>
  <c r="AM144" i="8"/>
  <c r="AH144" i="8"/>
  <c r="AB144" i="8"/>
  <c r="AM143" i="8"/>
  <c r="AH143" i="8"/>
  <c r="AB143" i="8"/>
  <c r="AM142" i="8"/>
  <c r="AH142" i="8"/>
  <c r="AB142" i="8"/>
  <c r="AM141" i="8"/>
  <c r="AH141" i="8"/>
  <c r="AB141" i="8"/>
  <c r="AM140" i="8"/>
  <c r="AH140" i="8"/>
  <c r="AB140" i="8"/>
  <c r="AM139" i="8"/>
  <c r="AH139" i="8"/>
  <c r="AB139" i="8"/>
  <c r="AM138" i="8"/>
  <c r="AH138" i="8"/>
  <c r="AB138" i="8"/>
  <c r="AM137" i="8"/>
  <c r="AH137" i="8"/>
  <c r="AB137" i="8"/>
  <c r="AM136" i="8"/>
  <c r="AH136" i="8"/>
  <c r="AB136" i="8"/>
  <c r="AM135" i="8"/>
  <c r="AH135" i="8"/>
  <c r="AB135" i="8"/>
  <c r="AM134" i="8"/>
  <c r="AH134" i="8"/>
  <c r="AB134" i="8"/>
  <c r="AM133" i="8"/>
  <c r="AH133" i="8"/>
  <c r="AB133" i="8"/>
  <c r="AM132" i="8"/>
  <c r="AH132" i="8"/>
  <c r="AB132" i="8"/>
  <c r="AM131" i="8"/>
  <c r="AH131" i="8"/>
  <c r="AB131" i="8"/>
  <c r="AM130" i="8"/>
  <c r="AH130" i="8"/>
  <c r="AB130" i="8"/>
  <c r="AM129" i="8"/>
  <c r="AH129" i="8"/>
  <c r="AB129" i="8"/>
  <c r="AM128" i="8"/>
  <c r="AH128" i="8"/>
  <c r="AB128" i="8"/>
  <c r="AM127" i="8"/>
  <c r="AH127" i="8"/>
  <c r="AB127" i="8"/>
  <c r="AM126" i="8"/>
  <c r="AH126" i="8"/>
  <c r="AB126" i="8"/>
  <c r="AM125" i="8"/>
  <c r="AH125" i="8"/>
  <c r="AB125" i="8"/>
  <c r="AM124" i="8"/>
  <c r="AH124" i="8"/>
  <c r="AB124" i="8"/>
  <c r="AM123" i="8"/>
  <c r="AH123" i="8"/>
  <c r="AB123" i="8"/>
  <c r="AM122" i="8"/>
  <c r="AH122" i="8"/>
  <c r="AB122" i="8"/>
  <c r="AM121" i="8"/>
  <c r="AH121" i="8"/>
  <c r="AB121" i="8"/>
  <c r="AM120" i="8"/>
  <c r="AH120" i="8"/>
  <c r="AB120" i="8"/>
  <c r="AM119" i="8"/>
  <c r="AH119" i="8"/>
  <c r="AB119" i="8"/>
  <c r="AM118" i="8"/>
  <c r="AH118" i="8"/>
  <c r="AB118" i="8"/>
  <c r="AM117" i="8"/>
  <c r="AH117" i="8"/>
  <c r="AB117" i="8"/>
  <c r="AM116" i="8"/>
  <c r="AH116" i="8"/>
  <c r="AB116" i="8"/>
  <c r="AM115" i="8"/>
  <c r="AH115" i="8"/>
  <c r="AB115" i="8"/>
  <c r="AM114" i="8"/>
  <c r="AH114" i="8"/>
  <c r="AB114" i="8"/>
  <c r="AM113" i="8"/>
  <c r="AH113" i="8"/>
  <c r="AB113" i="8"/>
  <c r="AM112" i="8"/>
  <c r="AH112" i="8"/>
  <c r="AB112" i="8"/>
  <c r="AM111" i="8"/>
  <c r="AH111" i="8"/>
  <c r="AB111" i="8"/>
  <c r="AM110" i="8"/>
  <c r="AH110" i="8"/>
  <c r="AB110" i="8"/>
  <c r="AM109" i="8"/>
  <c r="AH109" i="8"/>
  <c r="AB109" i="8"/>
  <c r="AM108" i="8"/>
  <c r="AH108" i="8"/>
  <c r="AB108" i="8"/>
  <c r="AM107" i="8"/>
  <c r="AH107" i="8"/>
  <c r="AB107" i="8"/>
  <c r="AM106" i="8"/>
  <c r="AH106" i="8"/>
  <c r="AB106" i="8"/>
  <c r="AM105" i="8"/>
  <c r="AH105" i="8"/>
  <c r="AB105" i="8"/>
  <c r="AM104" i="8"/>
  <c r="AH104" i="8"/>
  <c r="AB104" i="8"/>
  <c r="AM103" i="8"/>
  <c r="AH103" i="8"/>
  <c r="AB103" i="8"/>
  <c r="AM102" i="8"/>
  <c r="AH102" i="8"/>
  <c r="AB102" i="8"/>
  <c r="AM101" i="8"/>
  <c r="AH101" i="8"/>
  <c r="AB101" i="8"/>
  <c r="AM100" i="8"/>
  <c r="AH100" i="8"/>
  <c r="AB100" i="8"/>
  <c r="AM99" i="8"/>
  <c r="AH99" i="8"/>
  <c r="AB99" i="8"/>
  <c r="AM98" i="8"/>
  <c r="AH98" i="8"/>
  <c r="AB98" i="8"/>
  <c r="AM97" i="8"/>
  <c r="AH97" i="8"/>
  <c r="AB97" i="8"/>
  <c r="AM96" i="8"/>
  <c r="AH96" i="8"/>
  <c r="AB96" i="8"/>
  <c r="AM95" i="8"/>
  <c r="AH95" i="8"/>
  <c r="AB95" i="8"/>
  <c r="AM94" i="8"/>
  <c r="AH94" i="8"/>
  <c r="AB94" i="8"/>
  <c r="AM93" i="8"/>
  <c r="AH93" i="8"/>
  <c r="AB93" i="8"/>
  <c r="AM92" i="8"/>
  <c r="AH92" i="8"/>
  <c r="AM91" i="8"/>
  <c r="AH91" i="8"/>
  <c r="AB91" i="8"/>
  <c r="AM90" i="8"/>
  <c r="AH90" i="8"/>
  <c r="AB90" i="8"/>
  <c r="AM89" i="8"/>
  <c r="AH89" i="8"/>
  <c r="AB89" i="8"/>
  <c r="AM88" i="8"/>
  <c r="AH88" i="8"/>
  <c r="AB88" i="8"/>
  <c r="AM87" i="8"/>
  <c r="AH87" i="8"/>
  <c r="AB87" i="8"/>
  <c r="AM86" i="8"/>
  <c r="AH86" i="8"/>
  <c r="AB86" i="8"/>
  <c r="AM85" i="8"/>
  <c r="AH85" i="8"/>
  <c r="AB85" i="8"/>
  <c r="AM84" i="8"/>
  <c r="AH84" i="8"/>
  <c r="AB84" i="8"/>
  <c r="AM83" i="8"/>
  <c r="AH83" i="8"/>
  <c r="AB83" i="8"/>
  <c r="AM82" i="8"/>
  <c r="AH82" i="8"/>
  <c r="AB82" i="8"/>
  <c r="AM81" i="8"/>
  <c r="AH81" i="8"/>
  <c r="AB81" i="8"/>
  <c r="AM80" i="8"/>
  <c r="AH80" i="8"/>
  <c r="AB80" i="8"/>
  <c r="AM79" i="8"/>
  <c r="AH79" i="8"/>
  <c r="AB79" i="8"/>
  <c r="AM78" i="8"/>
  <c r="AH78" i="8"/>
  <c r="AB78" i="8"/>
  <c r="AM77" i="8"/>
  <c r="AH77" i="8"/>
  <c r="AB77" i="8"/>
  <c r="AM76" i="8"/>
  <c r="AH76" i="8"/>
  <c r="AB76" i="8"/>
  <c r="AM75" i="8"/>
  <c r="AH75" i="8"/>
  <c r="AB75" i="8"/>
  <c r="AM74" i="8"/>
  <c r="AH74" i="8"/>
  <c r="AB74" i="8"/>
  <c r="AM73" i="8"/>
  <c r="AH73" i="8"/>
  <c r="AB73" i="8"/>
  <c r="AM72" i="8"/>
  <c r="AH72" i="8"/>
  <c r="AB72" i="8"/>
  <c r="AM71" i="8"/>
  <c r="AH71" i="8"/>
  <c r="AB71" i="8"/>
  <c r="AM70" i="8"/>
  <c r="AH70" i="8"/>
  <c r="AB70" i="8"/>
  <c r="AM69" i="8"/>
  <c r="AH69" i="8"/>
  <c r="AB69" i="8"/>
  <c r="AM68" i="8"/>
  <c r="AH68" i="8"/>
  <c r="AB68" i="8"/>
  <c r="AM67" i="8"/>
  <c r="AH67" i="8"/>
  <c r="AB67" i="8"/>
  <c r="AM66" i="8"/>
  <c r="AH66" i="8"/>
  <c r="AB66" i="8"/>
  <c r="AM65" i="8"/>
  <c r="AH65" i="8"/>
  <c r="AB65" i="8"/>
  <c r="AM64" i="8"/>
  <c r="AH64" i="8"/>
  <c r="AB64" i="8"/>
  <c r="AM63" i="8"/>
  <c r="AH63" i="8"/>
  <c r="AB63" i="8"/>
  <c r="AM62" i="8"/>
  <c r="AH62" i="8"/>
  <c r="AB62" i="8"/>
  <c r="AM61" i="8"/>
  <c r="AH61" i="8"/>
  <c r="AB61" i="8"/>
  <c r="AM60" i="8"/>
  <c r="AH60" i="8"/>
  <c r="AB60" i="8"/>
  <c r="AM59" i="8"/>
  <c r="AH59" i="8"/>
  <c r="AB59" i="8"/>
  <c r="AM58" i="8"/>
  <c r="AH58" i="8"/>
  <c r="AB58" i="8"/>
  <c r="AM57" i="8"/>
  <c r="AH57" i="8"/>
  <c r="AB57" i="8"/>
  <c r="AM56" i="8"/>
  <c r="AH56" i="8"/>
  <c r="AB56" i="8"/>
  <c r="AM55" i="8"/>
  <c r="AH55" i="8"/>
  <c r="AB55" i="8"/>
  <c r="AM54" i="8"/>
  <c r="AH54" i="8"/>
  <c r="AB54" i="8"/>
  <c r="AM53" i="8"/>
  <c r="AH53" i="8"/>
  <c r="AB53" i="8"/>
  <c r="AM52" i="8"/>
  <c r="AH52" i="8"/>
  <c r="AB52" i="8"/>
  <c r="AM51" i="8"/>
  <c r="AH51" i="8"/>
  <c r="AB51" i="8"/>
  <c r="AM50" i="8"/>
  <c r="AH50" i="8"/>
  <c r="AB50" i="8"/>
  <c r="AM49" i="8"/>
  <c r="AH49" i="8"/>
  <c r="AB49" i="8"/>
  <c r="AM48" i="8"/>
  <c r="AH48" i="8"/>
  <c r="AB48" i="8"/>
  <c r="AM47" i="8"/>
  <c r="AH47" i="8"/>
  <c r="AB47" i="8"/>
  <c r="AM46" i="8"/>
  <c r="AH46" i="8"/>
  <c r="AB46" i="8"/>
  <c r="AM45" i="8"/>
  <c r="AH45" i="8"/>
  <c r="AB45" i="8"/>
  <c r="AM44" i="8"/>
  <c r="AH44" i="8"/>
  <c r="AB44" i="8"/>
  <c r="AM43" i="8"/>
  <c r="AH43" i="8"/>
  <c r="AB43" i="8"/>
  <c r="AM42" i="8"/>
  <c r="AH42" i="8"/>
  <c r="AB42" i="8"/>
  <c r="AM41" i="8"/>
  <c r="AH41" i="8"/>
  <c r="AB41" i="8"/>
  <c r="AM40" i="8"/>
  <c r="AH40" i="8"/>
  <c r="AB40" i="8"/>
  <c r="AM39" i="8"/>
  <c r="AH39" i="8"/>
  <c r="AB39" i="8"/>
  <c r="AM38" i="8"/>
  <c r="AH38" i="8"/>
  <c r="AB38" i="8"/>
  <c r="AM37" i="8"/>
  <c r="AH37" i="8"/>
  <c r="AB37" i="8"/>
  <c r="AM36" i="8"/>
  <c r="AH36" i="8"/>
  <c r="AB36" i="8"/>
  <c r="AM35" i="8"/>
  <c r="AH35" i="8"/>
  <c r="AB35" i="8"/>
  <c r="AM34" i="8"/>
  <c r="AH34" i="8"/>
  <c r="AB34" i="8"/>
  <c r="AM33" i="8"/>
  <c r="AH33" i="8"/>
  <c r="AB33" i="8"/>
  <c r="AM32" i="8"/>
  <c r="AH32" i="8"/>
  <c r="AB32" i="8"/>
  <c r="AM31" i="8"/>
  <c r="AH31" i="8"/>
  <c r="AB31" i="8"/>
  <c r="AM30" i="8"/>
  <c r="AH30" i="8"/>
  <c r="AB30" i="8"/>
  <c r="AM29" i="8"/>
  <c r="AH29" i="8"/>
  <c r="AB29" i="8"/>
  <c r="AM28" i="8"/>
  <c r="AH28" i="8"/>
  <c r="AB28" i="8"/>
  <c r="AM27" i="8"/>
  <c r="AH27" i="8"/>
  <c r="AB27" i="8"/>
  <c r="AM26" i="8"/>
  <c r="AH26" i="8"/>
  <c r="AB26" i="8"/>
  <c r="AM25" i="8"/>
  <c r="AH25" i="8"/>
  <c r="AB25" i="8"/>
  <c r="AM24" i="8"/>
  <c r="AH24" i="8"/>
  <c r="AB24" i="8"/>
  <c r="AM23" i="8"/>
  <c r="AH23" i="8"/>
  <c r="AB23" i="8"/>
  <c r="AM22" i="8"/>
  <c r="AH22" i="8"/>
  <c r="AB22" i="8"/>
  <c r="AM21" i="8"/>
  <c r="AH21" i="8"/>
  <c r="AB21" i="8"/>
  <c r="AM20" i="8"/>
  <c r="AH20" i="8"/>
  <c r="AB20" i="8"/>
  <c r="AM19" i="8"/>
  <c r="AH19" i="8"/>
  <c r="AB19" i="8"/>
  <c r="AM18" i="8"/>
  <c r="AH18" i="8"/>
  <c r="AB18" i="8"/>
  <c r="AM17" i="8"/>
  <c r="AH17" i="8"/>
  <c r="AB17" i="8"/>
  <c r="AM16" i="8"/>
  <c r="AH16" i="8"/>
  <c r="AB16" i="8"/>
  <c r="AM15" i="8"/>
  <c r="AH15" i="8"/>
  <c r="AB15" i="8"/>
  <c r="AM14" i="8"/>
  <c r="AH14" i="8"/>
  <c r="AB14" i="8"/>
  <c r="AM13" i="8"/>
  <c r="AH13" i="8"/>
  <c r="AB13" i="8"/>
  <c r="AM12" i="8"/>
  <c r="AH12" i="8"/>
  <c r="AB12" i="8"/>
  <c r="AM11" i="8"/>
  <c r="AH11" i="8"/>
  <c r="AB11" i="8"/>
  <c r="AM10" i="8"/>
  <c r="AH10" i="8"/>
  <c r="AB10" i="8"/>
  <c r="AM9" i="8"/>
  <c r="AH9" i="8"/>
  <c r="AB9" i="8"/>
  <c r="AM8" i="8"/>
  <c r="AH8" i="8"/>
  <c r="AB8" i="8"/>
  <c r="AM7" i="8"/>
  <c r="AH7" i="8"/>
  <c r="AB7" i="8"/>
  <c r="AM6" i="8"/>
  <c r="AH6" i="8"/>
  <c r="AB6" i="8"/>
  <c r="AM5" i="8"/>
  <c r="AH5" i="8"/>
  <c r="AB5" i="8"/>
  <c r="AM4" i="8"/>
  <c r="AH4" i="8"/>
  <c r="AB4" i="8"/>
  <c r="AM3" i="8"/>
  <c r="AH3" i="8"/>
  <c r="AB3" i="8"/>
  <c r="AM2" i="8"/>
  <c r="AH2" i="8"/>
  <c r="AB2" i="8"/>
  <c r="AM208" i="6"/>
  <c r="AH208" i="6"/>
  <c r="AB208" i="6"/>
  <c r="AM207" i="6"/>
  <c r="AH207" i="6"/>
  <c r="AB207" i="6"/>
  <c r="AM206" i="6"/>
  <c r="AH206" i="6"/>
  <c r="AB206" i="6"/>
  <c r="AM205" i="6"/>
  <c r="AH205" i="6"/>
  <c r="AB205" i="6"/>
  <c r="AM204" i="6"/>
  <c r="AH204" i="6"/>
  <c r="AB204" i="6"/>
  <c r="AM203" i="6"/>
  <c r="AH203" i="6"/>
  <c r="AB203" i="6"/>
  <c r="AM202" i="6"/>
  <c r="AH202" i="6"/>
  <c r="AB202" i="6"/>
  <c r="AM201" i="6"/>
  <c r="AH201" i="6"/>
  <c r="AB201" i="6"/>
  <c r="AM200" i="6"/>
  <c r="AH200" i="6"/>
  <c r="AB200" i="6"/>
  <c r="AM199" i="6"/>
  <c r="AH199" i="6"/>
  <c r="AB199" i="6"/>
  <c r="AM198" i="6"/>
  <c r="AH198" i="6"/>
  <c r="AB198" i="6"/>
  <c r="AM197" i="6"/>
  <c r="AH197" i="6"/>
  <c r="AB197" i="6"/>
  <c r="AM196" i="6"/>
  <c r="AH196" i="6"/>
  <c r="AB196" i="6"/>
  <c r="AM195" i="6"/>
  <c r="AH195" i="6"/>
  <c r="AB195" i="6"/>
  <c r="AM194" i="6"/>
  <c r="AH194" i="6"/>
  <c r="AB194" i="6"/>
  <c r="AM193" i="6"/>
  <c r="AH193" i="6"/>
  <c r="AB193" i="6"/>
  <c r="AM192" i="6"/>
  <c r="AH192" i="6"/>
  <c r="AB192" i="6"/>
  <c r="AM191" i="6"/>
  <c r="AH191" i="6"/>
  <c r="AB191" i="6"/>
  <c r="AM190" i="6"/>
  <c r="AH190" i="6"/>
  <c r="AB190" i="6"/>
  <c r="AM189" i="6"/>
  <c r="AH189" i="6"/>
  <c r="AB189" i="6"/>
  <c r="AM188" i="6"/>
  <c r="AH188" i="6"/>
  <c r="AB188" i="6"/>
  <c r="AM187" i="6"/>
  <c r="AH187" i="6"/>
  <c r="AB187" i="6"/>
  <c r="AM186" i="6"/>
  <c r="AH186" i="6"/>
  <c r="AB186" i="6"/>
  <c r="AM185" i="6"/>
  <c r="AH185" i="6"/>
  <c r="AB185" i="6"/>
  <c r="AM184" i="6"/>
  <c r="AH184" i="6"/>
  <c r="AB184" i="6"/>
  <c r="AM183" i="6"/>
  <c r="AH183" i="6"/>
  <c r="AB183" i="6"/>
  <c r="AM182" i="6"/>
  <c r="AH182" i="6"/>
  <c r="AB182" i="6"/>
  <c r="AM181" i="6"/>
  <c r="AH181" i="6"/>
  <c r="AB181" i="6"/>
  <c r="AM180" i="6"/>
  <c r="AH180" i="6"/>
  <c r="AB180" i="6"/>
  <c r="AM179" i="6"/>
  <c r="AH179" i="6"/>
  <c r="AB179" i="6"/>
  <c r="AM178" i="6"/>
  <c r="AH178" i="6"/>
  <c r="AB178" i="6"/>
  <c r="AM177" i="6"/>
  <c r="AH177" i="6"/>
  <c r="AB177" i="6"/>
  <c r="AM176" i="6"/>
  <c r="AH176" i="6"/>
  <c r="AB176" i="6"/>
  <c r="AM175" i="6"/>
  <c r="AH175" i="6"/>
  <c r="AB175" i="6"/>
  <c r="AM174" i="6"/>
  <c r="AH174" i="6"/>
  <c r="AB174" i="6"/>
  <c r="AM173" i="6"/>
  <c r="AH173" i="6"/>
  <c r="AB173" i="6"/>
  <c r="AM172" i="6"/>
  <c r="AH172" i="6"/>
  <c r="AB172" i="6"/>
  <c r="AM171" i="6"/>
  <c r="AH171" i="6"/>
  <c r="AB171" i="6"/>
  <c r="AM170" i="6"/>
  <c r="AH170" i="6"/>
  <c r="AB170" i="6"/>
  <c r="AM169" i="6"/>
  <c r="AH169" i="6"/>
  <c r="AB169" i="6"/>
  <c r="AM168" i="6"/>
  <c r="AH168" i="6"/>
  <c r="AB168" i="6"/>
  <c r="AM167" i="6"/>
  <c r="AH167" i="6"/>
  <c r="AB167" i="6"/>
  <c r="AM166" i="6"/>
  <c r="AH166" i="6"/>
  <c r="AB166" i="6"/>
  <c r="AM165" i="6"/>
  <c r="AH165" i="6"/>
  <c r="AB165" i="6"/>
  <c r="AM164" i="6"/>
  <c r="AH164" i="6"/>
  <c r="AB164" i="6"/>
  <c r="AM163" i="6"/>
  <c r="AH163" i="6"/>
  <c r="AB163" i="6"/>
  <c r="AM162" i="6"/>
  <c r="AH162" i="6"/>
  <c r="AB162" i="6"/>
  <c r="AM161" i="6"/>
  <c r="AH161" i="6"/>
  <c r="AB161" i="6"/>
  <c r="AM160" i="6"/>
  <c r="AH160" i="6"/>
  <c r="AB160" i="6"/>
  <c r="AM159" i="6"/>
  <c r="AH159" i="6"/>
  <c r="AB159" i="6"/>
  <c r="AM158" i="6"/>
  <c r="AH158" i="6"/>
  <c r="AB158" i="6"/>
  <c r="AM157" i="6"/>
  <c r="AH157" i="6"/>
  <c r="AB157" i="6"/>
  <c r="AB156" i="6"/>
  <c r="AM155" i="6"/>
  <c r="AH155" i="6"/>
  <c r="AB155" i="6"/>
  <c r="AM154" i="6"/>
  <c r="AH154" i="6"/>
  <c r="AB154" i="6"/>
  <c r="AM153" i="6"/>
  <c r="AH153" i="6"/>
  <c r="AB153" i="6"/>
  <c r="AM152" i="6"/>
  <c r="AH152" i="6"/>
  <c r="AB152" i="6"/>
  <c r="AM151" i="6"/>
  <c r="AH151" i="6"/>
  <c r="AB151" i="6"/>
  <c r="AM150" i="6"/>
  <c r="AH150" i="6"/>
  <c r="AB150" i="6"/>
  <c r="AM149" i="6"/>
  <c r="AH149" i="6"/>
  <c r="AB149" i="6"/>
  <c r="AM148" i="6"/>
  <c r="AH148" i="6"/>
  <c r="AB148" i="6"/>
  <c r="AM147" i="6"/>
  <c r="AH147" i="6"/>
  <c r="AB147" i="6"/>
  <c r="AM146" i="6"/>
  <c r="AH146" i="6"/>
  <c r="AB146" i="6"/>
  <c r="AM145" i="6"/>
  <c r="AH145" i="6"/>
  <c r="AB145" i="6"/>
  <c r="AM144" i="6"/>
  <c r="AH144" i="6"/>
  <c r="AB144" i="6"/>
  <c r="AM143" i="6"/>
  <c r="AH143" i="6"/>
  <c r="AB143" i="6"/>
  <c r="AM142" i="6"/>
  <c r="AH142" i="6"/>
  <c r="AB142" i="6"/>
  <c r="AM141" i="6"/>
  <c r="AH141" i="6"/>
  <c r="AB141" i="6"/>
  <c r="AM140" i="6"/>
  <c r="AH140" i="6"/>
  <c r="AB140" i="6"/>
  <c r="AM139" i="6"/>
  <c r="AH139" i="6"/>
  <c r="AB139" i="6"/>
  <c r="AM138" i="6"/>
  <c r="AH138" i="6"/>
  <c r="AB138" i="6"/>
  <c r="AM137" i="6"/>
  <c r="AH137" i="6"/>
  <c r="AB137" i="6"/>
  <c r="AM136" i="6"/>
  <c r="AH136" i="6"/>
  <c r="AM135" i="6"/>
  <c r="AH135" i="6"/>
  <c r="AB135" i="6"/>
  <c r="AM134" i="6"/>
  <c r="AH134" i="6"/>
  <c r="AB134" i="6"/>
  <c r="AM133" i="6"/>
  <c r="AH133" i="6"/>
  <c r="AB133" i="6"/>
  <c r="AM132" i="6"/>
  <c r="AH132" i="6"/>
  <c r="AB132" i="6"/>
  <c r="AM131" i="6"/>
  <c r="AH131" i="6"/>
  <c r="AB131" i="6"/>
  <c r="AM130" i="6"/>
  <c r="AH130" i="6"/>
  <c r="AB130" i="6"/>
  <c r="AM129" i="6"/>
  <c r="AH129" i="6"/>
  <c r="AB129" i="6"/>
  <c r="AM128" i="6"/>
  <c r="AH128" i="6"/>
  <c r="AB128" i="6"/>
  <c r="AM127" i="6"/>
  <c r="AH127" i="6"/>
  <c r="AB127" i="6"/>
  <c r="AM126" i="6"/>
  <c r="AH126" i="6"/>
  <c r="AB126" i="6"/>
  <c r="AM125" i="6"/>
  <c r="AH125" i="6"/>
  <c r="AB125" i="6"/>
  <c r="AM124" i="6"/>
  <c r="AH124" i="6"/>
  <c r="AB124" i="6"/>
  <c r="AM123" i="6"/>
  <c r="AH123" i="6"/>
  <c r="AB123" i="6"/>
  <c r="AM122" i="6"/>
  <c r="AH122" i="6"/>
  <c r="AB122" i="6"/>
  <c r="AM121" i="6"/>
  <c r="AH121" i="6"/>
  <c r="AB121" i="6"/>
  <c r="AM120" i="6"/>
  <c r="AH120" i="6"/>
  <c r="AB120" i="6"/>
  <c r="AM119" i="6"/>
  <c r="AH119" i="6"/>
  <c r="AB119" i="6"/>
  <c r="AM118" i="6"/>
  <c r="AH118" i="6"/>
  <c r="AB118" i="6"/>
  <c r="AM117" i="6"/>
  <c r="AH117" i="6"/>
  <c r="AB117" i="6"/>
  <c r="AM116" i="6"/>
  <c r="AH116" i="6"/>
  <c r="AB116" i="6"/>
  <c r="AM115" i="6"/>
  <c r="AH115" i="6"/>
  <c r="AB115" i="6"/>
  <c r="AM114" i="6"/>
  <c r="AH114" i="6"/>
  <c r="AB114" i="6"/>
  <c r="AM113" i="6"/>
  <c r="AH113" i="6"/>
  <c r="AB113" i="6"/>
  <c r="AM112" i="6"/>
  <c r="AH112" i="6"/>
  <c r="AB112" i="6"/>
  <c r="AM111" i="6"/>
  <c r="AH111" i="6"/>
  <c r="AB111" i="6"/>
  <c r="AM110" i="6"/>
  <c r="AH110" i="6"/>
  <c r="AB110" i="6"/>
  <c r="AM109" i="6"/>
  <c r="AH109" i="6"/>
  <c r="AB109" i="6"/>
  <c r="AM108" i="6"/>
  <c r="AH108" i="6"/>
  <c r="AB108" i="6"/>
  <c r="AM107" i="6"/>
  <c r="AH107" i="6"/>
  <c r="AB107" i="6"/>
  <c r="AM106" i="6"/>
  <c r="AH106" i="6"/>
  <c r="AB106" i="6"/>
  <c r="AM105" i="6"/>
  <c r="AH105" i="6"/>
  <c r="AB105" i="6"/>
  <c r="AM104" i="6"/>
  <c r="AH104" i="6"/>
  <c r="AB104" i="6"/>
  <c r="AM103" i="6"/>
  <c r="AH103" i="6"/>
  <c r="AB103" i="6"/>
  <c r="AM102" i="6"/>
  <c r="AH102" i="6"/>
  <c r="AB102" i="6"/>
  <c r="AM101" i="6"/>
  <c r="AH101" i="6"/>
  <c r="AB101" i="6"/>
  <c r="AM100" i="6"/>
  <c r="AH100" i="6"/>
  <c r="AB100" i="6"/>
  <c r="AM99" i="6"/>
  <c r="AH99" i="6"/>
  <c r="AB99" i="6"/>
  <c r="AM98" i="6"/>
  <c r="AH98" i="6"/>
  <c r="AB98" i="6"/>
  <c r="AM97" i="6"/>
  <c r="AH97" i="6"/>
  <c r="AB97" i="6"/>
  <c r="AM96" i="6"/>
  <c r="AH96" i="6"/>
  <c r="AB96" i="6"/>
  <c r="AM95" i="6"/>
  <c r="AH95" i="6"/>
  <c r="AB95" i="6"/>
  <c r="AM94" i="6"/>
  <c r="AH94" i="6"/>
  <c r="AB94" i="6"/>
  <c r="AM93" i="6"/>
  <c r="AH93" i="6"/>
  <c r="AB93" i="6"/>
  <c r="AM92" i="6"/>
  <c r="AH92" i="6"/>
  <c r="AB92" i="6"/>
  <c r="AM91" i="6"/>
  <c r="AH91" i="6"/>
  <c r="AB91" i="6"/>
  <c r="AM90" i="6"/>
  <c r="AH90" i="6"/>
  <c r="AB90" i="6"/>
  <c r="AM89" i="6"/>
  <c r="AH89" i="6"/>
  <c r="AB89" i="6"/>
  <c r="AM88" i="6"/>
  <c r="AH88" i="6"/>
  <c r="AB88" i="6"/>
  <c r="AM87" i="6"/>
  <c r="AH87" i="6"/>
  <c r="AB87" i="6"/>
  <c r="AM86" i="6"/>
  <c r="AH86" i="6"/>
  <c r="AB86" i="6"/>
  <c r="AM85" i="6"/>
  <c r="AH85" i="6"/>
  <c r="AB85" i="6"/>
  <c r="AM84" i="6"/>
  <c r="AH84" i="6"/>
  <c r="AM83" i="6"/>
  <c r="AH83" i="6"/>
  <c r="AB83" i="6"/>
  <c r="AM82" i="6"/>
  <c r="AH82" i="6"/>
  <c r="AB82" i="6"/>
  <c r="AM81" i="6"/>
  <c r="AH81" i="6"/>
  <c r="AB81" i="6"/>
  <c r="AM80" i="6"/>
  <c r="AH80" i="6"/>
  <c r="AB80" i="6"/>
  <c r="AM79" i="6"/>
  <c r="AH79" i="6"/>
  <c r="AM78" i="6"/>
  <c r="AH78" i="6"/>
  <c r="AB78" i="6"/>
  <c r="AM77" i="6"/>
  <c r="AH77" i="6"/>
  <c r="AB77" i="6"/>
  <c r="AM76" i="6"/>
  <c r="AH76" i="6"/>
  <c r="AB76" i="6"/>
  <c r="AM75" i="6"/>
  <c r="AH75" i="6"/>
  <c r="AB75" i="6"/>
  <c r="AM74" i="6"/>
  <c r="AH74" i="6"/>
  <c r="AB74" i="6"/>
  <c r="AM73" i="6"/>
  <c r="AH73" i="6"/>
  <c r="AB73" i="6"/>
  <c r="AM72" i="6"/>
  <c r="AH72" i="6"/>
  <c r="AB72" i="6"/>
  <c r="AM71" i="6"/>
  <c r="AH71" i="6"/>
  <c r="AB71" i="6"/>
  <c r="AM70" i="6"/>
  <c r="AH70" i="6"/>
  <c r="AB70" i="6"/>
  <c r="AM69" i="6"/>
  <c r="AH69" i="6"/>
  <c r="AB69" i="6"/>
  <c r="AM68" i="6"/>
  <c r="AH68" i="6"/>
  <c r="AB68" i="6"/>
  <c r="AM67" i="6"/>
  <c r="AH67" i="6"/>
  <c r="AB67" i="6"/>
  <c r="AM66" i="6"/>
  <c r="AH66" i="6"/>
  <c r="AB66" i="6"/>
  <c r="AM65" i="6"/>
  <c r="AH65" i="6"/>
  <c r="AB65" i="6"/>
  <c r="AM64" i="6"/>
  <c r="AH64" i="6"/>
  <c r="AB64" i="6"/>
  <c r="AM63" i="6"/>
  <c r="AH63" i="6"/>
  <c r="AB63" i="6"/>
  <c r="AM62" i="6"/>
  <c r="AH62" i="6"/>
  <c r="AB62" i="6"/>
  <c r="AM61" i="6"/>
  <c r="AH61" i="6"/>
  <c r="AB61" i="6"/>
  <c r="AM60" i="6"/>
  <c r="AH60" i="6"/>
  <c r="AB60" i="6"/>
  <c r="AM59" i="6"/>
  <c r="AH59" i="6"/>
  <c r="AB59" i="6"/>
  <c r="AM58" i="6"/>
  <c r="AH58" i="6"/>
  <c r="AB58" i="6"/>
  <c r="AM57" i="6"/>
  <c r="AH57" i="6"/>
  <c r="AB57" i="6"/>
  <c r="AM56" i="6"/>
  <c r="AH56" i="6"/>
  <c r="AB56" i="6"/>
  <c r="AM55" i="6"/>
  <c r="AH55" i="6"/>
  <c r="AB55" i="6"/>
  <c r="AM54" i="6"/>
  <c r="AH54" i="6"/>
  <c r="AB54" i="6"/>
  <c r="AM53" i="6"/>
  <c r="AH53" i="6"/>
  <c r="AB53" i="6"/>
  <c r="AM52" i="6"/>
  <c r="AH52" i="6"/>
  <c r="AB52" i="6"/>
  <c r="AM51" i="6"/>
  <c r="AH51" i="6"/>
  <c r="AB51" i="6"/>
  <c r="AM50" i="6"/>
  <c r="AH50" i="6"/>
  <c r="AB50" i="6"/>
  <c r="AM49" i="6"/>
  <c r="AH49" i="6"/>
  <c r="AB49" i="6"/>
  <c r="AM48" i="6"/>
  <c r="AH48" i="6"/>
  <c r="AB48" i="6"/>
  <c r="AM47" i="6"/>
  <c r="AH47" i="6"/>
  <c r="AB47" i="6"/>
  <c r="AM46" i="6"/>
  <c r="AH46" i="6"/>
  <c r="AB46" i="6"/>
  <c r="AM45" i="6"/>
  <c r="AH45" i="6"/>
  <c r="AB45" i="6"/>
  <c r="AM44" i="6"/>
  <c r="AH44" i="6"/>
  <c r="AB44" i="6"/>
  <c r="AM43" i="6"/>
  <c r="AH43" i="6"/>
  <c r="AB43" i="6"/>
  <c r="AM42" i="6"/>
  <c r="AH42" i="6"/>
  <c r="AB42" i="6"/>
  <c r="AM41" i="6"/>
  <c r="AH41" i="6"/>
  <c r="AB41" i="6"/>
  <c r="AM40" i="6"/>
  <c r="AH40" i="6"/>
  <c r="AB40" i="6"/>
  <c r="AM39" i="6"/>
  <c r="AH39" i="6"/>
  <c r="AB39" i="6"/>
  <c r="AM38" i="6"/>
  <c r="AH38" i="6"/>
  <c r="AB38" i="6"/>
  <c r="AM37" i="6"/>
  <c r="AH37" i="6"/>
  <c r="AB37" i="6"/>
  <c r="AM36" i="6"/>
  <c r="AH36" i="6"/>
  <c r="AB36" i="6"/>
  <c r="AM35" i="6"/>
  <c r="AH35" i="6"/>
  <c r="AB35" i="6"/>
  <c r="AM34" i="6"/>
  <c r="AH34" i="6"/>
  <c r="AB34" i="6"/>
  <c r="AM33" i="6"/>
  <c r="AH33" i="6"/>
  <c r="AB33" i="6"/>
  <c r="AM32" i="6"/>
  <c r="AH32" i="6"/>
  <c r="AB32" i="6"/>
  <c r="AM31" i="6"/>
  <c r="AH31" i="6"/>
  <c r="AB31" i="6"/>
  <c r="AM30" i="6"/>
  <c r="AH30" i="6"/>
  <c r="AB30" i="6"/>
  <c r="AM29" i="6"/>
  <c r="AH29" i="6"/>
  <c r="AB29" i="6"/>
  <c r="AM28" i="6"/>
  <c r="AH28" i="6"/>
  <c r="AB28" i="6"/>
  <c r="AM27" i="6"/>
  <c r="AH27" i="6"/>
  <c r="AB27" i="6"/>
  <c r="AM26" i="6"/>
  <c r="AH26" i="6"/>
  <c r="AB26" i="6"/>
  <c r="AM25" i="6"/>
  <c r="AH25" i="6"/>
  <c r="AB25" i="6"/>
  <c r="AM24" i="6"/>
  <c r="AH24" i="6"/>
  <c r="AB24" i="6"/>
  <c r="AM23" i="6"/>
  <c r="AH23" i="6"/>
  <c r="AB23" i="6"/>
  <c r="AM22" i="6"/>
  <c r="AH22" i="6"/>
  <c r="AM21" i="6"/>
  <c r="AH21" i="6"/>
  <c r="AB21" i="6"/>
  <c r="AM20" i="6"/>
  <c r="AH20" i="6"/>
  <c r="AB20" i="6"/>
  <c r="AM19" i="6"/>
  <c r="AH19" i="6"/>
  <c r="AB19" i="6"/>
  <c r="AM18" i="6"/>
  <c r="AH18" i="6"/>
  <c r="AB18" i="6"/>
  <c r="AM17" i="6"/>
  <c r="AH17" i="6"/>
  <c r="AB17" i="6"/>
  <c r="AM16" i="6"/>
  <c r="AH16" i="6"/>
  <c r="AB16" i="6"/>
  <c r="AM15" i="6"/>
  <c r="AH15" i="6"/>
  <c r="AB15" i="6"/>
  <c r="AM14" i="6"/>
  <c r="AH14" i="6"/>
  <c r="AB14" i="6"/>
  <c r="AM13" i="6"/>
  <c r="AH13" i="6"/>
  <c r="AB13" i="6"/>
  <c r="AM12" i="6"/>
  <c r="AH12" i="6"/>
  <c r="AB12" i="6"/>
  <c r="AM11" i="6"/>
  <c r="AH11" i="6"/>
  <c r="AB11" i="6"/>
  <c r="AM10" i="6"/>
  <c r="AH10" i="6"/>
  <c r="AB10" i="6"/>
  <c r="AM9" i="6"/>
  <c r="AH9" i="6"/>
  <c r="AB9" i="6"/>
  <c r="AM8" i="6"/>
  <c r="AH8" i="6"/>
  <c r="AB8" i="6"/>
  <c r="AM7" i="6"/>
  <c r="AH7" i="6"/>
  <c r="AB7" i="6"/>
  <c r="AM6" i="6"/>
  <c r="AH6" i="6"/>
  <c r="AB6" i="6"/>
  <c r="AM5" i="6"/>
  <c r="AH5" i="6"/>
  <c r="AB5" i="6"/>
  <c r="AM4" i="6"/>
  <c r="AH4" i="6"/>
  <c r="AB4" i="6"/>
  <c r="AM3" i="6"/>
  <c r="AH3" i="6"/>
  <c r="AB3" i="6"/>
  <c r="AM2" i="6"/>
  <c r="AH2" i="6"/>
  <c r="AB2" i="6"/>
  <c r="AB204" i="4"/>
  <c r="AB203" i="4"/>
  <c r="AB202" i="4"/>
  <c r="AB201" i="4"/>
  <c r="AB200" i="4"/>
  <c r="AB199" i="4"/>
  <c r="AB198" i="4"/>
  <c r="AB197" i="4"/>
  <c r="AB196" i="4"/>
  <c r="AB195" i="4"/>
  <c r="AB194" i="4"/>
  <c r="AB193" i="4"/>
  <c r="AB192" i="4"/>
  <c r="AB191" i="4"/>
  <c r="AB190" i="4"/>
  <c r="AB189" i="4"/>
  <c r="AB188" i="4"/>
  <c r="AB187" i="4"/>
  <c r="AB186" i="4"/>
  <c r="AB185" i="4"/>
  <c r="AB184" i="4"/>
  <c r="AB183" i="4"/>
  <c r="AB182" i="4"/>
  <c r="AB181" i="4"/>
  <c r="AB180" i="4"/>
  <c r="AB179" i="4"/>
  <c r="AB178" i="4"/>
  <c r="AB177" i="4"/>
  <c r="AB176" i="4"/>
  <c r="AB175" i="4"/>
  <c r="AB174" i="4"/>
  <c r="AB173" i="4"/>
  <c r="AB172" i="4"/>
  <c r="AB171" i="4"/>
  <c r="AB170" i="4"/>
  <c r="AB169" i="4"/>
  <c r="AB168" i="4"/>
  <c r="AB167" i="4"/>
  <c r="AB166" i="4"/>
  <c r="AB165" i="4"/>
  <c r="AB164" i="4"/>
  <c r="AB163" i="4"/>
  <c r="AB162" i="4"/>
  <c r="AB161" i="4"/>
  <c r="AB160" i="4"/>
  <c r="AB159" i="4"/>
  <c r="AB158" i="4"/>
  <c r="AB157" i="4"/>
  <c r="AB156" i="4"/>
  <c r="AB155" i="4"/>
  <c r="AB154" i="4"/>
  <c r="AB153" i="4"/>
  <c r="AB152" i="4"/>
  <c r="AB151" i="4"/>
  <c r="AB150" i="4"/>
  <c r="AB149" i="4"/>
  <c r="AB148" i="4"/>
  <c r="AB147" i="4"/>
  <c r="AB146" i="4"/>
  <c r="AB145" i="4"/>
  <c r="AB144" i="4"/>
  <c r="AB143" i="4"/>
  <c r="AB142" i="4"/>
  <c r="AB141" i="4"/>
  <c r="AB140" i="4"/>
  <c r="AB139" i="4"/>
  <c r="AB138" i="4"/>
  <c r="AB137" i="4"/>
  <c r="AB136" i="4"/>
  <c r="AB135" i="4"/>
  <c r="AB134" i="4"/>
  <c r="AB133" i="4"/>
  <c r="AB132" i="4"/>
  <c r="AB131" i="4"/>
  <c r="AB130" i="4"/>
  <c r="AB129" i="4"/>
  <c r="AB128" i="4"/>
  <c r="AB127" i="4"/>
  <c r="AB126" i="4"/>
  <c r="AB125" i="4"/>
  <c r="AB124" i="4"/>
  <c r="AB123" i="4"/>
  <c r="AB122" i="4"/>
  <c r="AB121" i="4"/>
  <c r="AB120" i="4"/>
  <c r="AB119" i="4"/>
  <c r="AB118" i="4"/>
  <c r="AB117" i="4"/>
  <c r="AB116" i="4"/>
  <c r="AB115" i="4"/>
  <c r="AB114" i="4"/>
  <c r="AB113" i="4"/>
  <c r="AB112" i="4"/>
  <c r="AB111" i="4"/>
  <c r="AB110" i="4"/>
  <c r="AB109" i="4"/>
  <c r="AB108" i="4"/>
  <c r="AB107" i="4"/>
  <c r="AB106" i="4"/>
  <c r="AB105" i="4"/>
  <c r="AB104" i="4"/>
  <c r="AB103" i="4"/>
  <c r="AB102" i="4"/>
  <c r="AB101" i="4"/>
  <c r="AB100" i="4"/>
  <c r="AB98" i="4"/>
  <c r="AB97" i="4"/>
  <c r="AB96" i="4"/>
  <c r="AB95" i="4"/>
  <c r="AB94" i="4"/>
  <c r="AB93" i="4"/>
  <c r="AB92" i="4"/>
  <c r="AB91" i="4"/>
  <c r="AB90" i="4"/>
  <c r="AB89" i="4"/>
  <c r="AB88" i="4"/>
  <c r="AB87" i="4"/>
  <c r="AB86" i="4"/>
  <c r="AB85" i="4"/>
  <c r="AB84" i="4"/>
  <c r="AB83" i="4"/>
  <c r="AB82" i="4"/>
  <c r="AB81" i="4"/>
  <c r="AB80" i="4"/>
  <c r="AB79" i="4"/>
  <c r="AB78" i="4"/>
  <c r="AB77" i="4"/>
  <c r="AB76" i="4"/>
  <c r="AB75" i="4"/>
  <c r="AB74" i="4"/>
  <c r="AB73" i="4"/>
  <c r="AB72" i="4"/>
  <c r="AB71" i="4"/>
  <c r="AB70" i="4"/>
  <c r="AB69" i="4"/>
  <c r="AB68" i="4"/>
  <c r="AB67" i="4"/>
  <c r="AB66" i="4"/>
  <c r="AB65" i="4"/>
  <c r="AB64" i="4"/>
  <c r="AB63" i="4"/>
  <c r="AB62" i="4"/>
  <c r="AB61" i="4"/>
  <c r="AB60" i="4"/>
  <c r="AB59" i="4"/>
  <c r="AB58" i="4"/>
  <c r="AB57" i="4"/>
  <c r="AB56" i="4"/>
  <c r="AB55" i="4"/>
  <c r="AB54" i="4"/>
  <c r="AB53" i="4"/>
  <c r="AB52" i="4"/>
  <c r="AB51" i="4"/>
  <c r="AB50" i="4"/>
  <c r="AB49" i="4"/>
  <c r="AB48" i="4"/>
  <c r="AB47" i="4"/>
  <c r="AB46" i="4"/>
  <c r="AB45" i="4"/>
  <c r="AB44" i="4"/>
  <c r="AB43" i="4"/>
  <c r="AB42" i="4"/>
  <c r="AB41" i="4"/>
  <c r="AB40" i="4"/>
  <c r="AB39" i="4"/>
  <c r="AB38" i="4"/>
  <c r="AB37" i="4"/>
  <c r="AB36" i="4"/>
  <c r="AB35" i="4"/>
  <c r="AB34" i="4"/>
  <c r="AB33" i="4"/>
  <c r="AB32" i="4"/>
  <c r="AB31" i="4"/>
  <c r="AB30" i="4"/>
  <c r="AB29" i="4"/>
  <c r="AB28" i="4"/>
  <c r="AB27" i="4"/>
  <c r="AB26" i="4"/>
  <c r="AB25" i="4"/>
  <c r="AB24" i="4"/>
  <c r="AB23" i="4"/>
  <c r="AB22" i="4"/>
  <c r="AB21" i="4"/>
  <c r="AB20" i="4"/>
  <c r="AB19" i="4"/>
  <c r="AB18" i="4"/>
  <c r="AB17" i="4"/>
  <c r="AB16" i="4"/>
  <c r="AB15" i="4"/>
  <c r="AB14" i="4"/>
  <c r="AB13" i="4"/>
  <c r="AB12" i="4"/>
  <c r="AB11" i="4"/>
  <c r="AB10" i="4"/>
  <c r="AB9" i="4"/>
  <c r="AB8" i="4"/>
  <c r="AB7" i="4"/>
  <c r="AB6" i="4"/>
  <c r="AB5" i="4"/>
  <c r="AB4" i="4"/>
  <c r="AB3" i="4"/>
  <c r="AB2" i="4"/>
  <c r="G12" i="10"/>
  <c r="F12" i="10"/>
  <c r="E12" i="10"/>
  <c r="G11" i="10"/>
  <c r="G10" i="10"/>
  <c r="G9" i="10"/>
  <c r="G8" i="10"/>
  <c r="G7" i="10"/>
  <c r="G6" i="10"/>
  <c r="G5" i="10"/>
  <c r="G4" i="10"/>
  <c r="AL148" i="28"/>
  <c r="AL147" i="28"/>
  <c r="AL146" i="28"/>
  <c r="AL145" i="28"/>
  <c r="AL144" i="28"/>
  <c r="AL143" i="28"/>
  <c r="AL142" i="28"/>
  <c r="AL141" i="28"/>
  <c r="AL140" i="28"/>
  <c r="AL139" i="28"/>
  <c r="AL138" i="28"/>
  <c r="AL137" i="28"/>
  <c r="AL136" i="28"/>
  <c r="AL135" i="28"/>
  <c r="AL134" i="28"/>
  <c r="AL133" i="28"/>
  <c r="AL132" i="28"/>
  <c r="AL131" i="28"/>
  <c r="AL130" i="28"/>
  <c r="AL129" i="28"/>
  <c r="AL128" i="28"/>
  <c r="AL127" i="28"/>
  <c r="AL126" i="28"/>
  <c r="AL125" i="28"/>
  <c r="AL124" i="28"/>
  <c r="AL123" i="28"/>
  <c r="AL122" i="28"/>
  <c r="AL121" i="28"/>
  <c r="AL120" i="28"/>
  <c r="AL119" i="28"/>
  <c r="AL118" i="28"/>
  <c r="AL117" i="28"/>
  <c r="AL116" i="28"/>
  <c r="AL115" i="28"/>
  <c r="AL114" i="28"/>
  <c r="AL113" i="28"/>
  <c r="AL112" i="28"/>
  <c r="AL111" i="28"/>
  <c r="AL110" i="28"/>
  <c r="AL109" i="28"/>
  <c r="AL108" i="28"/>
  <c r="AL107" i="28"/>
  <c r="AL106" i="28"/>
  <c r="AL105" i="28"/>
  <c r="AL104" i="28"/>
  <c r="AL103" i="28"/>
  <c r="AL102" i="28"/>
  <c r="AL101" i="28"/>
  <c r="AL100" i="28"/>
  <c r="AL99" i="28"/>
  <c r="AL98" i="28"/>
  <c r="AL97" i="28"/>
  <c r="AL96" i="28"/>
  <c r="AL95" i="28"/>
  <c r="AL94" i="28"/>
  <c r="AL93" i="28"/>
  <c r="AL92" i="28"/>
  <c r="AL91" i="28"/>
  <c r="AL90" i="28"/>
  <c r="AL89" i="28"/>
  <c r="AL88" i="28"/>
  <c r="AL87" i="28"/>
  <c r="AL86" i="28"/>
  <c r="AL85" i="28"/>
  <c r="AL84" i="28"/>
  <c r="AL83" i="28"/>
  <c r="AL82" i="28"/>
  <c r="AL81" i="28"/>
  <c r="AL80" i="28"/>
  <c r="AL79" i="28"/>
  <c r="AL78" i="28"/>
  <c r="AL77" i="28"/>
  <c r="AL76" i="28"/>
  <c r="AL75" i="28"/>
  <c r="AL74" i="28"/>
  <c r="AL73" i="28"/>
  <c r="AL72" i="28"/>
  <c r="AL71" i="28"/>
  <c r="AL70" i="28"/>
  <c r="AL69" i="28"/>
  <c r="AL68" i="28"/>
  <c r="AL67" i="28"/>
  <c r="AL66" i="28"/>
  <c r="AL65" i="28"/>
  <c r="AL64" i="28"/>
  <c r="AL63" i="28"/>
  <c r="AL62" i="28"/>
  <c r="AL61" i="28"/>
  <c r="AL60" i="28"/>
  <c r="AL59" i="28"/>
  <c r="AL58" i="28"/>
  <c r="AL57" i="28"/>
  <c r="AL56" i="28"/>
  <c r="AL55" i="28"/>
  <c r="AL54" i="28"/>
  <c r="AL53" i="28"/>
  <c r="AL52" i="28"/>
  <c r="AL51" i="28"/>
  <c r="AL50" i="28"/>
  <c r="AL49" i="28"/>
  <c r="AL48" i="28"/>
  <c r="AL47" i="28"/>
  <c r="AL46" i="28"/>
  <c r="AL45" i="28"/>
  <c r="AL44" i="28"/>
  <c r="AL43" i="28"/>
  <c r="AL42" i="28"/>
  <c r="AL41" i="28"/>
  <c r="AL40" i="28"/>
  <c r="AL39" i="28"/>
  <c r="AL38" i="28"/>
  <c r="AL37" i="28"/>
  <c r="AL36" i="28"/>
  <c r="AL35" i="28"/>
  <c r="AL34" i="28"/>
  <c r="AL33" i="28"/>
  <c r="AL32" i="28"/>
  <c r="AL31" i="28"/>
  <c r="AL30" i="28"/>
  <c r="AL29" i="28"/>
  <c r="AL28" i="28"/>
  <c r="AL27" i="28"/>
  <c r="AL26" i="28"/>
  <c r="AL25" i="28"/>
  <c r="AL24" i="28"/>
  <c r="AL23" i="28"/>
  <c r="AL22" i="28"/>
  <c r="AL21" i="28"/>
  <c r="AL20" i="28"/>
  <c r="AL19" i="28"/>
  <c r="AL18" i="28"/>
  <c r="AL17" i="28"/>
  <c r="AL16" i="28"/>
  <c r="AL15" i="28"/>
  <c r="AL14" i="28"/>
  <c r="AL13" i="28"/>
  <c r="AL12" i="28"/>
  <c r="AL11" i="28"/>
  <c r="AL10" i="28"/>
  <c r="AL9" i="28"/>
  <c r="AL8" i="28"/>
  <c r="AL7" i="28"/>
  <c r="AL6" i="28"/>
  <c r="AL5" i="28"/>
  <c r="AL4" i="28"/>
  <c r="AL3" i="28"/>
  <c r="AL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User</author>
  </authors>
  <commentList>
    <comment ref="D59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汤健:</t>
        </r>
        <r>
          <rPr>
            <sz val="9"/>
            <rFont val="宋体"/>
            <family val="3"/>
            <charset val="134"/>
          </rPr>
          <t xml:space="preserve">
桌面重发，更新了IP和桌面ID</t>
        </r>
      </text>
    </comment>
    <comment ref="AP9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汤健:</t>
        </r>
        <r>
          <rPr>
            <sz val="9"/>
            <rFont val="宋体"/>
            <family val="3"/>
            <charset val="134"/>
          </rPr>
          <t xml:space="preserve">
两天后，发现体验有点问题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User</author>
  </authors>
  <commentList>
    <comment ref="AG91" authorId="0" shapeId="0" xr:uid="{00000000-0006-0000-0500-000001000000}">
      <text>
        <r>
          <rPr>
            <b/>
            <sz val="9"/>
            <rFont val="宋体"/>
            <family val="3"/>
            <charset val="134"/>
          </rPr>
          <t>汤健:</t>
        </r>
        <r>
          <rPr>
            <sz val="9"/>
            <rFont val="宋体"/>
            <family val="3"/>
            <charset val="134"/>
          </rPr>
          <t xml:space="preserve">
安装setup报错，待排查</t>
        </r>
      </text>
    </comment>
  </commentList>
</comments>
</file>

<file path=xl/sharedStrings.xml><?xml version="1.0" encoding="utf-8"?>
<sst xmlns="http://schemas.openxmlformats.org/spreadsheetml/2006/main" count="58330" uniqueCount="14592">
  <si>
    <t>2026-08-19 19:00 更新</t>
  </si>
  <si>
    <t>所属IP</t>
  </si>
  <si>
    <t>用户ID</t>
  </si>
  <si>
    <t>授权总数</t>
  </si>
  <si>
    <t>当前已使用</t>
  </si>
  <si>
    <t>当前剩余</t>
  </si>
  <si>
    <t>二平面</t>
  </si>
  <si>
    <t>10.191.240.10</t>
  </si>
  <si>
    <t>1762_7704_2587_3159</t>
  </si>
  <si>
    <t>10.191.240.11</t>
  </si>
  <si>
    <t>1762_8280_4221_1623</t>
  </si>
  <si>
    <t>10.191.240.12</t>
  </si>
  <si>
    <t>1762_8288_8486_5645</t>
  </si>
  <si>
    <t>10.191.240.13</t>
  </si>
  <si>
    <t>1763_3494_1418_2349</t>
  </si>
  <si>
    <t>10.191.240.14</t>
  </si>
  <si>
    <t>1762_8296_0833_7210</t>
  </si>
  <si>
    <t>10.191.240.15</t>
  </si>
  <si>
    <t>1762_8302_3613_2396</t>
  </si>
  <si>
    <t>10.191.240.16</t>
  </si>
  <si>
    <t>1762_8306_9311_8207</t>
  </si>
  <si>
    <t>10.191.240.17</t>
  </si>
  <si>
    <t>1762_8311_4233_1577</t>
  </si>
  <si>
    <t>合计</t>
  </si>
  <si>
    <r>
      <rPr>
        <sz val="10"/>
        <color rgb="FF4472C4"/>
        <rFont val="等线"/>
        <family val="3"/>
        <charset val="134"/>
      </rPr>
      <t>每个新增了150</t>
    </r>
    <r>
      <rPr>
        <sz val="10"/>
        <color rgb="FF4472C4"/>
        <rFont val="汉仪书宋二KW"/>
        <charset val="134"/>
      </rPr>
      <t>，</t>
    </r>
    <r>
      <rPr>
        <sz val="10"/>
        <color rgb="FF4472C4"/>
        <rFont val="等线"/>
        <family val="3"/>
        <charset val="134"/>
      </rPr>
      <t>共计1200个</t>
    </r>
  </si>
  <si>
    <t>桌面ID</t>
  </si>
  <si>
    <t>桌面类型</t>
  </si>
  <si>
    <t>环境</t>
  </si>
  <si>
    <t>IP</t>
  </si>
  <si>
    <t>使用人工号</t>
  </si>
  <si>
    <t>使用人姓名</t>
  </si>
  <si>
    <t>使用人一级部门</t>
  </si>
  <si>
    <t>迁移周</t>
  </si>
  <si>
    <t>迁移日</t>
  </si>
  <si>
    <t>迁往平面</t>
  </si>
  <si>
    <t>新桌面名称</t>
  </si>
  <si>
    <t>新桌面IP</t>
  </si>
  <si>
    <t>新桌面MAC</t>
  </si>
  <si>
    <t>备注</t>
  </si>
  <si>
    <t>目标HCI</t>
  </si>
  <si>
    <t>目标VDC</t>
  </si>
  <si>
    <t>目标模板</t>
  </si>
  <si>
    <t>存储位置</t>
  </si>
  <si>
    <t>目标网络交换机</t>
  </si>
  <si>
    <t>vdc角色</t>
  </si>
  <si>
    <t>vdc资源名称</t>
  </si>
  <si>
    <t>迁移服务器</t>
  </si>
  <si>
    <t>USB与手机白名单确认</t>
  </si>
  <si>
    <t>剪切板、代理白名单确认</t>
  </si>
  <si>
    <t>源机空间检查（扩容标识已扩容）</t>
  </si>
  <si>
    <t>源桌面打快照</t>
  </si>
  <si>
    <t>scmt是否已经上线</t>
  </si>
  <si>
    <t>原IP
目标IP核对</t>
  </si>
  <si>
    <r>
      <rPr>
        <b/>
        <sz val="11"/>
        <color rgb="FF000000"/>
        <rFont val="微软雅黑"/>
        <family val="2"/>
        <charset val="134"/>
      </rPr>
      <t xml:space="preserve">首次同步状态
</t>
    </r>
    <r>
      <rPr>
        <b/>
        <sz val="11"/>
        <color rgb="FFFF0000"/>
        <rFont val="微软雅黑"/>
        <family val="2"/>
        <charset val="134"/>
      </rPr>
      <t>（重迁）</t>
    </r>
  </si>
  <si>
    <t>VDC角色添加
（16:30）</t>
  </si>
  <si>
    <t>切换时间</t>
  </si>
  <si>
    <r>
      <rPr>
        <b/>
        <sz val="11"/>
        <color rgb="FF000000"/>
        <rFont val="微软雅黑"/>
        <family val="2"/>
        <charset val="134"/>
      </rPr>
      <t>切换完成</t>
    </r>
    <r>
      <rPr>
        <b/>
        <sz val="11"/>
        <color rgb="FFFF0000"/>
        <rFont val="微软雅黑"/>
        <family val="2"/>
        <charset val="134"/>
      </rPr>
      <t>（强切）</t>
    </r>
  </si>
  <si>
    <t>HCI转VDI</t>
  </si>
  <si>
    <t>首次开机时间</t>
  </si>
  <si>
    <t>控制台检查状态</t>
  </si>
  <si>
    <t>已安装完agent
（可关机）</t>
  </si>
  <si>
    <t>已关机</t>
  </si>
  <si>
    <t>导入资源</t>
  </si>
  <si>
    <t>4k、双屏、自启动</t>
  </si>
  <si>
    <t>关联用户</t>
  </si>
  <si>
    <t>检查agent和IP</t>
  </si>
  <si>
    <t>回退
检查
角色取消</t>
  </si>
  <si>
    <t>wtest2026</t>
  </si>
  <si>
    <t>电信</t>
  </si>
  <si>
    <t>160.18.219.27</t>
  </si>
  <si>
    <t>zyvdidt01</t>
  </si>
  <si>
    <t>分支机构7</t>
  </si>
  <si>
    <t>迁移测试</t>
  </si>
  <si>
    <t>移动</t>
  </si>
  <si>
    <t>Bwtest2026</t>
  </si>
  <si>
    <t>10.187.216.10</t>
  </si>
  <si>
    <t>FE:FC:FA:91:90:f7</t>
  </si>
  <si>
    <t>10.191.248.11</t>
  </si>
  <si>
    <t>10.187.255.10</t>
  </si>
  <si>
    <t>HTVDI-ZYQY-CLS1</t>
  </si>
  <si>
    <t>VDI_Cluster01_LUN08</t>
  </si>
  <si>
    <t>华泰证券-办公云桌面01</t>
  </si>
  <si>
    <t>wtest2026-1</t>
  </si>
  <si>
    <t>160.18.18.109</t>
  </si>
  <si>
    <t>信息技术部2</t>
  </si>
  <si>
    <t>Bwtest2026-1</t>
  </si>
  <si>
    <t>10.187.16.10</t>
  </si>
  <si>
    <t>FE:FC:FA:a2:cf:be</t>
  </si>
  <si>
    <t>10.191.249.11</t>
  </si>
  <si>
    <t>HTVDI-ZYQY-LS01</t>
  </si>
  <si>
    <t>VDI_Cluster08_LUN05</t>
  </si>
  <si>
    <t>华泰证券-办公云桌面02</t>
  </si>
  <si>
    <t>kfsvdidt03-3</t>
  </si>
  <si>
    <t>160.22.22.66</t>
  </si>
  <si>
    <t>kfsvdidt03</t>
  </si>
  <si>
    <t>开发商测试</t>
  </si>
  <si>
    <t>Bkfsvdidt03-3</t>
  </si>
  <si>
    <t>10.191.8.102</t>
  </si>
  <si>
    <t>FE:FC:FA:34:94:0c</t>
  </si>
  <si>
    <t>10.191.248.16</t>
  </si>
  <si>
    <t>10.191.255.13</t>
  </si>
  <si>
    <t>HTVDI-KFSQY-CLS6</t>
  </si>
  <si>
    <t>VDI_Cluster06_LUN01</t>
  </si>
  <si>
    <t>VLAN2001</t>
  </si>
  <si>
    <t>华泰证券-开发商云桌面06</t>
  </si>
  <si>
    <t>kfsvdidt02</t>
  </si>
  <si>
    <t>160.22.14.243</t>
  </si>
  <si>
    <t>开发商运维</t>
  </si>
  <si>
    <t>BKfsvdidt02-Q1</t>
  </si>
  <si>
    <t>10.191.32.14</t>
  </si>
  <si>
    <t>FE:FC:FA:f9:f0:02</t>
  </si>
  <si>
    <t>0624迁移运维桌面</t>
  </si>
  <si>
    <t>VLAN2003</t>
  </si>
  <si>
    <t>二平面-开发商桌面运维01</t>
  </si>
  <si>
    <t>10.191.32.9</t>
  </si>
  <si>
    <t>VDI-TMP-KFSYW</t>
  </si>
  <si>
    <t>kfsvdidt02-1</t>
  </si>
  <si>
    <t>160.22.18.80</t>
  </si>
  <si>
    <t>开发商办公</t>
  </si>
  <si>
    <t>BKfsvdidt02-Q2</t>
  </si>
  <si>
    <t>10.191.0.9</t>
  </si>
  <si>
    <t>FE:FC:FA:ca:f2:71</t>
  </si>
  <si>
    <t>0624迁移办公桌面</t>
  </si>
  <si>
    <t xml:space="preserve"> 华泰证券-开发商云桌面06 </t>
  </si>
  <si>
    <t>WTEST2026-1</t>
  </si>
  <si>
    <t>影子桌面</t>
  </si>
  <si>
    <t>10.187.20.8</t>
  </si>
  <si>
    <t>FE:FC:FA:66:b7:fa</t>
  </si>
  <si>
    <t>10.191.248.17</t>
  </si>
  <si>
    <t>HTVDI-ZYQY-CLS2</t>
  </si>
  <si>
    <t>VDI-Cluster07_LUN08</t>
  </si>
  <si>
    <t>VLAN1004</t>
  </si>
  <si>
    <t xml:space="preserve">华泰证券-办公云桌面03 </t>
  </si>
  <si>
    <t>KFSVDIDT02-1</t>
  </si>
  <si>
    <t>zyvdidt02</t>
  </si>
  <si>
    <t>10.187.20.9</t>
  </si>
  <si>
    <t>FE:FC:FA:c8:93:4d</t>
  </si>
  <si>
    <t>Bzyvdidt01-815Q</t>
  </si>
  <si>
    <t>10.191.248.15</t>
  </si>
  <si>
    <t>HTVDI-ZYQY-CLS5</t>
  </si>
  <si>
    <t>VDI-Cluster05_LUN01</t>
  </si>
  <si>
    <t>华泰证券-办公云桌面05</t>
  </si>
  <si>
    <t xml:space="preserve">华泰证券-办公云桌面05 </t>
  </si>
  <si>
    <t>Bzyvdidt02-815Q</t>
  </si>
  <si>
    <t>BZYVDIDT01-823Q</t>
  </si>
  <si>
    <t>10.187.22.33</t>
  </si>
  <si>
    <t>10.191.248.12</t>
  </si>
  <si>
    <t>VDI_Cluster02_LUN01</t>
  </si>
  <si>
    <t>BZYVDIDT02-823Q</t>
  </si>
  <si>
    <t>10.187.22.34</t>
  </si>
  <si>
    <t>计费规格</t>
  </si>
  <si>
    <r>
      <rPr>
        <b/>
        <sz val="11"/>
        <color rgb="FF000000"/>
        <rFont val="微软雅黑"/>
        <family val="2"/>
        <charset val="134"/>
      </rPr>
      <t>首次同步状态</t>
    </r>
    <r>
      <rPr>
        <b/>
        <sz val="11"/>
        <color rgb="FF000000"/>
        <rFont val="微软雅黑"/>
        <family val="2"/>
        <charset val="134"/>
      </rPr>
      <t xml:space="preserve">
</t>
    </r>
    <r>
      <rPr>
        <b/>
        <sz val="11"/>
        <color rgb="FFFF0000"/>
        <rFont val="微软雅黑"/>
        <family val="2"/>
        <charset val="134"/>
      </rPr>
      <t>（重迁）</t>
    </r>
  </si>
  <si>
    <r>
      <rPr>
        <b/>
        <sz val="11"/>
        <color rgb="FF000000"/>
        <rFont val="微软雅黑"/>
        <family val="2"/>
        <charset val="134"/>
      </rPr>
      <t>VDC角色添加</t>
    </r>
    <r>
      <rPr>
        <b/>
        <sz val="11"/>
        <color rgb="FF000000"/>
        <rFont val="微软雅黑"/>
        <family val="2"/>
        <charset val="134"/>
      </rPr>
      <t xml:space="preserve">
</t>
    </r>
    <r>
      <rPr>
        <b/>
        <sz val="11"/>
        <color rgb="FF000000"/>
        <rFont val="微软雅黑"/>
        <family val="2"/>
        <charset val="134"/>
      </rPr>
      <t>（16:30）</t>
    </r>
  </si>
  <si>
    <r>
      <rPr>
        <b/>
        <sz val="11"/>
        <color rgb="FFFFFFFF"/>
        <rFont val="微软雅黑"/>
        <family val="2"/>
        <charset val="134"/>
      </rPr>
      <t>已安装完agent</t>
    </r>
    <r>
      <rPr>
        <b/>
        <sz val="11"/>
        <color rgb="FFFFFFFF"/>
        <rFont val="微软雅黑"/>
        <family val="2"/>
        <charset val="134"/>
      </rPr>
      <t xml:space="preserve">
</t>
    </r>
    <r>
      <rPr>
        <b/>
        <sz val="11"/>
        <color rgb="FFFFFFFF"/>
        <rFont val="微软雅黑"/>
        <family val="2"/>
        <charset val="134"/>
      </rPr>
      <t>（可关机）</t>
    </r>
  </si>
  <si>
    <r>
      <rPr>
        <b/>
        <sz val="11"/>
        <color rgb="FF000000"/>
        <rFont val="微软雅黑"/>
        <family val="2"/>
        <charset val="134"/>
      </rPr>
      <t>回退</t>
    </r>
    <r>
      <rPr>
        <b/>
        <sz val="11"/>
        <color rgb="FF000000"/>
        <rFont val="微软雅黑"/>
        <family val="2"/>
        <charset val="134"/>
      </rPr>
      <t xml:space="preserve">
</t>
    </r>
    <r>
      <rPr>
        <b/>
        <sz val="11"/>
        <color rgb="FF000000"/>
        <rFont val="微软雅黑"/>
        <family val="2"/>
        <charset val="134"/>
      </rPr>
      <t>检查</t>
    </r>
    <r>
      <rPr>
        <b/>
        <sz val="11"/>
        <color rgb="FF000000"/>
        <rFont val="微软雅黑"/>
        <family val="2"/>
        <charset val="134"/>
      </rPr>
      <t xml:space="preserve">
</t>
    </r>
    <r>
      <rPr>
        <b/>
        <sz val="11"/>
        <color rgb="FF000000"/>
        <rFont val="微软雅黑"/>
        <family val="2"/>
        <charset val="134"/>
      </rPr>
      <t>角色取消</t>
    </r>
  </si>
  <si>
    <t>Citrix 卸载</t>
  </si>
  <si>
    <r>
      <rPr>
        <b/>
        <sz val="11"/>
        <color rgb="FFFFFFFF"/>
        <rFont val="微软雅黑"/>
        <family val="2"/>
        <charset val="134"/>
      </rPr>
      <t>HCI转VDI</t>
    </r>
    <r>
      <rPr>
        <b/>
        <sz val="11"/>
        <color rgb="FFFFFFFF"/>
        <rFont val="微软雅黑"/>
        <family val="2"/>
        <charset val="134"/>
      </rPr>
      <t xml:space="preserve">
</t>
    </r>
    <r>
      <rPr>
        <b/>
        <sz val="11"/>
        <color rgb="FFFFFFFF"/>
        <rFont val="微软雅黑"/>
        <family val="2"/>
        <charset val="134"/>
      </rPr>
      <t>（填新桌面名称）</t>
    </r>
    <r>
      <rPr>
        <b/>
        <sz val="11"/>
        <color rgb="FFFFFFFF"/>
        <rFont val="微软雅黑"/>
        <family val="2"/>
        <charset val="134"/>
      </rPr>
      <t xml:space="preserve">
</t>
    </r>
    <r>
      <rPr>
        <b/>
        <sz val="11"/>
        <color rgb="FFFFFFFF"/>
        <rFont val="微软雅黑"/>
        <family val="2"/>
        <charset val="134"/>
      </rPr>
      <t>无顺序要求</t>
    </r>
  </si>
  <si>
    <r>
      <rPr>
        <b/>
        <sz val="11"/>
        <color rgb="FF000000"/>
        <rFont val="微软雅黑"/>
        <family val="2"/>
        <charset val="134"/>
      </rPr>
      <t>导入资源</t>
    </r>
    <r>
      <rPr>
        <b/>
        <sz val="11"/>
        <color rgb="FF000000"/>
        <rFont val="微软雅黑"/>
        <family val="2"/>
        <charset val="134"/>
      </rPr>
      <t xml:space="preserve">
</t>
    </r>
    <r>
      <rPr>
        <b/>
        <sz val="11"/>
        <color rgb="FF000000"/>
        <rFont val="微软雅黑"/>
        <family val="2"/>
        <charset val="134"/>
      </rPr>
      <t>（填新桌面名称）</t>
    </r>
    <r>
      <rPr>
        <b/>
        <sz val="11"/>
        <color rgb="FF000000"/>
        <rFont val="微软雅黑"/>
        <family val="2"/>
        <charset val="134"/>
      </rPr>
      <t xml:space="preserve">
</t>
    </r>
    <r>
      <rPr>
        <b/>
        <sz val="11"/>
        <color rgb="FF000000"/>
        <rFont val="微软雅黑"/>
        <family val="2"/>
        <charset val="134"/>
      </rPr>
      <t>无顺序要求</t>
    </r>
  </si>
  <si>
    <t>scmt是否已经上线(填写IP,无顺序要求）</t>
  </si>
  <si>
    <t>K1102354-JB</t>
  </si>
  <si>
    <t>IT外包办公桌面</t>
  </si>
  <si>
    <t>160.22.11.201</t>
  </si>
  <si>
    <t>普通办公云桌面</t>
  </si>
  <si>
    <t>K1102354</t>
  </si>
  <si>
    <t>崔贺</t>
  </si>
  <si>
    <t>信息技术部</t>
  </si>
  <si>
    <t>已回收</t>
  </si>
  <si>
    <t>BK1102354</t>
  </si>
  <si>
    <t>10.191.6.1</t>
  </si>
  <si>
    <t>FE:FC:FA:e4:c3:ad</t>
  </si>
  <si>
    <t>HTVDI-KFSQY-CLS2</t>
  </si>
  <si>
    <t>华泰证券-开发商云桌面02</t>
  </si>
  <si>
    <t>已确认</t>
  </si>
  <si>
    <t>不涉及</t>
  </si>
  <si>
    <t>通过</t>
  </si>
  <si>
    <t>已完成</t>
  </si>
  <si>
    <t>160.22.1.144</t>
  </si>
  <si>
    <t>K1102353-JB</t>
  </si>
  <si>
    <t>160.22.11.182</t>
  </si>
  <si>
    <t>K1102353</t>
  </si>
  <si>
    <t>张梦娜</t>
  </si>
  <si>
    <t>BK1102353</t>
  </si>
  <si>
    <t>10.191.6.2</t>
  </si>
  <si>
    <t>FE:FC:FA:c5:39:b0</t>
  </si>
  <si>
    <t>BK0052076</t>
  </si>
  <si>
    <t>160.22.3.90</t>
  </si>
  <si>
    <t>K0321419-JB</t>
  </si>
  <si>
    <t>160.22.10.1</t>
  </si>
  <si>
    <t>增A型办公云桌面</t>
  </si>
  <si>
    <t>K0321419</t>
  </si>
  <si>
    <t>刘培培</t>
  </si>
  <si>
    <t>BK0321419</t>
  </si>
  <si>
    <t>10.191.6.3</t>
  </si>
  <si>
    <t>FE:FC:FA:bc:77:ec</t>
  </si>
  <si>
    <t>已删除</t>
  </si>
  <si>
    <t>BK0101255</t>
  </si>
  <si>
    <t>160.22.3.92</t>
  </si>
  <si>
    <t>K1171221-1</t>
  </si>
  <si>
    <t>160.22.11.245</t>
  </si>
  <si>
    <t>K1171221</t>
  </si>
  <si>
    <t>葛贺文</t>
  </si>
  <si>
    <t>BK1171221</t>
  </si>
  <si>
    <t>10.191.6.4</t>
  </si>
  <si>
    <t>FE:FC:FA:43:01:96</t>
  </si>
  <si>
    <t>BK0110147</t>
  </si>
  <si>
    <t>160.22.4.193</t>
  </si>
  <si>
    <t>K0171611-JB</t>
  </si>
  <si>
    <t>160.22.5.58</t>
  </si>
  <si>
    <t>K0171611</t>
  </si>
  <si>
    <t>卢楠楠</t>
  </si>
  <si>
    <t>BK0171611</t>
  </si>
  <si>
    <t>10.191.6.5</t>
  </si>
  <si>
    <t>FE:FC:FA:72:7b:45</t>
  </si>
  <si>
    <t>BK0131227</t>
  </si>
  <si>
    <t>K1171511-JB</t>
  </si>
  <si>
    <t>160.22.2.139</t>
  </si>
  <si>
    <t>K1171511</t>
  </si>
  <si>
    <t>汪翔宇</t>
  </si>
  <si>
    <t>BK1171511</t>
  </si>
  <si>
    <t>10.191.6.6</t>
  </si>
  <si>
    <t>FE:FC:FA:c9:9c:4d</t>
  </si>
  <si>
    <t>BK0170008</t>
  </si>
  <si>
    <t>160.22.5.59</t>
  </si>
  <si>
    <t>K0170050-JB</t>
  </si>
  <si>
    <t>K0170050</t>
  </si>
  <si>
    <t>袁黄亮</t>
  </si>
  <si>
    <t>BK0170050</t>
  </si>
  <si>
    <t>10.191.6.7</t>
  </si>
  <si>
    <t>FE:FC:FA:28:e1:a0</t>
  </si>
  <si>
    <t>BK0171290</t>
  </si>
  <si>
    <t>160.22.0.244</t>
  </si>
  <si>
    <t>K0171735-JB</t>
  </si>
  <si>
    <t>K0171735</t>
  </si>
  <si>
    <t>顾永飞</t>
  </si>
  <si>
    <t>BK0171735</t>
  </si>
  <si>
    <t>10.191.6.8</t>
  </si>
  <si>
    <t>FE:FC:FA:0c:66:26</t>
  </si>
  <si>
    <t>BK0171539</t>
  </si>
  <si>
    <t>160.22.2.140</t>
  </si>
  <si>
    <t>K0171612-JB</t>
  </si>
  <si>
    <t>K0171612</t>
  </si>
  <si>
    <t>陈宇</t>
  </si>
  <si>
    <t>BK0171612</t>
  </si>
  <si>
    <t>10.191.6.9</t>
  </si>
  <si>
    <t>FE:FC:FA:68:18:e4</t>
  </si>
  <si>
    <t>BK0241232</t>
  </si>
  <si>
    <t>160.22.10.2</t>
  </si>
  <si>
    <t>K0321753-JB</t>
  </si>
  <si>
    <t>160.22.14.112</t>
  </si>
  <si>
    <t>K0321753</t>
  </si>
  <si>
    <t>赵铭</t>
  </si>
  <si>
    <t>BK0321753</t>
  </si>
  <si>
    <t>10.191.6.10</t>
  </si>
  <si>
    <t>FE:FC:FA:03:60:43</t>
  </si>
  <si>
    <t>BK1101210</t>
  </si>
  <si>
    <t>K0321500-JB</t>
  </si>
  <si>
    <t>160.22.0.251</t>
  </si>
  <si>
    <t>K0321500</t>
  </si>
  <si>
    <t>张坤</t>
  </si>
  <si>
    <t>BK0321500</t>
  </si>
  <si>
    <t>10.191.6.11</t>
  </si>
  <si>
    <t>FE:FC:FA:1f:a8:d4</t>
  </si>
  <si>
    <t>HTVDI-KFSQY-CLS5</t>
  </si>
  <si>
    <t>VDI_Cluster05_LUN01</t>
  </si>
  <si>
    <t>华泰证券-开发商云桌面05</t>
  </si>
  <si>
    <t>BK1102264</t>
  </si>
  <si>
    <t>K0321418-JB</t>
  </si>
  <si>
    <t>K0321418</t>
  </si>
  <si>
    <t>施霞</t>
  </si>
  <si>
    <t>BK0321418</t>
  </si>
  <si>
    <t>10.191.6.12</t>
  </si>
  <si>
    <t>FE:FC:FA:51:97:97</t>
  </si>
  <si>
    <t>BK1131533</t>
  </si>
  <si>
    <t>K0321417-JB</t>
  </si>
  <si>
    <t>K0321417</t>
  </si>
  <si>
    <t>陈孝洛</t>
  </si>
  <si>
    <t>BK0321417</t>
  </si>
  <si>
    <t>10.191.6.13</t>
  </si>
  <si>
    <t>FE:FC:FA:e9:4f:58</t>
  </si>
  <si>
    <t>BK1182186</t>
  </si>
  <si>
    <t>160.22.11.35</t>
  </si>
  <si>
    <t>K1102342-JB</t>
  </si>
  <si>
    <t>160.22.5.93</t>
  </si>
  <si>
    <t>K1102342</t>
  </si>
  <si>
    <t>张广森</t>
  </si>
  <si>
    <t>BK1102342</t>
  </si>
  <si>
    <t>10.191.6.14</t>
  </si>
  <si>
    <t>FE:FC:FA:2a:cb:20</t>
  </si>
  <si>
    <t>BK2501642</t>
  </si>
  <si>
    <t>160.22.2.122</t>
  </si>
  <si>
    <t>K1980019-JB</t>
  </si>
  <si>
    <t>160.22.2.135</t>
  </si>
  <si>
    <t>K1980019</t>
  </si>
  <si>
    <t>何俊杰</t>
  </si>
  <si>
    <t>BK1980019</t>
  </si>
  <si>
    <t>10.191.6.15</t>
  </si>
  <si>
    <t>FE:FC:FA:f8:38:d2</t>
  </si>
  <si>
    <t>BK2530010</t>
  </si>
  <si>
    <t>160.22.2.234</t>
  </si>
  <si>
    <t>K1102336-JB</t>
  </si>
  <si>
    <t>160.22.3.149</t>
  </si>
  <si>
    <t>K1102336</t>
  </si>
  <si>
    <t>贾玲媛</t>
  </si>
  <si>
    <t>BK1102336</t>
  </si>
  <si>
    <t>10.191.6.16</t>
  </si>
  <si>
    <t>FE:FC:FA:81:ba:d6</t>
  </si>
  <si>
    <t>BK3001449</t>
  </si>
  <si>
    <t>160.22.3.124</t>
  </si>
  <si>
    <t>K1102334-JB</t>
  </si>
  <si>
    <t>K1102334</t>
  </si>
  <si>
    <t>刘慧</t>
  </si>
  <si>
    <t>BK1102334</t>
  </si>
  <si>
    <t>10.191.6.17</t>
  </si>
  <si>
    <t>FE:FC:FA:5b:e2:a4</t>
  </si>
  <si>
    <t>BK3001450</t>
  </si>
  <si>
    <t>K2800002-JB</t>
  </si>
  <si>
    <t>160.22.3.121</t>
  </si>
  <si>
    <t>K2800002</t>
  </si>
  <si>
    <t>邓凯</t>
  </si>
  <si>
    <t>BK2800002</t>
  </si>
  <si>
    <t>10.191.6.18</t>
  </si>
  <si>
    <t>FE:FC:FA:93:f6:3c</t>
  </si>
  <si>
    <t>BK3001451</t>
  </si>
  <si>
    <t>K0892141-JB</t>
  </si>
  <si>
    <t>K0892141</t>
  </si>
  <si>
    <t>张旭</t>
  </si>
  <si>
    <t>BK0892141</t>
  </si>
  <si>
    <t>10.191.6.19</t>
  </si>
  <si>
    <t>FE:FC:FA:1c:de:4c</t>
  </si>
  <si>
    <t>BK5110001</t>
  </si>
  <si>
    <t>K1820017-JB</t>
  </si>
  <si>
    <t>160.22.18.31</t>
  </si>
  <si>
    <t>K1820017</t>
  </si>
  <si>
    <t>王伟</t>
  </si>
  <si>
    <t>BK1820017</t>
  </si>
  <si>
    <t>10.191.6.20</t>
  </si>
  <si>
    <t>FE:FC:FA:f4:0f:12</t>
  </si>
  <si>
    <t>BK5110002</t>
  </si>
  <si>
    <t>K0131471-JB</t>
  </si>
  <si>
    <t>K0131471</t>
  </si>
  <si>
    <t>薛海洋</t>
  </si>
  <si>
    <t>BK0131471</t>
  </si>
  <si>
    <t>10.191.6.21</t>
  </si>
  <si>
    <t>FE:FC:FA:1a:fa:d3</t>
  </si>
  <si>
    <t>K0021803-JB</t>
  </si>
  <si>
    <t>K0021803</t>
  </si>
  <si>
    <t>陈越阳</t>
  </si>
  <si>
    <t>BK0021803</t>
  </si>
  <si>
    <t>10.191.6.22</t>
  </si>
  <si>
    <t>FE:FC:FA:2f:07:fa</t>
  </si>
  <si>
    <t>K2111232-JB</t>
  </si>
  <si>
    <t>160.22.3.67</t>
  </si>
  <si>
    <t>K2111232</t>
  </si>
  <si>
    <t>庄千荣</t>
  </si>
  <si>
    <t>BK2111232</t>
  </si>
  <si>
    <t>10.191.6.23</t>
  </si>
  <si>
    <t>FE:FC:FA:25:6d:6e</t>
  </si>
  <si>
    <t>160.22.21.242</t>
  </si>
  <si>
    <t>K1182281-JB</t>
  </si>
  <si>
    <t>160.22.18.10</t>
  </si>
  <si>
    <t>K1182281</t>
  </si>
  <si>
    <t>樊小蓉</t>
  </si>
  <si>
    <t>BK1182281</t>
  </si>
  <si>
    <t>10.191.6.24</t>
  </si>
  <si>
    <t>FE:FC:FA:8c:e1:f8</t>
  </si>
  <si>
    <t>K2111231-JB</t>
  </si>
  <si>
    <t>160.22.2.239</t>
  </si>
  <si>
    <t>K2111231</t>
  </si>
  <si>
    <t>李卓</t>
  </si>
  <si>
    <t>BK2111231</t>
  </si>
  <si>
    <t>10.191.6.25</t>
  </si>
  <si>
    <t>FE:FC:FA:80:47:46</t>
  </si>
  <si>
    <t>K1102320-JB</t>
  </si>
  <si>
    <t>K1102320</t>
  </si>
  <si>
    <t>王子阳</t>
  </si>
  <si>
    <t>BK1102320</t>
  </si>
  <si>
    <t>10.191.6.26</t>
  </si>
  <si>
    <t>FE:FC:FA:7a:61:43</t>
  </si>
  <si>
    <t>160.22.10.79</t>
  </si>
  <si>
    <t>K1182277-JB</t>
  </si>
  <si>
    <t>K1182277</t>
  </si>
  <si>
    <t>张玲</t>
  </si>
  <si>
    <t>BK1182277</t>
  </si>
  <si>
    <t>10.191.6.27</t>
  </si>
  <si>
    <t>FE:FC:FA:7f:c6:37</t>
  </si>
  <si>
    <t>160.22.2.208</t>
  </si>
  <si>
    <t>K1820022-JB</t>
  </si>
  <si>
    <t>160.22.10.142</t>
  </si>
  <si>
    <t>K1820022</t>
  </si>
  <si>
    <t>赵文学</t>
  </si>
  <si>
    <t>BK1820022</t>
  </si>
  <si>
    <t>10.191.6.28</t>
  </si>
  <si>
    <t>FE:FC:FA:da:05:90</t>
  </si>
  <si>
    <t>K1820021-JB</t>
  </si>
  <si>
    <t>K1820021</t>
  </si>
  <si>
    <t>薛珊</t>
  </si>
  <si>
    <t>BK1820021</t>
  </si>
  <si>
    <t>10.191.6.29</t>
  </si>
  <si>
    <t>FE:FC:FA:95:3d:6b</t>
  </si>
  <si>
    <t>K1820019-JB</t>
  </si>
  <si>
    <t>K1820019</t>
  </si>
  <si>
    <t>包兴</t>
  </si>
  <si>
    <t>BK1820019</t>
  </si>
  <si>
    <t>10.191.6.30</t>
  </si>
  <si>
    <t>FE:FC:FA:8d:f7:e8</t>
  </si>
  <si>
    <t>加域失败</t>
  </si>
  <si>
    <t>K1820018-JB</t>
  </si>
  <si>
    <t>160.22.2.133</t>
  </si>
  <si>
    <t>K1820018</t>
  </si>
  <si>
    <t>马惠</t>
  </si>
  <si>
    <t>BK1820018</t>
  </si>
  <si>
    <t>10.191.6.31</t>
  </si>
  <si>
    <t>FE:FC:FA:e6:a1:0f</t>
  </si>
  <si>
    <t>K1102308-JB</t>
  </si>
  <si>
    <t>K1102308</t>
  </si>
  <si>
    <t>孙岩</t>
  </si>
  <si>
    <t>BK1102308</t>
  </si>
  <si>
    <t>10.191.6.32</t>
  </si>
  <si>
    <t>FE:FC:FA:c8:5c:0b</t>
  </si>
  <si>
    <t>K5110005-JB</t>
  </si>
  <si>
    <t>160.22.10.58</t>
  </si>
  <si>
    <t>K5110005</t>
  </si>
  <si>
    <t>黎阳</t>
  </si>
  <si>
    <t>BK5110005</t>
  </si>
  <si>
    <t>10.191.6.33</t>
  </si>
  <si>
    <t>FE:FC:FA:06:c9:35</t>
  </si>
  <si>
    <t>160.22.2.101</t>
  </si>
  <si>
    <t>K5110003-JB</t>
  </si>
  <si>
    <t>K5110003</t>
  </si>
  <si>
    <t>蔡斌瑞</t>
  </si>
  <si>
    <t>BK5110003</t>
  </si>
  <si>
    <t>10.191.6.34</t>
  </si>
  <si>
    <t>FE:FC:FA:78:92:0d</t>
  </si>
  <si>
    <t>K5110002-JB</t>
  </si>
  <si>
    <t>160.22.21.192</t>
  </si>
  <si>
    <t>K5110002</t>
  </si>
  <si>
    <t>魏祥臣</t>
  </si>
  <si>
    <t>10.191.6.35</t>
  </si>
  <si>
    <t>FE:FC:FA:a1:42:3f</t>
  </si>
  <si>
    <t>VDI_Cluster05_LUN02</t>
  </si>
  <si>
    <t>160.22.21.99</t>
  </si>
  <si>
    <t>K5110001-JB</t>
  </si>
  <si>
    <t>160.22.21.189</t>
  </si>
  <si>
    <t>K5110001</t>
  </si>
  <si>
    <t>张加龙</t>
  </si>
  <si>
    <t>10.191.6.36</t>
  </si>
  <si>
    <t>FE:FC:FA:84:6a:41</t>
  </si>
  <si>
    <t>160.22.21.168</t>
  </si>
  <si>
    <t>K0052076-JB</t>
  </si>
  <si>
    <t>160.22.2.87</t>
  </si>
  <si>
    <t>K0052076</t>
  </si>
  <si>
    <t>张雪燕</t>
  </si>
  <si>
    <t>10.191.6.37</t>
  </si>
  <si>
    <t>FE:FC:FA:92:a7:09</t>
  </si>
  <si>
    <t>160.22.21.25</t>
  </si>
  <si>
    <t>K0110147-JB</t>
  </si>
  <si>
    <t>160.22.17.174</t>
  </si>
  <si>
    <t>K0110147</t>
  </si>
  <si>
    <t>林志</t>
  </si>
  <si>
    <t>10.191.6.38</t>
  </si>
  <si>
    <t>FE:FC:FA:7e:2d:10</t>
  </si>
  <si>
    <t>K1101210-JB</t>
  </si>
  <si>
    <t>K1101210</t>
  </si>
  <si>
    <t>于连红</t>
  </si>
  <si>
    <t>10.191.6.39</t>
  </si>
  <si>
    <t>FE:FC:FA:fb:f9:4f</t>
  </si>
  <si>
    <t>K0241232-JB</t>
  </si>
  <si>
    <t>160.22.1.184</t>
  </si>
  <si>
    <t>K0241232</t>
  </si>
  <si>
    <t>吴竺颖</t>
  </si>
  <si>
    <t>10.191.6.40</t>
  </si>
  <si>
    <t>FE:FC:FA:b3:32:d3</t>
  </si>
  <si>
    <t>K0131227-JB</t>
  </si>
  <si>
    <t>160.22.21.130</t>
  </si>
  <si>
    <t>K0131227</t>
  </si>
  <si>
    <t>郭胜</t>
  </si>
  <si>
    <t>10.191.6.41</t>
  </si>
  <si>
    <t>FE:FC:FA:31:03:61</t>
  </si>
  <si>
    <t>160.22.21.27</t>
  </si>
  <si>
    <t>K1131533-JB</t>
  </si>
  <si>
    <t>160.22.9.97</t>
  </si>
  <si>
    <t>K1131533</t>
  </si>
  <si>
    <t>田婉瑜</t>
  </si>
  <si>
    <t>10.191.6.42</t>
  </si>
  <si>
    <t>FE:FC:FA:90:97:a2</t>
  </si>
  <si>
    <t>160.22.21.83</t>
  </si>
  <si>
    <t>K1102264-JB</t>
  </si>
  <si>
    <t>160.22.1.137</t>
  </si>
  <si>
    <t>K1102264</t>
  </si>
  <si>
    <t>张涛</t>
  </si>
  <si>
    <t>10.191.6.43</t>
  </si>
  <si>
    <t>FE:FC:FA:59:c0:64</t>
  </si>
  <si>
    <t>K1182186-JB</t>
  </si>
  <si>
    <t>K1182186</t>
  </si>
  <si>
    <t>董小艺</t>
  </si>
  <si>
    <t>10.191.6.44</t>
  </si>
  <si>
    <t>FE:FC:FA:fa:92:49</t>
  </si>
  <si>
    <t>160.22.20.202</t>
  </si>
  <si>
    <t>K0101255-1</t>
  </si>
  <si>
    <t>普通办公云桌面-轻A型</t>
  </si>
  <si>
    <t>K0101255</t>
  </si>
  <si>
    <t>胡严严</t>
  </si>
  <si>
    <t>10.191.6.45</t>
  </si>
  <si>
    <t>FE:FC:FA:15:49:01</t>
  </si>
  <si>
    <t>160.22.16.244</t>
  </si>
  <si>
    <t>K2530010-JB</t>
  </si>
  <si>
    <t>K2530010</t>
  </si>
  <si>
    <t>胡航</t>
  </si>
  <si>
    <t>10.191.6.46</t>
  </si>
  <si>
    <t>FE:FC:FA:0b:bc:e5</t>
  </si>
  <si>
    <t>K0170008-JB</t>
  </si>
  <si>
    <t>160.22.10.23</t>
  </si>
  <si>
    <t>K0170008</t>
  </si>
  <si>
    <t>王远芝</t>
  </si>
  <si>
    <t>10.191.6.47</t>
  </si>
  <si>
    <t>FE:FC:FA:36:b7:42</t>
  </si>
  <si>
    <t>160.22.0.247</t>
  </si>
  <si>
    <t>K0170260-JB</t>
  </si>
  <si>
    <t>160.22.10.22</t>
  </si>
  <si>
    <t>K0170260</t>
  </si>
  <si>
    <t>崔冬雪</t>
  </si>
  <si>
    <t>BK0170260</t>
  </si>
  <si>
    <t>10.191.6.48</t>
  </si>
  <si>
    <t>FE:FC:FA:68:ba:61</t>
  </si>
  <si>
    <t>160.22.8.217</t>
  </si>
  <si>
    <t>K0171539-JB</t>
  </si>
  <si>
    <t>160.22.1.61</t>
  </si>
  <si>
    <t>K0171539</t>
  </si>
  <si>
    <t>张悦</t>
  </si>
  <si>
    <t>10.191.6.49</t>
  </si>
  <si>
    <t>FE:FC:FA:2d:65:b8</t>
  </si>
  <si>
    <t>K0171290-JB</t>
  </si>
  <si>
    <t>K0171290</t>
  </si>
  <si>
    <t>储著霞</t>
  </si>
  <si>
    <t>10.191.6.50</t>
  </si>
  <si>
    <t>FE:FC:FA:1f:48:50</t>
  </si>
  <si>
    <t>160.22.8.190</t>
  </si>
  <si>
    <t>K3001453-JB</t>
  </si>
  <si>
    <t>K3001453</t>
  </si>
  <si>
    <t>魏强</t>
  </si>
  <si>
    <t>BK3001453</t>
  </si>
  <si>
    <t>10.191.6.51</t>
  </si>
  <si>
    <t>FE:FC:FA:aa:b0:68</t>
  </si>
  <si>
    <t>K3001452-JB</t>
  </si>
  <si>
    <t>160.22.0.235</t>
  </si>
  <si>
    <t>K3001452</t>
  </si>
  <si>
    <t>肖海涌</t>
  </si>
  <si>
    <t>BK3001452</t>
  </si>
  <si>
    <t>10.191.6.52</t>
  </si>
  <si>
    <t>FE:FC:FA:9b:ee:97</t>
  </si>
  <si>
    <t>K3001451-JB</t>
  </si>
  <si>
    <t>K3001451</t>
  </si>
  <si>
    <t>许睿锋</t>
  </si>
  <si>
    <t>10.191.6.53</t>
  </si>
  <si>
    <t>FE:FC:FA:bb:c9:cb</t>
  </si>
  <si>
    <t>K3001450-JB</t>
  </si>
  <si>
    <t>K3001450</t>
  </si>
  <si>
    <t>祝聪慧</t>
  </si>
  <si>
    <t>10.191.6.54</t>
  </si>
  <si>
    <t>FE:FC:FA:e2:6b:ee</t>
  </si>
  <si>
    <t>K3001449-JB</t>
  </si>
  <si>
    <t>K3001449</t>
  </si>
  <si>
    <t>于淼</t>
  </si>
  <si>
    <t>10.191.6.55</t>
  </si>
  <si>
    <t>FE:FC:FA:7a:bd:16</t>
  </si>
  <si>
    <t>K2501642-JB</t>
  </si>
  <si>
    <t>K2501642</t>
  </si>
  <si>
    <t>周程远</t>
  </si>
  <si>
    <t>10.191.6.56</t>
  </si>
  <si>
    <t>FE:FC:FA:31:1d:77</t>
  </si>
  <si>
    <t>K0052043-JB</t>
  </si>
  <si>
    <t>160.22.0.36</t>
  </si>
  <si>
    <t>K0052043</t>
  </si>
  <si>
    <t>卢本盛</t>
  </si>
  <si>
    <t>BK0052043</t>
  </si>
  <si>
    <t>10.191.6.57</t>
  </si>
  <si>
    <t>FE:FC:FA:17:6c:87</t>
  </si>
  <si>
    <t>K1182089-1</t>
  </si>
  <si>
    <t>160.22.21.13</t>
  </si>
  <si>
    <t>K1182089</t>
  </si>
  <si>
    <t>王小青</t>
  </si>
  <si>
    <t>BK1182089</t>
  </si>
  <si>
    <t>10.191.6.58</t>
  </si>
  <si>
    <t>FE:FC:FA:97:00:4d</t>
  </si>
  <si>
    <t>VDI_Cluster05_LUN03</t>
  </si>
  <si>
    <t>160.22.17.1</t>
  </si>
  <si>
    <t>K0321885-JB</t>
  </si>
  <si>
    <t>160.22.5.44</t>
  </si>
  <si>
    <t>K0321885</t>
  </si>
  <si>
    <t>张孟露</t>
  </si>
  <si>
    <t>BK0321885</t>
  </si>
  <si>
    <t>10.191.6.59</t>
  </si>
  <si>
    <t>FE:FC:FA:8b:ad:fa</t>
  </si>
  <si>
    <t>160.22.16.102</t>
  </si>
  <si>
    <t>K2511912-JB</t>
  </si>
  <si>
    <t>160.22.0.238</t>
  </si>
  <si>
    <t>K2511912</t>
  </si>
  <si>
    <t>梁嘉铭</t>
  </si>
  <si>
    <t>BK2511912</t>
  </si>
  <si>
    <t>10.191.6.60</t>
  </si>
  <si>
    <t>FE:FC:FA:f7:ba:e7</t>
  </si>
  <si>
    <t>160.22.16.112</t>
  </si>
  <si>
    <t>K0321872-JB</t>
  </si>
  <si>
    <t>160.22.20.177</t>
  </si>
  <si>
    <t>K0321872</t>
  </si>
  <si>
    <t>丁秀梅</t>
  </si>
  <si>
    <t>BK0321872</t>
  </si>
  <si>
    <t>10.191.6.61</t>
  </si>
  <si>
    <t>FE:FC:FA:e8:72:5f</t>
  </si>
  <si>
    <t>160.22.16.116</t>
  </si>
  <si>
    <t>K0052032-JB</t>
  </si>
  <si>
    <t>160.22.4.206</t>
  </si>
  <si>
    <t>K0052032</t>
  </si>
  <si>
    <t>曾伟</t>
  </si>
  <si>
    <t>BK0052032</t>
  </si>
  <si>
    <t>10.191.6.62</t>
  </si>
  <si>
    <t>FE:FC:FA:2a:01:5c</t>
  </si>
  <si>
    <t>160.22.16.177</t>
  </si>
  <si>
    <t>K2511908-JB</t>
  </si>
  <si>
    <t>160.22.4.195</t>
  </si>
  <si>
    <t>K2511908</t>
  </si>
  <si>
    <t>罗月</t>
  </si>
  <si>
    <t>BK2511908</t>
  </si>
  <si>
    <t>10.191.6.63</t>
  </si>
  <si>
    <t>FE:FC:FA:a0:c6:c2</t>
  </si>
  <si>
    <t>K1102158-JB</t>
  </si>
  <si>
    <t>160.22.4.139</t>
  </si>
  <si>
    <t>K1102158</t>
  </si>
  <si>
    <t>田根申</t>
  </si>
  <si>
    <t>BK1102158</t>
  </si>
  <si>
    <t>10.191.6.64</t>
  </si>
  <si>
    <t>FE:FC:FA:46:63:7f</t>
  </si>
  <si>
    <t>160.22.2.72</t>
  </si>
  <si>
    <t>K0052028-JB</t>
  </si>
  <si>
    <t>K0052028</t>
  </si>
  <si>
    <t>陈艳</t>
  </si>
  <si>
    <t>BK0052028</t>
  </si>
  <si>
    <t>10.191.6.65</t>
  </si>
  <si>
    <t>FE:FC:FA:42:87:ba</t>
  </si>
  <si>
    <t>160.22.4.33</t>
  </si>
  <si>
    <t>K2760063-JB</t>
  </si>
  <si>
    <t>160.22.4.69</t>
  </si>
  <si>
    <t>K2760063</t>
  </si>
  <si>
    <t>李杏余</t>
  </si>
  <si>
    <t>BK2760063</t>
  </si>
  <si>
    <t>10.191.6.66</t>
  </si>
  <si>
    <t>FE:FC:FA:3b:10:02</t>
  </si>
  <si>
    <t>K0730035-JB</t>
  </si>
  <si>
    <t>160.22.4.73</t>
  </si>
  <si>
    <t>K0730035</t>
  </si>
  <si>
    <t>王渺</t>
  </si>
  <si>
    <t>BK0730035</t>
  </si>
  <si>
    <t>10.191.6.67</t>
  </si>
  <si>
    <t>FE:FC:FA:f2:6e:13</t>
  </si>
  <si>
    <t>K4440001-JB</t>
  </si>
  <si>
    <t>160.22.20.123</t>
  </si>
  <si>
    <t>K4440001</t>
  </si>
  <si>
    <t>吴攀</t>
  </si>
  <si>
    <t>BK4440001</t>
  </si>
  <si>
    <t>10.191.6.68</t>
  </si>
  <si>
    <t>FE:FC:FA:23:24:30</t>
  </si>
  <si>
    <t>K1182040-1</t>
  </si>
  <si>
    <t>160.22.11.251</t>
  </si>
  <si>
    <t>K1182040</t>
  </si>
  <si>
    <t>常光</t>
  </si>
  <si>
    <t>BK1182040</t>
  </si>
  <si>
    <t>10.191.6.69</t>
  </si>
  <si>
    <t>FE:FC:FA:05:4f:e8</t>
  </si>
  <si>
    <t>已核对</t>
  </si>
  <si>
    <t>K1980012-JB</t>
  </si>
  <si>
    <t>160.22.11.241</t>
  </si>
  <si>
    <t>K1980012</t>
  </si>
  <si>
    <t>谢宗哲</t>
  </si>
  <si>
    <t>BK1980012</t>
  </si>
  <si>
    <t>10.191.6.70</t>
  </si>
  <si>
    <t>FE:FC:FA:7d:ac:0a</t>
  </si>
  <si>
    <t>160.22.11.233</t>
  </si>
  <si>
    <t>K0321860-JB</t>
  </si>
  <si>
    <t>K0321860</t>
  </si>
  <si>
    <t>夏欢欢</t>
  </si>
  <si>
    <t>BK0321860</t>
  </si>
  <si>
    <t>10.191.6.71</t>
  </si>
  <si>
    <t>FE:FC:FA:8d:f0:66</t>
  </si>
  <si>
    <t>160.22.11.252</t>
  </si>
  <si>
    <t>K1102122-JB</t>
  </si>
  <si>
    <t>K1102122</t>
  </si>
  <si>
    <t>李学彤</t>
  </si>
  <si>
    <t>BK1102122</t>
  </si>
  <si>
    <t>10.191.6.72</t>
  </si>
  <si>
    <t>FE:FC:FA:82:ca:28</t>
  </si>
  <si>
    <t>K0051999-JB</t>
  </si>
  <si>
    <t>K0051999</t>
  </si>
  <si>
    <t>黄焕娣</t>
  </si>
  <si>
    <t>BK0051999</t>
  </si>
  <si>
    <t>10.191.6.73</t>
  </si>
  <si>
    <t>FE:FC:FA:47:56:34</t>
  </si>
  <si>
    <t>160.22.9.4</t>
  </si>
  <si>
    <t>K2511902-JB</t>
  </si>
  <si>
    <t>160.22.11.131</t>
  </si>
  <si>
    <t>K2511902</t>
  </si>
  <si>
    <t>陈哲</t>
  </si>
  <si>
    <t>BK2511902</t>
  </si>
  <si>
    <t>10.191.6.74</t>
  </si>
  <si>
    <t>FE:FC:FA:dd:a9:28</t>
  </si>
  <si>
    <t>160.22.16.99</t>
  </si>
  <si>
    <t>K0051997-JB</t>
  </si>
  <si>
    <t>K0051997</t>
  </si>
  <si>
    <t>徐铭烩</t>
  </si>
  <si>
    <t>BK0051997</t>
  </si>
  <si>
    <t>10.191.6.75</t>
  </si>
  <si>
    <t>FE:FC:FA:88:66:44</t>
  </si>
  <si>
    <t>160.22.20.94</t>
  </si>
  <si>
    <t>K0051994-JB</t>
  </si>
  <si>
    <t>K0051994</t>
  </si>
  <si>
    <t>张传洁</t>
  </si>
  <si>
    <t>BK0051994</t>
  </si>
  <si>
    <t>10.191.6.76</t>
  </si>
  <si>
    <t>FE:FC:FA:ae:04:42</t>
  </si>
  <si>
    <t>160.22.4.12</t>
  </si>
  <si>
    <t>K2760005-JB</t>
  </si>
  <si>
    <t>160.22.11.109</t>
  </si>
  <si>
    <t>K2760005</t>
  </si>
  <si>
    <t>王蓉</t>
  </si>
  <si>
    <t>BK2760005</t>
  </si>
  <si>
    <t>10.191.6.77</t>
  </si>
  <si>
    <t>FE:FC:FA:3c:16:ea</t>
  </si>
  <si>
    <t>160.22.13.109</t>
  </si>
  <si>
    <t>K1182031-JB</t>
  </si>
  <si>
    <t>K1182031</t>
  </si>
  <si>
    <t>许月</t>
  </si>
  <si>
    <t>BK1182031</t>
  </si>
  <si>
    <t>10.191.6.78</t>
  </si>
  <si>
    <t>FE:FC:FA:32:f1:50</t>
  </si>
  <si>
    <t>K1182030-JB</t>
  </si>
  <si>
    <t>K1182030</t>
  </si>
  <si>
    <t>王婷婷</t>
  </si>
  <si>
    <t>BK1182030</t>
  </si>
  <si>
    <t>10.191.6.79</t>
  </si>
  <si>
    <t>FE:FC:FA:21:25:9b</t>
  </si>
  <si>
    <t>160.22.3.125</t>
  </si>
  <si>
    <t>K2511900-JB</t>
  </si>
  <si>
    <t>K2511900</t>
  </si>
  <si>
    <t>周建明</t>
  </si>
  <si>
    <t>BK2511900</t>
  </si>
  <si>
    <t>10.191.6.80</t>
  </si>
  <si>
    <t>FE:FC:FA:69:3d:2c</t>
  </si>
  <si>
    <t>K0101225-JB</t>
  </si>
  <si>
    <t>160.22.20.31</t>
  </si>
  <si>
    <t>K0101225</t>
  </si>
  <si>
    <t>张青</t>
  </si>
  <si>
    <t>BK0101225</t>
  </si>
  <si>
    <t>10.191.6.81</t>
  </si>
  <si>
    <t>FE:FC:FA:7e:ca:ea</t>
  </si>
  <si>
    <t>VDI_Cluster05_LUN04</t>
  </si>
  <si>
    <t>K1102033-JB</t>
  </si>
  <si>
    <t>160.22.2.241</t>
  </si>
  <si>
    <t>K1102033</t>
  </si>
  <si>
    <t>韩范山</t>
  </si>
  <si>
    <t>BK1102033</t>
  </si>
  <si>
    <t>10.191.6.82</t>
  </si>
  <si>
    <t>FE:FC:FA:2b:4d:2b</t>
  </si>
  <si>
    <t>K0051652-JB</t>
  </si>
  <si>
    <t>160.22.23.184</t>
  </si>
  <si>
    <t>K0051652</t>
  </si>
  <si>
    <t>王璐</t>
  </si>
  <si>
    <t>BK0051652</t>
  </si>
  <si>
    <t>10.191.6.83</t>
  </si>
  <si>
    <t>FE:FC:FA:47:d2:05</t>
  </si>
  <si>
    <t>K2760052-JB</t>
  </si>
  <si>
    <t>160.22.10.52</t>
  </si>
  <si>
    <t>K2760052</t>
  </si>
  <si>
    <t>李娜</t>
  </si>
  <si>
    <t>BK2760052</t>
  </si>
  <si>
    <t>10.191.6.84</t>
  </si>
  <si>
    <t>FE:FC:FA:3b:ac:73</t>
  </si>
  <si>
    <t>K2760049-JB</t>
  </si>
  <si>
    <t>160.22.9.142</t>
  </si>
  <si>
    <t>K2760049</t>
  </si>
  <si>
    <t>徐浩</t>
  </si>
  <si>
    <t>BK2760049</t>
  </si>
  <si>
    <t>10.191.6.85</t>
  </si>
  <si>
    <t>FE:FC:FA:6e:fb:a7</t>
  </si>
  <si>
    <t>10.191.1.58</t>
  </si>
  <si>
    <t>K0321782-JB</t>
  </si>
  <si>
    <t>160.22.9.100</t>
  </si>
  <si>
    <t>K0321782</t>
  </si>
  <si>
    <t>朱云东</t>
  </si>
  <si>
    <t>BK0321782</t>
  </si>
  <si>
    <t>10.191.6.86</t>
  </si>
  <si>
    <t>FE:FC:FA:7a:5f:92</t>
  </si>
  <si>
    <t>K1181964-JB</t>
  </si>
  <si>
    <t>160.22.23.98</t>
  </si>
  <si>
    <t>K1181964</t>
  </si>
  <si>
    <t>贾梦娟</t>
  </si>
  <si>
    <t>BK1181964</t>
  </si>
  <si>
    <t>10.191.6.87</t>
  </si>
  <si>
    <t>FE:FC:FA:ba:1e:28</t>
  </si>
  <si>
    <t>K0241235-JB</t>
  </si>
  <si>
    <t>160.22.0.255</t>
  </si>
  <si>
    <t>K0241235</t>
  </si>
  <si>
    <t>陈朋</t>
  </si>
  <si>
    <t>BK0241235</t>
  </si>
  <si>
    <t>10.191.6.88</t>
  </si>
  <si>
    <t>FE:FC:FA:39:47:f2</t>
  </si>
  <si>
    <t>160.22.8.93</t>
  </si>
  <si>
    <t>K0051944-JB</t>
  </si>
  <si>
    <t>K0051944</t>
  </si>
  <si>
    <t>管伊</t>
  </si>
  <si>
    <t>BK0051944</t>
  </si>
  <si>
    <t>10.191.6.89</t>
  </si>
  <si>
    <t>FE:FC:FA:c2:82:d5</t>
  </si>
  <si>
    <t>K2520132-JB</t>
  </si>
  <si>
    <t>160.22.8.83</t>
  </si>
  <si>
    <t>K2520132</t>
  </si>
  <si>
    <t>申萍萍</t>
  </si>
  <si>
    <t>BK2520132</t>
  </si>
  <si>
    <t>10.191.6.90</t>
  </si>
  <si>
    <t>FE:FC:FA:62:60:b9</t>
  </si>
  <si>
    <t>后期回退</t>
  </si>
  <si>
    <t>K2520131-JB</t>
  </si>
  <si>
    <t>160.22.0.125</t>
  </si>
  <si>
    <t>K2520131</t>
  </si>
  <si>
    <t>单秀尧</t>
  </si>
  <si>
    <t>BK2520131</t>
  </si>
  <si>
    <t>10.191.6.91</t>
  </si>
  <si>
    <t>FE:FC:FA:33:a7:c8</t>
  </si>
  <si>
    <t>K2520130-JB</t>
  </si>
  <si>
    <t>160.22.0.123</t>
  </si>
  <si>
    <t>K2520130</t>
  </si>
  <si>
    <t>管晓倩</t>
  </si>
  <si>
    <t>BK2520130</t>
  </si>
  <si>
    <t>10.191.6.92</t>
  </si>
  <si>
    <t>FE:FC:FA:e6:f3:0f</t>
  </si>
  <si>
    <t>160.22.7.34</t>
  </si>
  <si>
    <t>K2520127-JB</t>
  </si>
  <si>
    <t>160.22.0.84</t>
  </si>
  <si>
    <t>K2520127</t>
  </si>
  <si>
    <t>张衡</t>
  </si>
  <si>
    <t>BK2520127</t>
  </si>
  <si>
    <t>10.191.6.93</t>
  </si>
  <si>
    <t>FE:FC:FA:45:1b:0e</t>
  </si>
  <si>
    <t>K2520125-JB</t>
  </si>
  <si>
    <t>160.22.0.118</t>
  </si>
  <si>
    <t>K2520125</t>
  </si>
  <si>
    <t>鲍二万</t>
  </si>
  <si>
    <t>BK2520125</t>
  </si>
  <si>
    <t>10.191.6.94</t>
  </si>
  <si>
    <t>FE:FC:FA:55:a5:2b</t>
  </si>
  <si>
    <t>K2520121-JB</t>
  </si>
  <si>
    <t>160.22.8.79</t>
  </si>
  <si>
    <t>K2520121</t>
  </si>
  <si>
    <t>赵鑫鑫</t>
  </si>
  <si>
    <t>BK2520121</t>
  </si>
  <si>
    <t>10.191.6.95</t>
  </si>
  <si>
    <t>FE:FC:FA:dd:d4:7a</t>
  </si>
  <si>
    <t>160.22.5.107</t>
  </si>
  <si>
    <t>K2520105-JB</t>
  </si>
  <si>
    <t>160.22.0.31</t>
  </si>
  <si>
    <t>K2520105</t>
  </si>
  <si>
    <t>杜雨婷</t>
  </si>
  <si>
    <t>BK2520105</t>
  </si>
  <si>
    <t>10.191.6.96</t>
  </si>
  <si>
    <t>FE:FC:FA:fd:94:6d</t>
  </si>
  <si>
    <t>160.22.21.6</t>
  </si>
  <si>
    <t>K2520103-JB</t>
  </si>
  <si>
    <t>160.22.8.68</t>
  </si>
  <si>
    <t>K2520103</t>
  </si>
  <si>
    <t>胡艺潇</t>
  </si>
  <si>
    <t>BK2520103</t>
  </si>
  <si>
    <t>10.191.6.97</t>
  </si>
  <si>
    <t>FE:FC:FA:db:2e:81</t>
  </si>
  <si>
    <t>160.22.15.34</t>
  </si>
  <si>
    <t>K2520102-JB</t>
  </si>
  <si>
    <t>160.22.0.14</t>
  </si>
  <si>
    <t>K2520102</t>
  </si>
  <si>
    <t>王辰</t>
  </si>
  <si>
    <t>BK2520102</t>
  </si>
  <si>
    <t>10.191.6.98</t>
  </si>
  <si>
    <t>FE:FC:FA:82:b9:12</t>
  </si>
  <si>
    <t>160.22.23.33</t>
  </si>
  <si>
    <t>K2520101-JB</t>
  </si>
  <si>
    <t>160.22.8.66</t>
  </si>
  <si>
    <t>K2520101</t>
  </si>
  <si>
    <t>赵敏</t>
  </si>
  <si>
    <t>BK2520101</t>
  </si>
  <si>
    <t>10.191.6.99</t>
  </si>
  <si>
    <t>FE:FC:FA:d7:04:2d</t>
  </si>
  <si>
    <t>160.22.7.178</t>
  </si>
  <si>
    <t>K2520093-JB</t>
  </si>
  <si>
    <t>160.22.15.67</t>
  </si>
  <si>
    <t>K2520093</t>
  </si>
  <si>
    <t>谢东</t>
  </si>
  <si>
    <t>BK2520093</t>
  </si>
  <si>
    <t>10.191.6.100</t>
  </si>
  <si>
    <t>FE:FC:FA:98:86:d3</t>
  </si>
  <si>
    <t>K2520088-JB</t>
  </si>
  <si>
    <t>K2520088</t>
  </si>
  <si>
    <t>龚荣飞</t>
  </si>
  <si>
    <t>BK2520088</t>
  </si>
  <si>
    <t>10.191.6.101</t>
  </si>
  <si>
    <t>FE:FC:FA:a2:e8:ea</t>
  </si>
  <si>
    <t>K2520086-JB</t>
  </si>
  <si>
    <t>K2520086</t>
  </si>
  <si>
    <t>孙颖</t>
  </si>
  <si>
    <t>BK2520086</t>
  </si>
  <si>
    <t>10.191.6.102</t>
  </si>
  <si>
    <t>FE:FC:FA:f1:78:82</t>
  </si>
  <si>
    <t>K2511674-JB</t>
  </si>
  <si>
    <t>K2511674</t>
  </si>
  <si>
    <t>朱蓉</t>
  </si>
  <si>
    <t>BK2511674</t>
  </si>
  <si>
    <t>10.191.6.103</t>
  </si>
  <si>
    <t>FE:FC:FA:70:50:db</t>
  </si>
  <si>
    <t>K0321773-JB</t>
  </si>
  <si>
    <t>160.22.7.165</t>
  </si>
  <si>
    <t>K0321773</t>
  </si>
  <si>
    <t>仇苏蜀</t>
  </si>
  <si>
    <t>BK0321773</t>
  </si>
  <si>
    <t>10.191.6.104</t>
  </si>
  <si>
    <t>FE:FC:FA:6e:8a:76</t>
  </si>
  <si>
    <t>VDI_Cluster05_LUN05</t>
  </si>
  <si>
    <t>K2450020-JB</t>
  </si>
  <si>
    <t>160.22.15.10</t>
  </si>
  <si>
    <t>K2450020</t>
  </si>
  <si>
    <t>汤润泽</t>
  </si>
  <si>
    <t>BK2450020</t>
  </si>
  <si>
    <t>10.191.6.105</t>
  </si>
  <si>
    <t>FE:FC:FA:51:5b:8a</t>
  </si>
  <si>
    <t>K1101912-JB</t>
  </si>
  <si>
    <t>160.22.23.1</t>
  </si>
  <si>
    <t>K1101912</t>
  </si>
  <si>
    <t>潘正汉</t>
  </si>
  <si>
    <t>BK1101912</t>
  </si>
  <si>
    <t>10.191.6.106</t>
  </si>
  <si>
    <t>FE:FC:FA:aa:52:f8</t>
  </si>
  <si>
    <t>K2450011-JB</t>
  </si>
  <si>
    <t>160.22.22.235</t>
  </si>
  <si>
    <t>K2450011</t>
  </si>
  <si>
    <t>范朱成</t>
  </si>
  <si>
    <t>BK2450011</t>
  </si>
  <si>
    <t>10.191.6.107</t>
  </si>
  <si>
    <t>FE:FC:FA:44:3d:3d</t>
  </si>
  <si>
    <t>K2450009-JB</t>
  </si>
  <si>
    <t>160.22.22.234</t>
  </si>
  <si>
    <t>K2450009</t>
  </si>
  <si>
    <t>胡乔志</t>
  </si>
  <si>
    <t>BK2450009</t>
  </si>
  <si>
    <t>10.191.6.108</t>
  </si>
  <si>
    <t>FE:FC:FA:7e:5b:40</t>
  </si>
  <si>
    <t>K2450004-JB</t>
  </si>
  <si>
    <t>160.22.14.211</t>
  </si>
  <si>
    <t>K2450004</t>
  </si>
  <si>
    <t>谭琦存</t>
  </si>
  <si>
    <t>BK2450004</t>
  </si>
  <si>
    <t>10.191.6.109</t>
  </si>
  <si>
    <t>FE:FC:FA:a4:1b:f8</t>
  </si>
  <si>
    <t>K1980027-JB</t>
  </si>
  <si>
    <t>160.22.14.184</t>
  </si>
  <si>
    <t>K1980027</t>
  </si>
  <si>
    <t>吕彦儒</t>
  </si>
  <si>
    <t>BK1980027</t>
  </si>
  <si>
    <t>10.191.6.110</t>
  </si>
  <si>
    <t>FE:FC:FA:d5:99:be</t>
  </si>
  <si>
    <t>K0101585-JB</t>
  </si>
  <si>
    <t>160.22.22.208</t>
  </si>
  <si>
    <t>K0101585</t>
  </si>
  <si>
    <t>李永形</t>
  </si>
  <si>
    <t>BK0101585</t>
  </si>
  <si>
    <t>10.191.6.111</t>
  </si>
  <si>
    <t>FE:FC:FA:0a:25:de</t>
  </si>
  <si>
    <t>K2530022-JB</t>
  </si>
  <si>
    <t>160.22.18.237</t>
  </si>
  <si>
    <t>K2530022</t>
  </si>
  <si>
    <t>周俊宏</t>
  </si>
  <si>
    <t>BK2530022</t>
  </si>
  <si>
    <t>10.191.6.112</t>
  </si>
  <si>
    <t>FE:FC:FA:4d:0b:b4</t>
  </si>
  <si>
    <t>10.191.1.151</t>
  </si>
  <si>
    <t>K2530023-JB</t>
  </si>
  <si>
    <t>160.22.22.201</t>
  </si>
  <si>
    <t>K2530023</t>
  </si>
  <si>
    <t>樊烨</t>
  </si>
  <si>
    <t>BK2530023</t>
  </si>
  <si>
    <t>10.191.6.113</t>
  </si>
  <si>
    <t>FE:FC:FA:b9:5a:a7</t>
  </si>
  <si>
    <t>160.22.13.110</t>
  </si>
  <si>
    <t>K0171692-JB</t>
  </si>
  <si>
    <t>160.22.14.146</t>
  </si>
  <si>
    <t>K0171692</t>
  </si>
  <si>
    <t>桑洋</t>
  </si>
  <si>
    <t>BK0171692</t>
  </si>
  <si>
    <t>10.191.6.114</t>
  </si>
  <si>
    <t>FE:FC:FA:05:1c:32</t>
  </si>
  <si>
    <t>160.22.5.240</t>
  </si>
  <si>
    <t>K0171684-JB</t>
  </si>
  <si>
    <t>160.22.22.191</t>
  </si>
  <si>
    <t>K0171684</t>
  </si>
  <si>
    <t>巩伟</t>
  </si>
  <si>
    <t>BK0171684</t>
  </si>
  <si>
    <t>10.191.6.115</t>
  </si>
  <si>
    <t>FE:FC:FA:f8:f6:d9</t>
  </si>
  <si>
    <t>160.22.6.11</t>
  </si>
  <si>
    <t>K2760025-JB</t>
  </si>
  <si>
    <t>160.22.14.132</t>
  </si>
  <si>
    <t>K2760025</t>
  </si>
  <si>
    <t>魏小桃</t>
  </si>
  <si>
    <t>BK2760025</t>
  </si>
  <si>
    <t>10.191.6.116</t>
  </si>
  <si>
    <t>FE:FC:FA:cb:14:35</t>
  </si>
  <si>
    <t>160.22.6.81</t>
  </si>
  <si>
    <t>K1101893-JB</t>
  </si>
  <si>
    <t>160.22.7.5</t>
  </si>
  <si>
    <t>K1101893</t>
  </si>
  <si>
    <t>王天阳</t>
  </si>
  <si>
    <t>BK1101893</t>
  </si>
  <si>
    <t>10.191.6.117</t>
  </si>
  <si>
    <t>FE:FC:FA:b6:05:ca</t>
  </si>
  <si>
    <t>K0321471-JB</t>
  </si>
  <si>
    <t>160.22.22.176</t>
  </si>
  <si>
    <t>K0321471</t>
  </si>
  <si>
    <t>郭蕾</t>
  </si>
  <si>
    <t>BK0321471</t>
  </si>
  <si>
    <t>10.191.6.118</t>
  </si>
  <si>
    <t>FE:FC:FA:c7:06:ee</t>
  </si>
  <si>
    <t>160.22.2.62</t>
  </si>
  <si>
    <t>K2760020-JB</t>
  </si>
  <si>
    <t>160.22.14.57</t>
  </si>
  <si>
    <t>K2760020</t>
  </si>
  <si>
    <t>俞超凡</t>
  </si>
  <si>
    <t>BK2760020</t>
  </si>
  <si>
    <t>10.191.6.119</t>
  </si>
  <si>
    <t>FE:FC:FA:e7:39:fd</t>
  </si>
  <si>
    <t>160.22.17.162</t>
  </si>
  <si>
    <t>K1980058-JB</t>
  </si>
  <si>
    <t>160.22.6.147</t>
  </si>
  <si>
    <t>K1980058</t>
  </si>
  <si>
    <t>刘雄</t>
  </si>
  <si>
    <t>BK1980058</t>
  </si>
  <si>
    <t>10.191.6.120</t>
  </si>
  <si>
    <t>FE:FC:FA:9a:b6:cb</t>
  </si>
  <si>
    <t>10.191.2.18</t>
  </si>
  <si>
    <t>K1980057-JB</t>
  </si>
  <si>
    <t>160.22.13.254</t>
  </si>
  <si>
    <t>K1980057</t>
  </si>
  <si>
    <t>刘飞</t>
  </si>
  <si>
    <t>BK1980057</t>
  </si>
  <si>
    <t>10.191.6.121</t>
  </si>
  <si>
    <t>FE:FC:FA:4c:ed:28</t>
  </si>
  <si>
    <t>160.22.6.143</t>
  </si>
  <si>
    <t>K0171676-JB</t>
  </si>
  <si>
    <t>K0171676</t>
  </si>
  <si>
    <t>孔培</t>
  </si>
  <si>
    <t>BK0171676</t>
  </si>
  <si>
    <t>10.191.6.122</t>
  </si>
  <si>
    <t>FE:FC:FA:2b:b4:4f</t>
  </si>
  <si>
    <t>K0051875-JB</t>
  </si>
  <si>
    <t>K0051875</t>
  </si>
  <si>
    <t>吴嘉辉</t>
  </si>
  <si>
    <t>BK0051875</t>
  </si>
  <si>
    <t>10.191.6.123</t>
  </si>
  <si>
    <t>FE:FC:FA:90:05:12</t>
  </si>
  <si>
    <t>K2511630-JB</t>
  </si>
  <si>
    <t>160.22.6.51</t>
  </si>
  <si>
    <t>K2511630</t>
  </si>
  <si>
    <t>徐晨静</t>
  </si>
  <si>
    <t>BK2511630</t>
  </si>
  <si>
    <t>10.191.6.124</t>
  </si>
  <si>
    <t>FE:FC:FA:81:f1:da</t>
  </si>
  <si>
    <t>K0051868-JB</t>
  </si>
  <si>
    <t>K0051868</t>
  </si>
  <si>
    <t>杨海彭</t>
  </si>
  <si>
    <t>BK0051868</t>
  </si>
  <si>
    <t>10.191.6.125</t>
  </si>
  <si>
    <t>FE:FC:FA:79:fc:3a</t>
  </si>
  <si>
    <t>K0051862-JB</t>
  </si>
  <si>
    <t>K0051862</t>
  </si>
  <si>
    <t>后伟</t>
  </si>
  <si>
    <t>BK0051862</t>
  </si>
  <si>
    <t>10.191.6.126</t>
  </si>
  <si>
    <t>FE:FC:FA:e3:37:9d</t>
  </si>
  <si>
    <t>160.22.17.127</t>
  </si>
  <si>
    <t>K0051859-JB</t>
  </si>
  <si>
    <t>K0051859</t>
  </si>
  <si>
    <t>雷世英</t>
  </si>
  <si>
    <t>BK0051859</t>
  </si>
  <si>
    <t>10.191.6.127</t>
  </si>
  <si>
    <t>FE:FC:FA:07:c3:7c</t>
  </si>
  <si>
    <t>10.191.5.197</t>
  </si>
  <si>
    <t>K0051858-JB</t>
  </si>
  <si>
    <t>160.22.5.215</t>
  </si>
  <si>
    <t>K0051858</t>
  </si>
  <si>
    <t>钱竹兵</t>
  </si>
  <si>
    <t>BK0051858</t>
  </si>
  <si>
    <t>10.191.6.128</t>
  </si>
  <si>
    <t>FE:FC:FA:07:78:84</t>
  </si>
  <si>
    <t>VDI_Cluster05_LUN06</t>
  </si>
  <si>
    <t>160.22.18.178</t>
  </si>
  <si>
    <t>K0051847-JB</t>
  </si>
  <si>
    <t>160.22.13.83</t>
  </si>
  <si>
    <t>K0051847</t>
  </si>
  <si>
    <t>王博文</t>
  </si>
  <si>
    <t>BK0051847</t>
  </si>
  <si>
    <t>10.191.6.129</t>
  </si>
  <si>
    <t>FE:FC:FA:80:89:a5</t>
  </si>
  <si>
    <t>K0051837-JB</t>
  </si>
  <si>
    <t>160.22.5.185</t>
  </si>
  <si>
    <t>K0051837</t>
  </si>
  <si>
    <t>严瑞</t>
  </si>
  <si>
    <t>BK0051837</t>
  </si>
  <si>
    <t>10.191.6.130</t>
  </si>
  <si>
    <t>FE:FC:FA:80:f3:cf</t>
  </si>
  <si>
    <t>K0171647-JB</t>
  </si>
  <si>
    <t>160.22.5.181</t>
  </si>
  <si>
    <t>K0171647</t>
  </si>
  <si>
    <t>季得时</t>
  </si>
  <si>
    <t>BK0171647</t>
  </si>
  <si>
    <t>10.191.6.131</t>
  </si>
  <si>
    <t>FE:FC:FA:01:cd:aa</t>
  </si>
  <si>
    <t>K1101816-JB</t>
  </si>
  <si>
    <t>160.22.13.52</t>
  </si>
  <si>
    <t>K1101816</t>
  </si>
  <si>
    <t>宿未东</t>
  </si>
  <si>
    <t>BK1101816</t>
  </si>
  <si>
    <t>10.191.6.132</t>
  </si>
  <si>
    <t>FE:FC:FA:8f:9b:ef</t>
  </si>
  <si>
    <t>K1980055-JB</t>
  </si>
  <si>
    <t>160.22.13.14</t>
  </si>
  <si>
    <t>K1980055</t>
  </si>
  <si>
    <t>宋朋飞</t>
  </si>
  <si>
    <t>BK1980055</t>
  </si>
  <si>
    <t>10.191.6.133</t>
  </si>
  <si>
    <t>FE:FC:FA:e9:d3:ff</t>
  </si>
  <si>
    <t>K0101436-JB</t>
  </si>
  <si>
    <t>160.22.22.2</t>
  </si>
  <si>
    <t>K0101436</t>
  </si>
  <si>
    <t>朱汉秋</t>
  </si>
  <si>
    <t>BK0101436</t>
  </si>
  <si>
    <t>10.191.6.134</t>
  </si>
  <si>
    <t>FE:FC:FA:8d:82:d7</t>
  </si>
  <si>
    <t>K0171605-JB</t>
  </si>
  <si>
    <t>160.22.21.252</t>
  </si>
  <si>
    <t>K0171605</t>
  </si>
  <si>
    <t>王珊珊</t>
  </si>
  <si>
    <t>BK0171605</t>
  </si>
  <si>
    <t>10.191.6.135</t>
  </si>
  <si>
    <t>FE:FC:FA:c7:79:7f</t>
  </si>
  <si>
    <t>K0171600-JB</t>
  </si>
  <si>
    <t>160.22.21.231</t>
  </si>
  <si>
    <t>K0171600</t>
  </si>
  <si>
    <t>叶琳</t>
  </si>
  <si>
    <t>BK0171600</t>
  </si>
  <si>
    <t>10.191.6.136</t>
  </si>
  <si>
    <t>FE:FC:FA:a4:ed:c5</t>
  </si>
  <si>
    <t>K0131224-JB</t>
  </si>
  <si>
    <t>160.22.17.149</t>
  </si>
  <si>
    <t>K0131224</t>
  </si>
  <si>
    <t>尹慧慧</t>
  </si>
  <si>
    <t>BK0131224</t>
  </si>
  <si>
    <t>10.191.6.137</t>
  </si>
  <si>
    <t>FE:FC:FA:86:a3:4f</t>
  </si>
  <si>
    <t>K0051242-JB</t>
  </si>
  <si>
    <t>160.22.17.141</t>
  </si>
  <si>
    <t>K0051242</t>
  </si>
  <si>
    <t>孟会</t>
  </si>
  <si>
    <t>BK0051242</t>
  </si>
  <si>
    <t>10.191.6.138</t>
  </si>
  <si>
    <t>FE:FC:FA:8d:a9:23</t>
  </si>
  <si>
    <t>K0111219-JB</t>
  </si>
  <si>
    <t>160.22.21.109</t>
  </si>
  <si>
    <t>K0111219</t>
  </si>
  <si>
    <t>朱慧丽</t>
  </si>
  <si>
    <t>BK0111219</t>
  </si>
  <si>
    <t>10.191.6.139</t>
  </si>
  <si>
    <t>FE:FC:FA:ef:ed:81</t>
  </si>
  <si>
    <t>K0240059-JB</t>
  </si>
  <si>
    <t>160.22.21.221</t>
  </si>
  <si>
    <t>K0240059</t>
  </si>
  <si>
    <t>许晶晶</t>
  </si>
  <si>
    <t>BK0240059</t>
  </si>
  <si>
    <t>10.191.6.140</t>
  </si>
  <si>
    <t>FE:FC:FA:23:4e:fb</t>
  </si>
  <si>
    <t>K0101236-JB</t>
  </si>
  <si>
    <t>160.22.17.240</t>
  </si>
  <si>
    <t>K0101236</t>
  </si>
  <si>
    <t>朱亚薇</t>
  </si>
  <si>
    <t>BK0101236</t>
  </si>
  <si>
    <t>10.191.6.141</t>
  </si>
  <si>
    <t>FE:FC:FA:04:98:18</t>
  </si>
  <si>
    <t>K0131226-JB</t>
  </si>
  <si>
    <t>160.22.21.117</t>
  </si>
  <si>
    <t>K0131226</t>
  </si>
  <si>
    <t>张艳</t>
  </si>
  <si>
    <t>BK0131226</t>
  </si>
  <si>
    <t>10.191.6.142</t>
  </si>
  <si>
    <t>FE:FC:FA:59:6b:06</t>
  </si>
  <si>
    <t>K1081219-JB</t>
  </si>
  <si>
    <t>160.22.23.114</t>
  </si>
  <si>
    <t>K1081219</t>
  </si>
  <si>
    <t>章涛</t>
  </si>
  <si>
    <t>BK1081219</t>
  </si>
  <si>
    <t>10.191.6.143</t>
  </si>
  <si>
    <t>FE:FC:FA:98:cf:38</t>
  </si>
  <si>
    <t>10.190.0.11|160.18.13.204</t>
  </si>
  <si>
    <t>K0131209-JB</t>
  </si>
  <si>
    <t>160.22.17.140</t>
  </si>
  <si>
    <t>K0131209</t>
  </si>
  <si>
    <t>张伟</t>
  </si>
  <si>
    <t>BK0131209</t>
  </si>
  <si>
    <t>10.191.6.144</t>
  </si>
  <si>
    <t>FE:FC:FA:cf:5e:de</t>
  </si>
  <si>
    <t>正在卸载VMware</t>
  </si>
  <si>
    <t>回退</t>
  </si>
  <si>
    <t>160.28.14.66</t>
  </si>
  <si>
    <t>K1101307-JB</t>
  </si>
  <si>
    <t>160.22.21.154</t>
  </si>
  <si>
    <t>K1101307</t>
  </si>
  <si>
    <t>李丹丹</t>
  </si>
  <si>
    <t>BK1101307</t>
  </si>
  <si>
    <t>10.191.6.145</t>
  </si>
  <si>
    <t>FE:FC:FA:50:33:e8</t>
  </si>
  <si>
    <t>160.28.14.152</t>
  </si>
  <si>
    <t>K0101250-JB</t>
  </si>
  <si>
    <t>160.22.17.242</t>
  </si>
  <si>
    <t>K0101250</t>
  </si>
  <si>
    <t>孙青</t>
  </si>
  <si>
    <t>BK0101250</t>
  </si>
  <si>
    <t>10.191.6.146</t>
  </si>
  <si>
    <t>FE:FC:FA:90:32:bb</t>
  </si>
  <si>
    <t>10.191.3.107</t>
  </si>
  <si>
    <t>K1101284-JB</t>
  </si>
  <si>
    <t>160.22.21.110</t>
  </si>
  <si>
    <t>K1101284</t>
  </si>
  <si>
    <t>俞璎</t>
  </si>
  <si>
    <t>BK1101284</t>
  </si>
  <si>
    <t>10.191.6.147</t>
  </si>
  <si>
    <t>FE:FC:FA:d3:9b:44</t>
  </si>
  <si>
    <t>10.191.4.72</t>
  </si>
  <si>
    <t>K0051541-JB</t>
  </si>
  <si>
    <t>160.22.21.135</t>
  </si>
  <si>
    <t>K0051541</t>
  </si>
  <si>
    <t>李海涛</t>
  </si>
  <si>
    <t>BK0051541</t>
  </si>
  <si>
    <t>10.191.6.148</t>
  </si>
  <si>
    <t>FE:FC:FA:53:59:0f</t>
  </si>
  <si>
    <t>10.187.206.235</t>
  </si>
  <si>
    <t>K1101217-JB</t>
  </si>
  <si>
    <t>160.22.17.143</t>
  </si>
  <si>
    <t>K1101217</t>
  </si>
  <si>
    <t>李红艳</t>
  </si>
  <si>
    <t>BK1101217</t>
  </si>
  <si>
    <t>10.191.6.149</t>
  </si>
  <si>
    <t>FE:FC:FA:d8:cd:16</t>
  </si>
  <si>
    <t>10.187.18.40</t>
  </si>
  <si>
    <t>K0730038-JB</t>
  </si>
  <si>
    <t>160.22.3.202</t>
  </si>
  <si>
    <t>K0730038</t>
  </si>
  <si>
    <t>BK0730038</t>
  </si>
  <si>
    <t>10.191.6.150</t>
  </si>
  <si>
    <t>FE:FC:FA:66:28:2c</t>
  </si>
  <si>
    <t>10.191.3.239</t>
  </si>
  <si>
    <t>K0180160-JB</t>
  </si>
  <si>
    <t>160.22.11.57</t>
  </si>
  <si>
    <t>K0180160</t>
  </si>
  <si>
    <t>赵笑笑</t>
  </si>
  <si>
    <t>BK0180160</t>
  </si>
  <si>
    <t>10.191.6.151</t>
  </si>
  <si>
    <t>FE:FC:FA:42:b3:75</t>
  </si>
  <si>
    <t>160.28.12.95</t>
  </si>
  <si>
    <t>K0101213-JB</t>
  </si>
  <si>
    <t>160.22.12.44</t>
  </si>
  <si>
    <t>K0101213</t>
  </si>
  <si>
    <t>孙本军</t>
  </si>
  <si>
    <t>BK0101213</t>
  </si>
  <si>
    <t>10.191.6.152</t>
  </si>
  <si>
    <t>FE:FC:FA:04:e0:d6</t>
  </si>
  <si>
    <t>K1181231-JB</t>
  </si>
  <si>
    <t>160.22.11.52</t>
  </si>
  <si>
    <t>K1181231</t>
  </si>
  <si>
    <t>解其鹏</t>
  </si>
  <si>
    <t>BK1181231</t>
  </si>
  <si>
    <t>10.191.6.153</t>
  </si>
  <si>
    <t>FE:FC:FA:f6:57:79</t>
  </si>
  <si>
    <t>VDI_Cluster05_LUN07</t>
  </si>
  <si>
    <t>安装深信服VMTools成功</t>
  </si>
  <si>
    <t>K0181399-JB</t>
  </si>
  <si>
    <t>160.22.4.18</t>
  </si>
  <si>
    <t>K0181399</t>
  </si>
  <si>
    <t>杨志</t>
  </si>
  <si>
    <t>BK0181399</t>
  </si>
  <si>
    <t>10.191.6.154</t>
  </si>
  <si>
    <t>FE:FC:FA:0f:d9:12</t>
  </si>
  <si>
    <t>160.28.242.46</t>
  </si>
  <si>
    <t>K0181542-JB</t>
  </si>
  <si>
    <t>160.22.4.158</t>
  </si>
  <si>
    <t>K0181542</t>
  </si>
  <si>
    <t>祁海蓉</t>
  </si>
  <si>
    <t>BK0181542</t>
  </si>
  <si>
    <t>10.191.6.155</t>
  </si>
  <si>
    <t>FE:FC:FA:bf:6a:f7</t>
  </si>
  <si>
    <t>10.191.0.20</t>
  </si>
  <si>
    <t>K1201322-JB</t>
  </si>
  <si>
    <t>160.22.11.73</t>
  </si>
  <si>
    <t>K1201322</t>
  </si>
  <si>
    <t>吕奕然</t>
  </si>
  <si>
    <t>BK1201322</t>
  </si>
  <si>
    <t>10.191.6.156</t>
  </si>
  <si>
    <t>FE:FC:FA:e1:31:aa</t>
  </si>
  <si>
    <t>10.191.0.18</t>
  </si>
  <si>
    <t>K0570191-JB</t>
  </si>
  <si>
    <t>160.22.12.42</t>
  </si>
  <si>
    <t>K0570191</t>
  </si>
  <si>
    <t>陆晓莉</t>
  </si>
  <si>
    <t>BK0570191</t>
  </si>
  <si>
    <t>10.191.6.157</t>
  </si>
  <si>
    <t>FE:FC:FA:13:4d:68</t>
  </si>
  <si>
    <t>10.191.0.17</t>
  </si>
  <si>
    <t>K1131577-JB</t>
  </si>
  <si>
    <t>160.22.4.106</t>
  </si>
  <si>
    <t>K1131577</t>
  </si>
  <si>
    <t>潘岩岩</t>
  </si>
  <si>
    <t>BK1131577</t>
  </si>
  <si>
    <t>10.191.6.158</t>
  </si>
  <si>
    <t>FE:FC:FA:64:bf:04</t>
  </si>
  <si>
    <t>10.191.0.22</t>
  </si>
  <si>
    <t>K0100092-JB</t>
  </si>
  <si>
    <t>160.22.12.38</t>
  </si>
  <si>
    <t>K0100092</t>
  </si>
  <si>
    <t>邹自强</t>
  </si>
  <si>
    <t>BK0100092</t>
  </si>
  <si>
    <t>10.191.6.159</t>
  </si>
  <si>
    <t>FE:FC:FA:9b:94:97</t>
  </si>
  <si>
    <t>10.191.0.19</t>
  </si>
  <si>
    <t>K0051512-JB</t>
  </si>
  <si>
    <t>160.22.12.16</t>
  </si>
  <si>
    <t>K0051512</t>
  </si>
  <si>
    <t>魏雪琪</t>
  </si>
  <si>
    <t>BK0051512</t>
  </si>
  <si>
    <t>10.191.6.160</t>
  </si>
  <si>
    <t>FE:FC:FA:ef:a1:3b</t>
  </si>
  <si>
    <t>10.191.0.23</t>
  </si>
  <si>
    <t>K0051668-JB</t>
  </si>
  <si>
    <t>160.22.4.142</t>
  </si>
  <si>
    <t>K0051668</t>
  </si>
  <si>
    <t>王慧</t>
  </si>
  <si>
    <t>BK0051668</t>
  </si>
  <si>
    <t>10.191.6.161</t>
  </si>
  <si>
    <t>FE:FC:FA:15:60:4e</t>
  </si>
  <si>
    <t>10.191.0.21</t>
  </si>
  <si>
    <t>K0101373-JB</t>
  </si>
  <si>
    <t>160.22.18.15</t>
  </si>
  <si>
    <t>K0101373</t>
  </si>
  <si>
    <t>富彬彬</t>
  </si>
  <si>
    <t>BK0101373</t>
  </si>
  <si>
    <t>10.191.6.162</t>
  </si>
  <si>
    <t>FE:FC:FA:af:f3:e0</t>
  </si>
  <si>
    <t>160.22.8.224</t>
  </si>
  <si>
    <t>K1980048-JB</t>
  </si>
  <si>
    <t>160.22.9.222</t>
  </si>
  <si>
    <t>K1980048</t>
  </si>
  <si>
    <t>戴传志</t>
  </si>
  <si>
    <t>BK1980048</t>
  </si>
  <si>
    <t>10.191.6.163</t>
  </si>
  <si>
    <t>FE:FC:FA:ef:6c:ad</t>
  </si>
  <si>
    <t>K1980045-JB</t>
  </si>
  <si>
    <t>160.22.9.223</t>
  </si>
  <si>
    <t>K1980045</t>
  </si>
  <si>
    <t>李增辉</t>
  </si>
  <si>
    <t>BK1980045</t>
  </si>
  <si>
    <t>10.191.6.164</t>
  </si>
  <si>
    <t>FE:FC:FA:5d:39:de</t>
  </si>
  <si>
    <t>K1980036-JB</t>
  </si>
  <si>
    <t>160.22.9.241</t>
  </si>
  <si>
    <t>K1980036</t>
  </si>
  <si>
    <t>李飞</t>
  </si>
  <si>
    <t>BK1980036</t>
  </si>
  <si>
    <t>10.191.6.165</t>
  </si>
  <si>
    <t>FE:FC:FA:83:a2:3b</t>
  </si>
  <si>
    <t>K1980034-JB</t>
  </si>
  <si>
    <t>160.22.9.242</t>
  </si>
  <si>
    <t>K1980034</t>
  </si>
  <si>
    <t>刘凯峰</t>
  </si>
  <si>
    <t>BK1980034</t>
  </si>
  <si>
    <t>10.191.6.166</t>
  </si>
  <si>
    <t>FE:FC:FA:ed:f1:5e</t>
  </si>
  <si>
    <t>K1980020-JB</t>
  </si>
  <si>
    <t>160.22.2.134</t>
  </si>
  <si>
    <t>K1980020</t>
  </si>
  <si>
    <t>常仲民</t>
  </si>
  <si>
    <t>BK1980020</t>
  </si>
  <si>
    <t>10.191.6.167</t>
  </si>
  <si>
    <t>FE:FC:FA:0b:0e:05</t>
  </si>
  <si>
    <t>K1980015-JB</t>
  </si>
  <si>
    <t>160.22.2.120</t>
  </si>
  <si>
    <t>K1980015</t>
  </si>
  <si>
    <t>卜令攀</t>
  </si>
  <si>
    <t>BK1980015</t>
  </si>
  <si>
    <t>10.191.6.168</t>
  </si>
  <si>
    <t>FE:FC:FA:f5:4b:eb</t>
  </si>
  <si>
    <t>K1980013-JB</t>
  </si>
  <si>
    <t>160.22.4.231</t>
  </si>
  <si>
    <t>K1980013</t>
  </si>
  <si>
    <t>高青</t>
  </si>
  <si>
    <t>BK1980013</t>
  </si>
  <si>
    <t>10.191.6.169</t>
  </si>
  <si>
    <t>FE:FC:FA:93:9d:9e</t>
  </si>
  <si>
    <t>K1980011-JB</t>
  </si>
  <si>
    <t>160.22.16.248</t>
  </si>
  <si>
    <t>K1980011</t>
  </si>
  <si>
    <t>郑雅倩</t>
  </si>
  <si>
    <t>BK1980011</t>
  </si>
  <si>
    <t>10.191.6.170</t>
  </si>
  <si>
    <t>FE:FC:FA:20:aa:46</t>
  </si>
  <si>
    <t>K1980009-JB</t>
  </si>
  <si>
    <t>160.22.9.233</t>
  </si>
  <si>
    <t>K1980009</t>
  </si>
  <si>
    <t>张庆国</t>
  </si>
  <si>
    <t>BK1980009</t>
  </si>
  <si>
    <t>10.191.6.171</t>
  </si>
  <si>
    <t>FE:FC:FA:8e:1b:70</t>
  </si>
  <si>
    <t>K1980008-JB</t>
  </si>
  <si>
    <t>160.22.9.234</t>
  </si>
  <si>
    <t>K1980008</t>
  </si>
  <si>
    <t>姚若尘</t>
  </si>
  <si>
    <t>BK1980008</t>
  </si>
  <si>
    <t>10.191.6.172</t>
  </si>
  <si>
    <t>FE:FC:FA:0e:89:95</t>
  </si>
  <si>
    <t>K1980004-JB</t>
  </si>
  <si>
    <t>160.22.9.235</t>
  </si>
  <si>
    <t>K1980004</t>
  </si>
  <si>
    <t>孙国斌</t>
  </si>
  <si>
    <t>BK1980004</t>
  </si>
  <si>
    <t>10.191.6.173</t>
  </si>
  <si>
    <t>FE:FC:FA:7d:e8:e1</t>
  </si>
  <si>
    <t>K1980003-JB</t>
  </si>
  <si>
    <t>160.22.9.230</t>
  </si>
  <si>
    <t>K1980003</t>
  </si>
  <si>
    <t>陆松涛</t>
  </si>
  <si>
    <t>BK1980003</t>
  </si>
  <si>
    <t>10.191.6.174</t>
  </si>
  <si>
    <t>FE:FC:FA:df:c1:2d</t>
  </si>
  <si>
    <t>K1171598-JB</t>
  </si>
  <si>
    <t>160.22.9.248</t>
  </si>
  <si>
    <t>K1171598</t>
  </si>
  <si>
    <t>陈莉</t>
  </si>
  <si>
    <t>BK1171598</t>
  </si>
  <si>
    <t>10.191.6.175</t>
  </si>
  <si>
    <t>FE:FC:FA:cb:6c:af</t>
  </si>
  <si>
    <t>K1131496-JB</t>
  </si>
  <si>
    <t>160.22.10.196</t>
  </si>
  <si>
    <t>K1131496</t>
  </si>
  <si>
    <t>程莉</t>
  </si>
  <si>
    <t>BK1131496</t>
  </si>
  <si>
    <t>10.191.6.176</t>
  </si>
  <si>
    <t>FE:FC:FA:25:cf:18</t>
  </si>
  <si>
    <t>K1131484-JB</t>
  </si>
  <si>
    <t>160.22.2.232</t>
  </si>
  <si>
    <t>K1131484</t>
  </si>
  <si>
    <t>吴冉冉</t>
  </si>
  <si>
    <t>BK1131484</t>
  </si>
  <si>
    <t>10.191.6.177</t>
  </si>
  <si>
    <t>FE:FC:FA:e0:92:5f</t>
  </si>
  <si>
    <t>VDI_Cluster05_LUN08</t>
  </si>
  <si>
    <t>K1101586-JB</t>
  </si>
  <si>
    <t>160.22.3.151</t>
  </si>
  <si>
    <t>K1101586</t>
  </si>
  <si>
    <t>张训扬</t>
  </si>
  <si>
    <t>BK1101586</t>
  </si>
  <si>
    <t>10.191.6.178</t>
  </si>
  <si>
    <t>FE:FC:FA:24:ce:ed</t>
  </si>
  <si>
    <t>K1081286-JB</t>
  </si>
  <si>
    <t>160.22.2.158</t>
  </si>
  <si>
    <t>K1081286</t>
  </si>
  <si>
    <t>刘毅</t>
  </si>
  <si>
    <t>BK1081286</t>
  </si>
  <si>
    <t>10.191.6.179</t>
  </si>
  <si>
    <t>FE:FC:FA:28:d3:4b</t>
  </si>
  <si>
    <t>K1081268-JB</t>
  </si>
  <si>
    <t>160.22.2.202</t>
  </si>
  <si>
    <t>K1081268</t>
  </si>
  <si>
    <t>罗湛</t>
  </si>
  <si>
    <t>BK1081268</t>
  </si>
  <si>
    <t>10.191.6.180</t>
  </si>
  <si>
    <t>FE:FC:FA:1f:99:d5</t>
  </si>
  <si>
    <t>K0321494-JB</t>
  </si>
  <si>
    <t>160.22.20.242</t>
  </si>
  <si>
    <t>K0321494</t>
  </si>
  <si>
    <t>郭莹</t>
  </si>
  <si>
    <t>BK0321494</t>
  </si>
  <si>
    <t>10.191.6.181</t>
  </si>
  <si>
    <t>FE:FC:FA:d7:59:f3</t>
  </si>
  <si>
    <t>K0321406-JB</t>
  </si>
  <si>
    <t>160.22.10.0</t>
  </si>
  <si>
    <t>K0321406</t>
  </si>
  <si>
    <t>产涛涛</t>
  </si>
  <si>
    <t>BK0321406</t>
  </si>
  <si>
    <t>10.191.6.182</t>
  </si>
  <si>
    <t>FE:FC:FA:26:8d:5b</t>
  </si>
  <si>
    <t>K0181563-JB</t>
  </si>
  <si>
    <t>160.22.20.249</t>
  </si>
  <si>
    <t>K0181563</t>
  </si>
  <si>
    <t>王俊</t>
  </si>
  <si>
    <t>BK0181563</t>
  </si>
  <si>
    <t>10.191.6.183</t>
  </si>
  <si>
    <t>FE:FC:FA:9a:03:b8</t>
  </si>
  <si>
    <t>K0171329-JB</t>
  </si>
  <si>
    <t>160.22.2.164</t>
  </si>
  <si>
    <t>K0171329</t>
  </si>
  <si>
    <t>董岩</t>
  </si>
  <si>
    <t>BK0171329</t>
  </si>
  <si>
    <t>10.191.6.184</t>
  </si>
  <si>
    <t>FE:FC:FA:6b:78:62</t>
  </si>
  <si>
    <t>K0051497-JB</t>
  </si>
  <si>
    <t>160.22.3.64</t>
  </si>
  <si>
    <t>K0051497</t>
  </si>
  <si>
    <t>王建军</t>
  </si>
  <si>
    <t>BK0051497</t>
  </si>
  <si>
    <t>10.191.6.185</t>
  </si>
  <si>
    <t>FE:FC:FA:6b:e5:7f</t>
  </si>
  <si>
    <t>K0051425-JB</t>
  </si>
  <si>
    <t>160.22.9.255</t>
  </si>
  <si>
    <t>K0051425</t>
  </si>
  <si>
    <t>蒋兆丹</t>
  </si>
  <si>
    <t>BK0051425</t>
  </si>
  <si>
    <t>10.191.6.186</t>
  </si>
  <si>
    <t>FE:FC:FA:be:6b:dd</t>
  </si>
  <si>
    <t>K0051388-JB</t>
  </si>
  <si>
    <t>160.22.21.47</t>
  </si>
  <si>
    <t>K0051388</t>
  </si>
  <si>
    <t>张思佳</t>
  </si>
  <si>
    <t>BK0051388</t>
  </si>
  <si>
    <t>10.191.6.187</t>
  </si>
  <si>
    <t>FE:FC:FA:fb:17:e2</t>
  </si>
  <si>
    <t>10.191.0.11</t>
  </si>
  <si>
    <t>K1181338-JB</t>
  </si>
  <si>
    <t>160.22.9.68</t>
  </si>
  <si>
    <t>K1181338</t>
  </si>
  <si>
    <t>孙睿</t>
  </si>
  <si>
    <t>BK1181338</t>
  </si>
  <si>
    <t>10.191.6.188</t>
  </si>
  <si>
    <t>FE:FC:FA:28:a7:fc</t>
  </si>
  <si>
    <t>10.191.0.12</t>
  </si>
  <si>
    <t>K1131548-JB</t>
  </si>
  <si>
    <t>160.22.8.176</t>
  </si>
  <si>
    <t>K1131548</t>
  </si>
  <si>
    <t>段珍妮</t>
  </si>
  <si>
    <t>BK1131548</t>
  </si>
  <si>
    <t>10.191.6.189</t>
  </si>
  <si>
    <t>FE:FC:FA:02:2b:5b</t>
  </si>
  <si>
    <t>10.191.0.13</t>
  </si>
  <si>
    <t>K1081284-JB</t>
  </si>
  <si>
    <t>160.22.1.59</t>
  </si>
  <si>
    <t>K1081284</t>
  </si>
  <si>
    <t>尹婷婷</t>
  </si>
  <si>
    <t>BK1081284</t>
  </si>
  <si>
    <t>10.191.6.190</t>
  </si>
  <si>
    <t>FE:FC:FA:37:cd:17</t>
  </si>
  <si>
    <t>10.191.0.14</t>
  </si>
  <si>
    <t>K1081283-JB</t>
  </si>
  <si>
    <t>160.22.1.60</t>
  </si>
  <si>
    <t>K1081283</t>
  </si>
  <si>
    <t>蔡梦洁</t>
  </si>
  <si>
    <t>BK1081283</t>
  </si>
  <si>
    <t>10.191.6.191</t>
  </si>
  <si>
    <t>FE:FC:FA:23:41:c8</t>
  </si>
  <si>
    <t>10.191.0.15</t>
  </si>
  <si>
    <t>K0731268-JB</t>
  </si>
  <si>
    <t>160.22.1.64</t>
  </si>
  <si>
    <t>K0731268</t>
  </si>
  <si>
    <t>陈楚楚</t>
  </si>
  <si>
    <t>BK0731268</t>
  </si>
  <si>
    <t>10.191.6.192</t>
  </si>
  <si>
    <t>FE:FC:FA:fc:4f:e8</t>
  </si>
  <si>
    <t>10.191.0.16</t>
  </si>
  <si>
    <t>K0730053-JB</t>
  </si>
  <si>
    <t>160.22.1.178</t>
  </si>
  <si>
    <t>K0730053</t>
  </si>
  <si>
    <t>谢辉</t>
  </si>
  <si>
    <t>BK0730053</t>
  </si>
  <si>
    <t>10.191.6.193</t>
  </si>
  <si>
    <t>FE:FC:FA:ae:f0:fc</t>
  </si>
  <si>
    <t>K0181291-JB</t>
  </si>
  <si>
    <t>160.22.9.69</t>
  </si>
  <si>
    <t>K0181291</t>
  </si>
  <si>
    <t>柯会</t>
  </si>
  <si>
    <t>BK0181291</t>
  </si>
  <si>
    <t>10.191.6.194</t>
  </si>
  <si>
    <t>FE:FC:FA:f6:ef:f4</t>
  </si>
  <si>
    <t>K0051710-JB</t>
  </si>
  <si>
    <t>160.22.1.176</t>
  </si>
  <si>
    <t>K0051710</t>
  </si>
  <si>
    <t>朱镇</t>
  </si>
  <si>
    <t>BK0051710</t>
  </si>
  <si>
    <t>10.191.6.195</t>
  </si>
  <si>
    <t>FE:FC:FA:f0:8b:db</t>
  </si>
  <si>
    <t>K0570016-CS</t>
  </si>
  <si>
    <t>160.22.20.117</t>
  </si>
  <si>
    <t>K0570016</t>
  </si>
  <si>
    <t>叶汝</t>
  </si>
  <si>
    <t>BK0570016</t>
  </si>
  <si>
    <t>10.191.6.196</t>
  </si>
  <si>
    <t>FE:FC:FA:32:49:05</t>
  </si>
  <si>
    <t>K1980051</t>
  </si>
  <si>
    <t>160.22.1.11</t>
  </si>
  <si>
    <t>李天鹏</t>
  </si>
  <si>
    <t>BK1980051</t>
  </si>
  <si>
    <t>10.191.6.197</t>
  </si>
  <si>
    <t>FE:FC:FA:1a:49:e4</t>
  </si>
  <si>
    <t>K0051624-CS</t>
  </si>
  <si>
    <t>160.22.20.28</t>
  </si>
  <si>
    <t>K0051624</t>
  </si>
  <si>
    <t>荀芸芸</t>
  </si>
  <si>
    <t>BK0051624</t>
  </si>
  <si>
    <t>10.191.6.198</t>
  </si>
  <si>
    <t>FE:FC:FA:ea:c6:dc</t>
  </si>
  <si>
    <t>K2530006-KF</t>
  </si>
  <si>
    <t>160.22.0.102</t>
  </si>
  <si>
    <t>K2530006</t>
  </si>
  <si>
    <t>吴云宾</t>
  </si>
  <si>
    <t>BK2530006</t>
  </si>
  <si>
    <t>10.191.6.199</t>
  </si>
  <si>
    <t>FE:FC:FA:c3:c9:ff</t>
  </si>
  <si>
    <t>160.22.17.184</t>
  </si>
  <si>
    <t>K2530007-KF</t>
  </si>
  <si>
    <t>160.22.0.103</t>
  </si>
  <si>
    <t>K2530007</t>
  </si>
  <si>
    <t>汪星星</t>
  </si>
  <si>
    <t>BK2530007</t>
  </si>
  <si>
    <t>10.191.6.200</t>
  </si>
  <si>
    <t>FE:FC:FA:96:53:03</t>
  </si>
  <si>
    <t>160.22.4.22</t>
  </si>
  <si>
    <t>K2530011-KF</t>
  </si>
  <si>
    <t>160.22.0.99</t>
  </si>
  <si>
    <t>K2530011</t>
  </si>
  <si>
    <t>叶淳</t>
  </si>
  <si>
    <t>BK2530011</t>
  </si>
  <si>
    <t>10.191.6.201</t>
  </si>
  <si>
    <t>FE:FC:FA:0b:a5:4e</t>
  </si>
  <si>
    <t>160.22.12.201</t>
  </si>
  <si>
    <t>K2530015-KF</t>
  </si>
  <si>
    <t>160.22.0.52</t>
  </si>
  <si>
    <t>K2530015</t>
  </si>
  <si>
    <t>王星锦</t>
  </si>
  <si>
    <t>BK2530015</t>
  </si>
  <si>
    <t>10.191.6.202</t>
  </si>
  <si>
    <t>FE:FC:FA:9a:83:a1</t>
  </si>
  <si>
    <t>K2530019-CS</t>
  </si>
  <si>
    <t>160.22.20.35</t>
  </si>
  <si>
    <t>K2530019</t>
  </si>
  <si>
    <t>刘峰辰</t>
  </si>
  <si>
    <t>BK2530019</t>
  </si>
  <si>
    <t>10.191.6.203</t>
  </si>
  <si>
    <t>FE:FC:FA:2b:12:ca</t>
  </si>
  <si>
    <t>10.191.5.205</t>
  </si>
  <si>
    <t>10.191.4.40</t>
  </si>
  <si>
    <t>160.22.20.218</t>
  </si>
  <si>
    <t>10.191.0.110</t>
  </si>
  <si>
    <t>160.22.17.230</t>
  </si>
  <si>
    <t>10.187.12.18</t>
  </si>
  <si>
    <t>10.187.12.12</t>
  </si>
  <si>
    <t>10.187.12.27</t>
  </si>
  <si>
    <t>10.187.12.13</t>
  </si>
  <si>
    <t>10.187.12.11</t>
  </si>
  <si>
    <t>10.187.12.14</t>
  </si>
  <si>
    <t>10.187.12.15</t>
  </si>
  <si>
    <t>10.187.12.33</t>
  </si>
  <si>
    <t>10.187.12.40</t>
  </si>
  <si>
    <t>10.187.12.34</t>
  </si>
  <si>
    <t>10.187.12.17</t>
  </si>
  <si>
    <t>10.187.12.29</t>
  </si>
  <si>
    <t>10.187.12.37</t>
  </si>
  <si>
    <t>10.187.12.39</t>
  </si>
  <si>
    <t>10.191.1.12</t>
  </si>
  <si>
    <t>160.22.16.49</t>
  </si>
  <si>
    <t>10.191.1.11</t>
  </si>
  <si>
    <t>160.22.23.43</t>
  </si>
  <si>
    <t>160.22.3.217</t>
  </si>
  <si>
    <t>160.22.12.40</t>
  </si>
  <si>
    <t>160.22.4.223</t>
  </si>
  <si>
    <t>160.22.3.211</t>
  </si>
  <si>
    <t>160.22.22.96</t>
  </si>
  <si>
    <t>HCI转VDI
（填新桌面名称）
无顺序要求</t>
  </si>
  <si>
    <t>K1301282-JB</t>
  </si>
  <si>
    <t>160.22.11.197</t>
  </si>
  <si>
    <t>K1301282</t>
  </si>
  <si>
    <t>郭剑峰</t>
  </si>
  <si>
    <t>华泰联合证券有限责任公司</t>
  </si>
  <si>
    <t>BK1301282</t>
  </si>
  <si>
    <t>10.191.6.204</t>
  </si>
  <si>
    <t>FE:FC:FA:7a:4a:ed</t>
  </si>
  <si>
    <t>BK1102209</t>
  </si>
  <si>
    <t>160.22.20.118</t>
  </si>
  <si>
    <t>K1102352-JB</t>
  </si>
  <si>
    <t>160.22.11.178</t>
  </si>
  <si>
    <t>K1102352</t>
  </si>
  <si>
    <t>何道江</t>
  </si>
  <si>
    <t>BK1102352</t>
  </si>
  <si>
    <t>10.191.6.205</t>
  </si>
  <si>
    <t>FE:FC:FA:9a:67:a5</t>
  </si>
  <si>
    <t>BK1102210</t>
  </si>
  <si>
    <t>160.22.18.1</t>
  </si>
  <si>
    <t>K0211750-JB</t>
  </si>
  <si>
    <t>160.22.11.176</t>
  </si>
  <si>
    <t>K0211750</t>
  </si>
  <si>
    <t>肖俊进</t>
  </si>
  <si>
    <t>BK0211750</t>
  </si>
  <si>
    <t>10.191.6.206</t>
  </si>
  <si>
    <t>FE:FC:FA:d2:f8:d8</t>
  </si>
  <si>
    <t>160.22.17.105</t>
  </si>
  <si>
    <t>K4810017-JB</t>
  </si>
  <si>
    <t>160.22.12.223</t>
  </si>
  <si>
    <t>K4810017</t>
  </si>
  <si>
    <t>管天隆</t>
  </si>
  <si>
    <t>BK4810017</t>
  </si>
  <si>
    <t>10.191.6.207</t>
  </si>
  <si>
    <t>FE:FC:FA:29:f2:51</t>
  </si>
  <si>
    <t>BK1301284</t>
  </si>
  <si>
    <t>K4810002-JB</t>
  </si>
  <si>
    <t>160.22.12.72</t>
  </si>
  <si>
    <t>K4810002</t>
  </si>
  <si>
    <t>郑小斌</t>
  </si>
  <si>
    <t>BK4810002</t>
  </si>
  <si>
    <t>10.191.6.208</t>
  </si>
  <si>
    <t>FE:FC:FA:b4:8d:71</t>
  </si>
  <si>
    <t>BK2410007</t>
  </si>
  <si>
    <t>K3150019-JB</t>
  </si>
  <si>
    <t>160.22.11.38</t>
  </si>
  <si>
    <t>K3150019</t>
  </si>
  <si>
    <t>刘文斌</t>
  </si>
  <si>
    <t>BK3150019</t>
  </si>
  <si>
    <t>10.191.6.209</t>
  </si>
  <si>
    <t>FE:FC:FA:5a:58:04</t>
  </si>
  <si>
    <t>K4810014-JB</t>
  </si>
  <si>
    <t>160.22.3.36</t>
  </si>
  <si>
    <t>K4810014</t>
  </si>
  <si>
    <t>李浩然</t>
  </si>
  <si>
    <t>BK4810014</t>
  </si>
  <si>
    <t>10.191.6.210</t>
  </si>
  <si>
    <t>FE:FC:FA:7c:02:8a</t>
  </si>
  <si>
    <t>BK4810004</t>
  </si>
  <si>
    <t>K4810013-JB</t>
  </si>
  <si>
    <t>160.22.10.236</t>
  </si>
  <si>
    <t>K4810013</t>
  </si>
  <si>
    <t>高立昌</t>
  </si>
  <si>
    <t>BK4810013</t>
  </si>
  <si>
    <t>10.191.6.211</t>
  </si>
  <si>
    <t>FE:FC:FA:48:18:eb</t>
  </si>
  <si>
    <t>BK4810005</t>
  </si>
  <si>
    <t>K4810011-JB</t>
  </si>
  <si>
    <t>160.22.10.233</t>
  </si>
  <si>
    <t>K4810011</t>
  </si>
  <si>
    <t>安超</t>
  </si>
  <si>
    <t>BK4810011</t>
  </si>
  <si>
    <t>10.191.6.212</t>
  </si>
  <si>
    <t>FE:FC:FA:8b:d8:06</t>
  </si>
  <si>
    <t>BK4810007</t>
  </si>
  <si>
    <t>K4810010-JB</t>
  </si>
  <si>
    <t>160.22.10.235</t>
  </si>
  <si>
    <t>K4810010</t>
  </si>
  <si>
    <t>胡天赐</t>
  </si>
  <si>
    <t>BK4810010</t>
  </si>
  <si>
    <t>10.191.6.213</t>
  </si>
  <si>
    <t>FE:FC:FA:b4:c9:b6</t>
  </si>
  <si>
    <t>BK4810009</t>
  </si>
  <si>
    <t>K4810009-JB</t>
  </si>
  <si>
    <t>160.22.10.227</t>
  </si>
  <si>
    <t>K4810009</t>
  </si>
  <si>
    <t>陈士聪</t>
  </si>
  <si>
    <t>10.191.6.214</t>
  </si>
  <si>
    <t>FE:FC:FA:71:be:ec</t>
  </si>
  <si>
    <t>K4810007-JB</t>
  </si>
  <si>
    <t>160.22.3.15</t>
  </si>
  <si>
    <t>K4810007</t>
  </si>
  <si>
    <t>王强</t>
  </si>
  <si>
    <t>10.191.6.215</t>
  </si>
  <si>
    <t>FE:FC:FA:ad:e4:86</t>
  </si>
  <si>
    <t>160.22.3.140</t>
  </si>
  <si>
    <t>K4810005-JB</t>
  </si>
  <si>
    <t>160.22.3.14</t>
  </si>
  <si>
    <t>K4810005</t>
  </si>
  <si>
    <t>王天琦</t>
  </si>
  <si>
    <t>10.191.6.216</t>
  </si>
  <si>
    <t>FE:FC:FA:0e:24:5a</t>
  </si>
  <si>
    <t>K4810004-JB</t>
  </si>
  <si>
    <t>160.22.3.6</t>
  </si>
  <si>
    <t>K4810004</t>
  </si>
  <si>
    <t>张颖</t>
  </si>
  <si>
    <t>10.191.6.217</t>
  </si>
  <si>
    <t>FE:FC:FA:95:6c:27</t>
  </si>
  <si>
    <t>K2410007-JB</t>
  </si>
  <si>
    <t>160.22.2.228</t>
  </si>
  <si>
    <t>K2410007</t>
  </si>
  <si>
    <t>杨斌斌</t>
  </si>
  <si>
    <t>10.191.6.218</t>
  </si>
  <si>
    <t>FE:FC:FA:c2:7d:41</t>
  </si>
  <si>
    <t>BK4830002</t>
  </si>
  <si>
    <t>K0211748-JB</t>
  </si>
  <si>
    <t>160.22.9.61</t>
  </si>
  <si>
    <t>K0211748</t>
  </si>
  <si>
    <t>龙程</t>
  </si>
  <si>
    <t>BK0211748</t>
  </si>
  <si>
    <t>10.191.6.219</t>
  </si>
  <si>
    <t>FE:FC:FA:d0:9c:ec</t>
  </si>
  <si>
    <t>BK0051281</t>
  </si>
  <si>
    <t>K1301284-JB</t>
  </si>
  <si>
    <t>160.22.9.50</t>
  </si>
  <si>
    <t>K1301284</t>
  </si>
  <si>
    <t>周剑</t>
  </si>
  <si>
    <t>10.191.6.220</t>
  </si>
  <si>
    <t>FE:FC:FA:68:17:b0</t>
  </si>
  <si>
    <t>BK0051489</t>
  </si>
  <si>
    <t>K4830002-JB</t>
  </si>
  <si>
    <t>160.22.2.56</t>
  </si>
  <si>
    <t>K4830002</t>
  </si>
  <si>
    <t>洪腾飞</t>
  </si>
  <si>
    <t>10.191.6.221</t>
  </si>
  <si>
    <t>FE:FC:FA:ce:4a:99</t>
  </si>
  <si>
    <t>BK0051565</t>
  </si>
  <si>
    <t>K0052054-JB</t>
  </si>
  <si>
    <t>160.22.0.230</t>
  </si>
  <si>
    <t>K0052054</t>
  </si>
  <si>
    <t>刘贞红</t>
  </si>
  <si>
    <t>BK0052054</t>
  </si>
  <si>
    <t>10.191.6.222</t>
  </si>
  <si>
    <t>FE:FC:FA:cd:32:6e</t>
  </si>
  <si>
    <t>BK0051593</t>
  </si>
  <si>
    <t>160.22.8.179</t>
  </si>
  <si>
    <t>K2501641-JB</t>
  </si>
  <si>
    <t>160.22.21.19</t>
  </si>
  <si>
    <t>K2501641</t>
  </si>
  <si>
    <t>廖欢</t>
  </si>
  <si>
    <t>BK2501641</t>
  </si>
  <si>
    <t>10.191.6.223</t>
  </si>
  <si>
    <t>FE:FC:FA:f4:ba:c5</t>
  </si>
  <si>
    <t>BK0051594</t>
  </si>
  <si>
    <t>160.22.3.143</t>
  </si>
  <si>
    <t>K1102211-JB</t>
  </si>
  <si>
    <t>160.22.0.165</t>
  </si>
  <si>
    <t>K1102211</t>
  </si>
  <si>
    <t>李淑垚</t>
  </si>
  <si>
    <t>BK1102211</t>
  </si>
  <si>
    <t>10.191.6.224</t>
  </si>
  <si>
    <t>FE:FC:FA:c5:58:b5</t>
  </si>
  <si>
    <t>BK0051601</t>
  </si>
  <si>
    <t>160.22.3.131</t>
  </si>
  <si>
    <t>K1102210-JB</t>
  </si>
  <si>
    <t>160.22.0.122</t>
  </si>
  <si>
    <t>K1102210</t>
  </si>
  <si>
    <t>刘琼</t>
  </si>
  <si>
    <t>10.191.6.225</t>
  </si>
  <si>
    <t>FE:FC:FA:b7:cc:ec</t>
  </si>
  <si>
    <t>BK0051717</t>
  </si>
  <si>
    <t>160.22.11.10</t>
  </si>
  <si>
    <t>K1102209-JB</t>
  </si>
  <si>
    <t>160.22.0.127</t>
  </si>
  <si>
    <t>K1102209</t>
  </si>
  <si>
    <t>邓建波</t>
  </si>
  <si>
    <t>10.191.6.226</t>
  </si>
  <si>
    <t>FE:FC:FA:3c:53:b2</t>
  </si>
  <si>
    <t>BK0051836</t>
  </si>
  <si>
    <t>160.22.20.174</t>
  </si>
  <si>
    <t>K1182068-JB</t>
  </si>
  <si>
    <t>160.22.4.157</t>
  </si>
  <si>
    <t>K1182068</t>
  </si>
  <si>
    <t>兰三秀</t>
  </si>
  <si>
    <t>BK1182068</t>
  </si>
  <si>
    <t>10.191.6.227</t>
  </si>
  <si>
    <t>FE:FC:FA:99:47:21</t>
  </si>
  <si>
    <t>BK0051953</t>
  </si>
  <si>
    <t>K0052024-JB</t>
  </si>
  <si>
    <t>160.22.20.155</t>
  </si>
  <si>
    <t>K0052024</t>
  </si>
  <si>
    <t>李婷</t>
  </si>
  <si>
    <t>BK0052024</t>
  </si>
  <si>
    <t>10.191.6.228</t>
  </si>
  <si>
    <t>FE:FC:FA:c2:44:bb</t>
  </si>
  <si>
    <t>BK0052021</t>
  </si>
  <si>
    <t>K4810001-JB</t>
  </si>
  <si>
    <t>160.22.20.156</t>
  </si>
  <si>
    <t>K4810001</t>
  </si>
  <si>
    <t>陈盼</t>
  </si>
  <si>
    <t>BK4810001</t>
  </si>
  <si>
    <t>10.191.6.229</t>
  </si>
  <si>
    <t>FE:FC:FA:f4:43:05</t>
  </si>
  <si>
    <t>BK0131466</t>
  </si>
  <si>
    <t>K4810003-JB</t>
  </si>
  <si>
    <t>160.22.12.69</t>
  </si>
  <si>
    <t>K4810003</t>
  </si>
  <si>
    <t>董昊</t>
  </si>
  <si>
    <t>BK4810003</t>
  </si>
  <si>
    <t>10.191.6.230</t>
  </si>
  <si>
    <t>FE:FC:FA:68:01:9c</t>
  </si>
  <si>
    <t>BK0131472</t>
  </si>
  <si>
    <t>K0052021-JB</t>
  </si>
  <si>
    <t>160.22.16.165</t>
  </si>
  <si>
    <t>K0052021</t>
  </si>
  <si>
    <t>黄秀清</t>
  </si>
  <si>
    <t>10.191.6.231</t>
  </si>
  <si>
    <t>FE:FC:FA:da:5b:b2</t>
  </si>
  <si>
    <t>BK0131473</t>
  </si>
  <si>
    <t>K1301280-JB</t>
  </si>
  <si>
    <t>160.22.20.55</t>
  </si>
  <si>
    <t>K1301280</t>
  </si>
  <si>
    <t>汪星</t>
  </si>
  <si>
    <t>BK1301280</t>
  </si>
  <si>
    <t>10.191.6.232</t>
  </si>
  <si>
    <t>FE:FC:FA:61:01:15</t>
  </si>
  <si>
    <t>BK0201202</t>
  </si>
  <si>
    <t>K1251210-JB</t>
  </si>
  <si>
    <t>160.22.3.120</t>
  </si>
  <si>
    <t>K1251210</t>
  </si>
  <si>
    <t>王宇</t>
  </si>
  <si>
    <t>BK1251210</t>
  </si>
  <si>
    <t>10.191.6.233</t>
  </si>
  <si>
    <t>FE:FC:FA:65:78:cc</t>
  </si>
  <si>
    <t>BK0201204</t>
  </si>
  <si>
    <t>K0051988-JB</t>
  </si>
  <si>
    <t>160.22.11.9</t>
  </si>
  <si>
    <t>K0051988</t>
  </si>
  <si>
    <t>李嘉灵</t>
  </si>
  <si>
    <t>BK0051988</t>
  </si>
  <si>
    <t>10.191.6.234</t>
  </si>
  <si>
    <t>FE:FC:FA:ca:ad:d4</t>
  </si>
  <si>
    <t>BK0211202</t>
  </si>
  <si>
    <t>K0051953-JB</t>
  </si>
  <si>
    <t>160.22.19.144</t>
  </si>
  <si>
    <t>K0051953</t>
  </si>
  <si>
    <t>杨澜</t>
  </si>
  <si>
    <t>10.191.6.235</t>
  </si>
  <si>
    <t>FE:FC:FA:01:43:0e</t>
  </si>
  <si>
    <t>BK1080082</t>
  </si>
  <si>
    <t>K2930017-JB</t>
  </si>
  <si>
    <t>160.22.8.122</t>
  </si>
  <si>
    <t>K2930017</t>
  </si>
  <si>
    <t>彭锃</t>
  </si>
  <si>
    <t>BK2930017</t>
  </si>
  <si>
    <t>10.191.6.236</t>
  </si>
  <si>
    <t>FE:FC:FA:b8:ea:58</t>
  </si>
  <si>
    <t>BK1081279</t>
  </si>
  <si>
    <t>K0201204-JB</t>
  </si>
  <si>
    <t>160.22.7.46</t>
  </si>
  <si>
    <t>K0201204</t>
  </si>
  <si>
    <t>杨晓彤</t>
  </si>
  <si>
    <t>10.191.6.237</t>
  </si>
  <si>
    <t>FE:FC:FA:b3:20:73</t>
  </si>
  <si>
    <t>BK1081288</t>
  </si>
  <si>
    <t>K0051836-JB</t>
  </si>
  <si>
    <t>160.22.13.72</t>
  </si>
  <si>
    <t>K0051836</t>
  </si>
  <si>
    <t>鲁力</t>
  </si>
  <si>
    <t>10.191.6.238</t>
  </si>
  <si>
    <t>FE:FC:FA:57:31:09</t>
  </si>
  <si>
    <t>K1081288-JB</t>
  </si>
  <si>
    <t>160.22.17.14</t>
  </si>
  <si>
    <t>K1081288</t>
  </si>
  <si>
    <t>曾亿波</t>
  </si>
  <si>
    <t>10.191.6.239</t>
  </si>
  <si>
    <t>FE:FC:FA:51:90:11</t>
  </si>
  <si>
    <t>BK1102301</t>
  </si>
  <si>
    <t>K1081279-JB</t>
  </si>
  <si>
    <t>160.22.2.204</t>
  </si>
  <si>
    <t>K1081279</t>
  </si>
  <si>
    <t>吴凡</t>
  </si>
  <si>
    <t>10.191.6.240</t>
  </si>
  <si>
    <t>FE:FC:FA:77:1f:33</t>
  </si>
  <si>
    <t>K1080082-JB</t>
  </si>
  <si>
    <t>160.22.10.60</t>
  </si>
  <si>
    <t>K1080082</t>
  </si>
  <si>
    <t>李中华</t>
  </si>
  <si>
    <t>10.191.6.241</t>
  </si>
  <si>
    <t>FE:FC:FA:2b:2d:3b</t>
  </si>
  <si>
    <t>K0211202-JB</t>
  </si>
  <si>
    <t>160.22.10.62</t>
  </si>
  <si>
    <t>K0211202</t>
  </si>
  <si>
    <t>马康磊</t>
  </si>
  <si>
    <t>10.191.6.242</t>
  </si>
  <si>
    <t>FE:FC:FA:f3:3a:b8</t>
  </si>
  <si>
    <t>BK1810061</t>
  </si>
  <si>
    <t>K0201202-JB</t>
  </si>
  <si>
    <t>160.22.10.32</t>
  </si>
  <si>
    <t>K0201202</t>
  </si>
  <si>
    <t>庞鑫键</t>
  </si>
  <si>
    <t>10.191.6.243</t>
  </si>
  <si>
    <t>FE:FC:FA:41:06:6f</t>
  </si>
  <si>
    <t>BK2521441</t>
  </si>
  <si>
    <t>K0051739-JB</t>
  </si>
  <si>
    <t>160.22.10.43</t>
  </si>
  <si>
    <t>K0051739</t>
  </si>
  <si>
    <t>杨平平</t>
  </si>
  <si>
    <t>BK0051739</t>
  </si>
  <si>
    <t>10.191.6.244</t>
  </si>
  <si>
    <t>FE:FC:FA:32:28:6e</t>
  </si>
  <si>
    <t>K0051738-JB</t>
  </si>
  <si>
    <t>160.22.2.181</t>
  </si>
  <si>
    <t>K0051738</t>
  </si>
  <si>
    <t>严国萍</t>
  </si>
  <si>
    <t>BK0051738</t>
  </si>
  <si>
    <t>10.191.6.245</t>
  </si>
  <si>
    <t>FE:FC:FA:a0:b5:9f</t>
  </si>
  <si>
    <t>K0051717-JB</t>
  </si>
  <si>
    <t>160.22.10.49</t>
  </si>
  <si>
    <t>K0051717</t>
  </si>
  <si>
    <t>刘宁</t>
  </si>
  <si>
    <t>10.191.6.246</t>
  </si>
  <si>
    <t>FE:FC:FA:20:13:f3</t>
  </si>
  <si>
    <t>K0051601-JB</t>
  </si>
  <si>
    <t>160.22.10.71</t>
  </si>
  <si>
    <t>K0051601</t>
  </si>
  <si>
    <t>冯齐</t>
  </si>
  <si>
    <t>10.191.6.247</t>
  </si>
  <si>
    <t>FE:FC:FA:e4:ba:38</t>
  </si>
  <si>
    <t>BK0021561</t>
  </si>
  <si>
    <t>K0051594-JB</t>
  </si>
  <si>
    <t>160.22.17.16</t>
  </si>
  <si>
    <t>K0051594</t>
  </si>
  <si>
    <t>陈渊桐</t>
  </si>
  <si>
    <t>10.191.6.248</t>
  </si>
  <si>
    <t>FE:FC:FA:d8:17:aa</t>
  </si>
  <si>
    <t>BK0051562</t>
  </si>
  <si>
    <t>K0051593-JB</t>
  </si>
  <si>
    <t>160.22.10.69</t>
  </si>
  <si>
    <t>K0051593</t>
  </si>
  <si>
    <t>杨文君</t>
  </si>
  <si>
    <t>10.191.6.249</t>
  </si>
  <si>
    <t>FE:FC:FA:05:76:55</t>
  </si>
  <si>
    <t>BK0051970</t>
  </si>
  <si>
    <t>K0051565-JB</t>
  </si>
  <si>
    <t>160.22.21.0</t>
  </si>
  <si>
    <t>K0051565</t>
  </si>
  <si>
    <t>熊亮</t>
  </si>
  <si>
    <t>10.191.6.250</t>
  </si>
  <si>
    <t>FE:FC:FA:a3:de:ef</t>
  </si>
  <si>
    <t>BK0052082</t>
  </si>
  <si>
    <t>K0051489-JB</t>
  </si>
  <si>
    <t>160.22.10.65</t>
  </si>
  <si>
    <t>K0051489</t>
  </si>
  <si>
    <t>梅梦龙</t>
  </si>
  <si>
    <t>10.191.6.251</t>
  </si>
  <si>
    <t>FE:FC:FA:30:d9:2e</t>
  </si>
  <si>
    <t>BK0131463</t>
  </si>
  <si>
    <t>K0051281-JB</t>
  </si>
  <si>
    <t>160.22.2.199</t>
  </si>
  <si>
    <t>K0051281</t>
  </si>
  <si>
    <t>胡攀峰</t>
  </si>
  <si>
    <t>10.191.6.252</t>
  </si>
  <si>
    <t>FE:FC:FA:a8:6d:e2</t>
  </si>
  <si>
    <t>BK0131468</t>
  </si>
  <si>
    <t>K0131466-JB</t>
  </si>
  <si>
    <t>160.22.4.5</t>
  </si>
  <si>
    <t>K0131466</t>
  </si>
  <si>
    <t>宋党政</t>
  </si>
  <si>
    <t>华泰证券（上海）资产管理有限公司</t>
  </si>
  <si>
    <t>10.191.6.253</t>
  </si>
  <si>
    <t>FE:FC:FA:e2:ce:6a</t>
  </si>
  <si>
    <t>BK0131470</t>
  </si>
  <si>
    <t>K0131473-JB</t>
  </si>
  <si>
    <t>160.22.4.0</t>
  </si>
  <si>
    <t>K0131473</t>
  </si>
  <si>
    <t>李明</t>
  </si>
  <si>
    <t>10.191.6.254</t>
  </si>
  <si>
    <t>FE:FC:FA:8f:ae:75</t>
  </si>
  <si>
    <t>BK0161972</t>
  </si>
  <si>
    <t>K2521441-JB</t>
  </si>
  <si>
    <t>160.22.11.186</t>
  </si>
  <si>
    <t>K2521441</t>
  </si>
  <si>
    <t>周达</t>
  </si>
  <si>
    <t>10.191.7.1</t>
  </si>
  <si>
    <t>FE:FC:FA:0e:3a:88</t>
  </si>
  <si>
    <t>BK0321248</t>
  </si>
  <si>
    <t>K0131472-JB</t>
  </si>
  <si>
    <t>160.22.11.172</t>
  </si>
  <si>
    <t>K0131472</t>
  </si>
  <si>
    <t>刘金</t>
  </si>
  <si>
    <t>10.191.7.2</t>
  </si>
  <si>
    <t>FE:FC:FA:38:44:b5</t>
  </si>
  <si>
    <t>BK1102302</t>
  </si>
  <si>
    <t>K0021561-JB</t>
  </si>
  <si>
    <t>160.22.18.68</t>
  </si>
  <si>
    <t>K0021561</t>
  </si>
  <si>
    <t>孙莹</t>
  </si>
  <si>
    <t>10.191.7.3</t>
  </si>
  <si>
    <t>FE:FC:FA:31:8e:f6</t>
  </si>
  <si>
    <t>BK1102313</t>
  </si>
  <si>
    <t>K2360139-JB</t>
  </si>
  <si>
    <t>160.22.22.43</t>
  </si>
  <si>
    <t>K2360139</t>
  </si>
  <si>
    <t>黄莎</t>
  </si>
  <si>
    <t>BK2360139</t>
  </si>
  <si>
    <t>10.191.7.4</t>
  </si>
  <si>
    <t>FE:FC:FA:3b:42:91</t>
  </si>
  <si>
    <t>BK1102331</t>
  </si>
  <si>
    <t>10.191.6.164|172.17.54.145</t>
  </si>
  <si>
    <t>K2360138-JB</t>
  </si>
  <si>
    <t>160.22.18.51</t>
  </si>
  <si>
    <t>K2360138</t>
  </si>
  <si>
    <t>陈康钟</t>
  </si>
  <si>
    <t>BK2360138</t>
  </si>
  <si>
    <t>10.191.7.5</t>
  </si>
  <si>
    <t>FE:FC:FA:95:b2:56</t>
  </si>
  <si>
    <t>BK1102338</t>
  </si>
  <si>
    <t>K0131463-JB</t>
  </si>
  <si>
    <t>160.22.11.75</t>
  </si>
  <si>
    <t>K0131463</t>
  </si>
  <si>
    <t>魏慧兰</t>
  </si>
  <si>
    <t>10.191.7.6</t>
  </si>
  <si>
    <t>FE:FC:FA:7c:03:45</t>
  </si>
  <si>
    <t>BK1102341</t>
  </si>
  <si>
    <t>K0131468-JB</t>
  </si>
  <si>
    <t>160.22.3.117</t>
  </si>
  <si>
    <t>K0131468</t>
  </si>
  <si>
    <t>董浩</t>
  </si>
  <si>
    <t>10.191.7.7</t>
  </si>
  <si>
    <t>FE:FC:FA:c5:3f:cc</t>
  </si>
  <si>
    <t>BK1182261</t>
  </si>
  <si>
    <t>K0161972-JB</t>
  </si>
  <si>
    <t>160.22.3.100</t>
  </si>
  <si>
    <t>K0161972</t>
  </si>
  <si>
    <t>吴媛媛</t>
  </si>
  <si>
    <t>10.191.7.8</t>
  </si>
  <si>
    <t>FE:FC:FA:53:fe:4a</t>
  </si>
  <si>
    <t>BK1420099</t>
  </si>
  <si>
    <t>K2521437-JB</t>
  </si>
  <si>
    <t>160.22.3.102</t>
  </si>
  <si>
    <t>K2521437</t>
  </si>
  <si>
    <t>金石</t>
  </si>
  <si>
    <t>BK2521437</t>
  </si>
  <si>
    <t>10.191.7.9</t>
  </si>
  <si>
    <t>FE:FC:FA:b2:d5:c5</t>
  </si>
  <si>
    <t>BK1931619</t>
  </si>
  <si>
    <t>K2521434-JB</t>
  </si>
  <si>
    <t>160.22.11.5</t>
  </si>
  <si>
    <t>K2521434</t>
  </si>
  <si>
    <t>胡适适</t>
  </si>
  <si>
    <t>BK2521434</t>
  </si>
  <si>
    <t>10.191.7.10</t>
  </si>
  <si>
    <t>FE:FC:FA:f8:73:72</t>
  </si>
  <si>
    <t>BK2190038</t>
  </si>
  <si>
    <t>K0021860-JB</t>
  </si>
  <si>
    <t>160.22.10.222</t>
  </si>
  <si>
    <t>K0021860</t>
  </si>
  <si>
    <t>程德</t>
  </si>
  <si>
    <t>BK0021860</t>
  </si>
  <si>
    <t>10.191.7.11</t>
  </si>
  <si>
    <t>FE:FC:FA:c2:0a:6c</t>
  </si>
  <si>
    <t>160.22.16.152</t>
  </si>
  <si>
    <t>K0051562-JB</t>
  </si>
  <si>
    <t>160.22.10.177</t>
  </si>
  <si>
    <t>K0051562</t>
  </si>
  <si>
    <t>谭红莲</t>
  </si>
  <si>
    <t>10.191.7.12</t>
  </si>
  <si>
    <t>FE:FC:FA:d7:f1:a6</t>
  </si>
  <si>
    <t>160.22.16.141</t>
  </si>
  <si>
    <t>K2502164-JB</t>
  </si>
  <si>
    <t>160.22.21.248</t>
  </si>
  <si>
    <t>K2502164</t>
  </si>
  <si>
    <t>高展</t>
  </si>
  <si>
    <t>BK2502164</t>
  </si>
  <si>
    <t>10.191.7.13</t>
  </si>
  <si>
    <t>FE:FC:FA:95:f0:54</t>
  </si>
  <si>
    <t>160.22.22.40</t>
  </si>
  <si>
    <t>K0131470-JB</t>
  </si>
  <si>
    <t>160.22.10.163</t>
  </si>
  <si>
    <t>K0131470</t>
  </si>
  <si>
    <t>施浩杰</t>
  </si>
  <si>
    <t>10.191.7.14</t>
  </si>
  <si>
    <t>FE:FC:FA:f7:11:ed</t>
  </si>
  <si>
    <t>BK2502179</t>
  </si>
  <si>
    <t>160.22.22.42</t>
  </si>
  <si>
    <t>K1420099-JB</t>
  </si>
  <si>
    <t>K1420099</t>
  </si>
  <si>
    <t>李晓楠</t>
  </si>
  <si>
    <t>10.191.7.15</t>
  </si>
  <si>
    <t>FE:FC:FA:dc:d2:92</t>
  </si>
  <si>
    <t>BK2502183</t>
  </si>
  <si>
    <t>K1102341-JB</t>
  </si>
  <si>
    <t>160.22.3.214</t>
  </si>
  <si>
    <t>K1102341</t>
  </si>
  <si>
    <t>陈道坤</t>
  </si>
  <si>
    <t>10.191.7.16</t>
  </si>
  <si>
    <t>FE:FC:FA:26:9d:30</t>
  </si>
  <si>
    <t>K2502183-JB</t>
  </si>
  <si>
    <t>160.22.22.39</t>
  </si>
  <si>
    <t>K2502183</t>
  </si>
  <si>
    <t>龚月娇</t>
  </si>
  <si>
    <t>10.191.7.17</t>
  </si>
  <si>
    <t>FE:FC:FA:79:1f:2f</t>
  </si>
  <si>
    <t>160.22.18.89</t>
  </si>
  <si>
    <t>K1102338-JB</t>
  </si>
  <si>
    <t>160.22.11.94</t>
  </si>
  <si>
    <t>K1102338</t>
  </si>
  <si>
    <t>王滔</t>
  </si>
  <si>
    <t>10.191.7.18</t>
  </si>
  <si>
    <t>FE:FC:FA:51:67:d5</t>
  </si>
  <si>
    <t>BK3070001</t>
  </si>
  <si>
    <t>160.22.18.82</t>
  </si>
  <si>
    <t>K2502179-JB</t>
  </si>
  <si>
    <t>160.22.22.29</t>
  </si>
  <si>
    <t>K2502179</t>
  </si>
  <si>
    <t>张震浩</t>
  </si>
  <si>
    <t>10.191.7.19</t>
  </si>
  <si>
    <t>FE:FC:FA:d7:aa:0f</t>
  </si>
  <si>
    <t>BK3070003</t>
  </si>
  <si>
    <t>160.22.4.163</t>
  </si>
  <si>
    <t>K3070003-JB</t>
  </si>
  <si>
    <t>160.22.3.141</t>
  </si>
  <si>
    <t>K3070003</t>
  </si>
  <si>
    <t>吕晨丹</t>
  </si>
  <si>
    <t>10.191.7.20</t>
  </si>
  <si>
    <t>FE:FC:FA:7b:e4:4c</t>
  </si>
  <si>
    <t>BK0051982</t>
  </si>
  <si>
    <t>160.22.22.19</t>
  </si>
  <si>
    <t>K3070001-JB</t>
  </si>
  <si>
    <t>160.22.11.85</t>
  </si>
  <si>
    <t>K3070001</t>
  </si>
  <si>
    <t>朱雪雯</t>
  </si>
  <si>
    <t>10.191.7.21</t>
  </si>
  <si>
    <t>FE:FC:FA:1c:01:e7</t>
  </si>
  <si>
    <t>BK0211225</t>
  </si>
  <si>
    <t>160.22.18.35</t>
  </si>
  <si>
    <t>K1102331-JB</t>
  </si>
  <si>
    <t>160.22.11.28</t>
  </si>
  <si>
    <t>K1102331</t>
  </si>
  <si>
    <t>吴通</t>
  </si>
  <si>
    <t>10.191.7.22</t>
  </si>
  <si>
    <t>FE:FC:FA:49:e1:1a</t>
  </si>
  <si>
    <t>BK0892123</t>
  </si>
  <si>
    <t>160.22.18.33</t>
  </si>
  <si>
    <t>K0051970-JB</t>
  </si>
  <si>
    <t>160.22.18.23</t>
  </si>
  <si>
    <t>K0051970</t>
  </si>
  <si>
    <t>毛秀蓉</t>
  </si>
  <si>
    <t>10.191.7.23</t>
  </si>
  <si>
    <t>FE:FC:FA:7f:a5:4f</t>
  </si>
  <si>
    <t>BK0892124</t>
  </si>
  <si>
    <t>160.22.22.23</t>
  </si>
  <si>
    <t>K0052082-JB</t>
  </si>
  <si>
    <t>160.22.2.252</t>
  </si>
  <si>
    <t>K0052082</t>
  </si>
  <si>
    <t>马洪明</t>
  </si>
  <si>
    <t>10.191.7.24</t>
  </si>
  <si>
    <t>FE:FC:FA:82:32:c9</t>
  </si>
  <si>
    <t>BK1102190</t>
  </si>
  <si>
    <t>160.22.22.20</t>
  </si>
  <si>
    <t>K0321248-JB</t>
  </si>
  <si>
    <t>160.22.17.252</t>
  </si>
  <si>
    <t>K0321248</t>
  </si>
  <si>
    <t>魏红梅</t>
  </si>
  <si>
    <t>10.191.7.25</t>
  </si>
  <si>
    <t>FE:FC:FA:46:58:7b</t>
  </si>
  <si>
    <t>BK1131424</t>
  </si>
  <si>
    <t>160.22.22.21</t>
  </si>
  <si>
    <t>K1931619-JB</t>
  </si>
  <si>
    <t>160.22.17.246</t>
  </si>
  <si>
    <t>K1931619</t>
  </si>
  <si>
    <t>代伟</t>
  </si>
  <si>
    <t>10.191.7.26</t>
  </si>
  <si>
    <t>FE:FC:FA:1f:d4:df</t>
  </si>
  <si>
    <t>BK1182161</t>
  </si>
  <si>
    <t>160.22.18.24</t>
  </si>
  <si>
    <t>K1810061-JB</t>
  </si>
  <si>
    <t>160.22.2.242</t>
  </si>
  <si>
    <t>K1810061</t>
  </si>
  <si>
    <t>张长勇</t>
  </si>
  <si>
    <t>10.191.7.27</t>
  </si>
  <si>
    <t>FE:FC:FA:87:53:bd</t>
  </si>
  <si>
    <t>BK1590016</t>
  </si>
  <si>
    <t>K2190038-JB</t>
  </si>
  <si>
    <t>160.22.21.240</t>
  </si>
  <si>
    <t>K2190038</t>
  </si>
  <si>
    <t>吴高伟</t>
  </si>
  <si>
    <t>10.191.7.28</t>
  </si>
  <si>
    <t>FE:FC:FA:c7:20:c7</t>
  </si>
  <si>
    <t>BK2501635</t>
  </si>
  <si>
    <t>K1102313-JB</t>
  </si>
  <si>
    <t>160.22.10.101</t>
  </si>
  <si>
    <t>K1102313</t>
  </si>
  <si>
    <t>王宁</t>
  </si>
  <si>
    <t>10.191.7.29</t>
  </si>
  <si>
    <t>FE:FC:FA:3d:0c:96</t>
  </si>
  <si>
    <t>BK2810008</t>
  </si>
  <si>
    <t>K1182261-JB</t>
  </si>
  <si>
    <t>160.22.17.222</t>
  </si>
  <si>
    <t>K1182261</t>
  </si>
  <si>
    <t>侯艳辉</t>
  </si>
  <si>
    <t>10.191.7.30</t>
  </si>
  <si>
    <t>FE:FC:FA:3d:9d:ab</t>
  </si>
  <si>
    <t>BK2810011</t>
  </si>
  <si>
    <t>K1102302-JB</t>
  </si>
  <si>
    <t>160.22.17.199</t>
  </si>
  <si>
    <t>K1102302</t>
  </si>
  <si>
    <t>黎娇</t>
  </si>
  <si>
    <t>10.191.7.31</t>
  </si>
  <si>
    <t>FE:FC:FA:a0:37:2e</t>
  </si>
  <si>
    <t>BK2810013</t>
  </si>
  <si>
    <t>K1102301-JB</t>
  </si>
  <si>
    <t>160.22.10.7</t>
  </si>
  <si>
    <t>K1102301</t>
  </si>
  <si>
    <t>黄文静</t>
  </si>
  <si>
    <t>10.191.7.32</t>
  </si>
  <si>
    <t>FE:FC:FA:e8:d6:46</t>
  </si>
  <si>
    <t>BK2810014</t>
  </si>
  <si>
    <t>K0892124-JB</t>
  </si>
  <si>
    <t>160.22.2.26</t>
  </si>
  <si>
    <t>K0892124</t>
  </si>
  <si>
    <t>顾荣</t>
  </si>
  <si>
    <t>10.191.7.33</t>
  </si>
  <si>
    <t>FE:FC:FA:e4:44:ce</t>
  </si>
  <si>
    <t>BK3150008</t>
  </si>
  <si>
    <t>K0892123-JB</t>
  </si>
  <si>
    <t>160.22.2.25</t>
  </si>
  <si>
    <t>K0892123</t>
  </si>
  <si>
    <t>徐磊</t>
  </si>
  <si>
    <t>10.191.7.34</t>
  </si>
  <si>
    <t>FE:FC:FA:eb:72:13</t>
  </si>
  <si>
    <t>BK3150010</t>
  </si>
  <si>
    <t>K5270083-JB</t>
  </si>
  <si>
    <t>160.22.1.181</t>
  </si>
  <si>
    <t>K5270083</t>
  </si>
  <si>
    <t>王呈昊</t>
  </si>
  <si>
    <t>BK5270083</t>
  </si>
  <si>
    <t>10.191.7.35</t>
  </si>
  <si>
    <t>FE:FC:FA:bc:67:12</t>
  </si>
  <si>
    <t>BK3150011</t>
  </si>
  <si>
    <t>K3150016-JB</t>
  </si>
  <si>
    <t>160.22.9.41</t>
  </si>
  <si>
    <t>K3150016</t>
  </si>
  <si>
    <t>李怡诺</t>
  </si>
  <si>
    <t>BK3150016</t>
  </si>
  <si>
    <t>10.191.7.36</t>
  </si>
  <si>
    <t>FE:FC:FA:3a:6c:e6</t>
  </si>
  <si>
    <t>BK3150012</t>
  </si>
  <si>
    <t>K3150015-JB</t>
  </si>
  <si>
    <t>160.22.9.57</t>
  </si>
  <si>
    <t>K3150015</t>
  </si>
  <si>
    <t>席根</t>
  </si>
  <si>
    <t>BK3150015</t>
  </si>
  <si>
    <t>10.191.7.37</t>
  </si>
  <si>
    <t>FE:FC:FA:68:ea:a9</t>
  </si>
  <si>
    <t>BK3150013</t>
  </si>
  <si>
    <t>K3150013-JB</t>
  </si>
  <si>
    <t>160.22.1.105</t>
  </si>
  <si>
    <t>K3150013</t>
  </si>
  <si>
    <t>王金鹏</t>
  </si>
  <si>
    <t>10.191.7.38</t>
  </si>
  <si>
    <t>FE:FC:FA:6c:4b:cd</t>
  </si>
  <si>
    <t>K3150012-JB</t>
  </si>
  <si>
    <t>160.22.1.98</t>
  </si>
  <si>
    <t>K3150012</t>
  </si>
  <si>
    <t>段俊</t>
  </si>
  <si>
    <t>10.191.7.39</t>
  </si>
  <si>
    <t>FE:FC:FA:2f:13:fc</t>
  </si>
  <si>
    <t>K3150011-JB</t>
  </si>
  <si>
    <t>160.22.1.101</t>
  </si>
  <si>
    <t>K3150011</t>
  </si>
  <si>
    <t>夏健国</t>
  </si>
  <si>
    <t>10.191.7.40</t>
  </si>
  <si>
    <t>FE:FC:FA:ca:22:2f</t>
  </si>
  <si>
    <t>BK3160038</t>
  </si>
  <si>
    <t>K3150010-JB</t>
  </si>
  <si>
    <t>160.22.9.44</t>
  </si>
  <si>
    <t>K3150010</t>
  </si>
  <si>
    <t>汪泓</t>
  </si>
  <si>
    <t>10.191.7.41</t>
  </si>
  <si>
    <t>FE:FC:FA:0b:63:d2</t>
  </si>
  <si>
    <t>BK5270076</t>
  </si>
  <si>
    <t>K3150008-JB</t>
  </si>
  <si>
    <t>160.22.1.96</t>
  </si>
  <si>
    <t>K3150008</t>
  </si>
  <si>
    <t>赵宏博</t>
  </si>
  <si>
    <t>10.191.7.42</t>
  </si>
  <si>
    <t>FE:FC:FA:9f:9d:cd</t>
  </si>
  <si>
    <t>BK5270079</t>
  </si>
  <si>
    <t>K2810014-JB</t>
  </si>
  <si>
    <t>160.22.17.58</t>
  </si>
  <si>
    <t>K2810014</t>
  </si>
  <si>
    <t>佟煜荣</t>
  </si>
  <si>
    <t>10.191.7.43</t>
  </si>
  <si>
    <t>FE:FC:FA:ea:3a:0e</t>
  </si>
  <si>
    <t>BK5270080</t>
  </si>
  <si>
    <t>K5270081-JB</t>
  </si>
  <si>
    <t>160.22.1.50</t>
  </si>
  <si>
    <t>K5270081</t>
  </si>
  <si>
    <t>饶卓群</t>
  </si>
  <si>
    <t>BK5270081</t>
  </si>
  <si>
    <t>10.191.7.44</t>
  </si>
  <si>
    <t>FE:FC:FA:1d:4a:53</t>
  </si>
  <si>
    <t>K1182161-JB</t>
  </si>
  <si>
    <t>160.22.17.41</t>
  </si>
  <si>
    <t>K1182161</t>
  </si>
  <si>
    <t>冯婉婷</t>
  </si>
  <si>
    <t>10.191.7.45</t>
  </si>
  <si>
    <t>FE:FC:FA:54:5f:f8</t>
  </si>
  <si>
    <t>K5270080-JB</t>
  </si>
  <si>
    <t>160.22.8.218</t>
  </si>
  <si>
    <t>K5270080</t>
  </si>
  <si>
    <t>陆鹏飞</t>
  </si>
  <si>
    <t>10.191.7.46</t>
  </si>
  <si>
    <t>FE:FC:FA:8a:ff:09</t>
  </si>
  <si>
    <t>BK0051915</t>
  </si>
  <si>
    <t>K2810013-JB</t>
  </si>
  <si>
    <t>160.22.21.31</t>
  </si>
  <si>
    <t>K2810013</t>
  </si>
  <si>
    <t>李珑</t>
  </si>
  <si>
    <t>10.191.7.47</t>
  </si>
  <si>
    <t>FE:FC:FA:1e:f0:83</t>
  </si>
  <si>
    <t>BK0051984</t>
  </si>
  <si>
    <t>K0051982-JB</t>
  </si>
  <si>
    <t>160.22.16.14</t>
  </si>
  <si>
    <t>K0051982</t>
  </si>
  <si>
    <t>蔡永青</t>
  </si>
  <si>
    <t>10.191.7.48</t>
  </si>
  <si>
    <t>FE:FC:FA:d0:0b:a0</t>
  </si>
  <si>
    <t>BK0052007</t>
  </si>
  <si>
    <t>K3160038-JB</t>
  </si>
  <si>
    <t>160.22.0.221</t>
  </si>
  <si>
    <t>K3160038</t>
  </si>
  <si>
    <t>荆慧</t>
  </si>
  <si>
    <t>10.191.7.49</t>
  </si>
  <si>
    <t>FE:FC:FA:1c:98:38</t>
  </si>
  <si>
    <t>BK0321748</t>
  </si>
  <si>
    <t>K5270079-JB</t>
  </si>
  <si>
    <t>160.22.0.132</t>
  </si>
  <si>
    <t>K5270079</t>
  </si>
  <si>
    <t>凌剑飞</t>
  </si>
  <si>
    <t>10.191.7.50</t>
  </si>
  <si>
    <t>FE:FC:FA:45:5c:87</t>
  </si>
  <si>
    <t>BK1102082</t>
  </si>
  <si>
    <t>K5270076-JB</t>
  </si>
  <si>
    <t>160.22.8.96</t>
  </si>
  <si>
    <t>K5270076</t>
  </si>
  <si>
    <t>蒋易恒</t>
  </si>
  <si>
    <t>10.191.7.51</t>
  </si>
  <si>
    <t>FE:FC:FA:83:6a:6e</t>
  </si>
  <si>
    <t>BK1102104</t>
  </si>
  <si>
    <t>K2501635-JB</t>
  </si>
  <si>
    <t>160.22.20.231</t>
  </si>
  <si>
    <t>K2501635</t>
  </si>
  <si>
    <t>樊颖</t>
  </si>
  <si>
    <t>10.191.7.52</t>
  </si>
  <si>
    <t>FE:FC:FA:47:2d:68</t>
  </si>
  <si>
    <t>BK1102105</t>
  </si>
  <si>
    <t>K2810011-JB</t>
  </si>
  <si>
    <t>160.22.16.203</t>
  </si>
  <si>
    <t>K2810011</t>
  </si>
  <si>
    <t>许沛城</t>
  </si>
  <si>
    <t>10.191.7.53</t>
  </si>
  <si>
    <t>FE:FC:FA:08:39:6d</t>
  </si>
  <si>
    <t>BK1102108</t>
  </si>
  <si>
    <t>K1102190-JB</t>
  </si>
  <si>
    <t>160.22.5.57</t>
  </si>
  <si>
    <t>K1102190</t>
  </si>
  <si>
    <t>赵云</t>
  </si>
  <si>
    <t>10.191.7.54</t>
  </si>
  <si>
    <t>FE:FC:FA:9e:a4:c6</t>
  </si>
  <si>
    <t>BK1102110</t>
  </si>
  <si>
    <t>K2810008-JB</t>
  </si>
  <si>
    <t>160.22.20.200</t>
  </si>
  <si>
    <t>K2810008</t>
  </si>
  <si>
    <t>黄茵</t>
  </si>
  <si>
    <t>10.191.7.55</t>
  </si>
  <si>
    <t>FE:FC:FA:94:fa:dd</t>
  </si>
  <si>
    <t>BK1102116</t>
  </si>
  <si>
    <t>K1131424-JB</t>
  </si>
  <si>
    <t>160.22.16.196</t>
  </si>
  <si>
    <t>K1131424</t>
  </si>
  <si>
    <t>吴婷婷</t>
  </si>
  <si>
    <t>10.191.7.56</t>
  </si>
  <si>
    <t>FE:FC:FA:8a:a6:3d</t>
  </si>
  <si>
    <t>BK1102123</t>
  </si>
  <si>
    <t>K0211225-JB</t>
  </si>
  <si>
    <t>160.22.4.179</t>
  </si>
  <si>
    <t>K0211225</t>
  </si>
  <si>
    <t>谷文豪</t>
  </si>
  <si>
    <t>10.191.7.57</t>
  </si>
  <si>
    <t>FE:FC:FA:e3:89:79</t>
  </si>
  <si>
    <t>BK1102128</t>
  </si>
  <si>
    <t>K1590016-JB</t>
  </si>
  <si>
    <t>160.22.12.142</t>
  </si>
  <si>
    <t>K1590016</t>
  </si>
  <si>
    <t>梁平</t>
  </si>
  <si>
    <t>10.191.7.58</t>
  </si>
  <si>
    <t>FE:FC:FA:0b:9e:0c</t>
  </si>
  <si>
    <t>BK1102140</t>
  </si>
  <si>
    <t>K1102154-JB</t>
  </si>
  <si>
    <t>160.22.12.68</t>
  </si>
  <si>
    <t>K1102154</t>
  </si>
  <si>
    <t>孙奥</t>
  </si>
  <si>
    <t>BK1102154</t>
  </si>
  <si>
    <t>10.191.7.59</t>
  </si>
  <si>
    <t>FE:FC:FA:4c:6a:55</t>
  </si>
  <si>
    <t>BK1102142</t>
  </si>
  <si>
    <t>K1931618-JB</t>
  </si>
  <si>
    <t>160.22.16.164</t>
  </si>
  <si>
    <t>K1931618</t>
  </si>
  <si>
    <t>徐炯威</t>
  </si>
  <si>
    <t>BK1931618</t>
  </si>
  <si>
    <t>10.191.7.60</t>
  </si>
  <si>
    <t>FE:FC:FA:f7:fd:ab</t>
  </si>
  <si>
    <t>BK1102143</t>
  </si>
  <si>
    <t>K1931617-JB</t>
  </si>
  <si>
    <t>160.22.20.133</t>
  </si>
  <si>
    <t>K1931617</t>
  </si>
  <si>
    <t>陈放</t>
  </si>
  <si>
    <t>BK1931617</t>
  </si>
  <si>
    <t>10.191.7.61</t>
  </si>
  <si>
    <t>FE:FC:FA:ca:80:31</t>
  </si>
  <si>
    <t>K2810003-JB</t>
  </si>
  <si>
    <t>160.22.16.146</t>
  </si>
  <si>
    <t>K2810003</t>
  </si>
  <si>
    <t>杨建</t>
  </si>
  <si>
    <t>BK2810003</t>
  </si>
  <si>
    <t>10.191.7.62</t>
  </si>
  <si>
    <t>FE:FC:FA:c2:d2:6d</t>
  </si>
  <si>
    <t>BK1810070</t>
  </si>
  <si>
    <t>K1810070-JB</t>
  </si>
  <si>
    <t>160.22.12.30</t>
  </si>
  <si>
    <t>K1810070</t>
  </si>
  <si>
    <t>姜延龙</t>
  </si>
  <si>
    <t>10.191.7.63</t>
  </si>
  <si>
    <t>FE:FC:FA:55:d5:2f</t>
  </si>
  <si>
    <t>BK1930035</t>
  </si>
  <si>
    <t>K1102143-JB</t>
  </si>
  <si>
    <t>160.22.4.81</t>
  </si>
  <si>
    <t>K1102143</t>
  </si>
  <si>
    <t>晏晨</t>
  </si>
  <si>
    <t>10.191.7.64</t>
  </si>
  <si>
    <t>FE:FC:FA:00:78:8c</t>
  </si>
  <si>
    <t>BK1930042</t>
  </si>
  <si>
    <t>K1102142-JB</t>
  </si>
  <si>
    <t>160.22.4.85</t>
  </si>
  <si>
    <t>K1102142</t>
  </si>
  <si>
    <t>熊天宇</t>
  </si>
  <si>
    <t>10.191.7.65</t>
  </si>
  <si>
    <t>FE:FC:FA:f5:05:f1</t>
  </si>
  <si>
    <t>BK1930046</t>
  </si>
  <si>
    <t>K1102140-JB</t>
  </si>
  <si>
    <t>160.22.4.79</t>
  </si>
  <si>
    <t>K1102140</t>
  </si>
  <si>
    <t>焦春锋</t>
  </si>
  <si>
    <t>10.191.7.66</t>
  </si>
  <si>
    <t>FE:FC:FA:fd:39:76</t>
  </si>
  <si>
    <t>K1102128-JB</t>
  </si>
  <si>
    <t>160.22.4.44</t>
  </si>
  <si>
    <t>K1102128</t>
  </si>
  <si>
    <t>钟东东</t>
  </si>
  <si>
    <t>10.191.7.67</t>
  </si>
  <si>
    <t>FE:FC:FA:50:2b:ad</t>
  </si>
  <si>
    <t>K0052007-JB</t>
  </si>
  <si>
    <t>160.22.11.236</t>
  </si>
  <si>
    <t>K0052007</t>
  </si>
  <si>
    <t>杨俊诚</t>
  </si>
  <si>
    <t>10.191.7.68</t>
  </si>
  <si>
    <t>FE:FC:FA:23:3b:d2</t>
  </si>
  <si>
    <t>BK2190028</t>
  </si>
  <si>
    <t>K1102123-JB</t>
  </si>
  <si>
    <t>160.22.11.230</t>
  </si>
  <si>
    <t>K1102123</t>
  </si>
  <si>
    <t>张体康</t>
  </si>
  <si>
    <t>10.191.7.69</t>
  </si>
  <si>
    <t>FE:FC:FA:4f:11:ba</t>
  </si>
  <si>
    <t>K1102116-JB</t>
  </si>
  <si>
    <t>160.22.20.111</t>
  </si>
  <si>
    <t>K1102116</t>
  </si>
  <si>
    <t>葛蒙蒙</t>
  </si>
  <si>
    <t>10.191.7.70</t>
  </si>
  <si>
    <t>FE:FC:FA:b2:f6:07</t>
  </si>
  <si>
    <t>BK0050001</t>
  </si>
  <si>
    <t>K1102110-JB</t>
  </si>
  <si>
    <t>160.22.16.128</t>
  </si>
  <si>
    <t>K1102110</t>
  </si>
  <si>
    <t>王敏</t>
  </si>
  <si>
    <t>10.191.7.71</t>
  </si>
  <si>
    <t>FE:FC:FA:73:68:1d</t>
  </si>
  <si>
    <t>BK0051444</t>
  </si>
  <si>
    <t>160.22.20.109</t>
  </si>
  <si>
    <t>K1102108-JB</t>
  </si>
  <si>
    <t>160.22.16.126</t>
  </si>
  <si>
    <t>K1102108</t>
  </si>
  <si>
    <t>李家齐</t>
  </si>
  <si>
    <t>10.191.7.72</t>
  </si>
  <si>
    <t>FE:FC:FA:7e:53:d1</t>
  </si>
  <si>
    <t>BK0051690</t>
  </si>
  <si>
    <t>K1102105-JB</t>
  </si>
  <si>
    <t>160.22.16.123</t>
  </si>
  <si>
    <t>K1102105</t>
  </si>
  <si>
    <t>张昌城</t>
  </si>
  <si>
    <t>10.191.7.73</t>
  </si>
  <si>
    <t>FE:FC:FA:dc:91:e6</t>
  </si>
  <si>
    <t>BK0051857</t>
  </si>
  <si>
    <t>K1102104-JB</t>
  </si>
  <si>
    <t>K1102104</t>
  </si>
  <si>
    <t>曾王炜</t>
  </si>
  <si>
    <t>10.191.7.74</t>
  </si>
  <si>
    <t>FE:FC:FA:db:26:e1</t>
  </si>
  <si>
    <t>BK0081203</t>
  </si>
  <si>
    <t>K1102082-JB</t>
  </si>
  <si>
    <t>160.22.11.77</t>
  </si>
  <si>
    <t>K1102082</t>
  </si>
  <si>
    <t>孙天根</t>
  </si>
  <si>
    <t>10.191.7.75</t>
  </si>
  <si>
    <t>FE:FC:FA:97:d5:ba</t>
  </si>
  <si>
    <t>BK0371239</t>
  </si>
  <si>
    <t>160.22.16.71</t>
  </si>
  <si>
    <t>K1930046-JB</t>
  </si>
  <si>
    <t>160.22.20.74</t>
  </si>
  <si>
    <t>K1930046</t>
  </si>
  <si>
    <t>宣智俐</t>
  </si>
  <si>
    <t>10.191.7.76</t>
  </si>
  <si>
    <t>FE:FC:FA:f0:a5:fb</t>
  </si>
  <si>
    <t>BK0371270</t>
  </si>
  <si>
    <t>K1930042-JB</t>
  </si>
  <si>
    <t>K1930042</t>
  </si>
  <si>
    <t>朱柄南</t>
  </si>
  <si>
    <t>10.191.7.77</t>
  </si>
  <si>
    <t>FE:FC:FA:55:30:a1</t>
  </si>
  <si>
    <t>BK1080058</t>
  </si>
  <si>
    <t>K0051984-JB</t>
  </si>
  <si>
    <t>160.22.10.234</t>
  </si>
  <si>
    <t>K0051984</t>
  </si>
  <si>
    <t>欧阳捷</t>
  </si>
  <si>
    <t>10.191.7.78</t>
  </si>
  <si>
    <t>FE:FC:FA:f0:ea:71</t>
  </si>
  <si>
    <t>BK1101552</t>
  </si>
  <si>
    <t>K1930035-JB</t>
  </si>
  <si>
    <t>160.22.10.53</t>
  </si>
  <si>
    <t>K1930035</t>
  </si>
  <si>
    <t>石小乐</t>
  </si>
  <si>
    <t>10.191.7.79</t>
  </si>
  <si>
    <t>FE:FC:FA:5b:17:dc</t>
  </si>
  <si>
    <t>BK1101585</t>
  </si>
  <si>
    <t>K2190030-JB</t>
  </si>
  <si>
    <t>160.22.7.159</t>
  </si>
  <si>
    <t>K2190030</t>
  </si>
  <si>
    <t>叶猛</t>
  </si>
  <si>
    <t>BK2190030</t>
  </si>
  <si>
    <t>10.191.7.80</t>
  </si>
  <si>
    <t>FE:FC:FA:62:4a:cf</t>
  </si>
  <si>
    <t>BK1101600</t>
  </si>
  <si>
    <t>K2190028-JB</t>
  </si>
  <si>
    <t>160.22.15.19</t>
  </si>
  <si>
    <t>K2190028</t>
  </si>
  <si>
    <t>吴莉莉</t>
  </si>
  <si>
    <t>10.191.7.81</t>
  </si>
  <si>
    <t>FE:FC:FA:75:a2:0b</t>
  </si>
  <si>
    <t>BK1101602</t>
  </si>
  <si>
    <t>K2511662-JB</t>
  </si>
  <si>
    <t>160.22.14.164</t>
  </si>
  <si>
    <t>K2511662</t>
  </si>
  <si>
    <t>陈琦</t>
  </si>
  <si>
    <t>BK2511662</t>
  </si>
  <si>
    <t>10.191.7.82</t>
  </si>
  <si>
    <t>FE:FC:FA:2f:a6:6f</t>
  </si>
  <si>
    <t>BK1101619</t>
  </si>
  <si>
    <t>K0051915-JB</t>
  </si>
  <si>
    <t>160.22.18.238</t>
  </si>
  <si>
    <t>K0051915</t>
  </si>
  <si>
    <t>陈伟杰</t>
  </si>
  <si>
    <t>10.191.7.83</t>
  </si>
  <si>
    <t>FE:FC:FA:98:31:f7</t>
  </si>
  <si>
    <t>BK1101622</t>
  </si>
  <si>
    <t>K1101901-JB</t>
  </si>
  <si>
    <t>160.22.7.25</t>
  </si>
  <si>
    <t>K1101901</t>
  </si>
  <si>
    <t>高明达</t>
  </si>
  <si>
    <t>BK1101901</t>
  </si>
  <si>
    <t>10.191.7.84</t>
  </si>
  <si>
    <t>FE:FC:FA:75:ce:9c</t>
  </si>
  <si>
    <t>BK1101719</t>
  </si>
  <si>
    <t>K0321748-JB</t>
  </si>
  <si>
    <t>160.22.6.209</t>
  </si>
  <si>
    <t>K0321748</t>
  </si>
  <si>
    <t>崔欣欣</t>
  </si>
  <si>
    <t>10.191.7.85</t>
  </si>
  <si>
    <t>FE:FC:FA:0f:9d:e8</t>
  </si>
  <si>
    <t>BK1101867</t>
  </si>
  <si>
    <t>K1101871-JB</t>
  </si>
  <si>
    <t>160.22.14.2</t>
  </si>
  <si>
    <t>K1101871</t>
  </si>
  <si>
    <t>李梦</t>
  </si>
  <si>
    <t>BK1101871</t>
  </si>
  <si>
    <t>10.191.7.86</t>
  </si>
  <si>
    <t>FE:FC:FA:78:4f:0d</t>
  </si>
  <si>
    <t>K1101867-JB</t>
  </si>
  <si>
    <t>160.22.22.150</t>
  </si>
  <si>
    <t>K1101867</t>
  </si>
  <si>
    <t>李玉春</t>
  </si>
  <si>
    <t>10.191.7.87</t>
  </si>
  <si>
    <t>FE:FC:FA:7e:f8:4b</t>
  </si>
  <si>
    <t>BK1131312</t>
  </si>
  <si>
    <t>K0051857-JB</t>
  </si>
  <si>
    <t>160.22.18.128</t>
  </si>
  <si>
    <t>K0051857</t>
  </si>
  <si>
    <t>干明慧</t>
  </si>
  <si>
    <t>10.191.7.88</t>
  </si>
  <si>
    <t>FE:FC:FA:d1:f8:5c</t>
  </si>
  <si>
    <t>BK1131366</t>
  </si>
  <si>
    <t>K2511608-JB</t>
  </si>
  <si>
    <t>160.22.5.186</t>
  </si>
  <si>
    <t>K2511608</t>
  </si>
  <si>
    <t>黄天宝</t>
  </si>
  <si>
    <t>BK2511608</t>
  </si>
  <si>
    <t>10.191.7.89</t>
  </si>
  <si>
    <t>FE:FC:FA:4e:b6:5f</t>
  </si>
  <si>
    <t>BK1131534</t>
  </si>
  <si>
    <t>K2511606-JB</t>
  </si>
  <si>
    <t>160.22.22.83</t>
  </si>
  <si>
    <t>K2511606</t>
  </si>
  <si>
    <t>刘畅</t>
  </si>
  <si>
    <t>BK2511606</t>
  </si>
  <si>
    <t>10.191.7.90</t>
  </si>
  <si>
    <t>FE:FC:FA:e2:de:0a</t>
  </si>
  <si>
    <t>BK1181659</t>
  </si>
  <si>
    <t>K2190002-1</t>
  </si>
  <si>
    <t>160.22.11.98</t>
  </si>
  <si>
    <t>K2190002</t>
  </si>
  <si>
    <t>李紫阳</t>
  </si>
  <si>
    <t>BK2190002</t>
  </si>
  <si>
    <t>10.191.7.91</t>
  </si>
  <si>
    <t>FE:FC:FA:2d:68:83</t>
  </si>
  <si>
    <t>BK2190001</t>
  </si>
  <si>
    <t>K2511568-JB</t>
  </si>
  <si>
    <t>160.22.5.82</t>
  </si>
  <si>
    <t>K2511568</t>
  </si>
  <si>
    <t>王祥</t>
  </si>
  <si>
    <t>BK2511568</t>
  </si>
  <si>
    <t>10.191.7.92</t>
  </si>
  <si>
    <t>FE:FC:FA:53:71:8b</t>
  </si>
  <si>
    <t>K2511416-JB</t>
  </si>
  <si>
    <t>160.22.12.198</t>
  </si>
  <si>
    <t>K2511416</t>
  </si>
  <si>
    <t>李平原</t>
  </si>
  <si>
    <t>BK2511416</t>
  </si>
  <si>
    <t>10.191.7.93</t>
  </si>
  <si>
    <t>FE:FC:FA:1c:e2:65</t>
  </si>
  <si>
    <t>BK2190008</t>
  </si>
  <si>
    <t>K2511415-JB</t>
  </si>
  <si>
    <t>160.22.5.53</t>
  </si>
  <si>
    <t>K2511415</t>
  </si>
  <si>
    <t>袁健</t>
  </si>
  <si>
    <t>BK2511415</t>
  </si>
  <si>
    <t>10.191.7.94</t>
  </si>
  <si>
    <t>FE:FC:FA:fa:6f:be</t>
  </si>
  <si>
    <t>K1101719-JB</t>
  </si>
  <si>
    <t>160.22.17.170</t>
  </si>
  <si>
    <t>K1101719</t>
  </si>
  <si>
    <t>夏军龙</t>
  </si>
  <si>
    <t>10.191.7.95</t>
  </si>
  <si>
    <t>FE:FC:FA:05:1a:06</t>
  </si>
  <si>
    <t>K0051444-JB</t>
  </si>
  <si>
    <t>160.22.21.113</t>
  </si>
  <si>
    <t>K0051444</t>
  </si>
  <si>
    <t>10.191.7.96</t>
  </si>
  <si>
    <t>FE:FC:FA:9f:8d:3f</t>
  </si>
  <si>
    <t>K0051690-JB</t>
  </si>
  <si>
    <t>160.22.17.171</t>
  </si>
  <si>
    <t>K0051690</t>
  </si>
  <si>
    <t>时学青</t>
  </si>
  <si>
    <t>10.191.7.97</t>
  </si>
  <si>
    <t>FE:FC:FA:e1:59:c7</t>
  </si>
  <si>
    <t>K1181659-JB</t>
  </si>
  <si>
    <t>160.22.11.162</t>
  </si>
  <si>
    <t>K1181659</t>
  </si>
  <si>
    <t>史敏杰</t>
  </si>
  <si>
    <t>10.191.7.98</t>
  </si>
  <si>
    <t>FE:FC:FA:7c:a0:11</t>
  </si>
  <si>
    <t>K0081203-JB</t>
  </si>
  <si>
    <t>160.22.11.158</t>
  </si>
  <si>
    <t>K0081203</t>
  </si>
  <si>
    <t>黄庆青</t>
  </si>
  <si>
    <t>10.191.7.99</t>
  </si>
  <si>
    <t>FE:FC:FA:c3:44:3c</t>
  </si>
  <si>
    <t>BK3181271</t>
  </si>
  <si>
    <t>K0050001-JB</t>
  </si>
  <si>
    <t>160.22.4.34</t>
  </si>
  <si>
    <t>K0050001</t>
  </si>
  <si>
    <t>谭霜</t>
  </si>
  <si>
    <t>10.191.7.100</t>
  </si>
  <si>
    <t>FE:FC:FA:3d:73:ec</t>
  </si>
  <si>
    <t>BK0021804</t>
  </si>
  <si>
    <t>K1131312-JB</t>
  </si>
  <si>
    <t>160.22.4.35</t>
  </si>
  <si>
    <t>K1131312</t>
  </si>
  <si>
    <t>徐宏宝</t>
  </si>
  <si>
    <t>10.191.7.101</t>
  </si>
  <si>
    <t>FE:FC:FA:7f:df:99</t>
  </si>
  <si>
    <t>BK0021846</t>
  </si>
  <si>
    <t>K2190008-JB</t>
  </si>
  <si>
    <t>160.22.2.145</t>
  </si>
  <si>
    <t>K2190008</t>
  </si>
  <si>
    <t>吴刚</t>
  </si>
  <si>
    <t>10.191.7.102</t>
  </si>
  <si>
    <t>FE:FC:FA:45:64:e1</t>
  </si>
  <si>
    <t>BK0051292</t>
  </si>
  <si>
    <t>K2190001-JB</t>
  </si>
  <si>
    <t>160.22.2.149</t>
  </si>
  <si>
    <t>K2190001</t>
  </si>
  <si>
    <t>徐明明</t>
  </si>
  <si>
    <t>10.191.7.103</t>
  </si>
  <si>
    <t>FE:FC:FA:2b:e7:1c</t>
  </si>
  <si>
    <t>BK0110078</t>
  </si>
  <si>
    <t>K1131584-JB</t>
  </si>
  <si>
    <t>160.22.11.22</t>
  </si>
  <si>
    <t>K1131584</t>
  </si>
  <si>
    <t>黄优</t>
  </si>
  <si>
    <t>BK1131584</t>
  </si>
  <si>
    <t>10.191.7.104</t>
  </si>
  <si>
    <t>FE:FC:FA:f1:47:e3</t>
  </si>
  <si>
    <t>K1131534-JB</t>
  </si>
  <si>
    <t>160.22.11.26</t>
  </si>
  <si>
    <t>K1131534</t>
  </si>
  <si>
    <t>向晋超</t>
  </si>
  <si>
    <t>10.191.7.105</t>
  </si>
  <si>
    <t>FE:FC:FA:93:40:be</t>
  </si>
  <si>
    <t>BK0591219</t>
  </si>
  <si>
    <t>K1131366-JB</t>
  </si>
  <si>
    <t>160.22.17.113</t>
  </si>
  <si>
    <t>K1131366</t>
  </si>
  <si>
    <t>李京环</t>
  </si>
  <si>
    <t>10.191.7.106</t>
  </si>
  <si>
    <t>FE:FC:FA:dc:b6:aa</t>
  </si>
  <si>
    <t>BK0790004</t>
  </si>
  <si>
    <t>K1101622-JB</t>
  </si>
  <si>
    <t>160.22.11.17</t>
  </si>
  <si>
    <t>K1101622</t>
  </si>
  <si>
    <t>徐杰</t>
  </si>
  <si>
    <t>10.191.7.107</t>
  </si>
  <si>
    <t>FE:FC:FA:8c:a8:d8</t>
  </si>
  <si>
    <t>BK1101340</t>
  </si>
  <si>
    <t>K1101619-JB</t>
  </si>
  <si>
    <t>160.22.11.16</t>
  </si>
  <si>
    <t>K1101619</t>
  </si>
  <si>
    <t>彭俊</t>
  </si>
  <si>
    <t>10.191.7.108</t>
  </si>
  <si>
    <t>FE:FC:FA:24:ee:3c</t>
  </si>
  <si>
    <t>BK1101358</t>
  </si>
  <si>
    <t>K1101602-JB</t>
  </si>
  <si>
    <t>160.22.3.135</t>
  </si>
  <si>
    <t>K1101602</t>
  </si>
  <si>
    <t>王先锋</t>
  </si>
  <si>
    <t>10.191.7.109</t>
  </si>
  <si>
    <t>FE:FC:FA:d4:27:78</t>
  </si>
  <si>
    <t>BK1131304</t>
  </si>
  <si>
    <t>K1101600-JB</t>
  </si>
  <si>
    <t>160.22.17.114</t>
  </si>
  <si>
    <t>K1101600</t>
  </si>
  <si>
    <t>姚峻峰</t>
  </si>
  <si>
    <t>10.191.7.110</t>
  </si>
  <si>
    <t>FE:FC:FA:24:67:8e</t>
  </si>
  <si>
    <t>BK2520116</t>
  </si>
  <si>
    <t>K1101585-JB</t>
  </si>
  <si>
    <t>160.22.21.81</t>
  </si>
  <si>
    <t>K1101585</t>
  </si>
  <si>
    <t>陈成</t>
  </si>
  <si>
    <t>10.191.7.111</t>
  </si>
  <si>
    <t>FE:FC:FA:6c:4f:8b</t>
  </si>
  <si>
    <t>BK2520156</t>
  </si>
  <si>
    <t>K1101552-JB</t>
  </si>
  <si>
    <t>160.22.21.68</t>
  </si>
  <si>
    <t>K1101552</t>
  </si>
  <si>
    <t>杨静宁</t>
  </si>
  <si>
    <t>10.191.7.112</t>
  </si>
  <si>
    <t>FE:FC:FA:e6:4e:25</t>
  </si>
  <si>
    <t>BK2521439</t>
  </si>
  <si>
    <t>K1101358-JB</t>
  </si>
  <si>
    <t>K1101358</t>
  </si>
  <si>
    <t>唐佳佳</t>
  </si>
  <si>
    <t>10.191.7.113</t>
  </si>
  <si>
    <t>FE:FC:FA:96:47:6f</t>
  </si>
  <si>
    <t>BK2521440</t>
  </si>
  <si>
    <t>K1101340-JB</t>
  </si>
  <si>
    <t>K1101340</t>
  </si>
  <si>
    <t>史兆明</t>
  </si>
  <si>
    <t>10.191.7.114</t>
  </si>
  <si>
    <t>FE:FC:FA:5b:0a:a2</t>
  </si>
  <si>
    <t>BK3181273</t>
  </si>
  <si>
    <t>K1080058-JB</t>
  </si>
  <si>
    <t>160.22.3.144</t>
  </si>
  <si>
    <t>K1080058</t>
  </si>
  <si>
    <t>杨杰</t>
  </si>
  <si>
    <t>10.191.7.115</t>
  </si>
  <si>
    <t>FE:FC:FA:92:eb:4d</t>
  </si>
  <si>
    <t>BK3181274</t>
  </si>
  <si>
    <t>160.22.17.83</t>
  </si>
  <si>
    <t>K0790004-JB</t>
  </si>
  <si>
    <t>K0790004</t>
  </si>
  <si>
    <t>武建政</t>
  </si>
  <si>
    <t>10.191.7.116</t>
  </si>
  <si>
    <t>FE:FC:FA:d3:f4:74</t>
  </si>
  <si>
    <t>BK4370003</t>
  </si>
  <si>
    <t>K0110078-JB</t>
  </si>
  <si>
    <t>K0110078</t>
  </si>
  <si>
    <t>崔琼文</t>
  </si>
  <si>
    <t>10.191.7.117</t>
  </si>
  <si>
    <t>FE:FC:FA:e3:18:38</t>
  </si>
  <si>
    <t>BK4370004</t>
  </si>
  <si>
    <t>K0051292-JB</t>
  </si>
  <si>
    <t>K0051292</t>
  </si>
  <si>
    <t>苑光辉</t>
  </si>
  <si>
    <t>10.191.7.118</t>
  </si>
  <si>
    <t>FE:FC:FA:91:55:79</t>
  </si>
  <si>
    <t>BK4370005</t>
  </si>
  <si>
    <t>K1131304-JB</t>
  </si>
  <si>
    <t>K1131304</t>
  </si>
  <si>
    <t>姚国琴</t>
  </si>
  <si>
    <t>10.191.7.119</t>
  </si>
  <si>
    <t>FE:FC:FA:d7:62:eb</t>
  </si>
  <si>
    <t>BK4370006</t>
  </si>
  <si>
    <t>K0591219-JB</t>
  </si>
  <si>
    <t>K0591219</t>
  </si>
  <si>
    <t>刘雪微</t>
  </si>
  <si>
    <t>10.191.7.120</t>
  </si>
  <si>
    <t>FE:FC:FA:e5:a0:03</t>
  </si>
  <si>
    <t>BK4370007</t>
  </si>
  <si>
    <t>K3181274-JB</t>
  </si>
  <si>
    <t>K3181274</t>
  </si>
  <si>
    <t>赵兰兰</t>
  </si>
  <si>
    <t>资产托管部</t>
  </si>
  <si>
    <t>10.191.7.121</t>
  </si>
  <si>
    <t>FE:FC:FA:f3:67:26</t>
  </si>
  <si>
    <t>BK4370008</t>
  </si>
  <si>
    <t>K3181273-JB</t>
  </si>
  <si>
    <t>K3181273</t>
  </si>
  <si>
    <t>张兆含</t>
  </si>
  <si>
    <t>10.191.7.122</t>
  </si>
  <si>
    <t>FE:FC:FA:77:62:15</t>
  </si>
  <si>
    <t>BK4370009</t>
  </si>
  <si>
    <t>K2521440-JB</t>
  </si>
  <si>
    <t>K2521440</t>
  </si>
  <si>
    <t>武少波</t>
  </si>
  <si>
    <t>10.191.7.123</t>
  </si>
  <si>
    <t>FE:FC:FA:41:2f:e0</t>
  </si>
  <si>
    <t>BK5520003</t>
  </si>
  <si>
    <t>K2521439-JB</t>
  </si>
  <si>
    <t>K2521439</t>
  </si>
  <si>
    <t>王瑞文</t>
  </si>
  <si>
    <t>10.191.7.124</t>
  </si>
  <si>
    <t>FE:FC:FA:c8:71:f3</t>
  </si>
  <si>
    <t>BK0021264</t>
  </si>
  <si>
    <t>K4370009-JB</t>
  </si>
  <si>
    <t>K4370009</t>
  </si>
  <si>
    <t>宦翔</t>
  </si>
  <si>
    <t>10.191.7.125</t>
  </si>
  <si>
    <t>FE:FC:FA:22:4a:7b</t>
  </si>
  <si>
    <t>BK0021391</t>
  </si>
  <si>
    <t>K4370008-JB</t>
  </si>
  <si>
    <t>K4370008</t>
  </si>
  <si>
    <t>吴翔</t>
  </si>
  <si>
    <t>10.191.7.126</t>
  </si>
  <si>
    <t>FE:FC:FA:9d:58:1c</t>
  </si>
  <si>
    <t>BK0021507</t>
  </si>
  <si>
    <t>K4370007-JB</t>
  </si>
  <si>
    <t>K4370007</t>
  </si>
  <si>
    <t>谭芳</t>
  </si>
  <si>
    <t>10.191.7.127</t>
  </si>
  <si>
    <t>FE:FC:FA:90:69:33</t>
  </si>
  <si>
    <t>BK0021734</t>
  </si>
  <si>
    <t>K4370006-JB</t>
  </si>
  <si>
    <t>K4370006</t>
  </si>
  <si>
    <t>崔中好</t>
  </si>
  <si>
    <t>10.191.7.128</t>
  </si>
  <si>
    <t>FE:FC:FA:07:30:1f</t>
  </si>
  <si>
    <t>BK0371203</t>
  </si>
  <si>
    <t>K4370005-JB</t>
  </si>
  <si>
    <t>K4370005</t>
  </si>
  <si>
    <t>郑子晨</t>
  </si>
  <si>
    <t>10.191.7.129</t>
  </si>
  <si>
    <t>FE:FC:FA:58:ac:b9</t>
  </si>
  <si>
    <t>BK0371262</t>
  </si>
  <si>
    <t>K4370004-JB</t>
  </si>
  <si>
    <t>K4370004</t>
  </si>
  <si>
    <t>丁宇</t>
  </si>
  <si>
    <t>10.191.7.130</t>
  </si>
  <si>
    <t>FE:FC:FA:5a:10:82</t>
  </si>
  <si>
    <t>BK0371263</t>
  </si>
  <si>
    <t>K5520003-JB</t>
  </si>
  <si>
    <t>K5520003</t>
  </si>
  <si>
    <t>郭伟</t>
  </si>
  <si>
    <t>10.191.7.131</t>
  </si>
  <si>
    <t>FE:FC:FA:d4:f1:52</t>
  </si>
  <si>
    <t>BK0371276</t>
  </si>
  <si>
    <t>K0021846-JB</t>
  </si>
  <si>
    <t>K0021846</t>
  </si>
  <si>
    <t>高瑞潮</t>
  </si>
  <si>
    <t>10.191.7.132</t>
  </si>
  <si>
    <t>FE:FC:FA:45:26:0b</t>
  </si>
  <si>
    <t>BK2520051</t>
  </si>
  <si>
    <t>K0371270-JB</t>
  </si>
  <si>
    <t>160.22.19.64</t>
  </si>
  <si>
    <t>K0371270</t>
  </si>
  <si>
    <t>10.191.7.133</t>
  </si>
  <si>
    <t>FE:FC:FA:f8:d8:2d</t>
  </si>
  <si>
    <t>BK2520052</t>
  </si>
  <si>
    <t>160.22.21.29</t>
  </si>
  <si>
    <t>K3181271-JB</t>
  </si>
  <si>
    <t>K3181271</t>
  </si>
  <si>
    <t>冀晓芳</t>
  </si>
  <si>
    <t>10.191.7.134</t>
  </si>
  <si>
    <t>FE:FC:FA:91:e8:a2</t>
  </si>
  <si>
    <t>BK2520091</t>
  </si>
  <si>
    <t>K4370003-JB</t>
  </si>
  <si>
    <t>K4370003</t>
  </si>
  <si>
    <t>庞晨波</t>
  </si>
  <si>
    <t>10.191.7.135</t>
  </si>
  <si>
    <t>FE:FC:FA:11:f4:e8</t>
  </si>
  <si>
    <t>BK2520118</t>
  </si>
  <si>
    <t>K2520116-JB</t>
  </si>
  <si>
    <t>K2520116</t>
  </si>
  <si>
    <t>陆学浩</t>
  </si>
  <si>
    <t>10.191.7.136</t>
  </si>
  <si>
    <t>FE:FC:FA:2e:37:67</t>
  </si>
  <si>
    <t>BK2520147</t>
  </si>
  <si>
    <t>K2520156-JB</t>
  </si>
  <si>
    <t>K2520156</t>
  </si>
  <si>
    <t>周江涛</t>
  </si>
  <si>
    <t>10.191.7.137</t>
  </si>
  <si>
    <t>FE:FC:FA:17:59:55</t>
  </si>
  <si>
    <t>BK2520150</t>
  </si>
  <si>
    <t>K0021804-JB</t>
  </si>
  <si>
    <t>K0021804</t>
  </si>
  <si>
    <t>10.191.7.138</t>
  </si>
  <si>
    <t>FE:FC:FA:66:8b:9a</t>
  </si>
  <si>
    <t>BK2520151</t>
  </si>
  <si>
    <t>K2520151-JB</t>
  </si>
  <si>
    <t>160.22.11.136</t>
  </si>
  <si>
    <t>K2520151</t>
  </si>
  <si>
    <t>曹健</t>
  </si>
  <si>
    <t>10.191.7.139</t>
  </si>
  <si>
    <t>FE:FC:FA:ea:86:8d</t>
  </si>
  <si>
    <t>BK3180003</t>
  </si>
  <si>
    <t>K2520150-JB</t>
  </si>
  <si>
    <t>160.22.16.91</t>
  </si>
  <si>
    <t>K2520150</t>
  </si>
  <si>
    <t>霍震震</t>
  </si>
  <si>
    <t>10.191.7.140</t>
  </si>
  <si>
    <t>FE:FC:FA:04:67:72</t>
  </si>
  <si>
    <t>BK4370001</t>
  </si>
  <si>
    <t>K2520147-JB</t>
  </si>
  <si>
    <t>160.22.20.49</t>
  </si>
  <si>
    <t>K2520147</t>
  </si>
  <si>
    <t>王晓祥</t>
  </si>
  <si>
    <t>10.191.7.141</t>
  </si>
  <si>
    <t>FE:FC:FA:71:49:2b</t>
  </si>
  <si>
    <t>K0371263-JB</t>
  </si>
  <si>
    <t>160.22.23.190</t>
  </si>
  <si>
    <t>K0371263</t>
  </si>
  <si>
    <t>任卫宾</t>
  </si>
  <si>
    <t>10.191.7.142</t>
  </si>
  <si>
    <t>FE:FC:FA:ad:5a:f4</t>
  </si>
  <si>
    <t>K0021734-JB</t>
  </si>
  <si>
    <t>160.22.23.128</t>
  </si>
  <si>
    <t>K0021734</t>
  </si>
  <si>
    <t>武守单</t>
  </si>
  <si>
    <t>10.191.7.143</t>
  </si>
  <si>
    <t>FE:FC:FA:d1:68:ab</t>
  </si>
  <si>
    <t>K0371276-JB</t>
  </si>
  <si>
    <t>160.22.19.135</t>
  </si>
  <si>
    <t>K0371276</t>
  </si>
  <si>
    <t>尤丹凤</t>
  </si>
  <si>
    <t>10.191.7.144</t>
  </si>
  <si>
    <t>FE:FC:FA:0c:b2:42</t>
  </si>
  <si>
    <t>K4370001-JB</t>
  </si>
  <si>
    <t>160.22.23.49</t>
  </si>
  <si>
    <t>K4370001</t>
  </si>
  <si>
    <t>陈亚琴</t>
  </si>
  <si>
    <t>10.191.7.145</t>
  </si>
  <si>
    <t>FE:FC:FA:27:52:2e</t>
  </si>
  <si>
    <t>K2520118-JB</t>
  </si>
  <si>
    <t>160.22.23.48</t>
  </si>
  <si>
    <t>K2520118</t>
  </si>
  <si>
    <t>王银萍</t>
  </si>
  <si>
    <t>10.191.7.146</t>
  </si>
  <si>
    <t>FE:FC:FA:c6:8c:fb</t>
  </si>
  <si>
    <t>K2520091-JB</t>
  </si>
  <si>
    <t>160.22.23.37</t>
  </si>
  <si>
    <t>K2520091</t>
  </si>
  <si>
    <t>王琨</t>
  </si>
  <si>
    <t>10.191.7.147</t>
  </si>
  <si>
    <t>FE:FC:FA:14:89:be</t>
  </si>
  <si>
    <t>K3180003-JB</t>
  </si>
  <si>
    <t>160.22.19.42</t>
  </si>
  <si>
    <t>K3180003</t>
  </si>
  <si>
    <t>王宁秀</t>
  </si>
  <si>
    <t>10.191.7.148</t>
  </si>
  <si>
    <t>FE:FC:FA:18:79:d5</t>
  </si>
  <si>
    <t>K2520052-JB</t>
  </si>
  <si>
    <t>160.22.22.247</t>
  </si>
  <si>
    <t>K2520052</t>
  </si>
  <si>
    <t>印佳玲</t>
  </si>
  <si>
    <t>10.191.7.149</t>
  </si>
  <si>
    <t>FE:FC:FA:4e:07:6f</t>
  </si>
  <si>
    <t>K2520051-JB</t>
  </si>
  <si>
    <t>160.22.22.246</t>
  </si>
  <si>
    <t>K2520051</t>
  </si>
  <si>
    <t>谢小杰</t>
  </si>
  <si>
    <t>10.191.7.150</t>
  </si>
  <si>
    <t>FE:FC:FA:17:ae:d0</t>
  </si>
  <si>
    <t>K0371262-JB</t>
  </si>
  <si>
    <t>160.22.17.67</t>
  </si>
  <si>
    <t>K0371262</t>
  </si>
  <si>
    <t>董涛</t>
  </si>
  <si>
    <t>10.191.7.151</t>
  </si>
  <si>
    <t>FE:FC:FA:84:34:6c</t>
  </si>
  <si>
    <t>K0371239-JB</t>
  </si>
  <si>
    <t>K0371239</t>
  </si>
  <si>
    <t>刘士发</t>
  </si>
  <si>
    <t>10.191.7.152</t>
  </si>
  <si>
    <t>FE:FC:FA:69:84:7b</t>
  </si>
  <si>
    <t>K0371203-JB</t>
  </si>
  <si>
    <t>160.22.3.82</t>
  </si>
  <si>
    <t>K0371203</t>
  </si>
  <si>
    <t>赵鹏</t>
  </si>
  <si>
    <t>10.191.7.153</t>
  </si>
  <si>
    <t>FE:FC:FA:d6:b3:8f</t>
  </si>
  <si>
    <t>K0021507-JB</t>
  </si>
  <si>
    <t>160.22.21.34</t>
  </si>
  <si>
    <t>K0021507</t>
  </si>
  <si>
    <t>余东波</t>
  </si>
  <si>
    <t>10.191.7.154</t>
  </si>
  <si>
    <t>FE:FC:FA:fa:cd:d5</t>
  </si>
  <si>
    <t>K0021391-JB</t>
  </si>
  <si>
    <t>160.22.17.109</t>
  </si>
  <si>
    <t>K0021391</t>
  </si>
  <si>
    <t>胡仁慧</t>
  </si>
  <si>
    <t>10.191.7.155</t>
  </si>
  <si>
    <t>FE:FC:FA:c9:48:d2</t>
  </si>
  <si>
    <t>K0021264-JB</t>
  </si>
  <si>
    <t>160.22.21.104</t>
  </si>
  <si>
    <t>K0021264</t>
  </si>
  <si>
    <t>马枭源</t>
  </si>
  <si>
    <t>10.191.7.156</t>
  </si>
  <si>
    <t>FE:FC:FA:c8:1c:47</t>
  </si>
  <si>
    <t>10.191.11.139</t>
  </si>
  <si>
    <t>160.22.3.223</t>
  </si>
  <si>
    <t>10.191.6.46|192.168.153.1</t>
  </si>
  <si>
    <t>导入资源
（填新桌面名称）
无顺序要求</t>
  </si>
  <si>
    <t>K0892149-JB</t>
  </si>
  <si>
    <t>160.22.11.199</t>
  </si>
  <si>
    <t>K0892149</t>
  </si>
  <si>
    <t>肖园</t>
  </si>
  <si>
    <t>AI创新发展部</t>
  </si>
  <si>
    <t>BK0892149</t>
  </si>
  <si>
    <t>10.191.7.157</t>
  </si>
  <si>
    <t>FE:FC:FA:b4:6e:a0</t>
  </si>
  <si>
    <t>BK0021579</t>
  </si>
  <si>
    <t>BK2570024</t>
  </si>
  <si>
    <t>K2502213-JB</t>
  </si>
  <si>
    <t>160.22.22.65</t>
  </si>
  <si>
    <t>K2502213</t>
  </si>
  <si>
    <t>刘晓平</t>
  </si>
  <si>
    <t>BK2502213</t>
  </si>
  <si>
    <t>10.191.7.158</t>
  </si>
  <si>
    <t>FE:FC:FA:08:95:b0</t>
  </si>
  <si>
    <t>BK0051495</t>
  </si>
  <si>
    <t>BK2570023</t>
  </si>
  <si>
    <t>K0892147-JB</t>
  </si>
  <si>
    <t>160.22.3.251</t>
  </si>
  <si>
    <t>K0892147</t>
  </si>
  <si>
    <t>孙文龙</t>
  </si>
  <si>
    <t>BK0892147</t>
  </si>
  <si>
    <t>10.191.7.159</t>
  </si>
  <si>
    <t>FE:FC:FA:b3:7d:23</t>
  </si>
  <si>
    <t>BK0051608</t>
  </si>
  <si>
    <t>BK4990003</t>
  </si>
  <si>
    <t>K5940001-JB</t>
  </si>
  <si>
    <t>160.22.18.25</t>
  </si>
  <si>
    <t>K5940001</t>
  </si>
  <si>
    <t>方雨芬</t>
  </si>
  <si>
    <t>BK5940001</t>
  </si>
  <si>
    <t>10.191.7.161</t>
  </si>
  <si>
    <t>FE:FC:FA:ee:cc:6d</t>
  </si>
  <si>
    <t>BK0051805</t>
  </si>
  <si>
    <t>BK0971210</t>
  </si>
  <si>
    <t>K1182282-JB</t>
  </si>
  <si>
    <t>160.22.22.3</t>
  </si>
  <si>
    <t>K1182282</t>
  </si>
  <si>
    <t>张明月</t>
  </si>
  <si>
    <t>BK1182282</t>
  </si>
  <si>
    <t>10.191.7.162</t>
  </si>
  <si>
    <t>FE:FC:FA:2b:5e:bd</t>
  </si>
  <si>
    <t>BK0051945</t>
  </si>
  <si>
    <t>BK1102273</t>
  </si>
  <si>
    <t>K1102168-JB</t>
  </si>
  <si>
    <t>160.22.4.216</t>
  </si>
  <si>
    <t>K1102168</t>
  </si>
  <si>
    <t>孔亚南</t>
  </si>
  <si>
    <t>BK1102168</t>
  </si>
  <si>
    <t>10.191.7.164</t>
  </si>
  <si>
    <t>FE:FC:FA:1e:dd:b3</t>
  </si>
  <si>
    <t>重启无消息</t>
  </si>
  <si>
    <t>BK0051959</t>
  </si>
  <si>
    <t>BK5930001</t>
  </si>
  <si>
    <t>K5010002-JB</t>
  </si>
  <si>
    <t>160.22.18.92</t>
  </si>
  <si>
    <t>K5010002</t>
  </si>
  <si>
    <t>王俊峡</t>
  </si>
  <si>
    <t>财富管理解决方案总部</t>
  </si>
  <si>
    <t>BK5010002</t>
  </si>
  <si>
    <t>10.191.7.166</t>
  </si>
  <si>
    <t>FE:FC:FA:f4:57:24</t>
  </si>
  <si>
    <t>BK0151201</t>
  </si>
  <si>
    <t>BK1102329</t>
  </si>
  <si>
    <t>K2502208-JB</t>
  </si>
  <si>
    <t>160.22.18.70</t>
  </si>
  <si>
    <t>K2502208</t>
  </si>
  <si>
    <t>环先平</t>
  </si>
  <si>
    <t>BK2502208</t>
  </si>
  <si>
    <t>10.191.7.167</t>
  </si>
  <si>
    <t>FE:FC:FA:86:56:a9</t>
  </si>
  <si>
    <t>BK0231368</t>
  </si>
  <si>
    <t>BK1102328</t>
  </si>
  <si>
    <t>K1102349-JB</t>
  </si>
  <si>
    <t>160.22.11.164</t>
  </si>
  <si>
    <t>K1102349</t>
  </si>
  <si>
    <t>计承俊</t>
  </si>
  <si>
    <t>取消迁移</t>
  </si>
  <si>
    <t>BK1102349</t>
  </si>
  <si>
    <t>10.191.7.168</t>
  </si>
  <si>
    <t>FE:FC:FA:aa:95:0e</t>
  </si>
  <si>
    <t>K1102348-JB</t>
  </si>
  <si>
    <t>160.22.11.159</t>
  </si>
  <si>
    <t>K1102348</t>
  </si>
  <si>
    <t>李德浩</t>
  </si>
  <si>
    <t>BK1102348</t>
  </si>
  <si>
    <t>10.191.7.169</t>
  </si>
  <si>
    <t>FE:FC:FA:c6:5a:c5</t>
  </si>
  <si>
    <t>BK0721220</t>
  </si>
  <si>
    <t>BK0052085</t>
  </si>
  <si>
    <t>K0771213-JB</t>
  </si>
  <si>
    <t>160.22.18.62</t>
  </si>
  <si>
    <t>K0771213</t>
  </si>
  <si>
    <t>董秀琳</t>
  </si>
  <si>
    <t>BK0771213</t>
  </si>
  <si>
    <t>10.191.7.170</t>
  </si>
  <si>
    <t>FE:FC:FA:c7:e1:78</t>
  </si>
  <si>
    <t>VDI_Cluster02_LUN02</t>
  </si>
  <si>
    <t>BK1101550</t>
  </si>
  <si>
    <t>BK1182285</t>
  </si>
  <si>
    <t>K0771218-JB</t>
  </si>
  <si>
    <t>160.22.18.66</t>
  </si>
  <si>
    <t>K0771218</t>
  </si>
  <si>
    <t>陈静</t>
  </si>
  <si>
    <t>BK0771218</t>
  </si>
  <si>
    <t>10.191.7.171</t>
  </si>
  <si>
    <t>FE:FC:FA:21:7c:fd</t>
  </si>
  <si>
    <t>BK1101590</t>
  </si>
  <si>
    <t>BK1182284</t>
  </si>
  <si>
    <t>K0161976-JB</t>
  </si>
  <si>
    <t>160.22.3.114</t>
  </si>
  <si>
    <t>K0161976</t>
  </si>
  <si>
    <t>文飞翔</t>
  </si>
  <si>
    <t>BK0161976</t>
  </si>
  <si>
    <t>10.191.7.173</t>
  </si>
  <si>
    <t>FE:FC:FA:e7:29:d5</t>
  </si>
  <si>
    <t>BK1101735</t>
  </si>
  <si>
    <t>BK5860001</t>
  </si>
  <si>
    <t>K0161975-JB</t>
  </si>
  <si>
    <t>160.22.3.107</t>
  </si>
  <si>
    <t>K0161975</t>
  </si>
  <si>
    <t>代虎</t>
  </si>
  <si>
    <t>BK0161975</t>
  </si>
  <si>
    <t>10.191.7.174</t>
  </si>
  <si>
    <t>FE:FC:FA:b4:1d:e5</t>
  </si>
  <si>
    <t>BK1101866</t>
  </si>
  <si>
    <t>BK1570015</t>
  </si>
  <si>
    <t>K0161974-JB</t>
  </si>
  <si>
    <t>160.22.3.110</t>
  </si>
  <si>
    <t>K0161974</t>
  </si>
  <si>
    <t>李民杰</t>
  </si>
  <si>
    <t>BK0161974</t>
  </si>
  <si>
    <t>10.191.7.175</t>
  </si>
  <si>
    <t>FE:FC:FA:24:37:a3</t>
  </si>
  <si>
    <t>BK1101986</t>
  </si>
  <si>
    <t>BK1570014</t>
  </si>
  <si>
    <t>K0161973-JB</t>
  </si>
  <si>
    <t>160.22.22.24</t>
  </si>
  <si>
    <t>K0161973</t>
  </si>
  <si>
    <t>殷鼎文</t>
  </si>
  <si>
    <t>BK0161973</t>
  </si>
  <si>
    <t>10.191.7.176</t>
  </si>
  <si>
    <t>FE:FC:FA:de:92:c0</t>
  </si>
  <si>
    <t>BK2511572</t>
  </si>
  <si>
    <t>BK2570021</t>
  </si>
  <si>
    <t>K1102324-JB</t>
  </si>
  <si>
    <t>160.22.3.70</t>
  </si>
  <si>
    <t>K1102324</t>
  </si>
  <si>
    <t>缪诗晨</t>
  </si>
  <si>
    <t>BK1102324</t>
  </si>
  <si>
    <t>10.191.7.177</t>
  </si>
  <si>
    <t>FE:FC:FA:d5:79:73</t>
  </si>
  <si>
    <t>BK2750002</t>
  </si>
  <si>
    <t>BK1570012</t>
  </si>
  <si>
    <t>K0161971-JB</t>
  </si>
  <si>
    <t>160.22.3.59</t>
  </si>
  <si>
    <t>K0161971</t>
  </si>
  <si>
    <t>刘超</t>
  </si>
  <si>
    <t>BK0161971</t>
  </si>
  <si>
    <t>10.191.7.178</t>
  </si>
  <si>
    <t>FE:FC:FA:e2:b3:ce</t>
  </si>
  <si>
    <t>K5010001-JB</t>
  </si>
  <si>
    <t>160.22.21.243</t>
  </si>
  <si>
    <t>K5010001</t>
  </si>
  <si>
    <t>陈娇</t>
  </si>
  <si>
    <t>BK5010001</t>
  </si>
  <si>
    <t>10.191.7.179</t>
  </si>
  <si>
    <t>FE:FC:FA:f8:13:91</t>
  </si>
  <si>
    <t>BK4360001</t>
  </si>
  <si>
    <t>BK1570011</t>
  </si>
  <si>
    <t>K1102260-JB</t>
  </si>
  <si>
    <t>160.22.9.64</t>
  </si>
  <si>
    <t>K1102260</t>
  </si>
  <si>
    <t>王续锋</t>
  </si>
  <si>
    <t>BK1102260</t>
  </si>
  <si>
    <t>10.191.7.180</t>
  </si>
  <si>
    <t>FE:FC:FA:96:9e:6c</t>
  </si>
  <si>
    <t>BK4360002</t>
  </si>
  <si>
    <t>BK2860081</t>
  </si>
  <si>
    <t>K0021866-JB</t>
  </si>
  <si>
    <t>160.22.11.123</t>
  </si>
  <si>
    <t>K0021866</t>
  </si>
  <si>
    <t>朱家辉</t>
  </si>
  <si>
    <t>风险管理部</t>
  </si>
  <si>
    <t>BK0021866</t>
  </si>
  <si>
    <t>10.191.7.181</t>
  </si>
  <si>
    <t>FE:FC:FA:23:c8:d2</t>
  </si>
  <si>
    <t>VDI_Cluster02_LUN03</t>
  </si>
  <si>
    <t>BK4780001</t>
  </si>
  <si>
    <t>BK2151432</t>
  </si>
  <si>
    <t>K0021865-JB</t>
  </si>
  <si>
    <t>160.22.11.111</t>
  </si>
  <si>
    <t>K0021865</t>
  </si>
  <si>
    <t>武子光</t>
  </si>
  <si>
    <t>BK0021865</t>
  </si>
  <si>
    <t>10.191.7.182</t>
  </si>
  <si>
    <t>FE:FC:FA:5c:66:02</t>
  </si>
  <si>
    <t>BK0021563</t>
  </si>
  <si>
    <t>BK0892140</t>
  </si>
  <si>
    <t>K0021863-JB</t>
  </si>
  <si>
    <t>160.22.18.46</t>
  </si>
  <si>
    <t>K0021863</t>
  </si>
  <si>
    <t>张路瑶</t>
  </si>
  <si>
    <t>BK0021863</t>
  </si>
  <si>
    <t>10.191.7.183</t>
  </si>
  <si>
    <t>FE:FC:FA:fa:f3:20</t>
  </si>
  <si>
    <t>K0021859-JB</t>
  </si>
  <si>
    <t>160.22.10.208</t>
  </si>
  <si>
    <t>K0021859</t>
  </si>
  <si>
    <t>何家桥</t>
  </si>
  <si>
    <t>BK0021859</t>
  </si>
  <si>
    <t>10.191.7.184</t>
  </si>
  <si>
    <t>FE:FC:FA:a1:ac:3f</t>
  </si>
  <si>
    <t>K0021858-JB</t>
  </si>
  <si>
    <t>160.22.10.185</t>
  </si>
  <si>
    <t>K0021858</t>
  </si>
  <si>
    <t>张元缘</t>
  </si>
  <si>
    <t>BK0021858</t>
  </si>
  <si>
    <t>10.191.7.185</t>
  </si>
  <si>
    <t>FE:FC:FA:a9:d8:26</t>
  </si>
  <si>
    <t>K0021857-JB</t>
  </si>
  <si>
    <t>160.22.10.183</t>
  </si>
  <si>
    <t>K0021857</t>
  </si>
  <si>
    <t>冯浩</t>
  </si>
  <si>
    <t>BK0021857</t>
  </si>
  <si>
    <t>10.191.7.186</t>
  </si>
  <si>
    <t>FE:FC:FA:33:91:3c</t>
  </si>
  <si>
    <t>K0021856-JB</t>
  </si>
  <si>
    <t>160.22.10.178</t>
  </si>
  <si>
    <t>K0021856</t>
  </si>
  <si>
    <t>孙力</t>
  </si>
  <si>
    <t>BK0021856</t>
  </si>
  <si>
    <t>10.191.7.187</t>
  </si>
  <si>
    <t>FE:FC:FA:84:04:0f</t>
  </si>
  <si>
    <t>K0021855-JB</t>
  </si>
  <si>
    <t>160.22.2.237</t>
  </si>
  <si>
    <t>K0021855</t>
  </si>
  <si>
    <t>黄俊妍</t>
  </si>
  <si>
    <t>BK0021855</t>
  </si>
  <si>
    <t>10.191.7.188</t>
  </si>
  <si>
    <t>FE:FC:FA:50:71:ef</t>
  </si>
  <si>
    <t>BK0021864</t>
  </si>
  <si>
    <t>BK1182278</t>
  </si>
  <si>
    <t>K2070011-JB</t>
  </si>
  <si>
    <t>160.22.4.4</t>
  </si>
  <si>
    <t>K2070011</t>
  </si>
  <si>
    <t>李松坡</t>
  </si>
  <si>
    <t>固定收益部</t>
  </si>
  <si>
    <t>BK2070011</t>
  </si>
  <si>
    <t>10.191.7.189</t>
  </si>
  <si>
    <t>FE:FC:FA:37:07:4e</t>
  </si>
  <si>
    <t>BK0052093</t>
  </si>
  <si>
    <t>BK1181302</t>
  </si>
  <si>
    <t>K3150020-JB</t>
  </si>
  <si>
    <t>160.22.10.145</t>
  </si>
  <si>
    <t>K3150020</t>
  </si>
  <si>
    <t>金瑞奕</t>
  </si>
  <si>
    <t>BK3150020</t>
  </si>
  <si>
    <t>10.191.7.190</t>
  </si>
  <si>
    <t>FE:FC:FA:b8:15:fb</t>
  </si>
  <si>
    <t>BK0311226</t>
  </si>
  <si>
    <t>BK2051641</t>
  </si>
  <si>
    <t>K2502182-JB</t>
  </si>
  <si>
    <t>160.22.18.45</t>
  </si>
  <si>
    <t>K2502182</t>
  </si>
  <si>
    <t>梁文雅</t>
  </si>
  <si>
    <t>BK2502182</t>
  </si>
  <si>
    <t>10.191.7.191</t>
  </si>
  <si>
    <t>FE:FC:FA:a0:2f:7e</t>
  </si>
  <si>
    <t>VDI_Cluster02_LUN04</t>
  </si>
  <si>
    <t>BK0721233</t>
  </si>
  <si>
    <t>BK1102319</t>
  </si>
  <si>
    <t>K1102323-JB</t>
  </si>
  <si>
    <t>160.22.3.65</t>
  </si>
  <si>
    <t>K1102323</t>
  </si>
  <si>
    <t>王晨晗</t>
  </si>
  <si>
    <t>BK1102323</t>
  </si>
  <si>
    <t>10.191.7.192</t>
  </si>
  <si>
    <t>FE:FC:FA:98:de:dc</t>
  </si>
  <si>
    <t>BK1061231</t>
  </si>
  <si>
    <t>K1102326-JB</t>
  </si>
  <si>
    <t>160.22.3.69</t>
  </si>
  <si>
    <t>K1102326</t>
  </si>
  <si>
    <t>叶柳仙</t>
  </si>
  <si>
    <t>金融创新部</t>
  </si>
  <si>
    <t>BK1102326</t>
  </si>
  <si>
    <t>10.191.7.193</t>
  </si>
  <si>
    <t>FE:FC:FA:76:b5:5a</t>
  </si>
  <si>
    <t>BK0971211</t>
  </si>
  <si>
    <t>BK1102278</t>
  </si>
  <si>
    <t>K1102325-JB</t>
  </si>
  <si>
    <t>160.22.11.11</t>
  </si>
  <si>
    <t>K1102325</t>
  </si>
  <si>
    <t>申杰</t>
  </si>
  <si>
    <t>BK1102325</t>
  </si>
  <si>
    <t>10.191.7.194</t>
  </si>
  <si>
    <t>FE:FC:FA:b4:15:78</t>
  </si>
  <si>
    <t>BK1182288</t>
  </si>
  <si>
    <t>BK0052065</t>
  </si>
  <si>
    <t>K2502212-1</t>
  </si>
  <si>
    <t>160.22.18.91</t>
  </si>
  <si>
    <t>K2502212</t>
  </si>
  <si>
    <t>刘雪薇</t>
  </si>
  <si>
    <t>BK2502212</t>
  </si>
  <si>
    <t>10.191.7.195</t>
  </si>
  <si>
    <t>FE:FC:FA:49:a8:5f</t>
  </si>
  <si>
    <t>BK1182293</t>
  </si>
  <si>
    <t>BK1102259</t>
  </si>
  <si>
    <t>K2502214-JB</t>
  </si>
  <si>
    <t>160.22.18.93</t>
  </si>
  <si>
    <t>K2502214</t>
  </si>
  <si>
    <t>刘晓晓</t>
  </si>
  <si>
    <t>BK2502214</t>
  </si>
  <si>
    <t>10.191.7.196</t>
  </si>
  <si>
    <t>FE:FC:FA:79:37:e5</t>
  </si>
  <si>
    <t>BK1182294</t>
  </si>
  <si>
    <t>BK1061229</t>
  </si>
  <si>
    <t>K5210019-JB</t>
  </si>
  <si>
    <t>160.22.11.202</t>
  </si>
  <si>
    <t>K5210019</t>
  </si>
  <si>
    <t>向子文</t>
  </si>
  <si>
    <t>BK5210019</t>
  </si>
  <si>
    <t>10.191.7.197</t>
  </si>
  <si>
    <t>FE:FC:FA:a4:01:1a</t>
  </si>
  <si>
    <t>BK2570026</t>
  </si>
  <si>
    <t>BK2502002</t>
  </si>
  <si>
    <t>K5210018-JB</t>
  </si>
  <si>
    <t>160.22.4.9</t>
  </si>
  <si>
    <t>K5210018</t>
  </si>
  <si>
    <t>徐宇航</t>
  </si>
  <si>
    <t>BK5210018</t>
  </si>
  <si>
    <t>10.191.7.198</t>
  </si>
  <si>
    <t>FE:FC:FA:e0:d0:25</t>
  </si>
  <si>
    <t>BK2570027</t>
  </si>
  <si>
    <t>BK0021840</t>
  </si>
  <si>
    <t>K5950002-JB</t>
  </si>
  <si>
    <t>160.22.22.68</t>
  </si>
  <si>
    <t>K5950002</t>
  </si>
  <si>
    <t>陈凯擎</t>
  </si>
  <si>
    <t>BK5950002</t>
  </si>
  <si>
    <t>10.191.7.199</t>
  </si>
  <si>
    <t>FE:FC:FA:21:ab:bc</t>
  </si>
  <si>
    <t>BK2750003</t>
  </si>
  <si>
    <t>BK1102218</t>
  </si>
  <si>
    <t>K5740002-JB</t>
  </si>
  <si>
    <t>160.22.11.193</t>
  </si>
  <si>
    <t>K5740002</t>
  </si>
  <si>
    <t>陈兵</t>
  </si>
  <si>
    <t>BK5740002</t>
  </si>
  <si>
    <t>10.191.7.200</t>
  </si>
  <si>
    <t>FE:FC:FA:73:dd:8e</t>
  </si>
  <si>
    <t>BK4990009</t>
  </si>
  <si>
    <t>BK1061227</t>
  </si>
  <si>
    <t>K6050002-JB</t>
  </si>
  <si>
    <t>160.22.11.187</t>
  </si>
  <si>
    <t>K6050002</t>
  </si>
  <si>
    <t>李基恺</t>
  </si>
  <si>
    <t>BK6050002</t>
  </si>
  <si>
    <t>10.191.7.201</t>
  </si>
  <si>
    <t>FE:FC:FA:16:89:1c</t>
  </si>
  <si>
    <t>VDI_Cluster02_LUN05</t>
  </si>
  <si>
    <t>BK4990007</t>
  </si>
  <si>
    <t>K6050003-JB</t>
  </si>
  <si>
    <t>160.22.3.255</t>
  </si>
  <si>
    <t>K6050003</t>
  </si>
  <si>
    <t>朱佳伟</t>
  </si>
  <si>
    <t>BK6050003</t>
  </si>
  <si>
    <t>10.191.7.202</t>
  </si>
  <si>
    <t>FE:FC:FA:06:20:e3</t>
  </si>
  <si>
    <t>BK4780009</t>
  </si>
  <si>
    <t>K1102005-JB</t>
  </si>
  <si>
    <t>160.22.22.64</t>
  </si>
  <si>
    <t>K1102005</t>
  </si>
  <si>
    <t>花莹</t>
  </si>
  <si>
    <t>BK1102005</t>
  </si>
  <si>
    <t>10.191.7.203</t>
  </si>
  <si>
    <t>FE:FC:FA:51:78:f9</t>
  </si>
  <si>
    <t>BK2440012</t>
  </si>
  <si>
    <t>K5950001-JB</t>
  </si>
  <si>
    <t>160.22.22.60</t>
  </si>
  <si>
    <t>K5950001</t>
  </si>
  <si>
    <t>胡浩永</t>
  </si>
  <si>
    <t>BK5950001</t>
  </si>
  <si>
    <t>10.191.7.204</t>
  </si>
  <si>
    <t>FE:FC:FA:42:26:6e</t>
  </si>
  <si>
    <t>BK1102130</t>
  </si>
  <si>
    <t>K2750004-JB</t>
  </si>
  <si>
    <t>160.22.13.87</t>
  </si>
  <si>
    <t>K2750004</t>
  </si>
  <si>
    <t>刘嘉毅</t>
  </si>
  <si>
    <t>BK2750004</t>
  </si>
  <si>
    <t>10.191.7.206</t>
  </si>
  <si>
    <t>FE:FC:FA:b7:0c:aa</t>
  </si>
  <si>
    <t>BK4990001</t>
  </si>
  <si>
    <t>K1182036-JB</t>
  </si>
  <si>
    <t>K1182036</t>
  </si>
  <si>
    <t>邹选坤</t>
  </si>
  <si>
    <t>BK1182036</t>
  </si>
  <si>
    <t>10.191.7.207</t>
  </si>
  <si>
    <t>FE:FC:FA:46:4b:74</t>
  </si>
  <si>
    <t>K0892146-JB</t>
  </si>
  <si>
    <t>160.22.11.179</t>
  </si>
  <si>
    <t>K0892146</t>
  </si>
  <si>
    <t>林鑫</t>
  </si>
  <si>
    <t>BK0892146</t>
  </si>
  <si>
    <t>10.191.7.208</t>
  </si>
  <si>
    <t>FE:FC:FA:72:c3:46</t>
  </si>
  <si>
    <t>BK0101738</t>
  </si>
  <si>
    <t>BK0321858</t>
  </si>
  <si>
    <t>K1182297-JB</t>
  </si>
  <si>
    <t>160.22.18.72</t>
  </si>
  <si>
    <t>K1182297</t>
  </si>
  <si>
    <t>宋子怡</t>
  </si>
  <si>
    <t>BK1182297</t>
  </si>
  <si>
    <t>10.191.7.209</t>
  </si>
  <si>
    <t>FE:FC:FA:fe:c4:54</t>
  </si>
  <si>
    <t>BK0101739</t>
  </si>
  <si>
    <t>BK0721230</t>
  </si>
  <si>
    <t>K1182296-JB</t>
  </si>
  <si>
    <t>160.22.18.76</t>
  </si>
  <si>
    <t>K1182296</t>
  </si>
  <si>
    <t>程波</t>
  </si>
  <si>
    <t>BK1182296</t>
  </si>
  <si>
    <t>10.191.7.210</t>
  </si>
  <si>
    <t>FE:FC:FA:04:e8:f1</t>
  </si>
  <si>
    <t>BK1061225</t>
  </si>
  <si>
    <t>K1182295-JB</t>
  </si>
  <si>
    <t>160.22.18.75</t>
  </si>
  <si>
    <t>K1182295</t>
  </si>
  <si>
    <t>和霄</t>
  </si>
  <si>
    <t>BK1182295</t>
  </si>
  <si>
    <t>10.191.7.211</t>
  </si>
  <si>
    <t>FE:FC:FA:b3:0f:d4</t>
  </si>
  <si>
    <t>BK0721226</t>
  </si>
  <si>
    <t>BK2151426</t>
  </si>
  <si>
    <t>K6050001-JB</t>
  </si>
  <si>
    <t>160.22.11.166</t>
  </si>
  <si>
    <t>K6050001</t>
  </si>
  <si>
    <t>马悦昂</t>
  </si>
  <si>
    <t>BK6050001</t>
  </si>
  <si>
    <t>10.191.7.212</t>
  </si>
  <si>
    <t>FE:FC:FA:3e:21:14</t>
  </si>
  <si>
    <t>BK4990013</t>
  </si>
  <si>
    <t>K2440019-JB</t>
  </si>
  <si>
    <t>160.22.11.161</t>
  </si>
  <si>
    <t>K2440019</t>
  </si>
  <si>
    <t>余慧铭</t>
  </si>
  <si>
    <t>BK2440019</t>
  </si>
  <si>
    <t>10.191.7.213</t>
  </si>
  <si>
    <t>FE:FC:FA:55:8c:c5</t>
  </si>
  <si>
    <t>VDI_Cluster02_LUN06</t>
  </si>
  <si>
    <t>BK4990010</t>
  </si>
  <si>
    <t>K2502209-JB</t>
  </si>
  <si>
    <t>160.22.18.71</t>
  </si>
  <si>
    <t>K2502209</t>
  </si>
  <si>
    <t>王晓甜</t>
  </si>
  <si>
    <t>BK2502209</t>
  </si>
  <si>
    <t>10.191.7.214</t>
  </si>
  <si>
    <t>FE:FC:FA:bd:55:de</t>
  </si>
  <si>
    <t>K2570027-JB</t>
  </si>
  <si>
    <t>160.22.11.152</t>
  </si>
  <si>
    <t>K2570027</t>
  </si>
  <si>
    <t>颜行</t>
  </si>
  <si>
    <t>10.191.7.216</t>
  </si>
  <si>
    <t>FE:FC:FA:0f:b8:32</t>
  </si>
  <si>
    <t>BK4990011</t>
  </si>
  <si>
    <t>K2570026-JB</t>
  </si>
  <si>
    <t>160.22.3.237</t>
  </si>
  <si>
    <t>K2570026</t>
  </si>
  <si>
    <t>袁文利</t>
  </si>
  <si>
    <t>10.191.7.219</t>
  </si>
  <si>
    <t>FE:FC:FA:31:b7:de</t>
  </si>
  <si>
    <t>BK4990008</t>
  </si>
  <si>
    <t>K0052093-JB</t>
  </si>
  <si>
    <t>160.22.11.139</t>
  </si>
  <si>
    <t>K0052093</t>
  </si>
  <si>
    <t>董丽萍</t>
  </si>
  <si>
    <t>10.191.7.220</t>
  </si>
  <si>
    <t>FE:FC:FA:88:40:30</t>
  </si>
  <si>
    <t>BK4990004</t>
  </si>
  <si>
    <t>K1102344-JB</t>
  </si>
  <si>
    <t>160.22.3.232</t>
  </si>
  <si>
    <t>K1102344</t>
  </si>
  <si>
    <t>吴昊</t>
  </si>
  <si>
    <t>BK1102344</t>
  </si>
  <si>
    <t>10.191.7.221</t>
  </si>
  <si>
    <t>FE:FC:FA:d9:26:71</t>
  </si>
  <si>
    <t>K1182294-JB</t>
  </si>
  <si>
    <t>160.22.18.67</t>
  </si>
  <si>
    <t>K1182294</t>
  </si>
  <si>
    <t>蔡书杰</t>
  </si>
  <si>
    <t>10.191.7.222</t>
  </si>
  <si>
    <t>FE:FC:FA:c6:78:b5</t>
  </si>
  <si>
    <t>K0311226-JB</t>
  </si>
  <si>
    <t>160.22.3.229</t>
  </si>
  <si>
    <t>K0311226</t>
  </si>
  <si>
    <t>沈天翔</t>
  </si>
  <si>
    <t>10.191.7.223</t>
  </si>
  <si>
    <t>FE:FC:FA:bb:11:c3</t>
  </si>
  <si>
    <t>BK4780005</t>
  </si>
  <si>
    <t>K1061233-JB</t>
  </si>
  <si>
    <t>160.22.11.129</t>
  </si>
  <si>
    <t>K1061233</t>
  </si>
  <si>
    <t>王洪宇</t>
  </si>
  <si>
    <t>BK1061233</t>
  </si>
  <si>
    <t>10.191.7.225</t>
  </si>
  <si>
    <t>FE:FC:FA:74:12:d7</t>
  </si>
  <si>
    <t>K1182293-JB</t>
  </si>
  <si>
    <t>160.22.18.58</t>
  </si>
  <si>
    <t>K1182293</t>
  </si>
  <si>
    <t>赵洁</t>
  </si>
  <si>
    <t>10.191.7.226</t>
  </si>
  <si>
    <t>FE:FC:FA:53:65:ad</t>
  </si>
  <si>
    <t>K2502204-JB</t>
  </si>
  <si>
    <t>160.22.18.57</t>
  </si>
  <si>
    <t>K2502204</t>
  </si>
  <si>
    <t>苏娇娇</t>
  </si>
  <si>
    <t>BK2502204</t>
  </si>
  <si>
    <t>10.191.7.227</t>
  </si>
  <si>
    <t>FE:FC:FA:ea:52:52</t>
  </si>
  <si>
    <t>VDI_Cluster02_LUN07</t>
  </si>
  <si>
    <t>K1102340-JB</t>
  </si>
  <si>
    <t>160.22.11.133</t>
  </si>
  <si>
    <t>K1102340</t>
  </si>
  <si>
    <t>李秦扬</t>
  </si>
  <si>
    <t>BK1102340</t>
  </si>
  <si>
    <t>10.191.7.228</t>
  </si>
  <si>
    <t>FE:FC:FA:59:9c:7b</t>
  </si>
  <si>
    <t>K0021864-JB</t>
  </si>
  <si>
    <t>160.22.18.47</t>
  </si>
  <si>
    <t>K0021864</t>
  </si>
  <si>
    <t>张亚明</t>
  </si>
  <si>
    <t>10.191.7.231</t>
  </si>
  <si>
    <t>FE:FC:FA:fd:17:f4</t>
  </si>
  <si>
    <t>K1182288-JB</t>
  </si>
  <si>
    <t>160.22.22.34</t>
  </si>
  <si>
    <t>K1182288</t>
  </si>
  <si>
    <t>姜明明</t>
  </si>
  <si>
    <t>10.191.7.232</t>
  </si>
  <si>
    <t>FE:FC:FA:fd:dd:f8</t>
  </si>
  <si>
    <t>K0021563-JB</t>
  </si>
  <si>
    <t>160.22.11.93</t>
  </si>
  <si>
    <t>K0021563</t>
  </si>
  <si>
    <t>贾志娟</t>
  </si>
  <si>
    <t>10.191.7.233</t>
  </si>
  <si>
    <t>FE:FC:FA:5d:47:fd</t>
  </si>
  <si>
    <t>K0110040-JB</t>
  </si>
  <si>
    <t>160.22.18.44</t>
  </si>
  <si>
    <t>K0110040</t>
  </si>
  <si>
    <t>徐倩</t>
  </si>
  <si>
    <t>BK0110040</t>
  </si>
  <si>
    <t>10.191.7.234</t>
  </si>
  <si>
    <t>FE:FC:FA:bd:19:e9</t>
  </si>
  <si>
    <t>K0231456-JB</t>
  </si>
  <si>
    <t>160.22.3.145</t>
  </si>
  <si>
    <t>K0231456</t>
  </si>
  <si>
    <t>张化宇</t>
  </si>
  <si>
    <t>BK0231456</t>
  </si>
  <si>
    <t>10.191.7.236</t>
  </si>
  <si>
    <t>FE:FC:FA:40:d4:42</t>
  </si>
  <si>
    <t>K1570016-JB</t>
  </si>
  <si>
    <t>160.22.3.142</t>
  </si>
  <si>
    <t>K1570016</t>
  </si>
  <si>
    <t>王辉</t>
  </si>
  <si>
    <t>BK1570016</t>
  </si>
  <si>
    <t>10.191.7.237</t>
  </si>
  <si>
    <t>FE:FC:FA:64:e5:68</t>
  </si>
  <si>
    <t>K2750003-JB</t>
  </si>
  <si>
    <t>160.22.3.139</t>
  </si>
  <si>
    <t>K2750003</t>
  </si>
  <si>
    <t>邬俊</t>
  </si>
  <si>
    <t>10.191.7.238</t>
  </si>
  <si>
    <t>FE:FC:FA:ea:af:b5</t>
  </si>
  <si>
    <t>K1800012-YW</t>
  </si>
  <si>
    <t>160.22.28.29</t>
  </si>
  <si>
    <t>K1800012</t>
  </si>
  <si>
    <t>唐翯翔</t>
  </si>
  <si>
    <t>BK1800012</t>
  </si>
  <si>
    <t>10.191.32.13</t>
  </si>
  <si>
    <t>FE:FC:FA:72:74:c9</t>
  </si>
  <si>
    <t>VDI-TMP-KFS</t>
  </si>
  <si>
    <t>K0721233-JB</t>
  </si>
  <si>
    <t>160.22.3.132</t>
  </si>
  <si>
    <t>K0721233</t>
  </si>
  <si>
    <t>陈圣义</t>
  </si>
  <si>
    <t>10.191.7.240</t>
  </si>
  <si>
    <t>FE:FC:FA:eb:8b:5b</t>
  </si>
  <si>
    <t>VDI_Cluster02_LUN08</t>
  </si>
  <si>
    <t>K2502174-JB</t>
  </si>
  <si>
    <t>160.22.22.25</t>
  </si>
  <si>
    <t>K2502174</t>
  </si>
  <si>
    <t>袁圆</t>
  </si>
  <si>
    <t>BK2502174</t>
  </si>
  <si>
    <t>10.191.7.242</t>
  </si>
  <si>
    <t>FE:FC:FA:f9:dd:ff</t>
  </si>
  <si>
    <t>K2151434-JB</t>
  </si>
  <si>
    <t>160.22.11.79</t>
  </si>
  <si>
    <t>K2151434</t>
  </si>
  <si>
    <t>岳远珂</t>
  </si>
  <si>
    <t>BK2151434</t>
  </si>
  <si>
    <t>10.191.7.244</t>
  </si>
  <si>
    <t>FE:FC:FA:ce:46:3a</t>
  </si>
  <si>
    <t>K4990009-JB</t>
  </si>
  <si>
    <t>160.22.11.64</t>
  </si>
  <si>
    <t>K4990009</t>
  </si>
  <si>
    <t>王天怡</t>
  </si>
  <si>
    <t>10.191.7.245</t>
  </si>
  <si>
    <t>FE:FC:FA:e0:b0:67</t>
  </si>
  <si>
    <t>K0971211-JB</t>
  </si>
  <si>
    <t>160.22.11.84</t>
  </si>
  <si>
    <t>K0971211</t>
  </si>
  <si>
    <t>郭晓明</t>
  </si>
  <si>
    <t>10.191.7.246</t>
  </si>
  <si>
    <t>FE:FC:FA:f7:3e:25</t>
  </si>
  <si>
    <t>K5970001-JB</t>
  </si>
  <si>
    <t>160.22.3.113</t>
  </si>
  <si>
    <t>K5970001</t>
  </si>
  <si>
    <t>王向飞</t>
  </si>
  <si>
    <t>BK5970001</t>
  </si>
  <si>
    <t>10.191.7.247</t>
  </si>
  <si>
    <t>FE:FC:FA:12:d7:fa</t>
  </si>
  <si>
    <t>K2570025-JB</t>
  </si>
  <si>
    <t>160.22.11.50</t>
  </si>
  <si>
    <t>K2570025</t>
  </si>
  <si>
    <t>梁小军</t>
  </si>
  <si>
    <t>BK2570025</t>
  </si>
  <si>
    <t>10.191.7.248</t>
  </si>
  <si>
    <t>FE:FC:FA:64:85:88</t>
  </si>
  <si>
    <t>K2570024-JB</t>
  </si>
  <si>
    <t>160.22.11.37</t>
  </si>
  <si>
    <t>K2570024</t>
  </si>
  <si>
    <t>费腾</t>
  </si>
  <si>
    <t>10.191.7.249</t>
  </si>
  <si>
    <t>FE:FC:FA:76:2e:4c</t>
  </si>
  <si>
    <t>10.191.248.13</t>
  </si>
  <si>
    <t>HTVDI-KFSQY-CLS3</t>
  </si>
  <si>
    <t>VDI_Cluster03_LUN06</t>
  </si>
  <si>
    <t>华泰证券-开发商云桌面03</t>
  </si>
  <si>
    <t>K2570023-JB</t>
  </si>
  <si>
    <t>160.22.11.48</t>
  </si>
  <si>
    <t>K2570023</t>
  </si>
  <si>
    <t>刘标</t>
  </si>
  <si>
    <t>10.191.7.250</t>
  </si>
  <si>
    <t>FE:FC:FA:8a:84:c8</t>
  </si>
  <si>
    <t>K4990003-JB</t>
  </si>
  <si>
    <t>160.22.3.106</t>
  </si>
  <si>
    <t>K4990003</t>
  </si>
  <si>
    <t>元磊</t>
  </si>
  <si>
    <t>10.191.7.251</t>
  </si>
  <si>
    <t>FE:FC:FA:53:b4:b8</t>
  </si>
  <si>
    <t>K0971210-JB</t>
  </si>
  <si>
    <t>160.22.11.29</t>
  </si>
  <si>
    <t>K0971210</t>
  </si>
  <si>
    <t>苏泉</t>
  </si>
  <si>
    <t>10.191.7.252</t>
  </si>
  <si>
    <t>FE:FC:FA:d2:75:7a</t>
  </si>
  <si>
    <t>K1102273-JB</t>
  </si>
  <si>
    <t>160.22.22.15</t>
  </si>
  <si>
    <t>K1102273</t>
  </si>
  <si>
    <t>陈伟</t>
  </si>
  <si>
    <t>10.191.7.254</t>
  </si>
  <si>
    <t>FE:FC:FA:3c:cb:b0</t>
  </si>
  <si>
    <t>K5930001-JB</t>
  </si>
  <si>
    <t>160.22.22.13</t>
  </si>
  <si>
    <t>K5930001</t>
  </si>
  <si>
    <t>孟亚朋</t>
  </si>
  <si>
    <t>10.191.8.1</t>
  </si>
  <si>
    <t>FE:FC:FA:5d:69:28</t>
  </si>
  <si>
    <t>K1102329-JB</t>
  </si>
  <si>
    <t>160.22.11.23</t>
  </si>
  <si>
    <t>K1102329</t>
  </si>
  <si>
    <t>许敏勋</t>
  </si>
  <si>
    <t>10.191.8.2</t>
  </si>
  <si>
    <t>FE:FC:FA:51:f4:43</t>
  </si>
  <si>
    <t>K1102328-JB</t>
  </si>
  <si>
    <t>160.22.11.27</t>
  </si>
  <si>
    <t>K1102328</t>
  </si>
  <si>
    <t>温道乾</t>
  </si>
  <si>
    <t>10.191.8.3</t>
  </si>
  <si>
    <t>FE:FC:FA:36:0f:be</t>
  </si>
  <si>
    <t>K0052085-JB</t>
  </si>
  <si>
    <t>160.22.3.76</t>
  </si>
  <si>
    <t>K0052085</t>
  </si>
  <si>
    <t>杨乃苏</t>
  </si>
  <si>
    <t>10.191.8.5</t>
  </si>
  <si>
    <t>FE:FC:FA:b1:ad:63</t>
  </si>
  <si>
    <t>K1182285-JB</t>
  </si>
  <si>
    <t>160.22.22.11</t>
  </si>
  <si>
    <t>K1182285</t>
  </si>
  <si>
    <t>季芸梦</t>
  </si>
  <si>
    <t>10.191.8.6</t>
  </si>
  <si>
    <t>FE:FC:FA:9a:99:ae</t>
  </si>
  <si>
    <t>K1182284-JB</t>
  </si>
  <si>
    <t>160.22.18.21</t>
  </si>
  <si>
    <t>K1182284</t>
  </si>
  <si>
    <t>杲绍雯</t>
  </si>
  <si>
    <t>10.191.8.7</t>
  </si>
  <si>
    <t>FE:FC:FA:9c:9b:1c</t>
  </si>
  <si>
    <t>VDI_Cluster03_LUN01</t>
  </si>
  <si>
    <t>K5860001-JB</t>
  </si>
  <si>
    <t>160.22.11.4</t>
  </si>
  <si>
    <t>K5860001</t>
  </si>
  <si>
    <t>孙溢彤</t>
  </si>
  <si>
    <t>10.191.8.8</t>
  </si>
  <si>
    <t>FE:FC:FA:9a:5a:f1</t>
  </si>
  <si>
    <t>K1570015-JB</t>
  </si>
  <si>
    <t>160.22.3.54</t>
  </si>
  <si>
    <t>K1570015</t>
  </si>
  <si>
    <t>徐妍</t>
  </si>
  <si>
    <t>10.191.8.9</t>
  </si>
  <si>
    <t>FE:FC:FA:4c:56:18</t>
  </si>
  <si>
    <t>K1570014-JB</t>
  </si>
  <si>
    <t>160.22.3.68</t>
  </si>
  <si>
    <t>K1570014</t>
  </si>
  <si>
    <t>庄智博</t>
  </si>
  <si>
    <t>10.191.8.10</t>
  </si>
  <si>
    <t>FE:FC:FA:1a:87:27</t>
  </si>
  <si>
    <t>K2570021-JB</t>
  </si>
  <si>
    <t>160.22.10.245</t>
  </si>
  <si>
    <t>K2570021</t>
  </si>
  <si>
    <t>袁延格</t>
  </si>
  <si>
    <t>10.191.8.11</t>
  </si>
  <si>
    <t>FE:FC:FA:07:d9:42</t>
  </si>
  <si>
    <t>K1570012-JB</t>
  </si>
  <si>
    <t>160.22.3.49</t>
  </si>
  <si>
    <t>K1570012</t>
  </si>
  <si>
    <t>宋德乾</t>
  </si>
  <si>
    <t>10.191.8.12</t>
  </si>
  <si>
    <t>FE:FC:FA:4f:59:ea</t>
  </si>
  <si>
    <t>K1570011-JB</t>
  </si>
  <si>
    <t>160.22.10.241</t>
  </si>
  <si>
    <t>K1570011</t>
  </si>
  <si>
    <t>孙义</t>
  </si>
  <si>
    <t>10.191.8.13</t>
  </si>
  <si>
    <t>FE:FC:FA:8e:be:1d</t>
  </si>
  <si>
    <t>K2860081-JB</t>
  </si>
  <si>
    <t>160.22.10.231</t>
  </si>
  <si>
    <t>K2860081</t>
  </si>
  <si>
    <t>夏立</t>
  </si>
  <si>
    <t>10.191.8.14</t>
  </si>
  <si>
    <t>FE:FC:FA:9a:c0:9f</t>
  </si>
  <si>
    <t>K1171288-JB</t>
  </si>
  <si>
    <t>160.22.10.224</t>
  </si>
  <si>
    <t>K1171288</t>
  </si>
  <si>
    <t>杨爱萍</t>
  </si>
  <si>
    <t>BK1171288</t>
  </si>
  <si>
    <t>10.191.8.15</t>
  </si>
  <si>
    <t>FE:FC:FA:ee:26:50</t>
  </si>
  <si>
    <t>K2151432</t>
  </si>
  <si>
    <t>160.22.17.233</t>
  </si>
  <si>
    <t>盛浩</t>
  </si>
  <si>
    <t>10.191.8.16</t>
  </si>
  <si>
    <t>FE:FC:FA:06:89:d8</t>
  </si>
  <si>
    <t>K0892140-JB</t>
  </si>
  <si>
    <t>160.22.10.201</t>
  </si>
  <si>
    <t>K0892140</t>
  </si>
  <si>
    <t>祁豪</t>
  </si>
  <si>
    <t>10.191.8.18</t>
  </si>
  <si>
    <t>FE:FC:FA:52:d8:0b</t>
  </si>
  <si>
    <t>VDI_Cluster03_LUN04</t>
  </si>
  <si>
    <t>K1182278-JB</t>
  </si>
  <si>
    <t>160.22.18.5</t>
  </si>
  <si>
    <t>K1182278</t>
  </si>
  <si>
    <t>王乾坤</t>
  </si>
  <si>
    <t>10.191.8.19</t>
  </si>
  <si>
    <t>FE:FC:FA:1d:89:00</t>
  </si>
  <si>
    <t>K1181302-JB</t>
  </si>
  <si>
    <t>160.22.17.253</t>
  </si>
  <si>
    <t>K1181302</t>
  </si>
  <si>
    <t>于水源</t>
  </si>
  <si>
    <t>10.191.8.21</t>
  </si>
  <si>
    <t>FE:FC:FA:d8:43:44</t>
  </si>
  <si>
    <t>K2051641-JB</t>
  </si>
  <si>
    <t>160.22.2.235</t>
  </si>
  <si>
    <t>K2051641</t>
  </si>
  <si>
    <t>丁仲炎</t>
  </si>
  <si>
    <t>10.191.8.22</t>
  </si>
  <si>
    <t>FE:FC:FA:81:03:82</t>
  </si>
  <si>
    <t>K1102319-JB</t>
  </si>
  <si>
    <t>160.22.2.231</t>
  </si>
  <si>
    <t>K1102319</t>
  </si>
  <si>
    <t>叶苏庆</t>
  </si>
  <si>
    <t>10.191.8.23</t>
  </si>
  <si>
    <t>FE:FC:FA:3b:aa:a8</t>
  </si>
  <si>
    <t>K1061231-JB</t>
  </si>
  <si>
    <t>160.22.2.0</t>
  </si>
  <si>
    <t>K1061231</t>
  </si>
  <si>
    <t>吴宇衡</t>
  </si>
  <si>
    <t>10.191.8.25</t>
  </si>
  <si>
    <t>FE:FC:FA:e6:4c:15</t>
  </si>
  <si>
    <t>K1102278-JB</t>
  </si>
  <si>
    <t>160.22.9.151</t>
  </si>
  <si>
    <t>K1102278</t>
  </si>
  <si>
    <t>方海涛</t>
  </si>
  <si>
    <t>10.191.8.26</t>
  </si>
  <si>
    <t>FE:FC:FA:97:fe:1c</t>
  </si>
  <si>
    <t>N</t>
  </si>
  <si>
    <t>K0052065-JB</t>
  </si>
  <si>
    <t>160.22.1.135</t>
  </si>
  <si>
    <t>K0052065</t>
  </si>
  <si>
    <t>朱涛</t>
  </si>
  <si>
    <t>10.191.8.27</t>
  </si>
  <si>
    <t>FE:FC:FA:d9:97:42</t>
  </si>
  <si>
    <t>K1102259-JB</t>
  </si>
  <si>
    <t>160.22.9.43</t>
  </si>
  <si>
    <t>K1102259</t>
  </si>
  <si>
    <t>张宇辰</t>
  </si>
  <si>
    <t>10.191.8.28</t>
  </si>
  <si>
    <t>FE:FC:FA:b1:c5:bb</t>
  </si>
  <si>
    <t>K1061229-JB</t>
  </si>
  <si>
    <t>160.22.9.31</t>
  </si>
  <si>
    <t>K1061229</t>
  </si>
  <si>
    <t>和学省</t>
  </si>
  <si>
    <t>10.191.8.29</t>
  </si>
  <si>
    <t>FE:FC:FA:fa:1b:1d</t>
  </si>
  <si>
    <t>BK4780002</t>
  </si>
  <si>
    <t>K1102238-JB</t>
  </si>
  <si>
    <t>160.22.0.237</t>
  </si>
  <si>
    <t>K1102238</t>
  </si>
  <si>
    <t>罗苏玉</t>
  </si>
  <si>
    <t>BK1102238</t>
  </si>
  <si>
    <t>10.191.8.31</t>
  </si>
  <si>
    <t>FE:FC:FA:22:3b:5f</t>
  </si>
  <si>
    <t>K2502002-JB</t>
  </si>
  <si>
    <t>K2502002</t>
  </si>
  <si>
    <t>李慧鹏</t>
  </si>
  <si>
    <t>10.191.8.32</t>
  </si>
  <si>
    <t>FE:FC:FA:89:0a:6d</t>
  </si>
  <si>
    <t>K0021840-JB</t>
  </si>
  <si>
    <t>K0021840</t>
  </si>
  <si>
    <t>王川</t>
  </si>
  <si>
    <t>10.191.8.33</t>
  </si>
  <si>
    <t>FE:FC:FA:aa:67:ab</t>
  </si>
  <si>
    <t>K1102218-JB</t>
  </si>
  <si>
    <t>160.22.8.113</t>
  </si>
  <si>
    <t>K1102218</t>
  </si>
  <si>
    <t>叶敏</t>
  </si>
  <si>
    <t>10.191.8.34</t>
  </si>
  <si>
    <t>FE:FC:FA:ab:fd:f3</t>
  </si>
  <si>
    <t>K1061227-JB</t>
  </si>
  <si>
    <t>160.22.8.107</t>
  </si>
  <si>
    <t>K1061227</t>
  </si>
  <si>
    <t>张锴</t>
  </si>
  <si>
    <t>10.191.8.35</t>
  </si>
  <si>
    <t>FE:FC:FA:0d:10:64</t>
  </si>
  <si>
    <t>BK1101942</t>
  </si>
  <si>
    <t>K4990007-JB</t>
  </si>
  <si>
    <t>160.22.0.112</t>
  </si>
  <si>
    <t>K4990007</t>
  </si>
  <si>
    <t>王宗敏</t>
  </si>
  <si>
    <t>10.191.8.36</t>
  </si>
  <si>
    <t>FE:FC:FA:74:3b:6d</t>
  </si>
  <si>
    <t>K4780009-JB</t>
  </si>
  <si>
    <t>160.22.20.216</t>
  </si>
  <si>
    <t>K4780009</t>
  </si>
  <si>
    <t>王柏</t>
  </si>
  <si>
    <t>10.191.8.37</t>
  </si>
  <si>
    <t>FE:FC:FA:b7:6f:d4</t>
  </si>
  <si>
    <t>BK1101925</t>
  </si>
  <si>
    <t>K2440012-JB</t>
  </si>
  <si>
    <t>160.22.3.146</t>
  </si>
  <si>
    <t>K2440012</t>
  </si>
  <si>
    <t>董振</t>
  </si>
  <si>
    <t>10.191.8.38</t>
  </si>
  <si>
    <t>FE:FC:FA:eb:c5:9c</t>
  </si>
  <si>
    <t>K1102130-JB</t>
  </si>
  <si>
    <t>K1102130</t>
  </si>
  <si>
    <t>周文韬</t>
  </si>
  <si>
    <t>10.191.8.40</t>
  </si>
  <si>
    <t>FE:FC:FA:ac:10:4d</t>
  </si>
  <si>
    <t>K4990001-JB</t>
  </si>
  <si>
    <t>160.22.2.155</t>
  </si>
  <si>
    <t>K4990001</t>
  </si>
  <si>
    <t>陈璐璐</t>
  </si>
  <si>
    <t>10.191.8.41</t>
  </si>
  <si>
    <t>FE:FC:FA:9e:d2:73</t>
  </si>
  <si>
    <t>K0321858-JB</t>
  </si>
  <si>
    <t>160.22.11.174</t>
  </si>
  <si>
    <t>K0321858</t>
  </si>
  <si>
    <t>周如彬</t>
  </si>
  <si>
    <t>10.191.8.42</t>
  </si>
  <si>
    <t>FE:FC:FA:fc:43:76</t>
  </si>
  <si>
    <t>K0721230-JB</t>
  </si>
  <si>
    <t>160.22.11.69</t>
  </si>
  <si>
    <t>K0721230</t>
  </si>
  <si>
    <t>郝小龙</t>
  </si>
  <si>
    <t>10.191.8.43</t>
  </si>
  <si>
    <t>FE:FC:FA:ef:d8:31</t>
  </si>
  <si>
    <t>BK1101846</t>
  </si>
  <si>
    <t>K1061225-JB</t>
  </si>
  <si>
    <t>160.22.3.109</t>
  </si>
  <si>
    <t>K1061225</t>
  </si>
  <si>
    <t>叶荣</t>
  </si>
  <si>
    <t>10.191.8.44</t>
  </si>
  <si>
    <t>FE:FC:FA:0d:51:9b</t>
  </si>
  <si>
    <t>K2151426-JB</t>
  </si>
  <si>
    <t>160.22.10.238</t>
  </si>
  <si>
    <t>K2151426</t>
  </si>
  <si>
    <t>何宇晗</t>
  </si>
  <si>
    <t>10.191.8.45</t>
  </si>
  <si>
    <t>FE:FC:FA:02:86:32</t>
  </si>
  <si>
    <t>K4990013-JB</t>
  </si>
  <si>
    <t>160.22.3.61</t>
  </si>
  <si>
    <t>K4990013</t>
  </si>
  <si>
    <t>陈虎</t>
  </si>
  <si>
    <t>10.191.8.46</t>
  </si>
  <si>
    <t>FE:FC:FA:dd:34:7b</t>
  </si>
  <si>
    <t>K4990010-JB</t>
  </si>
  <si>
    <t>160.22.10.120</t>
  </si>
  <si>
    <t>K4990010</t>
  </si>
  <si>
    <t>黄文邦</t>
  </si>
  <si>
    <t>10.191.8.47</t>
  </si>
  <si>
    <t>FE:FC:FA:99:03:55</t>
  </si>
  <si>
    <t>K0101739-JB</t>
  </si>
  <si>
    <t>160.22.20.22</t>
  </si>
  <si>
    <t>K0101739</t>
  </si>
  <si>
    <t>钱欢</t>
  </si>
  <si>
    <t>10.191.8.48</t>
  </si>
  <si>
    <t>FE:FC:FA:6a:aa:7e</t>
  </si>
  <si>
    <t>伟（已删除）</t>
  </si>
  <si>
    <t>BK0071213</t>
  </si>
  <si>
    <t>K4990011-1</t>
  </si>
  <si>
    <t>160.22.11.83</t>
  </si>
  <si>
    <t>K4990011</t>
  </si>
  <si>
    <t>唐驹</t>
  </si>
  <si>
    <t>10.191.8.49</t>
  </si>
  <si>
    <t>FE:FC:FA:40:f8:8c</t>
  </si>
  <si>
    <t>BK0071214</t>
  </si>
  <si>
    <t>K4990008-JB</t>
  </si>
  <si>
    <t>160.22.10.121</t>
  </si>
  <si>
    <t>K4990008</t>
  </si>
  <si>
    <t>徐俊凯</t>
  </si>
  <si>
    <t>10.191.8.50</t>
  </si>
  <si>
    <t>FE:FC:FA:8d:e8:1b</t>
  </si>
  <si>
    <t>BK0071215</t>
  </si>
  <si>
    <t>K4990004-JB</t>
  </si>
  <si>
    <t>160.22.10.112</t>
  </si>
  <si>
    <t>K4990004</t>
  </si>
  <si>
    <t>洪张杨</t>
  </si>
  <si>
    <t>10.191.8.51</t>
  </si>
  <si>
    <t>FE:FC:FA:72:67:4d</t>
  </si>
  <si>
    <t>BK0071216</t>
  </si>
  <si>
    <t>BK0231291</t>
  </si>
  <si>
    <t>K0101738-JB</t>
  </si>
  <si>
    <t>160.22.23.164</t>
  </si>
  <si>
    <t>K0101738</t>
  </si>
  <si>
    <t>管永超</t>
  </si>
  <si>
    <t>10.191.8.52</t>
  </si>
  <si>
    <t>FE:FC:FA:df:cc:e7</t>
  </si>
  <si>
    <t>BK0161978</t>
  </si>
  <si>
    <t>BK0110012</t>
  </si>
  <si>
    <t>K4780005-JB</t>
  </si>
  <si>
    <t>160.22.23.193</t>
  </si>
  <si>
    <t>K4780005</t>
  </si>
  <si>
    <t>刘利</t>
  </si>
  <si>
    <t>10.191.8.53</t>
  </si>
  <si>
    <t>FE:FC:FA:14:d4:e7</t>
  </si>
  <si>
    <t>BK0310019</t>
  </si>
  <si>
    <t>BK1101396</t>
  </si>
  <si>
    <t>K0721226-JB</t>
  </si>
  <si>
    <t>160.22.10.48</t>
  </si>
  <si>
    <t>K0721226</t>
  </si>
  <si>
    <t>潘信峰</t>
  </si>
  <si>
    <t>10.191.8.54</t>
  </si>
  <si>
    <t>FE:FC:FA:79:64:ee</t>
  </si>
  <si>
    <t>BK1101797</t>
  </si>
  <si>
    <t>K4780002-JB</t>
  </si>
  <si>
    <t>160.22.23.139</t>
  </si>
  <si>
    <t>K4780002</t>
  </si>
  <si>
    <t>鲍俊杰</t>
  </si>
  <si>
    <t>10.191.8.55</t>
  </si>
  <si>
    <t>FE:FC:FA:1a:54:13</t>
  </si>
  <si>
    <t>BK2521425</t>
  </si>
  <si>
    <t>BK0231382</t>
  </si>
  <si>
    <t>K4780001-JB</t>
  </si>
  <si>
    <t>160.22.19.159</t>
  </si>
  <si>
    <t>K4780001</t>
  </si>
  <si>
    <t>陶伟伟</t>
  </si>
  <si>
    <t>10.191.8.56</t>
  </si>
  <si>
    <t>FE:FC:FA:96:bb:e5</t>
  </si>
  <si>
    <t>BK2521431</t>
  </si>
  <si>
    <t>K0051959-JB</t>
  </si>
  <si>
    <t>160.22.9.201</t>
  </si>
  <si>
    <t>K0051959</t>
  </si>
  <si>
    <t>李金涛</t>
  </si>
  <si>
    <t>10.191.8.57</t>
  </si>
  <si>
    <t>FE:FC:FA:7c:7d:ed</t>
  </si>
  <si>
    <t>BK2521432</t>
  </si>
  <si>
    <t>BK1101736</t>
  </si>
  <si>
    <t>K1101986-JB</t>
  </si>
  <si>
    <t>160.22.19.148</t>
  </si>
  <si>
    <t>K1101986</t>
  </si>
  <si>
    <t>王鹏</t>
  </si>
  <si>
    <t>10.191.8.58</t>
  </si>
  <si>
    <t>FE:FC:FA:6b:64:d9</t>
  </si>
  <si>
    <t>BK5830001</t>
  </si>
  <si>
    <t>K1101942-JB</t>
  </si>
  <si>
    <t>160.22.8.244</t>
  </si>
  <si>
    <t>K1101942</t>
  </si>
  <si>
    <t>曹建</t>
  </si>
  <si>
    <t>10.191.8.60</t>
  </si>
  <si>
    <t>FE:FC:FA:d9:66:37</t>
  </si>
  <si>
    <t>BK5830002</t>
  </si>
  <si>
    <t>BK0730019</t>
  </si>
  <si>
    <t>K0051945-JB</t>
  </si>
  <si>
    <t>160.22.8.101</t>
  </si>
  <si>
    <t>K0051945</t>
  </si>
  <si>
    <t>操徐鹏</t>
  </si>
  <si>
    <t>10.191.8.61</t>
  </si>
  <si>
    <t>FE:FC:FA:4a:62:14</t>
  </si>
  <si>
    <t>BK5830003</t>
  </si>
  <si>
    <t>K1101925-JB</t>
  </si>
  <si>
    <t>160.22.15.64</t>
  </si>
  <si>
    <t>K1101925</t>
  </si>
  <si>
    <t>鞠叶</t>
  </si>
  <si>
    <t>10.191.8.62</t>
  </si>
  <si>
    <t>FE:FC:FA:96:4d:04</t>
  </si>
  <si>
    <t>坤(已删除)</t>
  </si>
  <si>
    <t>BK5830004</t>
  </si>
  <si>
    <t>K4360002-JB</t>
  </si>
  <si>
    <t>160.22.7.189</t>
  </si>
  <si>
    <t>K4360002</t>
  </si>
  <si>
    <t>孙祥祥</t>
  </si>
  <si>
    <t>10.191.8.63</t>
  </si>
  <si>
    <t>FE:FC:FA:f1:ab:57</t>
  </si>
  <si>
    <t>BK5830006</t>
  </si>
  <si>
    <t>K4360001-JB</t>
  </si>
  <si>
    <t>160.22.7.187</t>
  </si>
  <si>
    <t>K4360001</t>
  </si>
  <si>
    <t>曹伟</t>
  </si>
  <si>
    <t>10.191.8.64</t>
  </si>
  <si>
    <t>FE:FC:FA:c1:65:c3</t>
  </si>
  <si>
    <t>K0021579-JB</t>
  </si>
  <si>
    <t>160.22.15.63</t>
  </si>
  <si>
    <t>K0021579</t>
  </si>
  <si>
    <t>周自力</t>
  </si>
  <si>
    <t>10.191.8.65</t>
  </si>
  <si>
    <t>FE:FC:FA:cf:51:34</t>
  </si>
  <si>
    <t>BK0231411</t>
  </si>
  <si>
    <t>K1101866-JB</t>
  </si>
  <si>
    <t>160.22.13.251</t>
  </si>
  <si>
    <t>K1101866</t>
  </si>
  <si>
    <t>张广军</t>
  </si>
  <si>
    <t>10.191.8.66</t>
  </si>
  <si>
    <t>FE:FC:FA:9f:51:18</t>
  </si>
  <si>
    <t>K1101846-JB</t>
  </si>
  <si>
    <t>160.22.6.8</t>
  </si>
  <si>
    <t>K1101846</t>
  </si>
  <si>
    <t>朱睿</t>
  </si>
  <si>
    <t>10.191.8.67</t>
  </si>
  <si>
    <t>FE:FC:FA:a8:94:d1</t>
  </si>
  <si>
    <t>K2750002-JB</t>
  </si>
  <si>
    <t>160.22.5.205</t>
  </si>
  <si>
    <t>K2750002</t>
  </si>
  <si>
    <t>李汉文</t>
  </si>
  <si>
    <t>10.191.8.68</t>
  </si>
  <si>
    <t>FE:FC:FA:0a:b9:ed</t>
  </si>
  <si>
    <t>K2511572-JB</t>
  </si>
  <si>
    <t>160.22.5.92</t>
  </si>
  <si>
    <t>K2511572</t>
  </si>
  <si>
    <t>胡攀</t>
  </si>
  <si>
    <t>10.191.8.69</t>
  </si>
  <si>
    <t>FE:FC:FA:03:40:94</t>
  </si>
  <si>
    <t>K0051805-JB</t>
  </si>
  <si>
    <t>160.22.5.85</t>
  </si>
  <si>
    <t>K0051805</t>
  </si>
  <si>
    <t>史善丽</t>
  </si>
  <si>
    <t>10.191.8.70</t>
  </si>
  <si>
    <t>FE:FC:FA:17:f4:a6</t>
  </si>
  <si>
    <t>苏（已删除）</t>
  </si>
  <si>
    <t>K0721220-JB</t>
  </si>
  <si>
    <t>160.22.12.144</t>
  </si>
  <si>
    <t>K0721220</t>
  </si>
  <si>
    <t>王福洲</t>
  </si>
  <si>
    <t>10.191.8.71</t>
  </si>
  <si>
    <t>FE:FC:FA:b4:c6:a7</t>
  </si>
  <si>
    <t>K0151201-JB</t>
  </si>
  <si>
    <t>160.22.5.8</t>
  </si>
  <si>
    <t>K0151201</t>
  </si>
  <si>
    <t>杨皆喜</t>
  </si>
  <si>
    <t>10.191.8.72</t>
  </si>
  <si>
    <t>FE:FC:FA:58:d9:75</t>
  </si>
  <si>
    <t>K1101550-JB</t>
  </si>
  <si>
    <t>160.22.21.212</t>
  </si>
  <si>
    <t>K1101550</t>
  </si>
  <si>
    <t>高亚君</t>
  </si>
  <si>
    <t>10.191.8.73</t>
  </si>
  <si>
    <t>FE:FC:FA:a9:8d:74</t>
  </si>
  <si>
    <t>K1101735-JB</t>
  </si>
  <si>
    <t>160.22.17.150</t>
  </si>
  <si>
    <t>K1101735</t>
  </si>
  <si>
    <t>周鲁笑</t>
  </si>
  <si>
    <t>10.191.8.74</t>
  </si>
  <si>
    <t>FE:FC:FA:2b:02:95</t>
  </si>
  <si>
    <t>K0231291-JB</t>
  </si>
  <si>
    <t>160.22.11.206</t>
  </si>
  <si>
    <t>K0231291</t>
  </si>
  <si>
    <t>陈海金</t>
  </si>
  <si>
    <t>10.191.8.75</t>
  </si>
  <si>
    <t>FE:FC:FA:7a:7a:59</t>
  </si>
  <si>
    <t>K0110012-JB</t>
  </si>
  <si>
    <t>K0110012</t>
  </si>
  <si>
    <t>张慧凯</t>
  </si>
  <si>
    <t>10.191.8.76</t>
  </si>
  <si>
    <t>FE:FC:FA:fd:5d:7f</t>
  </si>
  <si>
    <t>K1101396-JB</t>
  </si>
  <si>
    <t>160.22.4.219</t>
  </si>
  <si>
    <t>K1101396</t>
  </si>
  <si>
    <t>杨健平</t>
  </si>
  <si>
    <t>10.191.8.77</t>
  </si>
  <si>
    <t>FE:FC:FA:d9:32:fd</t>
  </si>
  <si>
    <t>K0051608-JB</t>
  </si>
  <si>
    <t>160.22.4.152</t>
  </si>
  <si>
    <t>K0051608</t>
  </si>
  <si>
    <t>潘天钰</t>
  </si>
  <si>
    <t>10.191.8.78</t>
  </si>
  <si>
    <t>FE:FC:FA:f8:cf:2a</t>
  </si>
  <si>
    <t>K0231382-JB</t>
  </si>
  <si>
    <t>160.22.4.94</t>
  </si>
  <si>
    <t>K0231382</t>
  </si>
  <si>
    <t>孟鑫</t>
  </si>
  <si>
    <t>10.191.8.79</t>
  </si>
  <si>
    <t>FE:FC:FA:4d:80:5a</t>
  </si>
  <si>
    <t>K0231368-JB</t>
  </si>
  <si>
    <t>160.22.4.84</t>
  </si>
  <si>
    <t>K0231368</t>
  </si>
  <si>
    <t>吕北京</t>
  </si>
  <si>
    <t>10.191.8.80</t>
  </si>
  <si>
    <t>FE:FC:FA:97:e9:e1</t>
  </si>
  <si>
    <t>K0231411-JB</t>
  </si>
  <si>
    <t>160.22.11.218</t>
  </si>
  <si>
    <t>K0231411</t>
  </si>
  <si>
    <t>李叶顺</t>
  </si>
  <si>
    <t>10.191.8.81</t>
  </si>
  <si>
    <t>FE:FC:FA:89:1e:fd</t>
  </si>
  <si>
    <t>进程无法完成</t>
  </si>
  <si>
    <t>K1101736-JB</t>
  </si>
  <si>
    <t>160.22.11.6</t>
  </si>
  <si>
    <t>K1101736</t>
  </si>
  <si>
    <t>孙如海</t>
  </si>
  <si>
    <t>10.191.8.82</t>
  </si>
  <si>
    <t>FE:FC:FA:63:af:b7</t>
  </si>
  <si>
    <t>K1101590-JB</t>
  </si>
  <si>
    <t>160.22.21.80</t>
  </si>
  <si>
    <t>K1101590</t>
  </si>
  <si>
    <t>毕克池</t>
  </si>
  <si>
    <t>10.191.8.83</t>
  </si>
  <si>
    <t>FE:FC:FA:96:f0:5d</t>
  </si>
  <si>
    <t>K0730019-JB</t>
  </si>
  <si>
    <t>160.22.11.25</t>
  </si>
  <si>
    <t>K0730019</t>
  </si>
  <si>
    <t>陈猛</t>
  </si>
  <si>
    <t>10.191.8.84</t>
  </si>
  <si>
    <t>FE:FC:FA:5d:95:49</t>
  </si>
  <si>
    <t>K0051495-JB</t>
  </si>
  <si>
    <t>160.22.11.36</t>
  </si>
  <si>
    <t>K0051495</t>
  </si>
  <si>
    <t>王海</t>
  </si>
  <si>
    <t>10.191.8.86</t>
  </si>
  <si>
    <t>FE:FC:FA:24:a4:68</t>
  </si>
  <si>
    <t>K1101797-JB</t>
  </si>
  <si>
    <t>K1101797</t>
  </si>
  <si>
    <t>蒋庭</t>
  </si>
  <si>
    <t>10.191.8.88</t>
  </si>
  <si>
    <t>FE:FC:FA:2d:bc:4a</t>
  </si>
  <si>
    <t>K5830006-JB</t>
  </si>
  <si>
    <t>160.22.3.192</t>
  </si>
  <si>
    <t>K5830006</t>
  </si>
  <si>
    <t>芮林新</t>
  </si>
  <si>
    <t>研究所</t>
  </si>
  <si>
    <t>10.191.8.89</t>
  </si>
  <si>
    <t>FE:FC:FA:f8:9e:c0</t>
  </si>
  <si>
    <t>K5830004-JB</t>
  </si>
  <si>
    <t>160.22.3.44</t>
  </si>
  <si>
    <t>K5830004</t>
  </si>
  <si>
    <t>程丽</t>
  </si>
  <si>
    <t>10.191.8.90</t>
  </si>
  <si>
    <t>FE:FC:FA:b8:6a:01</t>
  </si>
  <si>
    <t>K5830003-JB</t>
  </si>
  <si>
    <t>160.22.3.26</t>
  </si>
  <si>
    <t>K5830003</t>
  </si>
  <si>
    <t>黄志晴</t>
  </si>
  <si>
    <t>10.191.8.91</t>
  </si>
  <si>
    <t>FE:FC:FA:51:9d:c6</t>
  </si>
  <si>
    <t>K5830002-JB</t>
  </si>
  <si>
    <t>160.22.3.25</t>
  </si>
  <si>
    <t>K5830002</t>
  </si>
  <si>
    <t>尹文君</t>
  </si>
  <si>
    <t>10.191.8.92</t>
  </si>
  <si>
    <t>FE:FC:FA:db:9c:c0</t>
  </si>
  <si>
    <t>K5830001-JB</t>
  </si>
  <si>
    <t>160.22.10.209</t>
  </si>
  <si>
    <t>K5830001</t>
  </si>
  <si>
    <t>孙传彬</t>
  </si>
  <si>
    <t>10.191.8.93</t>
  </si>
  <si>
    <t>FE:FC:FA:b2:d9:12</t>
  </si>
  <si>
    <t>K2521432-JB</t>
  </si>
  <si>
    <t>160.22.21.205</t>
  </si>
  <si>
    <t>K2521432</t>
  </si>
  <si>
    <t>康颖</t>
  </si>
  <si>
    <t>运营中心</t>
  </si>
  <si>
    <t>10.191.8.94</t>
  </si>
  <si>
    <t>FE:FC:FA:8a:92:c1</t>
  </si>
  <si>
    <t>K2521431-JB</t>
  </si>
  <si>
    <t>160.22.21.173</t>
  </si>
  <si>
    <t>K2521431</t>
  </si>
  <si>
    <t>王嘉玮</t>
  </si>
  <si>
    <t>10.191.8.95</t>
  </si>
  <si>
    <t>FE:FC:FA:d7:6d:56</t>
  </si>
  <si>
    <t>K2521425-JB</t>
  </si>
  <si>
    <t>160.22.20.235</t>
  </si>
  <si>
    <t>K2521425</t>
  </si>
  <si>
    <t>罗元根</t>
  </si>
  <si>
    <t>10.191.8.96</t>
  </si>
  <si>
    <t>FE:FC:FA:bf:1c:11</t>
  </si>
  <si>
    <t>K0071215-JB</t>
  </si>
  <si>
    <t>160.22.10.114</t>
  </si>
  <si>
    <t>K0071215</t>
  </si>
  <si>
    <t>王信龙</t>
  </si>
  <si>
    <t>证券投资部</t>
  </si>
  <si>
    <t>10.191.8.97</t>
  </si>
  <si>
    <t>FE:FC:FA:9a:48:a0</t>
  </si>
  <si>
    <t>K0071216-JB</t>
  </si>
  <si>
    <t>160.22.10.93</t>
  </si>
  <si>
    <t>K0071216</t>
  </si>
  <si>
    <t>杨小龙</t>
  </si>
  <si>
    <t>10.191.8.98</t>
  </si>
  <si>
    <t>FE:FC:FA:d3:39:29</t>
  </si>
  <si>
    <t>K0071214-JB</t>
  </si>
  <si>
    <t>160.22.0.207</t>
  </si>
  <si>
    <t>K0071214</t>
  </si>
  <si>
    <t>黄大举</t>
  </si>
  <si>
    <t>10.191.8.99</t>
  </si>
  <si>
    <t>FE:FC:FA:bc:e4:bd</t>
  </si>
  <si>
    <t>K0071213-JB</t>
  </si>
  <si>
    <t>160.22.7.41</t>
  </si>
  <si>
    <t>K0071213</t>
  </si>
  <si>
    <t>康晓东</t>
  </si>
  <si>
    <t>10.191.8.100</t>
  </si>
  <si>
    <t>FE:FC:FA:5a:36:8e</t>
  </si>
  <si>
    <t>K0161978-JB</t>
  </si>
  <si>
    <t>160.22.11.91</t>
  </si>
  <si>
    <t>K0161978</t>
  </si>
  <si>
    <t>周丰玮</t>
  </si>
  <si>
    <t>10.191.8.101</t>
  </si>
  <si>
    <t>FE:FC:FA:13:37:e5</t>
  </si>
  <si>
    <t>K0310019-YW</t>
  </si>
  <si>
    <t>IT外包运维桌面</t>
  </si>
  <si>
    <t>160.22.28.37</t>
  </si>
  <si>
    <t>K0310019</t>
  </si>
  <si>
    <t>张研</t>
  </si>
  <si>
    <t>10.191.32.12</t>
  </si>
  <si>
    <t>FE:FC:FA:9c:10:0d</t>
  </si>
  <si>
    <t>使用人二级部门</t>
  </si>
  <si>
    <t>工作地点</t>
  </si>
  <si>
    <t>所属中心</t>
  </si>
  <si>
    <t>CPU</t>
  </si>
  <si>
    <t>内存</t>
  </si>
  <si>
    <t>存储</t>
  </si>
  <si>
    <r>
      <rPr>
        <b/>
        <sz val="10"/>
        <color rgb="FF000000"/>
        <rFont val="微软雅黑"/>
        <family val="2"/>
        <charset val="134"/>
      </rPr>
      <t xml:space="preserve">首次同步状态
</t>
    </r>
    <r>
      <rPr>
        <b/>
        <sz val="10"/>
        <color rgb="FFFF0000"/>
        <rFont val="微软雅黑"/>
        <family val="2"/>
        <charset val="134"/>
      </rPr>
      <t>（重迁）</t>
    </r>
  </si>
  <si>
    <r>
      <rPr>
        <b/>
        <sz val="10"/>
        <color rgb="FF000000"/>
        <rFont val="微软雅黑"/>
        <family val="2"/>
        <charset val="134"/>
      </rPr>
      <t>切换完成</t>
    </r>
    <r>
      <rPr>
        <b/>
        <sz val="10"/>
        <color rgb="FFFF0000"/>
        <rFont val="微软雅黑"/>
        <family val="2"/>
        <charset val="134"/>
      </rPr>
      <t>（强切）</t>
    </r>
  </si>
  <si>
    <t>W010466</t>
  </si>
  <si>
    <t>办公桌面</t>
  </si>
  <si>
    <t>160.18.13.218</t>
  </si>
  <si>
    <t>010466</t>
  </si>
  <si>
    <t>陈诚</t>
  </si>
  <si>
    <t>南京市</t>
  </si>
  <si>
    <t>IT架构委员会</t>
  </si>
  <si>
    <t>2026.6.W2</t>
  </si>
  <si>
    <t>6.12</t>
  </si>
  <si>
    <t>B010466</t>
  </si>
  <si>
    <t>10.187.12.140</t>
  </si>
  <si>
    <t>FE:FC:FA:65:97:8e</t>
  </si>
  <si>
    <t>16 GB</t>
  </si>
  <si>
    <t>266.61 GB</t>
  </si>
  <si>
    <t>VDI_Cluster01_LUN01</t>
  </si>
  <si>
    <t>VLAN1002</t>
  </si>
  <si>
    <t>B025807</t>
  </si>
  <si>
    <t>Z025641</t>
  </si>
  <si>
    <t>160.28.12.166</t>
  </si>
  <si>
    <t>025641</t>
  </si>
  <si>
    <t>陆健</t>
  </si>
  <si>
    <t>B025641</t>
  </si>
  <si>
    <t>10.187.12.141</t>
  </si>
  <si>
    <t>FE:FC:FA:b4:8e:d4</t>
  </si>
  <si>
    <t>32GB</t>
  </si>
  <si>
    <t>282.85 GB</t>
  </si>
  <si>
    <t>无</t>
  </si>
  <si>
    <t>B015598</t>
  </si>
  <si>
    <t>W013148</t>
  </si>
  <si>
    <t>160.18.13.196</t>
  </si>
  <si>
    <t>013148</t>
  </si>
  <si>
    <t>林思远</t>
  </si>
  <si>
    <t>B013148</t>
  </si>
  <si>
    <t>10.187.12.142</t>
  </si>
  <si>
    <t>FE:FC:FA:8b:1e:28</t>
  </si>
  <si>
    <t>366.6 GB</t>
  </si>
  <si>
    <t>B019709</t>
  </si>
  <si>
    <t>W025807</t>
  </si>
  <si>
    <t>160.18.16.163</t>
  </si>
  <si>
    <t>025807</t>
  </si>
  <si>
    <t>王立凡</t>
  </si>
  <si>
    <t>10.187.12.143</t>
  </si>
  <si>
    <t>FE:FC:FA:42:ff:b3</t>
  </si>
  <si>
    <t>266.25 GB</t>
  </si>
  <si>
    <t>B025192</t>
  </si>
  <si>
    <t>160.18.12.251</t>
  </si>
  <si>
    <t>W016645</t>
  </si>
  <si>
    <t>016645</t>
  </si>
  <si>
    <t>B016645</t>
  </si>
  <si>
    <t>10.187.12.144</t>
  </si>
  <si>
    <t>FE:FC:FA:ae:5d:2a</t>
  </si>
  <si>
    <t>266.21 GB</t>
  </si>
  <si>
    <t>B025283</t>
  </si>
  <si>
    <t>160.18.15.213</t>
  </si>
  <si>
    <t>W025478</t>
  </si>
  <si>
    <t>160.18.14.191</t>
  </si>
  <si>
    <t>025478</t>
  </si>
  <si>
    <t>赵丽</t>
  </si>
  <si>
    <t>B025478</t>
  </si>
  <si>
    <t>10.187.12.145</t>
  </si>
  <si>
    <t>FE:FC:FA:68:55:c3</t>
  </si>
  <si>
    <t>267.33 GB</t>
  </si>
  <si>
    <t>B025724</t>
  </si>
  <si>
    <t>W025476</t>
  </si>
  <si>
    <t>025476</t>
  </si>
  <si>
    <t>毛权</t>
  </si>
  <si>
    <t>B025476</t>
  </si>
  <si>
    <t>10.187.12.146</t>
  </si>
  <si>
    <t>FE:FC:FA:b3:83:b9</t>
  </si>
  <si>
    <t>267.16 GB</t>
  </si>
  <si>
    <t>人工重启</t>
  </si>
  <si>
    <t>B023796</t>
  </si>
  <si>
    <t>W019270</t>
  </si>
  <si>
    <t>160.18.18.170</t>
  </si>
  <si>
    <t>019270</t>
  </si>
  <si>
    <t>周韬</t>
  </si>
  <si>
    <t>B019270</t>
  </si>
  <si>
    <t>10.187.12.147</t>
  </si>
  <si>
    <t>FE:FC:FA:a8:8e:24</t>
  </si>
  <si>
    <t>286.62 GB</t>
  </si>
  <si>
    <t>VDI_Cluster01_LUN03</t>
  </si>
  <si>
    <t>B024864</t>
  </si>
  <si>
    <t>W025283</t>
  </si>
  <si>
    <t>160.18.15.42</t>
  </si>
  <si>
    <t>025283</t>
  </si>
  <si>
    <t>张磊</t>
  </si>
  <si>
    <t>10.187.12.148</t>
  </si>
  <si>
    <t>FE:FC:FA:0a:bd:1a</t>
  </si>
  <si>
    <t>268.48 GB</t>
  </si>
  <si>
    <t>B024980</t>
  </si>
  <si>
    <t>160.18.12.208</t>
  </si>
  <si>
    <t>W025192</t>
  </si>
  <si>
    <t>160.18.13.251</t>
  </si>
  <si>
    <t>025192</t>
  </si>
  <si>
    <t>戴璨</t>
  </si>
  <si>
    <t>10.187.12.149</t>
  </si>
  <si>
    <t>FE:FC:FA:e3:36:da</t>
  </si>
  <si>
    <t>268.43 GB</t>
  </si>
  <si>
    <t>B025143</t>
  </si>
  <si>
    <t>160.18.12.216</t>
  </si>
  <si>
    <t>W012728</t>
  </si>
  <si>
    <t>012728</t>
  </si>
  <si>
    <t>谭胜</t>
  </si>
  <si>
    <t>B012728</t>
  </si>
  <si>
    <t>10.187.12.150</t>
  </si>
  <si>
    <t>FE:FC:FA:59:dc:b6</t>
  </si>
  <si>
    <t>286.16 GB</t>
  </si>
  <si>
    <t>B025242</t>
  </si>
  <si>
    <t>160.18.13.211</t>
  </si>
  <si>
    <t>W015265</t>
  </si>
  <si>
    <t>160.18.16.60</t>
  </si>
  <si>
    <t>015265</t>
  </si>
  <si>
    <t>李东杰</t>
  </si>
  <si>
    <t>B015265</t>
  </si>
  <si>
    <t>10.187.12.151</t>
  </si>
  <si>
    <t>FE:FC:FA:17:ea:80</t>
  </si>
  <si>
    <t>266.58 GB</t>
  </si>
  <si>
    <t>B025716</t>
  </si>
  <si>
    <t>W013204</t>
  </si>
  <si>
    <t>013204</t>
  </si>
  <si>
    <t>陈欣</t>
  </si>
  <si>
    <t>B013204</t>
  </si>
  <si>
    <t>10.187.12.152</t>
  </si>
  <si>
    <t>FE:FC:FA:96:3f:35</t>
  </si>
  <si>
    <t>316.56 GB</t>
  </si>
  <si>
    <t>B018374</t>
  </si>
  <si>
    <t>160.18.14.5</t>
  </si>
  <si>
    <t>W019327</t>
  </si>
  <si>
    <t>160.18.18.150</t>
  </si>
  <si>
    <t>019327</t>
  </si>
  <si>
    <t>王国帅</t>
  </si>
  <si>
    <t>B019327</t>
  </si>
  <si>
    <t>10.187.12.153</t>
  </si>
  <si>
    <t>FE:FC:FA:2f:37:3b</t>
  </si>
  <si>
    <t>316.61 GB</t>
  </si>
  <si>
    <t>B024919</t>
  </si>
  <si>
    <t>160.18.18.79</t>
  </si>
  <si>
    <t>W020724</t>
  </si>
  <si>
    <t>160.18.19.117</t>
  </si>
  <si>
    <t>020724</t>
  </si>
  <si>
    <t>王国强</t>
  </si>
  <si>
    <t>B020724</t>
  </si>
  <si>
    <t>10.187.12.154</t>
  </si>
  <si>
    <t>FE:FC:FA:dc:c3:86</t>
  </si>
  <si>
    <t>8 GB</t>
  </si>
  <si>
    <t>258.13 GB</t>
  </si>
  <si>
    <t>B025412</t>
  </si>
  <si>
    <t>160.18.18.88</t>
  </si>
  <si>
    <t>W019709</t>
  </si>
  <si>
    <t>160.18.16.231</t>
  </si>
  <si>
    <t>019709</t>
  </si>
  <si>
    <t>葛婷</t>
  </si>
  <si>
    <t>10.187.12.155</t>
  </si>
  <si>
    <t>FE:FC:FA:43:df:02</t>
  </si>
  <si>
    <t>266.11 GB</t>
  </si>
  <si>
    <t>B001948</t>
  </si>
  <si>
    <t>W019146</t>
  </si>
  <si>
    <t>019146</t>
  </si>
  <si>
    <t>顾盛楠</t>
  </si>
  <si>
    <t>B019146</t>
  </si>
  <si>
    <t>10.187.12.156</t>
  </si>
  <si>
    <t>FE:FC:FA:58:24:34</t>
  </si>
  <si>
    <t>266.63 GB</t>
  </si>
  <si>
    <t>B011002</t>
  </si>
  <si>
    <t>W019105</t>
  </si>
  <si>
    <t>019105</t>
  </si>
  <si>
    <t>赵秀丽</t>
  </si>
  <si>
    <t>B019105</t>
  </si>
  <si>
    <t>10.187.12.157</t>
  </si>
  <si>
    <t>FE:FC:FA:44:39:1e</t>
  </si>
  <si>
    <t>266.65 GB</t>
  </si>
  <si>
    <t>B014210</t>
  </si>
  <si>
    <t>W025127</t>
  </si>
  <si>
    <t>160.18.13.244</t>
  </si>
  <si>
    <t>025127</t>
  </si>
  <si>
    <t>赵玉洁</t>
  </si>
  <si>
    <t>B025127</t>
  </si>
  <si>
    <t>10.187.12.158</t>
  </si>
  <si>
    <t>FE:FC:FA:f7:7c:cf</t>
  </si>
  <si>
    <t>268.35 GB</t>
  </si>
  <si>
    <t>B018115</t>
  </si>
  <si>
    <t>Z025724</t>
  </si>
  <si>
    <t>160.28.12.172</t>
  </si>
  <si>
    <t>025724</t>
  </si>
  <si>
    <t>翟弘绅</t>
  </si>
  <si>
    <t>测试交付中心</t>
  </si>
  <si>
    <t>10.187.12.159</t>
  </si>
  <si>
    <t>FE:FC:FA:7e:9d:8f</t>
  </si>
  <si>
    <t>16GB</t>
  </si>
  <si>
    <t>266.55 GB</t>
  </si>
  <si>
    <t>B019200</t>
  </si>
  <si>
    <t>W025828</t>
  </si>
  <si>
    <t>160.18.17.95</t>
  </si>
  <si>
    <t>025828</t>
  </si>
  <si>
    <t>华明</t>
  </si>
  <si>
    <t>B025828</t>
  </si>
  <si>
    <t>10.187.12.160</t>
  </si>
  <si>
    <t>FE:FC:FA:40:03:b1</t>
  </si>
  <si>
    <t>266.19 GB</t>
  </si>
  <si>
    <t>B020571</t>
  </si>
  <si>
    <t>W025748</t>
  </si>
  <si>
    <t>160.18.19.148</t>
  </si>
  <si>
    <t>025748</t>
  </si>
  <si>
    <t>那奕君</t>
  </si>
  <si>
    <t>B025748</t>
  </si>
  <si>
    <t>10.187.12.161</t>
  </si>
  <si>
    <t>FE:FC:FA:92:ba:7e</t>
  </si>
  <si>
    <t>266.37 GB</t>
  </si>
  <si>
    <t>B020615</t>
  </si>
  <si>
    <t>W012896</t>
  </si>
  <si>
    <t>012896</t>
  </si>
  <si>
    <t>李瑞</t>
  </si>
  <si>
    <t>策略技术研发中心</t>
  </si>
  <si>
    <t>B012896</t>
  </si>
  <si>
    <t>10.187.12.162</t>
  </si>
  <si>
    <t>FE:FC:FA:84:d8:1a</t>
  </si>
  <si>
    <t>286.21 GB</t>
  </si>
  <si>
    <t>B024134</t>
  </si>
  <si>
    <t>W025817</t>
  </si>
  <si>
    <t>160.18.19.193</t>
  </si>
  <si>
    <t>025817</t>
  </si>
  <si>
    <t>戴春光</t>
  </si>
  <si>
    <t>B025817</t>
  </si>
  <si>
    <t>10.187.12.163</t>
  </si>
  <si>
    <t>FE:FC:FA:27:10:3b</t>
  </si>
  <si>
    <t>266.27 GB</t>
  </si>
  <si>
    <t>B025021</t>
  </si>
  <si>
    <t>W015598</t>
  </si>
  <si>
    <t>015598</t>
  </si>
  <si>
    <t>周丹丹</t>
  </si>
  <si>
    <t>10.187.12.164</t>
  </si>
  <si>
    <t>FE:FC:FA:a0:3f:9b</t>
  </si>
  <si>
    <t>506.74 GB</t>
  </si>
  <si>
    <t>B025217</t>
  </si>
  <si>
    <t>W025459</t>
  </si>
  <si>
    <t>160.18.13.144</t>
  </si>
  <si>
    <t>025459</t>
  </si>
  <si>
    <t>邵楠</t>
  </si>
  <si>
    <t>B025459</t>
  </si>
  <si>
    <t>10.187.12.165</t>
  </si>
  <si>
    <t>FE:FC:FA:65:0e:9a</t>
  </si>
  <si>
    <t>267.37 GB</t>
  </si>
  <si>
    <t>VDI_Cluster01_LUN04</t>
  </si>
  <si>
    <t>状态卡住，多次手动重启无用</t>
  </si>
  <si>
    <t>迁移失败</t>
  </si>
  <si>
    <t>B025228</t>
  </si>
  <si>
    <t>W025242</t>
  </si>
  <si>
    <t>160.18.13.253</t>
  </si>
  <si>
    <t>025242</t>
  </si>
  <si>
    <t>林恺越</t>
  </si>
  <si>
    <t>10.187.12.166</t>
  </si>
  <si>
    <t>FE:FC:FA:64:44:57</t>
  </si>
  <si>
    <t>267.93 GB</t>
  </si>
  <si>
    <t>B025427</t>
  </si>
  <si>
    <t>160.18.14.136</t>
  </si>
  <si>
    <t>Z025143</t>
  </si>
  <si>
    <t>160.28.12.153</t>
  </si>
  <si>
    <t>025143</t>
  </si>
  <si>
    <t>曹铸</t>
  </si>
  <si>
    <t>10.187.12.167</t>
  </si>
  <si>
    <t>FE:FC:FA:ee:e0:7e</t>
  </si>
  <si>
    <t>269.06 GB</t>
  </si>
  <si>
    <t>伟-已卸载</t>
  </si>
  <si>
    <t>B025455</t>
  </si>
  <si>
    <t>160.18.13.224</t>
  </si>
  <si>
    <t>W025036</t>
  </si>
  <si>
    <t>160.18.17.199</t>
  </si>
  <si>
    <t>025036</t>
  </si>
  <si>
    <t>余佳恒</t>
  </si>
  <si>
    <t>B025036</t>
  </si>
  <si>
    <t>10.187.12.168</t>
  </si>
  <si>
    <t>FE:FC:FA:61:e9:0a</t>
  </si>
  <si>
    <t>268.41 GB</t>
  </si>
  <si>
    <t>B017814</t>
  </si>
  <si>
    <t>160.18.14.219</t>
  </si>
  <si>
    <t>W015399</t>
  </si>
  <si>
    <t>160.18.15.69</t>
  </si>
  <si>
    <t>015399</t>
  </si>
  <si>
    <t>佟双军</t>
  </si>
  <si>
    <t>B015399</t>
  </si>
  <si>
    <t>10.187.12.169</t>
  </si>
  <si>
    <t>FE:FC:FA:2c:82:d2</t>
  </si>
  <si>
    <t>266.69 GB</t>
  </si>
  <si>
    <t>B019402</t>
  </si>
  <si>
    <t>160.18.12.234</t>
  </si>
  <si>
    <t>W021382</t>
  </si>
  <si>
    <t>160.18.17.170</t>
  </si>
  <si>
    <t>021382</t>
  </si>
  <si>
    <t>吴凌宵</t>
  </si>
  <si>
    <t>B021382</t>
  </si>
  <si>
    <t>10.187.12.170</t>
  </si>
  <si>
    <t>FE:FC:FA:ea:36:b0</t>
  </si>
  <si>
    <t>266.16 GB</t>
  </si>
  <si>
    <t>B025772</t>
  </si>
  <si>
    <t>160.18.12.211</t>
  </si>
  <si>
    <t>Z024864</t>
  </si>
  <si>
    <t>160.28.12.134</t>
  </si>
  <si>
    <t>024864</t>
  </si>
  <si>
    <t>曹云依</t>
  </si>
  <si>
    <t>10.187.12.171</t>
  </si>
  <si>
    <t>FE:FC:FA:d5:f5:58</t>
  </si>
  <si>
    <t>269.73 GB</t>
  </si>
  <si>
    <t>B025832</t>
  </si>
  <si>
    <t>Z025716</t>
  </si>
  <si>
    <t>160.28.12.168</t>
  </si>
  <si>
    <t>025716</t>
  </si>
  <si>
    <t>郭超</t>
  </si>
  <si>
    <t>10.187.12.172</t>
  </si>
  <si>
    <t>FE:FC:FA:f9:7b:b5</t>
  </si>
  <si>
    <t>282.64 GB</t>
  </si>
  <si>
    <t>Bdatasec01</t>
  </si>
  <si>
    <t>160.18.15.35</t>
  </si>
  <si>
    <t>W020035</t>
  </si>
  <si>
    <t>160.18.19.22</t>
  </si>
  <si>
    <t>020035</t>
  </si>
  <si>
    <t>王松华</t>
  </si>
  <si>
    <t>B020035</t>
  </si>
  <si>
    <t>10.187.12.173</t>
  </si>
  <si>
    <t>FE:FC:FA:79:df:36</t>
  </si>
  <si>
    <t>306.19 GB</t>
  </si>
  <si>
    <t>B001935</t>
  </si>
  <si>
    <t>160.18.15.64</t>
  </si>
  <si>
    <t>W025467</t>
  </si>
  <si>
    <t>160.18.13.99</t>
  </si>
  <si>
    <t>025467</t>
  </si>
  <si>
    <t>胡海波</t>
  </si>
  <si>
    <t>B025467</t>
  </si>
  <si>
    <t>10.187.12.174</t>
  </si>
  <si>
    <t>FE:FC:FA:98:f3:30</t>
  </si>
  <si>
    <t>267.71 GB</t>
  </si>
  <si>
    <t>B003189</t>
  </si>
  <si>
    <t>160.18.18.162</t>
  </si>
  <si>
    <t>W016086</t>
  </si>
  <si>
    <t>016086</t>
  </si>
  <si>
    <t>姚帆</t>
  </si>
  <si>
    <t>B016086</t>
  </si>
  <si>
    <t>10.187.12.175</t>
  </si>
  <si>
    <t>FE:FC:FA:4f:92:04</t>
  </si>
  <si>
    <t>306.41 GB</t>
  </si>
  <si>
    <t>B005278</t>
  </si>
  <si>
    <t>Z024980</t>
  </si>
  <si>
    <t>160.28.14.144</t>
  </si>
  <si>
    <t>024980</t>
  </si>
  <si>
    <t>李竞帆</t>
  </si>
  <si>
    <t>10.187.12.176</t>
  </si>
  <si>
    <t>FE:FC:FA:be:ac:c1</t>
  </si>
  <si>
    <t>285.57 GB</t>
  </si>
  <si>
    <t>B025458</t>
  </si>
  <si>
    <t>160.18.19.26</t>
  </si>
  <si>
    <t>W025869</t>
  </si>
  <si>
    <t>160.18.17.97</t>
  </si>
  <si>
    <t>025869</t>
  </si>
  <si>
    <t>苏东兴</t>
  </si>
  <si>
    <t>B025869</t>
  </si>
  <si>
    <t>10.187.12.177</t>
  </si>
  <si>
    <t>FE:FC:FA:b0:59:3a</t>
  </si>
  <si>
    <t>266.18 GB</t>
  </si>
  <si>
    <t>B025468</t>
  </si>
  <si>
    <t>W025840</t>
  </si>
  <si>
    <t>160.18.17.98</t>
  </si>
  <si>
    <t>025840</t>
  </si>
  <si>
    <t>刘岩</t>
  </si>
  <si>
    <t>B025840</t>
  </si>
  <si>
    <t>10.187.12.178</t>
  </si>
  <si>
    <t>FE:FC:FA:c0:c2:4c</t>
  </si>
  <si>
    <t>B025501</t>
  </si>
  <si>
    <t>160.18.17.148</t>
  </si>
  <si>
    <t>W006671</t>
  </si>
  <si>
    <t>160.18.13.149</t>
  </si>
  <si>
    <t>006671</t>
  </si>
  <si>
    <t>汪浩</t>
  </si>
  <si>
    <t>B006671</t>
  </si>
  <si>
    <t>10.187.12.179</t>
  </si>
  <si>
    <t>FE:FC:FA:a3:b9:2d</t>
  </si>
  <si>
    <t>296.19 GB</t>
  </si>
  <si>
    <t>B025751</t>
  </si>
  <si>
    <t>W019473</t>
  </si>
  <si>
    <t>019473</t>
  </si>
  <si>
    <t>吴才春</t>
  </si>
  <si>
    <t>B019473</t>
  </si>
  <si>
    <t>10.187.12.180</t>
  </si>
  <si>
    <t>FE:FC:FA:d7:59:a8</t>
  </si>
  <si>
    <t>267.48 GB</t>
  </si>
  <si>
    <t>B025826</t>
  </si>
  <si>
    <t>160.18.12.53</t>
  </si>
  <si>
    <t>Z023049</t>
  </si>
  <si>
    <t>160.28.14.30</t>
  </si>
  <si>
    <t>023049</t>
  </si>
  <si>
    <t>陈皓月</t>
  </si>
  <si>
    <t>国际清结算研发中心</t>
  </si>
  <si>
    <t>B023049</t>
  </si>
  <si>
    <t>10.187.12.181</t>
  </si>
  <si>
    <t>FE:FC:FA:98:3c:dc</t>
  </si>
  <si>
    <t>273.55 GB</t>
  </si>
  <si>
    <t>B025848</t>
  </si>
  <si>
    <t>W006562</t>
  </si>
  <si>
    <t>006562</t>
  </si>
  <si>
    <t>徐阳</t>
  </si>
  <si>
    <t>B006562</t>
  </si>
  <si>
    <t>10.187.12.182</t>
  </si>
  <si>
    <t>FE:FC:FA:c8:01:ee</t>
  </si>
  <si>
    <t>266.8 GB</t>
  </si>
  <si>
    <t>W004754</t>
  </si>
  <si>
    <t>004754</t>
  </si>
  <si>
    <t>陶源</t>
  </si>
  <si>
    <t>B004754</t>
  </si>
  <si>
    <t>10.187.12.183</t>
  </si>
  <si>
    <t>FE:FC:FA:46:5c:da</t>
  </si>
  <si>
    <t>W020120</t>
  </si>
  <si>
    <t>020120</t>
  </si>
  <si>
    <t>姜恒</t>
  </si>
  <si>
    <t>B020120</t>
  </si>
  <si>
    <t>10.187.12.184</t>
  </si>
  <si>
    <t>FE:FC:FA:0d:ca:df</t>
  </si>
  <si>
    <t>286.19 GB</t>
  </si>
  <si>
    <t>W005916</t>
  </si>
  <si>
    <t>005916</t>
  </si>
  <si>
    <t>高卿</t>
  </si>
  <si>
    <t>B005916</t>
  </si>
  <si>
    <t>10.187.12.185</t>
  </si>
  <si>
    <t>FE:FC:FA:9e:fb:a5</t>
  </si>
  <si>
    <t>317.51 GB</t>
  </si>
  <si>
    <t>W016181</t>
  </si>
  <si>
    <t>016181</t>
  </si>
  <si>
    <t>刘良亮</t>
  </si>
  <si>
    <t>B016181</t>
  </si>
  <si>
    <t>10.187.12.186</t>
  </si>
  <si>
    <t>FE:FC:FA:d3:7e:87</t>
  </si>
  <si>
    <t>286.66 GB</t>
  </si>
  <si>
    <t>W021957</t>
  </si>
  <si>
    <t>021957</t>
  </si>
  <si>
    <t>许喆</t>
  </si>
  <si>
    <t>B021957</t>
  </si>
  <si>
    <t>10.187.12.187</t>
  </si>
  <si>
    <t>FE:FC:FA:05:d5:27</t>
  </si>
  <si>
    <t>266.14 GB</t>
  </si>
  <si>
    <t>W013558</t>
  </si>
  <si>
    <t>013558</t>
  </si>
  <si>
    <t>潘灏</t>
  </si>
  <si>
    <t>国际业务研发中心</t>
  </si>
  <si>
    <t>B013558</t>
  </si>
  <si>
    <t>10.187.12.188</t>
  </si>
  <si>
    <t>FE:FC:FA:75:c3:13</t>
  </si>
  <si>
    <t>286.22 GB</t>
  </si>
  <si>
    <t>160.28.12.69</t>
  </si>
  <si>
    <t>W014893</t>
  </si>
  <si>
    <t>014893</t>
  </si>
  <si>
    <t>李昂</t>
  </si>
  <si>
    <t>B014893</t>
  </si>
  <si>
    <t>10.187.12.189</t>
  </si>
  <si>
    <t>FE:FC:FA:d1:67:c0</t>
  </si>
  <si>
    <t>266.3 GB</t>
  </si>
  <si>
    <t>Z023796</t>
  </si>
  <si>
    <t>023796</t>
  </si>
  <si>
    <t>李筝</t>
  </si>
  <si>
    <t>10.187.12.190</t>
  </si>
  <si>
    <t>FE:FC:FA:fc:a3:92</t>
  </si>
  <si>
    <t>268.02 GB</t>
  </si>
  <si>
    <t>W022765</t>
  </si>
  <si>
    <t>022765</t>
  </si>
  <si>
    <t>樊星萌</t>
  </si>
  <si>
    <t>B022765</t>
  </si>
  <si>
    <t>10.187.12.191</t>
  </si>
  <si>
    <t>FE:FC:FA:68:74:de</t>
  </si>
  <si>
    <t>267.12 GB</t>
  </si>
  <si>
    <t>W018374</t>
  </si>
  <si>
    <t>160.18.15.168</t>
  </si>
  <si>
    <t>018374</t>
  </si>
  <si>
    <t>曹广旭</t>
  </si>
  <si>
    <t>10.187.12.192</t>
  </si>
  <si>
    <t>FE:FC:FA:6e:d3:3c</t>
  </si>
  <si>
    <t>416.62 GB</t>
  </si>
  <si>
    <t>VDI_Cluster01_LUN05</t>
  </si>
  <si>
    <t>W015900</t>
  </si>
  <si>
    <t>160.18.14.75</t>
  </si>
  <si>
    <t>015900</t>
  </si>
  <si>
    <t>潘宁</t>
  </si>
  <si>
    <t>B015900</t>
  </si>
  <si>
    <t>10.187.12.193</t>
  </si>
  <si>
    <t>FE:FC:FA:55:d6:54</t>
  </si>
  <si>
    <t>316.14 GB</t>
  </si>
  <si>
    <t>160.18.14.127</t>
  </si>
  <si>
    <t>ZAIDEV</t>
  </si>
  <si>
    <t>外部人员办公桌面</t>
  </si>
  <si>
    <t>160.28.14.158</t>
  </si>
  <si>
    <t>019418</t>
  </si>
  <si>
    <t>周俊</t>
  </si>
  <si>
    <t>技术平台研发中心</t>
  </si>
  <si>
    <t>BAIDEV</t>
  </si>
  <si>
    <t>10.187.12.194</t>
  </si>
  <si>
    <t>FE:FC:FA:77:c2:52</t>
  </si>
  <si>
    <t>266.49 GB</t>
  </si>
  <si>
    <t>160.18.13.69</t>
  </si>
  <si>
    <t>W004789</t>
  </si>
  <si>
    <t>004789</t>
  </si>
  <si>
    <t>于昊</t>
  </si>
  <si>
    <t>B004789</t>
  </si>
  <si>
    <t>10.187.12.195</t>
  </si>
  <si>
    <t>FE:FC:FA:96:dc:fb</t>
  </si>
  <si>
    <t>366.19 GB</t>
  </si>
  <si>
    <t>160.18.15.92</t>
  </si>
  <si>
    <t>W018799</t>
  </si>
  <si>
    <t>160.18.16.142</t>
  </si>
  <si>
    <t>018799</t>
  </si>
  <si>
    <t>明亮</t>
  </si>
  <si>
    <t>B018799</t>
  </si>
  <si>
    <t>10.187.12.196</t>
  </si>
  <si>
    <t>FE:FC:FA:40:2c:ce</t>
  </si>
  <si>
    <t>266.44 GB</t>
  </si>
  <si>
    <t>160.18.12.198</t>
  </si>
  <si>
    <t>W025412</t>
  </si>
  <si>
    <t>160.18.13.44</t>
  </si>
  <si>
    <t>025412</t>
  </si>
  <si>
    <t>田慕阳</t>
  </si>
  <si>
    <t>10.187.12.197</t>
  </si>
  <si>
    <t>FE:FC:FA:96:17:85</t>
  </si>
  <si>
    <t>267.78 GB</t>
  </si>
  <si>
    <t>W025530</t>
  </si>
  <si>
    <t>160.18.15.114</t>
  </si>
  <si>
    <t>025530</t>
  </si>
  <si>
    <t>朱康</t>
  </si>
  <si>
    <t>B025530</t>
  </si>
  <si>
    <t>10.187.12.198</t>
  </si>
  <si>
    <t>FE:FC:FA:02:54:b2</t>
  </si>
  <si>
    <t>267.32 GB</t>
  </si>
  <si>
    <t>W025513</t>
  </si>
  <si>
    <t>160.18.14.60</t>
  </si>
  <si>
    <t>025513</t>
  </si>
  <si>
    <t>张诤然</t>
  </si>
  <si>
    <t>B025513</t>
  </si>
  <si>
    <t>10.187.12.199</t>
  </si>
  <si>
    <t>FE:FC:FA:f7:f8:b0</t>
  </si>
  <si>
    <t>267.34 GB</t>
  </si>
  <si>
    <t>Z024919</t>
  </si>
  <si>
    <t>160.28.12.146</t>
  </si>
  <si>
    <t>024919</t>
  </si>
  <si>
    <t>杨天宇</t>
  </si>
  <si>
    <t>10.187.12.200</t>
  </si>
  <si>
    <t>FE:FC:FA:91:08:52</t>
  </si>
  <si>
    <t>267.31 GB</t>
  </si>
  <si>
    <t>160.18.18.147</t>
  </si>
  <si>
    <t>W006588</t>
  </si>
  <si>
    <t>006588</t>
  </si>
  <si>
    <t>管文琦</t>
  </si>
  <si>
    <t>B006588</t>
  </si>
  <si>
    <t>10.187.12.201</t>
  </si>
  <si>
    <t>FE:FC:FA:1b:ea:95</t>
  </si>
  <si>
    <t>387.61 GB</t>
  </si>
  <si>
    <t>160.18.17.16</t>
  </si>
  <si>
    <t>W022173</t>
  </si>
  <si>
    <t>160.18.13.126</t>
  </si>
  <si>
    <t>022173</t>
  </si>
  <si>
    <t>刘书雅</t>
  </si>
  <si>
    <t>B022173</t>
  </si>
  <si>
    <t>10.187.12.202</t>
  </si>
  <si>
    <t>FE:FC:FA:33:64:0c</t>
  </si>
  <si>
    <t>286.99 GB</t>
  </si>
  <si>
    <t>160.18.17.34</t>
  </si>
  <si>
    <t>W014951</t>
  </si>
  <si>
    <t>014951</t>
  </si>
  <si>
    <t>孙伟</t>
  </si>
  <si>
    <t>B014951</t>
  </si>
  <si>
    <t>10.187.12.203</t>
  </si>
  <si>
    <t>FE:FC:FA:4d:b8:b3</t>
  </si>
  <si>
    <t>286.63 GB</t>
  </si>
  <si>
    <t>W015186</t>
  </si>
  <si>
    <t>015186</t>
  </si>
  <si>
    <t>张文强</t>
  </si>
  <si>
    <t>B015186</t>
  </si>
  <si>
    <t>10.187.12.204</t>
  </si>
  <si>
    <t>FE:FC:FA:11:33:26</t>
  </si>
  <si>
    <t>386.46 GB</t>
  </si>
  <si>
    <t>W020117</t>
  </si>
  <si>
    <t>020117</t>
  </si>
  <si>
    <t>张春</t>
  </si>
  <si>
    <t>B020117</t>
  </si>
  <si>
    <t>10.187.12.205</t>
  </si>
  <si>
    <t>FE:FC:FA:e4:29:c4</t>
  </si>
  <si>
    <t>266.43 GB</t>
  </si>
  <si>
    <t>W019903</t>
  </si>
  <si>
    <t>019903</t>
  </si>
  <si>
    <t>景雯雯</t>
  </si>
  <si>
    <t>B019903</t>
  </si>
  <si>
    <t>10.187.12.206</t>
  </si>
  <si>
    <t>FE:FC:FA:0a:38:fd</t>
  </si>
  <si>
    <t>266.15 GB</t>
  </si>
  <si>
    <t>W019346</t>
  </si>
  <si>
    <t>019346</t>
  </si>
  <si>
    <t>杨政</t>
  </si>
  <si>
    <t>B019346</t>
  </si>
  <si>
    <t>10.187.12.207</t>
  </si>
  <si>
    <t>FE:FC:FA:71:9a:b7</t>
  </si>
  <si>
    <t>266.66 GB</t>
  </si>
  <si>
    <t>W025856</t>
  </si>
  <si>
    <t>160.18.19.195</t>
  </si>
  <si>
    <t>025856</t>
  </si>
  <si>
    <t>耿宏飞</t>
  </si>
  <si>
    <t>B025856</t>
  </si>
  <si>
    <t>10.187.12.208</t>
  </si>
  <si>
    <t>FE:FC:FA:4a:2f:c5</t>
  </si>
  <si>
    <t>VDI_Cluster01_LUN06</t>
  </si>
  <si>
    <t>160.18.13.199</t>
  </si>
  <si>
    <t>Z024134</t>
  </si>
  <si>
    <t>160.28.12.80</t>
  </si>
  <si>
    <t>024134</t>
  </si>
  <si>
    <t>张金博</t>
  </si>
  <si>
    <t>10.187.12.209</t>
  </si>
  <si>
    <t>FE:FC:FA:0d:12:49</t>
  </si>
  <si>
    <t>267.75 GB</t>
  </si>
  <si>
    <t>160.18.13.232</t>
  </si>
  <si>
    <t>W020571</t>
  </si>
  <si>
    <t>160.18.19.109</t>
  </si>
  <si>
    <t>020571</t>
  </si>
  <si>
    <t>陶新德</t>
  </si>
  <si>
    <t>10.187.12.210</t>
  </si>
  <si>
    <t>FE:FC:FA:87:c5:b0</t>
  </si>
  <si>
    <t>160.18.13.96</t>
  </si>
  <si>
    <t>W011002</t>
  </si>
  <si>
    <t>011002</t>
  </si>
  <si>
    <t>汪海林</t>
  </si>
  <si>
    <t>交易技术研发中心</t>
  </si>
  <si>
    <t>10.187.12.211</t>
  </si>
  <si>
    <t>FE:FC:FA:6a:a5:68</t>
  </si>
  <si>
    <t>337.75 GB</t>
  </si>
  <si>
    <t>160.18.14.173</t>
  </si>
  <si>
    <t>W025427</t>
  </si>
  <si>
    <t>160.18.15.148</t>
  </si>
  <si>
    <t>025427</t>
  </si>
  <si>
    <t>王凯歌</t>
  </si>
  <si>
    <t>10.187.12.212</t>
  </si>
  <si>
    <t>FE:FC:FA:08:ab:99</t>
  </si>
  <si>
    <t>267.77 GB</t>
  </si>
  <si>
    <t>160.18.14.155</t>
  </si>
  <si>
    <t>W016876</t>
  </si>
  <si>
    <t>160.18.15.15</t>
  </si>
  <si>
    <t>016876</t>
  </si>
  <si>
    <t>刘倩玉</t>
  </si>
  <si>
    <t>B016876</t>
  </si>
  <si>
    <t>10.187.12.213</t>
  </si>
  <si>
    <t>FE:FC:FA:e5:da:89</t>
  </si>
  <si>
    <t>346.58 GB</t>
  </si>
  <si>
    <t>160.18.14.144</t>
  </si>
  <si>
    <t>W011337</t>
  </si>
  <si>
    <t>011337</t>
  </si>
  <si>
    <t>孟翀</t>
  </si>
  <si>
    <t>B011337</t>
  </si>
  <si>
    <t>10.187.12.214</t>
  </si>
  <si>
    <t>FE:FC:FA:bb:cb:ee</t>
  </si>
  <si>
    <t>266.22 GB</t>
  </si>
  <si>
    <t>W010507</t>
  </si>
  <si>
    <t>010507</t>
  </si>
  <si>
    <t>许庆</t>
  </si>
  <si>
    <t>B010507</t>
  </si>
  <si>
    <t>10.187.12.215</t>
  </si>
  <si>
    <t>FE:FC:FA:6a:c1:9b</t>
  </si>
  <si>
    <t>160.18.13.150</t>
  </si>
  <si>
    <t>W018566</t>
  </si>
  <si>
    <t>160.18.15.191</t>
  </si>
  <si>
    <t>018566</t>
  </si>
  <si>
    <t>许坤</t>
  </si>
  <si>
    <t>B018566</t>
  </si>
  <si>
    <t>10.187.12.216</t>
  </si>
  <si>
    <t>FE:FC:FA:cb:1b:83</t>
  </si>
  <si>
    <t>W001948</t>
  </si>
  <si>
    <t>001948</t>
  </si>
  <si>
    <t>赵航</t>
  </si>
  <si>
    <t>10.187.12.217</t>
  </si>
  <si>
    <t>FE:FC:FA:eb:15:02</t>
  </si>
  <si>
    <t>367.59 GB</t>
  </si>
  <si>
    <t>160.18.18.18</t>
  </si>
  <si>
    <t>W020615</t>
  </si>
  <si>
    <t>160.18.17.54</t>
  </si>
  <si>
    <t>020615</t>
  </si>
  <si>
    <t>曾文秋</t>
  </si>
  <si>
    <t>人工智能通用技术研发中心</t>
  </si>
  <si>
    <t>10.187.12.218</t>
  </si>
  <si>
    <t>FE:FC:FA:f3:86:ac</t>
  </si>
  <si>
    <t>266.13 GB</t>
  </si>
  <si>
    <t>160.18.16.221</t>
  </si>
  <si>
    <t>W025455</t>
  </si>
  <si>
    <t>160.18.15.150</t>
  </si>
  <si>
    <t>025455</t>
  </si>
  <si>
    <t>魏嘉豪</t>
  </si>
  <si>
    <t>10.187.12.219</t>
  </si>
  <si>
    <t>FE:FC:FA:7c:b0:4f</t>
  </si>
  <si>
    <t>267.06 GB</t>
  </si>
  <si>
    <t>W025217</t>
  </si>
  <si>
    <t>160.18.14.101</t>
  </si>
  <si>
    <t>025217</t>
  </si>
  <si>
    <t>乔羽</t>
  </si>
  <si>
    <t>10.187.12.220</t>
  </si>
  <si>
    <t>FE:FC:FA:06:70:d5</t>
  </si>
  <si>
    <t>267.99 GB</t>
  </si>
  <si>
    <t>W019458</t>
  </si>
  <si>
    <t>019458</t>
  </si>
  <si>
    <t>刘君亮</t>
  </si>
  <si>
    <t>B019458</t>
  </si>
  <si>
    <t>10.187.12.221</t>
  </si>
  <si>
    <t>FE:FC:FA:ef:c9:e5</t>
  </si>
  <si>
    <t>160.18.17.104</t>
  </si>
  <si>
    <t>W025228</t>
  </si>
  <si>
    <t>160.18.15.196</t>
  </si>
  <si>
    <t>025228</t>
  </si>
  <si>
    <t>姚禹</t>
  </si>
  <si>
    <t>10.187.12.222</t>
  </si>
  <si>
    <t>FE:FC:FA:dc:6e:de</t>
  </si>
  <si>
    <t>268.47 GB</t>
  </si>
  <si>
    <t>W019200</t>
  </si>
  <si>
    <t>019200</t>
  </si>
  <si>
    <t>贺璇</t>
  </si>
  <si>
    <t>10.187.12.223</t>
  </si>
  <si>
    <t>FE:FC:FA:c4:c1:63</t>
  </si>
  <si>
    <t>266.62 GB</t>
  </si>
  <si>
    <t>W018115</t>
  </si>
  <si>
    <t>018115</t>
  </si>
  <si>
    <t>周瑾</t>
  </si>
  <si>
    <t>10.187.12.224</t>
  </si>
  <si>
    <t>FE:FC:FA:d1:91:46</t>
  </si>
  <si>
    <t>306.62 GB</t>
  </si>
  <si>
    <t>160.18.14.126</t>
  </si>
  <si>
    <t>W019713</t>
  </si>
  <si>
    <t>160.18.16.239</t>
  </si>
  <si>
    <t>019713</t>
  </si>
  <si>
    <t>曹欢</t>
  </si>
  <si>
    <t>B019713</t>
  </si>
  <si>
    <t>10.187.12.225</t>
  </si>
  <si>
    <t>FE:FC:FA:0a:e7:24</t>
  </si>
  <si>
    <t>306.83 GB</t>
  </si>
  <si>
    <t>W011410</t>
  </si>
  <si>
    <t>011410</t>
  </si>
  <si>
    <t>陈晓江</t>
  </si>
  <si>
    <t>人工智能应用平台研发中心</t>
  </si>
  <si>
    <t>B011410</t>
  </si>
  <si>
    <t>10.187.12.226</t>
  </si>
  <si>
    <t>FE:FC:FA:b0:3d:f2</t>
  </si>
  <si>
    <t>W014210</t>
  </si>
  <si>
    <t>014210</t>
  </si>
  <si>
    <t>刘园</t>
  </si>
  <si>
    <t>10.187.12.227</t>
  </si>
  <si>
    <t>FE:FC:FA:90:13:13</t>
  </si>
  <si>
    <t>536.88 GB</t>
  </si>
  <si>
    <t>W025293</t>
  </si>
  <si>
    <t>025293</t>
  </si>
  <si>
    <t>张可萱</t>
  </si>
  <si>
    <t>B025293</t>
  </si>
  <si>
    <t>10.187.12.228</t>
  </si>
  <si>
    <t>FE:FC:FA:f9:e0:76</t>
  </si>
  <si>
    <t>266.95 GB</t>
  </si>
  <si>
    <t>W016272</t>
  </si>
  <si>
    <t>160.18.14.106</t>
  </si>
  <si>
    <t>016272</t>
  </si>
  <si>
    <t>魏铮铮</t>
  </si>
  <si>
    <t>B016272</t>
  </si>
  <si>
    <t>10.187.12.229</t>
  </si>
  <si>
    <t>FE:FC:FA:95:21:3f</t>
  </si>
  <si>
    <t>366.2 GB</t>
  </si>
  <si>
    <t>软件无法安装</t>
  </si>
  <si>
    <t>W025021</t>
  </si>
  <si>
    <t>025021</t>
  </si>
  <si>
    <t>王琳惠</t>
  </si>
  <si>
    <t>10.187.12.230</t>
  </si>
  <si>
    <t>FE:FC:FA:59:01:f3</t>
  </si>
  <si>
    <t>160.18.13.207</t>
  </si>
  <si>
    <t>W017814</t>
  </si>
  <si>
    <t>160.18.14.61</t>
  </si>
  <si>
    <t>017814</t>
  </si>
  <si>
    <t>杨莹</t>
  </si>
  <si>
    <t>数字协同研发中心</t>
  </si>
  <si>
    <t>10.187.12.231</t>
  </si>
  <si>
    <t>FE:FC:FA:8a:a2:3a</t>
  </si>
  <si>
    <t>286.61 GB</t>
  </si>
  <si>
    <t>VDI_Cluster01_LUN07</t>
  </si>
  <si>
    <t>程-已卸载</t>
  </si>
  <si>
    <t>W013094</t>
  </si>
  <si>
    <t>013094</t>
  </si>
  <si>
    <t>兰斌</t>
  </si>
  <si>
    <t>B013094</t>
  </si>
  <si>
    <t>10.187.12.232</t>
  </si>
  <si>
    <t>FE:FC:FA:7b:de:df</t>
  </si>
  <si>
    <t>160.18.18.186</t>
  </si>
  <si>
    <t>W019402</t>
  </si>
  <si>
    <t>019402</t>
  </si>
  <si>
    <t>周华</t>
  </si>
  <si>
    <t>10.187.12.233</t>
  </si>
  <si>
    <t>FE:FC:FA:f6:80:03</t>
  </si>
  <si>
    <t>160.18.19.156</t>
  </si>
  <si>
    <t>W020406</t>
  </si>
  <si>
    <t>160.18.19.80</t>
  </si>
  <si>
    <t>020406</t>
  </si>
  <si>
    <t>沐维维</t>
  </si>
  <si>
    <t>B020406</t>
  </si>
  <si>
    <t>10.187.12.234</t>
  </si>
  <si>
    <t>FE:FC:FA:55:c7:59</t>
  </si>
  <si>
    <t>286.15 GB</t>
  </si>
  <si>
    <t>160.18.19.142</t>
  </si>
  <si>
    <t>W021519</t>
  </si>
  <si>
    <t>021519</t>
  </si>
  <si>
    <t>顾菲</t>
  </si>
  <si>
    <t>B021519</t>
  </si>
  <si>
    <t>10.187.12.235</t>
  </si>
  <si>
    <t>FE:FC:FA:03:4b:ed</t>
  </si>
  <si>
    <t>160.18.17.96</t>
  </si>
  <si>
    <t>Wdatasec01</t>
  </si>
  <si>
    <t>160.18.17.94</t>
  </si>
  <si>
    <t>020228</t>
  </si>
  <si>
    <t>吴天昊</t>
  </si>
  <si>
    <t>信息安全中心</t>
  </si>
  <si>
    <t>10.187.12.236</t>
  </si>
  <si>
    <t>FE:FC:FA:96:5a:1a</t>
  </si>
  <si>
    <t>266.12 GB</t>
  </si>
  <si>
    <t>华泰证券-办公云桌面03</t>
  </si>
  <si>
    <t>不能关联用户</t>
  </si>
  <si>
    <t>用户已有桌面</t>
  </si>
  <si>
    <t>W025832</t>
  </si>
  <si>
    <t>025832</t>
  </si>
  <si>
    <t>聂崇鹏</t>
  </si>
  <si>
    <t>10.187.12.237</t>
  </si>
  <si>
    <t>FE:FC:FA:17:df:25</t>
  </si>
  <si>
    <t>160.18.14.248</t>
  </si>
  <si>
    <t>W025772</t>
  </si>
  <si>
    <t>025772</t>
  </si>
  <si>
    <t>胡宇航</t>
  </si>
  <si>
    <t>10.187.12.238</t>
  </si>
  <si>
    <t>FE:FC:FA:01:a5:ae</t>
  </si>
  <si>
    <t>266.32 GB</t>
  </si>
  <si>
    <t>160.18.14.109</t>
  </si>
  <si>
    <t>WTQTEST01</t>
  </si>
  <si>
    <t>024138</t>
  </si>
  <si>
    <t>司晓凯</t>
  </si>
  <si>
    <t>B024138</t>
  </si>
  <si>
    <t>10.187.12.239</t>
  </si>
  <si>
    <t>FE:FC:FA:57:c7:ed</t>
  </si>
  <si>
    <t>强切</t>
  </si>
  <si>
    <t>蓝屏，手动重启失败</t>
  </si>
  <si>
    <t>160.18.14.105</t>
  </si>
  <si>
    <t>W025751</t>
  </si>
  <si>
    <t>160.18.19.188</t>
  </si>
  <si>
    <t>025751</t>
  </si>
  <si>
    <t>李论</t>
  </si>
  <si>
    <t>运行保障中心</t>
  </si>
  <si>
    <t>10.187.12.240</t>
  </si>
  <si>
    <t>FE:FC:FA:4b:7d:c6</t>
  </si>
  <si>
    <t>160.18.12.80</t>
  </si>
  <si>
    <t>W001935</t>
  </si>
  <si>
    <t>001935</t>
  </si>
  <si>
    <t>求锡灿</t>
  </si>
  <si>
    <t>10.187.12.241</t>
  </si>
  <si>
    <t>FE:FC:FA:70:60:bc</t>
  </si>
  <si>
    <t>266.77 GB</t>
  </si>
  <si>
    <t>160.18.14.66</t>
  </si>
  <si>
    <t>W025501</t>
  </si>
  <si>
    <t>160.18.15.214</t>
  </si>
  <si>
    <t>025501</t>
  </si>
  <si>
    <t>王雪蕾</t>
  </si>
  <si>
    <t>10.187.12.242</t>
  </si>
  <si>
    <t>FE:FC:FA:bd:02:b4</t>
  </si>
  <si>
    <t>267.49 GB</t>
  </si>
  <si>
    <t>160.18.15.205</t>
  </si>
  <si>
    <t>W025848</t>
  </si>
  <si>
    <t>160.18.19.196</t>
  </si>
  <si>
    <t>025848</t>
  </si>
  <si>
    <t>王昭悦</t>
  </si>
  <si>
    <t>运营管理室</t>
  </si>
  <si>
    <t>10.187.12.243</t>
  </si>
  <si>
    <t>FE:FC:FA:4f:8e:85</t>
  </si>
  <si>
    <t>W025826</t>
  </si>
  <si>
    <t>160.18.17.93</t>
  </si>
  <si>
    <t>025826</t>
  </si>
  <si>
    <t>吴凤辉</t>
  </si>
  <si>
    <t>10.187.12.244</t>
  </si>
  <si>
    <t>FE:FC:FA:e6:ce:6a</t>
  </si>
  <si>
    <t>W025468</t>
  </si>
  <si>
    <t>025468</t>
  </si>
  <si>
    <t>刘双雨</t>
  </si>
  <si>
    <t>10.187.12.245</t>
  </si>
  <si>
    <t>FE:FC:FA:be:4e:fb</t>
  </si>
  <si>
    <t>W025458</t>
  </si>
  <si>
    <t>025458</t>
  </si>
  <si>
    <t>孙邦文</t>
  </si>
  <si>
    <t>10.187.12.246</t>
  </si>
  <si>
    <t>FE:FC:FA:d5:a6:95</t>
  </si>
  <si>
    <t>267.52 GB</t>
  </si>
  <si>
    <t>W005278</t>
  </si>
  <si>
    <t>005278</t>
  </si>
  <si>
    <t>钱志伟</t>
  </si>
  <si>
    <t>10.187.12.247</t>
  </si>
  <si>
    <t>FE:FC:FA:33:b7:95</t>
  </si>
  <si>
    <t>500.14 GB</t>
  </si>
  <si>
    <t>W003189</t>
  </si>
  <si>
    <t>003189</t>
  </si>
  <si>
    <t>10.187.12.248</t>
  </si>
  <si>
    <t>FE:FC:FA:1b:37:ae</t>
  </si>
  <si>
    <t>规格</t>
  </si>
  <si>
    <t>内存（GB)</t>
  </si>
  <si>
    <t>存储(GB)</t>
  </si>
  <si>
    <t>多桌面用户和资源检查</t>
  </si>
  <si>
    <t>K2502172-JB</t>
  </si>
  <si>
    <t>160.22.22.18</t>
  </si>
  <si>
    <t>K2502172</t>
  </si>
  <si>
    <t>李芳</t>
  </si>
  <si>
    <t>BK2502172</t>
  </si>
  <si>
    <t>10.191.7.160</t>
  </si>
  <si>
    <t>FE:FC:FA:48:46:1c</t>
  </si>
  <si>
    <t>已确认，均无权限</t>
  </si>
  <si>
    <t>K0052084-JB</t>
  </si>
  <si>
    <t>160.22.3.16</t>
  </si>
  <si>
    <t>K0052084</t>
  </si>
  <si>
    <t>严鑫</t>
  </si>
  <si>
    <t>BK0052084</t>
  </si>
  <si>
    <t>10.191.7.163</t>
  </si>
  <si>
    <t>FE:FC:FA:5c:3f:83</t>
  </si>
  <si>
    <t>BK0051467</t>
  </si>
  <si>
    <t>K1102150-JB</t>
  </si>
  <si>
    <t>160.22.20.131</t>
  </si>
  <si>
    <t>K1102150</t>
  </si>
  <si>
    <t>陈尤力</t>
  </si>
  <si>
    <t>BK1102150</t>
  </si>
  <si>
    <t>10.191.7.165</t>
  </si>
  <si>
    <t>FE:FC:FA:a8:c8:b6</t>
  </si>
  <si>
    <t>BK0052087</t>
  </si>
  <si>
    <t>160.22.9.28</t>
  </si>
  <si>
    <t>FE:FC:FA:9d:6c:d6</t>
  </si>
  <si>
    <t>BK0180057</t>
  </si>
  <si>
    <t>K0161977-JB</t>
  </si>
  <si>
    <t>160.22.11.81</t>
  </si>
  <si>
    <t>K0161977</t>
  </si>
  <si>
    <t>杨晓鹏</t>
  </si>
  <si>
    <t>BK0161977</t>
  </si>
  <si>
    <t>10.191.7.172</t>
  </si>
  <si>
    <t>FE:FC:FA:69:97:c6</t>
  </si>
  <si>
    <t>BK0181560</t>
  </si>
  <si>
    <t>FE:FC:FA:be:e6:d7</t>
  </si>
  <si>
    <t>BK0240024</t>
  </si>
  <si>
    <t>FE:FC:FA:14:88:bf</t>
  </si>
  <si>
    <t>BK0380021</t>
  </si>
  <si>
    <t>160.22.11.105</t>
  </si>
  <si>
    <t>K3361242-JB</t>
  </si>
  <si>
    <t>160.22.11.183</t>
  </si>
  <si>
    <t>K3361242</t>
  </si>
  <si>
    <t>郑毅</t>
  </si>
  <si>
    <t>BK3361242</t>
  </si>
  <si>
    <t>10.191.7.205</t>
  </si>
  <si>
    <t>FE:FC:FA:6a:0e:cd</t>
  </si>
  <si>
    <t>BK0541205</t>
  </si>
  <si>
    <t>160.22.22.12</t>
  </si>
  <si>
    <t>FE:FC:FA:28:3b:09</t>
  </si>
  <si>
    <t>BK0651203</t>
  </si>
  <si>
    <t>160.22.11.155</t>
  </si>
  <si>
    <t>K1102346-JB</t>
  </si>
  <si>
    <t>160.22.11.156</t>
  </si>
  <si>
    <t>K1102346</t>
  </si>
  <si>
    <t>丁静宇</t>
  </si>
  <si>
    <t>BK1102346</t>
  </si>
  <si>
    <t>10.191.7.215</t>
  </si>
  <si>
    <t>FE:FC:FA:b9:4f:15</t>
  </si>
  <si>
    <t>K0892142-JB</t>
  </si>
  <si>
    <t>K0892142</t>
  </si>
  <si>
    <t>符秀瑞</t>
  </si>
  <si>
    <t>BK0892142</t>
  </si>
  <si>
    <t>10.191.7.217</t>
  </si>
  <si>
    <t>FE:FC:FA:34:a1:64</t>
  </si>
  <si>
    <t>K1102345-JB</t>
  </si>
  <si>
    <t>160.22.11.141</t>
  </si>
  <si>
    <t>K1102345</t>
  </si>
  <si>
    <t>周志豪</t>
  </si>
  <si>
    <t>BK1102345</t>
  </si>
  <si>
    <t>10.191.7.218</t>
  </si>
  <si>
    <t>FE:FC:FA:da:5a:1f</t>
  </si>
  <si>
    <t>BK1102312</t>
  </si>
  <si>
    <t>160.22.10.111</t>
  </si>
  <si>
    <t>FE:FC:FA:75:57:b6</t>
  </si>
  <si>
    <t>BK1102332</t>
  </si>
  <si>
    <t>160.22.11.21</t>
  </si>
  <si>
    <t>K1102343-JB</t>
  </si>
  <si>
    <t>160.22.11.120</t>
  </si>
  <si>
    <t>K1102343</t>
  </si>
  <si>
    <t>周盼</t>
  </si>
  <si>
    <t>BK1102343</t>
  </si>
  <si>
    <t>10.191.7.224</t>
  </si>
  <si>
    <t>FE:FC:FA:5c:20:dd</t>
  </si>
  <si>
    <t>BK1102347</t>
  </si>
  <si>
    <t>160.22.11.90</t>
  </si>
  <si>
    <t>FE:FC:FA:cb:fc:48</t>
  </si>
  <si>
    <t>BK1102351</t>
  </si>
  <si>
    <t>160.22.11.92</t>
  </si>
  <si>
    <t>FE:FC:FA:85:a8:a7</t>
  </si>
  <si>
    <t>BK1182065</t>
  </si>
  <si>
    <t>K0171757-JB</t>
  </si>
  <si>
    <t>K0171757</t>
  </si>
  <si>
    <t>赵振翔</t>
  </si>
  <si>
    <t>BK0171757</t>
  </si>
  <si>
    <t>10.191.7.229</t>
  </si>
  <si>
    <t>FE:FC:FA:7c:58:75</t>
  </si>
  <si>
    <t>BK2360004</t>
  </si>
  <si>
    <t>K1182290-JB</t>
  </si>
  <si>
    <t>160.22.21.55</t>
  </si>
  <si>
    <t>K1182290</t>
  </si>
  <si>
    <t>梁新远</t>
  </si>
  <si>
    <t>BK1182290</t>
  </si>
  <si>
    <t>10.191.7.230</t>
  </si>
  <si>
    <t>FE:FC:FA:f5:da:39</t>
  </si>
  <si>
    <t>BK2360033</t>
  </si>
  <si>
    <t>FE:FC:FA:ca:59:d9</t>
  </si>
  <si>
    <t>BK2360035</t>
  </si>
  <si>
    <t>K1102337-JB</t>
  </si>
  <si>
    <t>K1102337</t>
  </si>
  <si>
    <t>候文杰</t>
  </si>
  <si>
    <t>BK1102337</t>
  </si>
  <si>
    <t>10.191.7.235</t>
  </si>
  <si>
    <t>FE:FC:FA:0a:2e:21</t>
  </si>
  <si>
    <t>BK2440028</t>
  </si>
  <si>
    <t>K1182287-JB</t>
  </si>
  <si>
    <t>160.22.18.36</t>
  </si>
  <si>
    <t>K1182287</t>
  </si>
  <si>
    <t>李睿</t>
  </si>
  <si>
    <t>BK1182287</t>
  </si>
  <si>
    <t>10.191.7.241</t>
  </si>
  <si>
    <t>FE:FC:FA:b4:ac:11</t>
  </si>
  <si>
    <t>BK2502196</t>
  </si>
  <si>
    <t>FE:FC:FA:f4:34:6d</t>
  </si>
  <si>
    <t>K1102335-JB</t>
  </si>
  <si>
    <t>K1102335</t>
  </si>
  <si>
    <t>郑剑春</t>
  </si>
  <si>
    <t>BK1102335</t>
  </si>
  <si>
    <t>10.191.7.243</t>
  </si>
  <si>
    <t>FE:FC:FA:76:ab:95</t>
  </si>
  <si>
    <t>BK0051951</t>
  </si>
  <si>
    <t>K1102332-JB</t>
  </si>
  <si>
    <t>K1102332</t>
  </si>
  <si>
    <t>李志远</t>
  </si>
  <si>
    <t>10.191.7.253</t>
  </si>
  <si>
    <t>FE:FC:FA:30:c7:6c</t>
  </si>
  <si>
    <t>160.22.22.7</t>
  </si>
  <si>
    <t>K0651203-JB</t>
  </si>
  <si>
    <t>K0651203</t>
  </si>
  <si>
    <t>史苏军</t>
  </si>
  <si>
    <t>10.191.8.4</t>
  </si>
  <si>
    <t>FE:FC:FA:f0:1d:1c</t>
  </si>
  <si>
    <t>FE:FC:FA:91:79:98</t>
  </si>
  <si>
    <t>K1182280-JB</t>
  </si>
  <si>
    <t>K1182280</t>
  </si>
  <si>
    <t>陈小婷</t>
  </si>
  <si>
    <t>BK1182280</t>
  </si>
  <si>
    <t>10.191.8.17</t>
  </si>
  <si>
    <t>FE:FC:FA:e0:ba:10</t>
  </si>
  <si>
    <t>160.22.3.57</t>
  </si>
  <si>
    <t>K2502165-JB</t>
  </si>
  <si>
    <t>160.22.18.0</t>
  </si>
  <si>
    <t>K2502165</t>
  </si>
  <si>
    <t>王灿</t>
  </si>
  <si>
    <t>BK2502165</t>
  </si>
  <si>
    <t>10.191.8.20</t>
  </si>
  <si>
    <t>FE:FC:FA:09:b2:c7</t>
  </si>
  <si>
    <t>K1102312-JB</t>
  </si>
  <si>
    <t>K1102312</t>
  </si>
  <si>
    <t>袁龙增</t>
  </si>
  <si>
    <t>10.191.8.24</t>
  </si>
  <si>
    <t>FE:FC:FA:3e:ad:44</t>
  </si>
  <si>
    <t>K2780039-JB</t>
  </si>
  <si>
    <t>K2780039</t>
  </si>
  <si>
    <t>周思霁</t>
  </si>
  <si>
    <t>BK2780039</t>
  </si>
  <si>
    <t>10.191.8.30</t>
  </si>
  <si>
    <t>FE:FC:FA:a9:0b:ea</t>
  </si>
  <si>
    <t>FE:FC:FA:62:14:cf</t>
  </si>
  <si>
    <t>K1810068-JB</t>
  </si>
  <si>
    <t>K1810068</t>
  </si>
  <si>
    <t>黄景文</t>
  </si>
  <si>
    <t>BK1810068</t>
  </si>
  <si>
    <t>10.191.8.39</t>
  </si>
  <si>
    <t>FE:FC:FA:90:40:b0</t>
  </si>
  <si>
    <t>K0051951-JB</t>
  </si>
  <si>
    <t>K0051951</t>
  </si>
  <si>
    <t>张露洁</t>
  </si>
  <si>
    <t>10.191.8.59</t>
  </si>
  <si>
    <t>FE:FC:FA:7a:df:d0</t>
  </si>
  <si>
    <t>K0380021-JB</t>
  </si>
  <si>
    <t>160.22.9.156</t>
  </si>
  <si>
    <t>K0380021</t>
  </si>
  <si>
    <t>别深超</t>
  </si>
  <si>
    <t>10.191.8.85</t>
  </si>
  <si>
    <t>FE:FC:FA:0f:14:9c</t>
  </si>
  <si>
    <t>VDI_Cluster06_LUN02</t>
  </si>
  <si>
    <t>160.22.2.95</t>
  </si>
  <si>
    <t>K0051467-JB</t>
  </si>
  <si>
    <t>K0051467</t>
  </si>
  <si>
    <t>吕蓉蓉</t>
  </si>
  <si>
    <t>10.191.8.87</t>
  </si>
  <si>
    <t>FE:FC:FA:83:f1:35</t>
  </si>
  <si>
    <t>160.22.9.17</t>
  </si>
  <si>
    <t>K2360004-JB</t>
  </si>
  <si>
    <t>160.22.10.248</t>
  </si>
  <si>
    <t>K2360004</t>
  </si>
  <si>
    <t>沈广宝</t>
  </si>
  <si>
    <t>FE:FC:FA:49:16:d2</t>
  </si>
  <si>
    <t>已取消</t>
  </si>
  <si>
    <t>160.22.4.156</t>
  </si>
  <si>
    <t>K0180057-JB</t>
  </si>
  <si>
    <t>K0180057</t>
  </si>
  <si>
    <t>倪超</t>
  </si>
  <si>
    <t>10.191.8.103</t>
  </si>
  <si>
    <t>FE:FC:FA:09:2e:54</t>
  </si>
  <si>
    <t>160.22.11.198</t>
  </si>
  <si>
    <t>K2360035-JB</t>
  </si>
  <si>
    <t>160.22.20.181</t>
  </si>
  <si>
    <t>K2360035</t>
  </si>
  <si>
    <t>袁愈程</t>
  </si>
  <si>
    <t>10.191.8.104</t>
  </si>
  <si>
    <t>FE:FC:FA:bf:fa:9a</t>
  </si>
  <si>
    <t>K2360033-KF</t>
  </si>
  <si>
    <t>160.22.8.144</t>
  </si>
  <si>
    <t>K2360033</t>
  </si>
  <si>
    <t>谢阳琴</t>
  </si>
  <si>
    <t>10.191.8.105</t>
  </si>
  <si>
    <t>FE:FC:FA:94:a8:d3</t>
  </si>
  <si>
    <t>160.22.11.148</t>
  </si>
  <si>
    <t>K0240024-JB</t>
  </si>
  <si>
    <t>K0240024</t>
  </si>
  <si>
    <t>冯骁</t>
  </si>
  <si>
    <t>用户增长与平台运营部</t>
  </si>
  <si>
    <t>10.191.8.106</t>
  </si>
  <si>
    <t>FE:FC:FA:9a:20:05</t>
  </si>
  <si>
    <t>160.22.3.246</t>
  </si>
  <si>
    <t>K0181560-JB</t>
  </si>
  <si>
    <t>K0181560</t>
  </si>
  <si>
    <t>张松涛</t>
  </si>
  <si>
    <t>10.191.8.107</t>
  </si>
  <si>
    <t>FE:FC:FA:c0:1e:5f</t>
  </si>
  <si>
    <t>K1102351-JB</t>
  </si>
  <si>
    <t>K1102351</t>
  </si>
  <si>
    <t>褚庆奥</t>
  </si>
  <si>
    <t>10.191.8.108</t>
  </si>
  <si>
    <t>FE:FC:FA:79:c7:ec</t>
  </si>
  <si>
    <t>160.22.12.90</t>
  </si>
  <si>
    <t>K2502210-JB</t>
  </si>
  <si>
    <t>160.22.22.59</t>
  </si>
  <si>
    <t>K2502210</t>
  </si>
  <si>
    <t>熊梦鑫</t>
  </si>
  <si>
    <t>BK2502210</t>
  </si>
  <si>
    <t>10.191.8.109</t>
  </si>
  <si>
    <t>FE:FC:FA:72:1c:a4</t>
  </si>
  <si>
    <t>K1182065-JB</t>
  </si>
  <si>
    <t>K1182065</t>
  </si>
  <si>
    <t>金思贝</t>
  </si>
  <si>
    <t>10.191.8.110</t>
  </si>
  <si>
    <t>FE:FC:FA:9a:6b:1e</t>
  </si>
  <si>
    <t>BK0052088</t>
  </si>
  <si>
    <t>K0541205-JB</t>
  </si>
  <si>
    <t>160.22.11.157</t>
  </si>
  <si>
    <t>K0541205</t>
  </si>
  <si>
    <t>陈以信</t>
  </si>
  <si>
    <t>10.191.8.111</t>
  </si>
  <si>
    <t>FE:FC:FA:d7:12:f8</t>
  </si>
  <si>
    <t>BK0052089</t>
  </si>
  <si>
    <t>K1102347-JB</t>
  </si>
  <si>
    <t>K1102347</t>
  </si>
  <si>
    <t>蔡明君</t>
  </si>
  <si>
    <t>10.191.8.112</t>
  </si>
  <si>
    <t>FE:FC:FA:03:f9:53</t>
  </si>
  <si>
    <t>BK0052090</t>
  </si>
  <si>
    <t>160.22.3.238</t>
  </si>
  <si>
    <t>K2440028-JB</t>
  </si>
  <si>
    <t>K2440028</t>
  </si>
  <si>
    <t>徐杨</t>
  </si>
  <si>
    <t>10.191.8.113</t>
  </si>
  <si>
    <t>FE:FC:FA:4a:8b:0d</t>
  </si>
  <si>
    <t>BK0052091</t>
  </si>
  <si>
    <t>160.22.18.52</t>
  </si>
  <si>
    <t>K5210017-JB</t>
  </si>
  <si>
    <t>160.22.22.58</t>
  </si>
  <si>
    <t>K5210017</t>
  </si>
  <si>
    <t>张云</t>
  </si>
  <si>
    <t>BK5210017</t>
  </si>
  <si>
    <t>10.191.8.114</t>
  </si>
  <si>
    <t>FE:FC:FA:3e:3c:12</t>
  </si>
  <si>
    <t>BK0052092</t>
  </si>
  <si>
    <t>160.22.3.210</t>
  </si>
  <si>
    <t>K2502207-JB</t>
  </si>
  <si>
    <t>160.22.22.57</t>
  </si>
  <si>
    <t>K2502207</t>
  </si>
  <si>
    <t>宫德越</t>
  </si>
  <si>
    <t>BK2502207</t>
  </si>
  <si>
    <t>10.191.8.115</t>
  </si>
  <si>
    <t>FE:FC:FA:75:7e:67</t>
  </si>
  <si>
    <t>BK0171756</t>
  </si>
  <si>
    <t>160.22.22.46</t>
  </si>
  <si>
    <t>K5210016-JB</t>
  </si>
  <si>
    <t>160.22.11.137</t>
  </si>
  <si>
    <t>K5210016</t>
  </si>
  <si>
    <t>胡景谊</t>
  </si>
  <si>
    <t>BK5210016</t>
  </si>
  <si>
    <t>10.191.8.116</t>
  </si>
  <si>
    <t>FE:FC:FA:06:cd:1d</t>
  </si>
  <si>
    <t>BK1102330</t>
  </si>
  <si>
    <t>160.22.11.117</t>
  </si>
  <si>
    <t>K5210015-JB</t>
  </si>
  <si>
    <t>160.22.11.138</t>
  </si>
  <si>
    <t>K5210015</t>
  </si>
  <si>
    <t>刘雁</t>
  </si>
  <si>
    <t>BK5210015</t>
  </si>
  <si>
    <t>10.191.8.117</t>
  </si>
  <si>
    <t>FE:FC:FA:a0:e8:05</t>
  </si>
  <si>
    <t>BK1102333</t>
  </si>
  <si>
    <t>160.22.22.50</t>
  </si>
  <si>
    <t>K5210014-JB</t>
  </si>
  <si>
    <t>160.22.3.228</t>
  </si>
  <si>
    <t>K5210014</t>
  </si>
  <si>
    <t>刘鹏</t>
  </si>
  <si>
    <t>BK5210014</t>
  </si>
  <si>
    <t>10.191.8.118</t>
  </si>
  <si>
    <t>FE:FC:FA:72:96:6d</t>
  </si>
  <si>
    <t>BK1102339</t>
  </si>
  <si>
    <t>160.22.18.56</t>
  </si>
  <si>
    <t>K5210013-JB</t>
  </si>
  <si>
    <t>160.22.22.49</t>
  </si>
  <si>
    <t>K5210013</t>
  </si>
  <si>
    <t>朱凌萱</t>
  </si>
  <si>
    <t>BK5210013</t>
  </si>
  <si>
    <t>10.191.8.119</t>
  </si>
  <si>
    <t>FE:FC:FA:72:aa:e7</t>
  </si>
  <si>
    <t>BK2502173</t>
  </si>
  <si>
    <t>K5210011-JB</t>
  </si>
  <si>
    <t>160.22.18.65</t>
  </si>
  <si>
    <t>K5210011</t>
  </si>
  <si>
    <t>李梦圆</t>
  </si>
  <si>
    <t>BK5210011</t>
  </si>
  <si>
    <t>10.191.8.120</t>
  </si>
  <si>
    <t>FE:FC:FA:02:f7:f4</t>
  </si>
  <si>
    <t>BK2502175</t>
  </si>
  <si>
    <t>K5210010-JB</t>
  </si>
  <si>
    <t>160.22.22.51</t>
  </si>
  <si>
    <t>K5210010</t>
  </si>
  <si>
    <t>邝永敏</t>
  </si>
  <si>
    <t>BK5210010</t>
  </si>
  <si>
    <t>10.191.8.121</t>
  </si>
  <si>
    <t>FE:FC:FA:d7:e1:eb</t>
  </si>
  <si>
    <t>BK2502177</t>
  </si>
  <si>
    <t>160.22.18.60</t>
  </si>
  <si>
    <t>K5210009-JB</t>
  </si>
  <si>
    <t>160.22.22.54</t>
  </si>
  <si>
    <t>K5210009</t>
  </si>
  <si>
    <t>吴志昀</t>
  </si>
  <si>
    <t>BK5210009</t>
  </si>
  <si>
    <t>10.191.8.122</t>
  </si>
  <si>
    <t>FE:FC:FA:00:fe:6f</t>
  </si>
  <si>
    <t>BK2502178</t>
  </si>
  <si>
    <t>160.22.3.224</t>
  </si>
  <si>
    <t>K5210008-JB</t>
  </si>
  <si>
    <t>K5210008</t>
  </si>
  <si>
    <t>谢飞飞</t>
  </si>
  <si>
    <t>BK5210008</t>
  </si>
  <si>
    <t>10.191.8.123</t>
  </si>
  <si>
    <t>FE:FC:FA:1e:24:ea</t>
  </si>
  <si>
    <t>BK2502180</t>
  </si>
  <si>
    <t>K5210007-JB</t>
  </si>
  <si>
    <t>K5210007</t>
  </si>
  <si>
    <t>王海銮</t>
  </si>
  <si>
    <t>BK5210007</t>
  </si>
  <si>
    <t>10.191.8.124</t>
  </si>
  <si>
    <t>FE:FC:FA:16:b4:e6</t>
  </si>
  <si>
    <t>BK2502181</t>
  </si>
  <si>
    <t>K2502205-JB</t>
  </si>
  <si>
    <t>K2502205</t>
  </si>
  <si>
    <t>芮园园</t>
  </si>
  <si>
    <t>BK2502205</t>
  </si>
  <si>
    <t>10.191.8.125</t>
  </si>
  <si>
    <t>FE:FC:FA:f7:7e:92</t>
  </si>
  <si>
    <t>BK2502184</t>
  </si>
  <si>
    <t>K2502206-JB</t>
  </si>
  <si>
    <t>K2502206</t>
  </si>
  <si>
    <t>邵含笑</t>
  </si>
  <si>
    <t>BK2502206</t>
  </si>
  <si>
    <t>10.191.8.126</t>
  </si>
  <si>
    <t>FE:FC:FA:76:08:f5</t>
  </si>
  <si>
    <t>BK2502185</t>
  </si>
  <si>
    <t>K2502203-JB</t>
  </si>
  <si>
    <t>K2502203</t>
  </si>
  <si>
    <t>陈毅超</t>
  </si>
  <si>
    <t>BK2502203</t>
  </si>
  <si>
    <t>10.191.8.127</t>
  </si>
  <si>
    <t>FE:FC:FA:9d:2e:9c</t>
  </si>
  <si>
    <t>BK2502186</t>
  </si>
  <si>
    <t>K2502202-JB</t>
  </si>
  <si>
    <t>K2502202</t>
  </si>
  <si>
    <t>邰桂芳</t>
  </si>
  <si>
    <t>BK2502202</t>
  </si>
  <si>
    <t>10.191.8.128</t>
  </si>
  <si>
    <t>FE:FC:FA:c2:54:da</t>
  </si>
  <si>
    <t>BK2502187</t>
  </si>
  <si>
    <t>K2502201-JB</t>
  </si>
  <si>
    <t>160.22.3.218</t>
  </si>
  <si>
    <t>K2502201</t>
  </si>
  <si>
    <t>黄瑞</t>
  </si>
  <si>
    <t>源机离线</t>
  </si>
  <si>
    <t>BK2502201</t>
  </si>
  <si>
    <t>10.191.8.129</t>
  </si>
  <si>
    <t>FE:FC:FA:66:13:b0</t>
  </si>
  <si>
    <t>BK0021405</t>
  </si>
  <si>
    <t>K2502200-JB</t>
  </si>
  <si>
    <t>K2502200</t>
  </si>
  <si>
    <t>曹顺安</t>
  </si>
  <si>
    <t>BK2502200</t>
  </si>
  <si>
    <t>10.191.8.130</t>
  </si>
  <si>
    <t>FE:FC:FA:f3:79:94</t>
  </si>
  <si>
    <t>BK0021406</t>
  </si>
  <si>
    <t>K2502199-JB</t>
  </si>
  <si>
    <t>K2502199</t>
  </si>
  <si>
    <t>耿仁龙</t>
  </si>
  <si>
    <t>BK2502199</t>
  </si>
  <si>
    <t>10.191.8.131</t>
  </si>
  <si>
    <t>FE:FC:FA:e3:7f:16</t>
  </si>
  <si>
    <t>BK0021574</t>
  </si>
  <si>
    <t>K2502198-JB</t>
  </si>
  <si>
    <t>160.22.18.53</t>
  </si>
  <si>
    <t>K2502198</t>
  </si>
  <si>
    <t>唐燕</t>
  </si>
  <si>
    <t>BK2502198</t>
  </si>
  <si>
    <t>10.191.8.132</t>
  </si>
  <si>
    <t>FE:FC:FA:52:c3:5e</t>
  </si>
  <si>
    <t>VDI_Cluster06_LUN03</t>
  </si>
  <si>
    <t>BK0052072</t>
  </si>
  <si>
    <t>160.22.3.126</t>
  </si>
  <si>
    <t>K1102339-JB</t>
  </si>
  <si>
    <t>160.22.3.196</t>
  </si>
  <si>
    <t>K1102339</t>
  </si>
  <si>
    <t>喻春宇</t>
  </si>
  <si>
    <t>10.191.8.133</t>
  </si>
  <si>
    <t>FE:FC:FA:34:5f:b8</t>
  </si>
  <si>
    <t>BK0052074</t>
  </si>
  <si>
    <t>160.22.11.97</t>
  </si>
  <si>
    <t>K2502197-JB</t>
  </si>
  <si>
    <t>160.22.3.197</t>
  </si>
  <si>
    <t>K2502197</t>
  </si>
  <si>
    <t>陈智攀</t>
  </si>
  <si>
    <t>BK2502197</t>
  </si>
  <si>
    <t>10.191.8.134</t>
  </si>
  <si>
    <t>FE:FC:FA:ac:42:ee</t>
  </si>
  <si>
    <t>BK0052081</t>
  </si>
  <si>
    <t>160.22.3.153</t>
  </si>
  <si>
    <t>K2502196-JB</t>
  </si>
  <si>
    <t>160.22.3.188</t>
  </si>
  <si>
    <t>K2502196</t>
  </si>
  <si>
    <t>李进</t>
  </si>
  <si>
    <t>10.191.8.135</t>
  </si>
  <si>
    <t>FE:FC:FA:7d:0a:f5</t>
  </si>
  <si>
    <t>BK0101240</t>
  </si>
  <si>
    <t>160.22.3.155</t>
  </si>
  <si>
    <t>K2502195-JB</t>
  </si>
  <si>
    <t>160.22.3.191</t>
  </si>
  <si>
    <t>K2502195</t>
  </si>
  <si>
    <t>马郑露</t>
  </si>
  <si>
    <t>BK2502195</t>
  </si>
  <si>
    <t>10.191.8.136</t>
  </si>
  <si>
    <t>FE:FC:FA:4a:d6:f1</t>
  </si>
  <si>
    <t>BK0161965</t>
  </si>
  <si>
    <t>160.22.11.101</t>
  </si>
  <si>
    <t>K2502194-JB</t>
  </si>
  <si>
    <t>160.22.11.108</t>
  </si>
  <si>
    <t>K2502194</t>
  </si>
  <si>
    <t>贺彦茹</t>
  </si>
  <si>
    <t>BK2502194</t>
  </si>
  <si>
    <t>10.191.8.137</t>
  </si>
  <si>
    <t>FE:FC:FA:af:f3:ba</t>
  </si>
  <si>
    <t>BK0171754</t>
  </si>
  <si>
    <t>160.22.11.102</t>
  </si>
  <si>
    <t>K2502193-JB</t>
  </si>
  <si>
    <t>160.22.3.178</t>
  </si>
  <si>
    <t>K2502193</t>
  </si>
  <si>
    <t>王隽</t>
  </si>
  <si>
    <t>BK2502193</t>
  </si>
  <si>
    <t>10.191.8.138</t>
  </si>
  <si>
    <t>FE:FC:FA:57:e2:f4</t>
  </si>
  <si>
    <t>BK0892121</t>
  </si>
  <si>
    <t>K2502192-JB</t>
  </si>
  <si>
    <t>160.22.3.160</t>
  </si>
  <si>
    <t>K2502192</t>
  </si>
  <si>
    <t>刘文科</t>
  </si>
  <si>
    <t>BK2502192</t>
  </si>
  <si>
    <t>10.191.8.139</t>
  </si>
  <si>
    <t>FE:FC:FA:99:7a:cd</t>
  </si>
  <si>
    <t>BK0892130</t>
  </si>
  <si>
    <t>160.22.3.116</t>
  </si>
  <si>
    <t>K2502190-JB</t>
  </si>
  <si>
    <t>160.22.18.50</t>
  </si>
  <si>
    <t>K2502190</t>
  </si>
  <si>
    <t>胡轩铭</t>
  </si>
  <si>
    <t>BK2502190</t>
  </si>
  <si>
    <t>10.191.8.140</t>
  </si>
  <si>
    <t>FE:FC:FA:a2:8b:6d</t>
  </si>
  <si>
    <t>BK0892138</t>
  </si>
  <si>
    <t>160.22.11.20</t>
  </si>
  <si>
    <t>K2502189-JB</t>
  </si>
  <si>
    <t>160.22.3.162</t>
  </si>
  <si>
    <t>K2502189</t>
  </si>
  <si>
    <t>杜英杰</t>
  </si>
  <si>
    <t>BK2502189</t>
  </si>
  <si>
    <t>10.191.8.141</t>
  </si>
  <si>
    <t>FE:FC:FA:dc:f3:ce</t>
  </si>
  <si>
    <t>BK1102286</t>
  </si>
  <si>
    <t>160.22.3.119</t>
  </si>
  <si>
    <t>K2502188-JB</t>
  </si>
  <si>
    <t>160.22.3.163</t>
  </si>
  <si>
    <t>K2502188</t>
  </si>
  <si>
    <t>刘浩</t>
  </si>
  <si>
    <t>BK2502188</t>
  </si>
  <si>
    <t>10.191.8.142</t>
  </si>
  <si>
    <t>FE:FC:FA:c6:8a:5b</t>
  </si>
  <si>
    <t>BK1102289</t>
  </si>
  <si>
    <t>K2502187-JB</t>
  </si>
  <si>
    <t>160.22.11.107</t>
  </si>
  <si>
    <t>K2502187</t>
  </si>
  <si>
    <t>郭海龙</t>
  </si>
  <si>
    <t>10.191.8.143</t>
  </si>
  <si>
    <t>FE:FC:FA:16:48:b5</t>
  </si>
  <si>
    <t>BK1102292</t>
  </si>
  <si>
    <t>K2502186-JB</t>
  </si>
  <si>
    <t>160.22.3.174</t>
  </si>
  <si>
    <t>K2502186</t>
  </si>
  <si>
    <t>尚锦龙</t>
  </si>
  <si>
    <t>10.191.8.144</t>
  </si>
  <si>
    <t>FE:FC:FA:37:3a:ca</t>
  </si>
  <si>
    <t>BK0051824</t>
  </si>
  <si>
    <t>K2502185-JB</t>
  </si>
  <si>
    <t>160.22.3.154</t>
  </si>
  <si>
    <t>K2502185</t>
  </si>
  <si>
    <t>罗舒</t>
  </si>
  <si>
    <t>10.191.8.145</t>
  </si>
  <si>
    <t>FE:FC:FA:45:c2:35</t>
  </si>
  <si>
    <t>BK0051850</t>
  </si>
  <si>
    <t>160.22.18.30</t>
  </si>
  <si>
    <t>K2502184-JB</t>
  </si>
  <si>
    <t>160.22.11.99</t>
  </si>
  <si>
    <t>K2502184</t>
  </si>
  <si>
    <t>梁树暖</t>
  </si>
  <si>
    <t>10.191.8.146</t>
  </si>
  <si>
    <t>FE:FC:FA:03:ef:87</t>
  </si>
  <si>
    <t>BK0052002</t>
  </si>
  <si>
    <t>K0052092-JB</t>
  </si>
  <si>
    <t>K0052092</t>
  </si>
  <si>
    <t>蔺鸣</t>
  </si>
  <si>
    <t>10.191.8.147</t>
  </si>
  <si>
    <t>FE:FC:FA:ab:c8:0c</t>
  </si>
  <si>
    <t>BK0052034</t>
  </si>
  <si>
    <t>160.22.22.26</t>
  </si>
  <si>
    <t>K0052091-JB</t>
  </si>
  <si>
    <t>K0052091</t>
  </si>
  <si>
    <t>刘靖源</t>
  </si>
  <si>
    <t>10.191.8.148</t>
  </si>
  <si>
    <t>FE:FC:FA:53:f5:ad</t>
  </si>
  <si>
    <t>BK0101564</t>
  </si>
  <si>
    <t>160.22.18.40</t>
  </si>
  <si>
    <t>K0052090-JB</t>
  </si>
  <si>
    <t>K0052090</t>
  </si>
  <si>
    <t>杨仁伟</t>
  </si>
  <si>
    <t>10.191.8.149</t>
  </si>
  <si>
    <t>FE:FC:FA:c7:8c:91</t>
  </si>
  <si>
    <t>BK0101571</t>
  </si>
  <si>
    <t>160.22.18.42</t>
  </si>
  <si>
    <t>K0052089-JB</t>
  </si>
  <si>
    <t>K0052089</t>
  </si>
  <si>
    <t>何群</t>
  </si>
  <si>
    <t>10.191.8.150</t>
  </si>
  <si>
    <t>FE:FC:FA:b7:f2:3c</t>
  </si>
  <si>
    <t>BK0101591</t>
  </si>
  <si>
    <t>160.22.18.43</t>
  </si>
  <si>
    <t>K0052088-JB</t>
  </si>
  <si>
    <t>K0052088</t>
  </si>
  <si>
    <t>李航</t>
  </si>
  <si>
    <t>10.191.8.151</t>
  </si>
  <si>
    <t>FE:FC:FA:4c:a4:a0</t>
  </si>
  <si>
    <t>BK0101744</t>
  </si>
  <si>
    <t>160.22.22.28</t>
  </si>
  <si>
    <t>K1182289-JB</t>
  </si>
  <si>
    <t>160.22.22.41</t>
  </si>
  <si>
    <t>K1182289</t>
  </si>
  <si>
    <t>谢微</t>
  </si>
  <si>
    <t>BK1182289</t>
  </si>
  <si>
    <t>10.191.8.152</t>
  </si>
  <si>
    <t>FE:FC:FA:36:8f:6f</t>
  </si>
  <si>
    <t>BK0131458</t>
  </si>
  <si>
    <t>K2502181-JB</t>
  </si>
  <si>
    <t>160.22.22.31</t>
  </si>
  <si>
    <t>K2502181</t>
  </si>
  <si>
    <t>王婷</t>
  </si>
  <si>
    <t>10.191.8.153</t>
  </si>
  <si>
    <t>FE:FC:FA:ea:5d:fe</t>
  </si>
  <si>
    <t>BK0161210</t>
  </si>
  <si>
    <t>K2502180-JB</t>
  </si>
  <si>
    <t>K2502180</t>
  </si>
  <si>
    <t>刘谦</t>
  </si>
  <si>
    <t>10.191.8.154</t>
  </si>
  <si>
    <t>FE:FC:FA:ef:e2:b5</t>
  </si>
  <si>
    <t>BK0161225</t>
  </si>
  <si>
    <t>K2502178-JB</t>
  </si>
  <si>
    <t>K2502178</t>
  </si>
  <si>
    <t>李梅</t>
  </si>
  <si>
    <t>10.191.8.155</t>
  </si>
  <si>
    <t>FE:FC:FA:55:61:3e</t>
  </si>
  <si>
    <t>BK0161228</t>
  </si>
  <si>
    <t>K2502177-JB</t>
  </si>
  <si>
    <t>K2502177</t>
  </si>
  <si>
    <t>10.191.8.156</t>
  </si>
  <si>
    <t>FE:FC:FA:8b:30:28</t>
  </si>
  <si>
    <t>BK0161229</t>
  </si>
  <si>
    <t>K2502176-JB</t>
  </si>
  <si>
    <t>K2502176</t>
  </si>
  <si>
    <t>方傲霜</t>
  </si>
  <si>
    <t>BK2502176</t>
  </si>
  <si>
    <t>10.191.8.157</t>
  </si>
  <si>
    <t>FE:FC:FA:4f:a4:9b</t>
  </si>
  <si>
    <t>BK0181409</t>
  </si>
  <si>
    <t>K2502175-JB</t>
  </si>
  <si>
    <t>K2502175</t>
  </si>
  <si>
    <t>王琳</t>
  </si>
  <si>
    <t>10.191.8.158</t>
  </si>
  <si>
    <t>FE:FC:FA:64:ac:8b</t>
  </si>
  <si>
    <t>BK2511592</t>
  </si>
  <si>
    <t>K0052087-JB</t>
  </si>
  <si>
    <t>K0052087</t>
  </si>
  <si>
    <t>曹晓侠</t>
  </si>
  <si>
    <t>10.191.8.159</t>
  </si>
  <si>
    <t>FE:FC:FA:77:72:c5</t>
  </si>
  <si>
    <t>BK0100084</t>
  </si>
  <si>
    <t>K1102333-JB</t>
  </si>
  <si>
    <t>K1102333</t>
  </si>
  <si>
    <t>魏晓琪</t>
  </si>
  <si>
    <t>10.191.8.160</t>
  </si>
  <si>
    <t>FE:FC:FA:f5:b2:47</t>
  </si>
  <si>
    <t>BK0100088</t>
  </si>
  <si>
    <t>K0171756-JB</t>
  </si>
  <si>
    <t>K0171756</t>
  </si>
  <si>
    <t>张鹏</t>
  </si>
  <si>
    <t>10.191.8.161</t>
  </si>
  <si>
    <t>FE:FC:FA:40:7f:63</t>
  </si>
  <si>
    <t>BK0101214</t>
  </si>
  <si>
    <t>K1102330-JB</t>
  </si>
  <si>
    <t>K1102330</t>
  </si>
  <si>
    <t>程晨</t>
  </si>
  <si>
    <t>10.191.8.162</t>
  </si>
  <si>
    <t>FE:FC:FA:a2:97:86</t>
  </si>
  <si>
    <t>BK0101246</t>
  </si>
  <si>
    <t>K2502173-JB</t>
  </si>
  <si>
    <t>K2502173</t>
  </si>
  <si>
    <t>刘嘉敏</t>
  </si>
  <si>
    <t>10.191.8.163</t>
  </si>
  <si>
    <t>FE:FC:FA:5e:f5:98</t>
  </si>
  <si>
    <t>BK0101265</t>
  </si>
  <si>
    <t>K2502171-JB</t>
  </si>
  <si>
    <t>160.22.22.14</t>
  </si>
  <si>
    <t>K2502171</t>
  </si>
  <si>
    <t>周悦雯</t>
  </si>
  <si>
    <t>BK2502171</t>
  </si>
  <si>
    <t>10.191.8.164</t>
  </si>
  <si>
    <t>FE:FC:FA:95:d5:ce</t>
  </si>
  <si>
    <t>VDI_Cluster06_LUN04</t>
  </si>
  <si>
    <t>BK0101338</t>
  </si>
  <si>
    <t>K1182286-JB</t>
  </si>
  <si>
    <t>160.22.18.22</t>
  </si>
  <si>
    <t>K1182286</t>
  </si>
  <si>
    <t>蔡吴云</t>
  </si>
  <si>
    <t>BK1182286</t>
  </si>
  <si>
    <t>10.191.8.165</t>
  </si>
  <si>
    <t>FE:FC:FA:0e:3b:ea</t>
  </si>
  <si>
    <t>BK0101344</t>
  </si>
  <si>
    <t>K5731330-JB</t>
  </si>
  <si>
    <t>160.22.11.12</t>
  </si>
  <si>
    <t>K5731330</t>
  </si>
  <si>
    <t>王海强</t>
  </si>
  <si>
    <t>BK5731330</t>
  </si>
  <si>
    <t>10.191.8.166</t>
  </si>
  <si>
    <t>FE:FC:FA:ba:a3:25</t>
  </si>
  <si>
    <t>BK1201242</t>
  </si>
  <si>
    <t>K0240093-JB</t>
  </si>
  <si>
    <t>160.22.11.181</t>
  </si>
  <si>
    <t>K0240093</t>
  </si>
  <si>
    <t>BK0240093</t>
  </si>
  <si>
    <t>10.191.8.167</t>
  </si>
  <si>
    <t>FE:FC:FA:b6:f1:0b</t>
  </si>
  <si>
    <t>BK2111215</t>
  </si>
  <si>
    <t>K2502170-JB</t>
  </si>
  <si>
    <t>160.22.18.19</t>
  </si>
  <si>
    <t>K2502170</t>
  </si>
  <si>
    <t>耿欢</t>
  </si>
  <si>
    <t>BK2502170</t>
  </si>
  <si>
    <t>10.191.8.168</t>
  </si>
  <si>
    <t>FE:FC:FA:c7:1c:12</t>
  </si>
  <si>
    <t>BK2500004</t>
  </si>
  <si>
    <t>K0021406-JB</t>
  </si>
  <si>
    <t>160.22.10.250</t>
  </si>
  <si>
    <t>K0021406</t>
  </si>
  <si>
    <t>李扬</t>
  </si>
  <si>
    <t>10.191.8.169</t>
  </si>
  <si>
    <t>FE:FC:FA:97:48:3c</t>
  </si>
  <si>
    <t>BK0240035</t>
  </si>
  <si>
    <t>K0021405-JB</t>
  </si>
  <si>
    <t>160.22.10.249</t>
  </si>
  <si>
    <t>K0021405</t>
  </si>
  <si>
    <t>刘士猛</t>
  </si>
  <si>
    <t>10.191.8.170</t>
  </si>
  <si>
    <t>FE:FC:FA:64:a4:58</t>
  </si>
  <si>
    <t>BK0240095</t>
  </si>
  <si>
    <t>K0021574-JB</t>
  </si>
  <si>
    <t>160.22.10.247</t>
  </si>
  <si>
    <t>K0021574</t>
  </si>
  <si>
    <t>陈天屹</t>
  </si>
  <si>
    <t>10.191.8.171</t>
  </si>
  <si>
    <t>FE:FC:FA:29:38:68</t>
  </si>
  <si>
    <t>BK0321214</t>
  </si>
  <si>
    <t>K0101240-JB</t>
  </si>
  <si>
    <t>160.22.10.246</t>
  </si>
  <si>
    <t>K0101240</t>
  </si>
  <si>
    <t>陈青云</t>
  </si>
  <si>
    <t>10.191.8.172</t>
  </si>
  <si>
    <t>FE:FC:FA:25:71:bf</t>
  </si>
  <si>
    <t>BK0321694</t>
  </si>
  <si>
    <t>K0171754-JB</t>
  </si>
  <si>
    <t>160.22.0.140</t>
  </si>
  <si>
    <t>K0171754</t>
  </si>
  <si>
    <t>郑朦</t>
  </si>
  <si>
    <t>10.191.8.173</t>
  </si>
  <si>
    <t>FE:FC:FA:98:03:2c</t>
  </si>
  <si>
    <t>BK0321855</t>
  </si>
  <si>
    <t>160.22.2.22</t>
  </si>
  <si>
    <t>K1102321-JB</t>
  </si>
  <si>
    <t>160.22.3.19</t>
  </si>
  <si>
    <t>K1102321</t>
  </si>
  <si>
    <t>周彬</t>
  </si>
  <si>
    <t>BK1102321</t>
  </si>
  <si>
    <t>10.191.8.174</t>
  </si>
  <si>
    <t>FE:FC:FA:84:19:bd</t>
  </si>
  <si>
    <t>BK1102298</t>
  </si>
  <si>
    <t>K1182279-JB</t>
  </si>
  <si>
    <t>160.22.18.7</t>
  </si>
  <si>
    <t>K1182279</t>
  </si>
  <si>
    <t>王雅鑫</t>
  </si>
  <si>
    <t>BK1182279</t>
  </si>
  <si>
    <t>10.191.8.175</t>
  </si>
  <si>
    <t>FE:FC:FA:d7:90:c0</t>
  </si>
  <si>
    <t>160.22.9.198</t>
  </si>
  <si>
    <t>K2502166-JB</t>
  </si>
  <si>
    <t>160.22.18.3</t>
  </si>
  <si>
    <t>K2502166</t>
  </si>
  <si>
    <t>朱祥勇</t>
  </si>
  <si>
    <t>BK2502166</t>
  </si>
  <si>
    <t>10.191.8.176</t>
  </si>
  <si>
    <t>FE:FC:FA:e0:6c:fa</t>
  </si>
  <si>
    <t>160.22.2.224</t>
  </si>
  <si>
    <t>K2502162-JB</t>
  </si>
  <si>
    <t>160.22.21.250</t>
  </si>
  <si>
    <t>K2502162</t>
  </si>
  <si>
    <t>刘梦雪</t>
  </si>
  <si>
    <t>BK2502162</t>
  </si>
  <si>
    <t>10.191.8.177</t>
  </si>
  <si>
    <t>FE:FC:FA:c4:20:d7</t>
  </si>
  <si>
    <t>BK1182150</t>
  </si>
  <si>
    <t>K2502161-JB</t>
  </si>
  <si>
    <t>160.22.21.244</t>
  </si>
  <si>
    <t>K2502161</t>
  </si>
  <si>
    <t>陆思捷</t>
  </si>
  <si>
    <t>BK2502161</t>
  </si>
  <si>
    <t>10.191.8.178</t>
  </si>
  <si>
    <t>FE:FC:FA:d2:29:50</t>
  </si>
  <si>
    <t>BK1182254</t>
  </si>
  <si>
    <t>160.22.2.152</t>
  </si>
  <si>
    <t>K0892138-JB</t>
  </si>
  <si>
    <t>160.22.10.173</t>
  </si>
  <si>
    <t>K0892138</t>
  </si>
  <si>
    <t>管梦娇</t>
  </si>
  <si>
    <t>10.191.8.179</t>
  </si>
  <si>
    <t>FE:FC:FA:96:f6:e8</t>
  </si>
  <si>
    <t>K0052081-JB</t>
  </si>
  <si>
    <t>K0052081</t>
  </si>
  <si>
    <t>王艳鸽</t>
  </si>
  <si>
    <t>10.191.8.180</t>
  </si>
  <si>
    <t>FE:FC:FA:10:bb:c1</t>
  </si>
  <si>
    <t>K2502158-JB</t>
  </si>
  <si>
    <t>160.22.17.239</t>
  </si>
  <si>
    <t>K2502158</t>
  </si>
  <si>
    <t>梁莉丽</t>
  </si>
  <si>
    <t>BK2502158</t>
  </si>
  <si>
    <t>10.191.8.181</t>
  </si>
  <si>
    <t>FE:FC:FA:c6:d9:8b</t>
  </si>
  <si>
    <t>BK2111230</t>
  </si>
  <si>
    <t>160.22.1.249</t>
  </si>
  <si>
    <t>K2111230-JB</t>
  </si>
  <si>
    <t>160.22.21.204</t>
  </si>
  <si>
    <t>K2111230</t>
  </si>
  <si>
    <t>李思梦</t>
  </si>
  <si>
    <t>10.191.8.182</t>
  </si>
  <si>
    <t>FE:FC:FA:b3:86:5f</t>
  </si>
  <si>
    <t>BK2502039</t>
  </si>
  <si>
    <t>160.22.10.89</t>
  </si>
  <si>
    <t>K0161965-JB</t>
  </si>
  <si>
    <t>K0161965</t>
  </si>
  <si>
    <t>李付山</t>
  </si>
  <si>
    <t>10.191.8.183</t>
  </si>
  <si>
    <t>FE:FC:FA:26:c1:62</t>
  </si>
  <si>
    <t>BK2502040</t>
  </si>
  <si>
    <t>K0892130-JB</t>
  </si>
  <si>
    <t>K0892130</t>
  </si>
  <si>
    <t>白禧龙</t>
  </si>
  <si>
    <t>10.191.8.184</t>
  </si>
  <si>
    <t>FE:FC:FA:fd:6b:22</t>
  </si>
  <si>
    <t>BK2502041</t>
  </si>
  <si>
    <t>160.22.9.174</t>
  </si>
  <si>
    <t>K2502044-JB</t>
  </si>
  <si>
    <t>160.22.17.217</t>
  </si>
  <si>
    <t>K2502044</t>
  </si>
  <si>
    <t>缪世钧</t>
  </si>
  <si>
    <t>BK2502044</t>
  </si>
  <si>
    <t>10.191.8.185</t>
  </si>
  <si>
    <t>FE:FC:FA:41:18:89</t>
  </si>
  <si>
    <t>160.22.2.17</t>
  </si>
  <si>
    <t>K1182254-JB</t>
  </si>
  <si>
    <t>160.22.21.193</t>
  </si>
  <si>
    <t>K1182254</t>
  </si>
  <si>
    <t>周福临</t>
  </si>
  <si>
    <t>10.191.8.186</t>
  </si>
  <si>
    <t>FE:FC:FA:16:2c:df</t>
  </si>
  <si>
    <t>160.22.2.34</t>
  </si>
  <si>
    <t>K2502041-JB</t>
  </si>
  <si>
    <t>160.22.21.188</t>
  </si>
  <si>
    <t>K2502041</t>
  </si>
  <si>
    <t>李艳</t>
  </si>
  <si>
    <t>10.191.8.187</t>
  </si>
  <si>
    <t>FE:FC:FA:2f:5e:40</t>
  </si>
  <si>
    <t>160.22.9.191</t>
  </si>
  <si>
    <t>K2502040-JB</t>
  </si>
  <si>
    <t>160.22.17.200</t>
  </si>
  <si>
    <t>K2502040</t>
  </si>
  <si>
    <t>刘梦婉</t>
  </si>
  <si>
    <t>10.191.8.188</t>
  </si>
  <si>
    <t>FE:FC:FA:59:aa:91</t>
  </si>
  <si>
    <t>K2502039-JB</t>
  </si>
  <si>
    <t>160.22.17.202</t>
  </si>
  <si>
    <t>K2502039</t>
  </si>
  <si>
    <t>韩强</t>
  </si>
  <si>
    <t>10.191.8.189</t>
  </si>
  <si>
    <t>FE:FC:FA:ed:1a:37</t>
  </si>
  <si>
    <t>160.22.21.175</t>
  </si>
  <si>
    <t>K1102298-JB</t>
  </si>
  <si>
    <t>K1102298</t>
  </si>
  <si>
    <t>韦沓壮</t>
  </si>
  <si>
    <t>10.191.8.190</t>
  </si>
  <si>
    <t>FE:FC:FA:ea:b7:d5</t>
  </si>
  <si>
    <t>K1182240-JB</t>
  </si>
  <si>
    <t>K1182240</t>
  </si>
  <si>
    <t>谢莉莉</t>
  </si>
  <si>
    <t>BK1182240</t>
  </si>
  <si>
    <t>10.191.8.191</t>
  </si>
  <si>
    <t>FE:FC:FA:ec:17:8c</t>
  </si>
  <si>
    <t>K0052074-JB</t>
  </si>
  <si>
    <t>K0052074</t>
  </si>
  <si>
    <t>洪帅</t>
  </si>
  <si>
    <t>10.191.8.192</t>
  </si>
  <si>
    <t>FE:FC:FA:64:3d:9d</t>
  </si>
  <si>
    <t>K1102292-JB</t>
  </si>
  <si>
    <t>K1102292</t>
  </si>
  <si>
    <t>李彬</t>
  </si>
  <si>
    <t>10.191.8.193</t>
  </si>
  <si>
    <t>FE:FC:FA:68:15:29</t>
  </si>
  <si>
    <t>K1102289-JB</t>
  </si>
  <si>
    <t>K1102289</t>
  </si>
  <si>
    <t>吴虎荣</t>
  </si>
  <si>
    <t>10.191.8.194</t>
  </si>
  <si>
    <t>FE:FC:FA:cf:5e:0f</t>
  </si>
  <si>
    <t>K0052072-JB</t>
  </si>
  <si>
    <t>K0052072</t>
  </si>
  <si>
    <t>郑海燕</t>
  </si>
  <si>
    <t>10.191.8.195</t>
  </si>
  <si>
    <t>FE:FC:FA:b3:6a:00</t>
  </si>
  <si>
    <t>BK0052069</t>
  </si>
  <si>
    <t>K0892121-JB</t>
  </si>
  <si>
    <t>K0892121</t>
  </si>
  <si>
    <t>杨俊涛</t>
  </si>
  <si>
    <t>10.191.8.196</t>
  </si>
  <si>
    <t>FE:FC:FA:4a:e2:2e</t>
  </si>
  <si>
    <t>BK0100050</t>
  </si>
  <si>
    <t>K1102286-JB</t>
  </si>
  <si>
    <t>K1102286</t>
  </si>
  <si>
    <t>秦政</t>
  </si>
  <si>
    <t>10.191.8.197</t>
  </si>
  <si>
    <t>FE:FC:FA:cd:5f:5e</t>
  </si>
  <si>
    <t>BK0101360</t>
  </si>
  <si>
    <t>K1102285-JB</t>
  </si>
  <si>
    <t>160.22.1.243</t>
  </si>
  <si>
    <t>K1102285</t>
  </si>
  <si>
    <t>乔艳庆</t>
  </si>
  <si>
    <t>BK1102285</t>
  </si>
  <si>
    <t>10.191.8.198</t>
  </si>
  <si>
    <t>FE:FC:FA:2c:cb:9b</t>
  </si>
  <si>
    <t>VDI_Cluster06_LUN05</t>
  </si>
  <si>
    <t>BK0171580</t>
  </si>
  <si>
    <t>K1182219-JB</t>
  </si>
  <si>
    <t>160.22.17.161</t>
  </si>
  <si>
    <t>K1182219</t>
  </si>
  <si>
    <t>钟均</t>
  </si>
  <si>
    <t>BK1182219</t>
  </si>
  <si>
    <t>10.191.8.199</t>
  </si>
  <si>
    <t>FE:FC:FA:08:61:ed</t>
  </si>
  <si>
    <t>BK0171740</t>
  </si>
  <si>
    <t>K0171740-JB</t>
  </si>
  <si>
    <t>160.22.1.237</t>
  </si>
  <si>
    <t>K0171740</t>
  </si>
  <si>
    <t>程超</t>
  </si>
  <si>
    <t>10.191.8.200</t>
  </si>
  <si>
    <t>FE:FC:FA:3b:3d:02</t>
  </si>
  <si>
    <t>BK0181203</t>
  </si>
  <si>
    <t>K0052069-JB</t>
  </si>
  <si>
    <t>160.22.9.168</t>
  </si>
  <si>
    <t>K0052069</t>
  </si>
  <si>
    <t>张晨</t>
  </si>
  <si>
    <t>10.191.8.201</t>
  </si>
  <si>
    <t>FE:FC:FA:09:b4:de</t>
  </si>
  <si>
    <t>BK0181377</t>
  </si>
  <si>
    <t>K1182213-JB</t>
  </si>
  <si>
    <t>160.22.17.157</t>
  </si>
  <si>
    <t>K1182213</t>
  </si>
  <si>
    <t>吕柽</t>
  </si>
  <si>
    <t>BK1182213</t>
  </si>
  <si>
    <t>10.191.8.202</t>
  </si>
  <si>
    <t>FE:FC:FA:de:7e:1c</t>
  </si>
  <si>
    <t>BK0181384</t>
  </si>
  <si>
    <t>K1182210-JB</t>
  </si>
  <si>
    <t>160.22.17.155</t>
  </si>
  <si>
    <t>K1182210</t>
  </si>
  <si>
    <t>翟明辉</t>
  </si>
  <si>
    <t>BK1182210</t>
  </si>
  <si>
    <t>10.191.8.203</t>
  </si>
  <si>
    <t>FE:FC:FA:c2:9a:43</t>
  </si>
  <si>
    <t>BK0181393</t>
  </si>
  <si>
    <t>K1182208-JB</t>
  </si>
  <si>
    <t>160.22.21.140</t>
  </si>
  <si>
    <t>K1182208</t>
  </si>
  <si>
    <t>彭丽华</t>
  </si>
  <si>
    <t>BK1182208</t>
  </si>
  <si>
    <t>10.191.8.204</t>
  </si>
  <si>
    <t>FE:FC:FA:2e:60:42</t>
  </si>
  <si>
    <t>BK0181427</t>
  </si>
  <si>
    <t>K1182199-JB</t>
  </si>
  <si>
    <t>160.22.21.125</t>
  </si>
  <si>
    <t>K1182199</t>
  </si>
  <si>
    <t>王梦霞</t>
  </si>
  <si>
    <t>BK1182199</t>
  </si>
  <si>
    <t>10.191.8.205</t>
  </si>
  <si>
    <t>FE:FC:FA:2f:ad:e3</t>
  </si>
  <si>
    <t>BK0181549</t>
  </si>
  <si>
    <t>K1182196-JB</t>
  </si>
  <si>
    <t>160.22.17.119</t>
  </si>
  <si>
    <t>K1182196</t>
  </si>
  <si>
    <t>梅莹</t>
  </si>
  <si>
    <t>BK1182196</t>
  </si>
  <si>
    <t>10.191.8.206</t>
  </si>
  <si>
    <t>FE:FC:FA:52:b4:fa</t>
  </si>
  <si>
    <t>BK0241214</t>
  </si>
  <si>
    <t>K2502015-JB</t>
  </si>
  <si>
    <t>160.22.17.97</t>
  </si>
  <si>
    <t>K2502015</t>
  </si>
  <si>
    <t>李艳琴</t>
  </si>
  <si>
    <t>BK2502015</t>
  </si>
  <si>
    <t>10.191.8.207</t>
  </si>
  <si>
    <t>FE:FC:FA:50:0f:35</t>
  </si>
  <si>
    <t>BK1101923</t>
  </si>
  <si>
    <t>K1182193-JB</t>
  </si>
  <si>
    <t>160.22.21.103</t>
  </si>
  <si>
    <t>K1182193</t>
  </si>
  <si>
    <t>刘劭春</t>
  </si>
  <si>
    <t>BK1182193</t>
  </si>
  <si>
    <t>10.191.8.208</t>
  </si>
  <si>
    <t>FE:FC:FA:ab:c9:16</t>
  </si>
  <si>
    <t>BK1102121</t>
  </si>
  <si>
    <t>160.22.5.139</t>
  </si>
  <si>
    <t>K2502014-JB</t>
  </si>
  <si>
    <t>160.22.17.99</t>
  </si>
  <si>
    <t>K2502014</t>
  </si>
  <si>
    <t>胡若希</t>
  </si>
  <si>
    <t>BK2502014</t>
  </si>
  <si>
    <t>10.191.8.209</t>
  </si>
  <si>
    <t>FE:FC:FA:f3:cc:e5</t>
  </si>
  <si>
    <t>BK1102205</t>
  </si>
  <si>
    <t>160.22.18.123</t>
  </si>
  <si>
    <t>K1182192-JB</t>
  </si>
  <si>
    <t>160.22.17.98</t>
  </si>
  <si>
    <t>K1182192</t>
  </si>
  <si>
    <t>孟楷然</t>
  </si>
  <si>
    <t>BK1182192</t>
  </si>
  <si>
    <t>10.191.8.210</t>
  </si>
  <si>
    <t>FE:FC:FA:2f:7a:91</t>
  </si>
  <si>
    <t>BK1102263</t>
  </si>
  <si>
    <t>160.22.16.120</t>
  </si>
  <si>
    <t>K1182189-JB</t>
  </si>
  <si>
    <t>160.22.21.100</t>
  </si>
  <si>
    <t>K1182189</t>
  </si>
  <si>
    <t>金浩东</t>
  </si>
  <si>
    <t>BK1182189</t>
  </si>
  <si>
    <t>10.191.8.211</t>
  </si>
  <si>
    <t>FE:FC:FA:5d:7b:e2</t>
  </si>
  <si>
    <t>160.22.16.186</t>
  </si>
  <si>
    <t>K1182187-JB</t>
  </si>
  <si>
    <t>160.22.17.88</t>
  </si>
  <si>
    <t>K1182187</t>
  </si>
  <si>
    <t>郑琳</t>
  </si>
  <si>
    <t>BK1182187</t>
  </si>
  <si>
    <t>10.191.8.212</t>
  </si>
  <si>
    <t>FE:FC:FA:b6:dc:68</t>
  </si>
  <si>
    <t>BK1181646</t>
  </si>
  <si>
    <t>160.22.0.12</t>
  </si>
  <si>
    <t>K1102263-JB</t>
  </si>
  <si>
    <t>160.22.1.131</t>
  </si>
  <si>
    <t>K1102263</t>
  </si>
  <si>
    <t>戴科</t>
  </si>
  <si>
    <t>10.191.8.213</t>
  </si>
  <si>
    <t>FE:FC:FA:5a:89:8a</t>
  </si>
  <si>
    <t>BK1181781</t>
  </si>
  <si>
    <t>160.22.14.140</t>
  </si>
  <si>
    <t>K2502013-JB</t>
  </si>
  <si>
    <t>160.22.17.84</t>
  </si>
  <si>
    <t>K2502013</t>
  </si>
  <si>
    <t>朱菲菲</t>
  </si>
  <si>
    <t>BK2502013</t>
  </si>
  <si>
    <t>10.191.8.214</t>
  </si>
  <si>
    <t>FE:FC:FA:d3:e4:6c</t>
  </si>
  <si>
    <t>BK1182010</t>
  </si>
  <si>
    <t>160.22.23.19</t>
  </si>
  <si>
    <t>K5550001-JB</t>
  </si>
  <si>
    <t>160.22.17.77</t>
  </si>
  <si>
    <t>K5550001</t>
  </si>
  <si>
    <t>马冬凡</t>
  </si>
  <si>
    <t>BK5550001</t>
  </si>
  <si>
    <t>10.191.8.215</t>
  </si>
  <si>
    <t>FE:FC:FA:52:0c:f0</t>
  </si>
  <si>
    <t>BK1182101</t>
  </si>
  <si>
    <t>160.22.20.178</t>
  </si>
  <si>
    <t>K1182179-JB</t>
  </si>
  <si>
    <t>160.22.17.71</t>
  </si>
  <si>
    <t>K1182179</t>
  </si>
  <si>
    <t>柏旭</t>
  </si>
  <si>
    <t>BK1182179</t>
  </si>
  <si>
    <t>10.191.8.216</t>
  </si>
  <si>
    <t>FE:FC:FA:84:e1:de</t>
  </si>
  <si>
    <t>BK1182146</t>
  </si>
  <si>
    <t>160.22.19.117</t>
  </si>
  <si>
    <t>K1182178-JB</t>
  </si>
  <si>
    <t>160.22.17.73</t>
  </si>
  <si>
    <t>K1182178</t>
  </si>
  <si>
    <t>丁玥</t>
  </si>
  <si>
    <t>BK1182178</t>
  </si>
  <si>
    <t>10.191.8.217</t>
  </si>
  <si>
    <t>FE:FC:FA:2c:92:23</t>
  </si>
  <si>
    <t>BK0181553</t>
  </si>
  <si>
    <t>160.22.8.200</t>
  </si>
  <si>
    <t>K1182168-JB</t>
  </si>
  <si>
    <t>160.22.21.52</t>
  </si>
  <si>
    <t>K1182168</t>
  </si>
  <si>
    <t>卞炜俊</t>
  </si>
  <si>
    <t>BK1182168</t>
  </si>
  <si>
    <t>10.191.8.218</t>
  </si>
  <si>
    <t>FE:FC:FA:f2:15:d3</t>
  </si>
  <si>
    <t>BK0181562</t>
  </si>
  <si>
    <t>160.22.0.242</t>
  </si>
  <si>
    <t>K2440014-JB</t>
  </si>
  <si>
    <t>160.22.8.240</t>
  </si>
  <si>
    <t>K2440014</t>
  </si>
  <si>
    <t>王俭</t>
  </si>
  <si>
    <t>BK2440014</t>
  </si>
  <si>
    <t>10.191.8.219</t>
  </si>
  <si>
    <t>FE:FC:FA:e7:59:4e</t>
  </si>
  <si>
    <t>BK0240014</t>
  </si>
  <si>
    <t>160.22.23.73</t>
  </si>
  <si>
    <t>K0100050-JB</t>
  </si>
  <si>
    <t>160.22.21.44</t>
  </si>
  <si>
    <t>K0100050</t>
  </si>
  <si>
    <t>张蕾</t>
  </si>
  <si>
    <t>10.191.8.220</t>
  </si>
  <si>
    <t>FE:FC:FA:eb:2b:8a</t>
  </si>
  <si>
    <t>BK0240034</t>
  </si>
  <si>
    <t>160.22.0.248</t>
  </si>
  <si>
    <t>K1182165-JB</t>
  </si>
  <si>
    <t>160.22.17.48</t>
  </si>
  <si>
    <t>K1182165</t>
  </si>
  <si>
    <t>时霞星</t>
  </si>
  <si>
    <t>BK1182165</t>
  </si>
  <si>
    <t>10.191.8.221</t>
  </si>
  <si>
    <t>FE:FC:FA:83:31:2e</t>
  </si>
  <si>
    <t>BK2111227</t>
  </si>
  <si>
    <t>160.22.3.24</t>
  </si>
  <si>
    <t>K1182162-JB</t>
  </si>
  <si>
    <t>160.22.17.43</t>
  </si>
  <si>
    <t>K1182162</t>
  </si>
  <si>
    <t>王玫月</t>
  </si>
  <si>
    <t>BK1182162</t>
  </si>
  <si>
    <t>10.191.8.222</t>
  </si>
  <si>
    <t>FE:FC:FA:02:b0:0e</t>
  </si>
  <si>
    <t>BK2111229</t>
  </si>
  <si>
    <t>160.22.12.39</t>
  </si>
  <si>
    <t>K1182155-JB</t>
  </si>
  <si>
    <t>160.22.17.22</t>
  </si>
  <si>
    <t>K1182155</t>
  </si>
  <si>
    <t>邓梦乐</t>
  </si>
  <si>
    <t>BK1182155</t>
  </si>
  <si>
    <t>10.191.8.223</t>
  </si>
  <si>
    <t>FE:FC:FA:42:ce:2c</t>
  </si>
  <si>
    <t>BK2501483</t>
  </si>
  <si>
    <t>160.22.8.115</t>
  </si>
  <si>
    <t>K1182154-JB</t>
  </si>
  <si>
    <t>160.22.17.19</t>
  </si>
  <si>
    <t>K1182154</t>
  </si>
  <si>
    <t>时煜雯</t>
  </si>
  <si>
    <t>BK1182154</t>
  </si>
  <si>
    <t>10.191.8.224</t>
  </si>
  <si>
    <t>FE:FC:FA:68:3e:2b</t>
  </si>
  <si>
    <t>BK2501628</t>
  </si>
  <si>
    <t>160.22.19.84</t>
  </si>
  <si>
    <t>K1182153-JB</t>
  </si>
  <si>
    <t>160.22.21.18</t>
  </si>
  <si>
    <t>K1182153</t>
  </si>
  <si>
    <t>孙梦慧</t>
  </si>
  <si>
    <t>BK1182153</t>
  </si>
  <si>
    <t>10.191.8.225</t>
  </si>
  <si>
    <t>FE:FC:FA:db:5f:df</t>
  </si>
  <si>
    <t>BK0241224</t>
  </si>
  <si>
    <t>160.22.5.113</t>
  </si>
  <si>
    <t>K1182150-JB</t>
  </si>
  <si>
    <t>160.22.17.13</t>
  </si>
  <si>
    <t>K1182150</t>
  </si>
  <si>
    <t>吴娜</t>
  </si>
  <si>
    <t>10.191.8.226</t>
  </si>
  <si>
    <t>FE:FC:FA:6d:64:0b</t>
  </si>
  <si>
    <t>BK0241239</t>
  </si>
  <si>
    <t>160.22.3.198</t>
  </si>
  <si>
    <t>K0101360-JB</t>
  </si>
  <si>
    <t>160.22.17.8</t>
  </si>
  <si>
    <t>K0101360</t>
  </si>
  <si>
    <t>蒋一青</t>
  </si>
  <si>
    <t>10.191.8.227</t>
  </si>
  <si>
    <t>FE:FC:FA:dc:93:c7</t>
  </si>
  <si>
    <t>BK0321227</t>
  </si>
  <si>
    <t>K1102205-JB</t>
  </si>
  <si>
    <t>160.22.0.170</t>
  </si>
  <si>
    <t>K1102205</t>
  </si>
  <si>
    <t>鄢晓军</t>
  </si>
  <si>
    <t>10.191.8.228</t>
  </si>
  <si>
    <t>FE:FC:FA:50:38:06</t>
  </si>
  <si>
    <t>BK0321431</t>
  </si>
  <si>
    <t>160.22.7.179</t>
  </si>
  <si>
    <t>K0241229-JB</t>
  </si>
  <si>
    <t>160.22.0.166</t>
  </si>
  <si>
    <t>K0241229</t>
  </si>
  <si>
    <t>袁晴</t>
  </si>
  <si>
    <t>BK0241229</t>
  </si>
  <si>
    <t>10.191.8.229</t>
  </si>
  <si>
    <t>FE:FC:FA:ce:12:64</t>
  </si>
  <si>
    <t>BK0321432</t>
  </si>
  <si>
    <t>160.22.20.26</t>
  </si>
  <si>
    <t>K1182146-JB</t>
  </si>
  <si>
    <t>160.22.17.3</t>
  </si>
  <si>
    <t>K1182146</t>
  </si>
  <si>
    <t>李梓语</t>
  </si>
  <si>
    <t>10.191.8.230</t>
  </si>
  <si>
    <t>FE:FC:FA:8e:66:08</t>
  </si>
  <si>
    <t>160.22.11.232</t>
  </si>
  <si>
    <t>K0241214-JB</t>
  </si>
  <si>
    <t>160.22.8.116</t>
  </si>
  <si>
    <t>K0241214</t>
  </si>
  <si>
    <t>孔德亚</t>
  </si>
  <si>
    <t>10.191.8.231</t>
  </si>
  <si>
    <t>FE:FC:FA:91:cc:59</t>
  </si>
  <si>
    <t>160.22.16.131</t>
  </si>
  <si>
    <t>K0181384-JB</t>
  </si>
  <si>
    <t>160.22.0.157</t>
  </si>
  <si>
    <t>K0181384</t>
  </si>
  <si>
    <t>张海东</t>
  </si>
  <si>
    <t>10.191.8.232</t>
  </si>
  <si>
    <t>FE:FC:FA:8d:50:3c</t>
  </si>
  <si>
    <t>160.22.5.72</t>
  </si>
  <si>
    <t>K0240095-JB</t>
  </si>
  <si>
    <t>K0240095</t>
  </si>
  <si>
    <t>李冬</t>
  </si>
  <si>
    <t>10.191.8.233</t>
  </si>
  <si>
    <t>FE:FC:FA:05:14:1d</t>
  </si>
  <si>
    <t>VDI_Cluster06_LUN06</t>
  </si>
  <si>
    <t>160.22.23.176</t>
  </si>
  <si>
    <t>K1182101-JB</t>
  </si>
  <si>
    <t>160.22.16.230</t>
  </si>
  <si>
    <t>K1182101</t>
  </si>
  <si>
    <t>潘程程</t>
  </si>
  <si>
    <t>10.191.8.234</t>
  </si>
  <si>
    <t>FE:FC:FA:a9:a8:a9</t>
  </si>
  <si>
    <t>K2501628-JB</t>
  </si>
  <si>
    <t>160.22.16.205</t>
  </si>
  <si>
    <t>K2501628</t>
  </si>
  <si>
    <t>孟姗姗</t>
  </si>
  <si>
    <t>10.191.8.235</t>
  </si>
  <si>
    <t>FE:FC:FA:c7:b0:e1</t>
  </si>
  <si>
    <t>160.22.2.74</t>
  </si>
  <si>
    <t>K0101564-JB</t>
  </si>
  <si>
    <t>K0101564</t>
  </si>
  <si>
    <t>程训霞</t>
  </si>
  <si>
    <t>10.191.8.236</t>
  </si>
  <si>
    <t>FE:FC:FA:22:cb:18</t>
  </si>
  <si>
    <t>160.22.2.77</t>
  </si>
  <si>
    <t>K0101744-JB</t>
  </si>
  <si>
    <t>K0101744</t>
  </si>
  <si>
    <t>范婷婷</t>
  </si>
  <si>
    <t>10.191.8.237</t>
  </si>
  <si>
    <t>FE:FC:FA:bc:0c:70</t>
  </si>
  <si>
    <t>160.22.22.36</t>
  </si>
  <si>
    <t>K0052034-JB</t>
  </si>
  <si>
    <t>K0052034</t>
  </si>
  <si>
    <t>唐佳欢</t>
  </si>
  <si>
    <t>10.191.8.238</t>
  </si>
  <si>
    <t>FE:FC:FA:28:08:db</t>
  </si>
  <si>
    <t>程 已卸载</t>
  </si>
  <si>
    <t>160.22.22.127</t>
  </si>
  <si>
    <t>K0240035-JB</t>
  </si>
  <si>
    <t>K0240035</t>
  </si>
  <si>
    <t>徐礼靖</t>
  </si>
  <si>
    <t>10.191.8.239</t>
  </si>
  <si>
    <t>FE:FC:FA:86:a9:6b</t>
  </si>
  <si>
    <t>160.22.22.135</t>
  </si>
  <si>
    <t>K1102121-JB</t>
  </si>
  <si>
    <t>K1102121</t>
  </si>
  <si>
    <t>周继先</t>
  </si>
  <si>
    <t>10.191.8.240</t>
  </si>
  <si>
    <t>FE:FC:FA:b5:7b:11</t>
  </si>
  <si>
    <t>伟-已删除</t>
  </si>
  <si>
    <t>BK1130028</t>
  </si>
  <si>
    <t>K0052002-JB</t>
  </si>
  <si>
    <t>K0052002</t>
  </si>
  <si>
    <t>吴春磊</t>
  </si>
  <si>
    <t>10.191.8.241</t>
  </si>
  <si>
    <t>FE:FC:FA:0c:fa:7e</t>
  </si>
  <si>
    <t>BK1131276</t>
  </si>
  <si>
    <t>160.22.22.53</t>
  </si>
  <si>
    <t>K0321855-JB</t>
  </si>
  <si>
    <t>K0321855</t>
  </si>
  <si>
    <t>罗日仙</t>
  </si>
  <si>
    <t>10.191.8.242</t>
  </si>
  <si>
    <t>FE:FC:FA:3b:55:f9</t>
  </si>
  <si>
    <t>坤 (已删除)</t>
  </si>
  <si>
    <t>BK1131560</t>
  </si>
  <si>
    <t>160.22.22.52</t>
  </si>
  <si>
    <t>K0181409-JB</t>
  </si>
  <si>
    <t>K0181409</t>
  </si>
  <si>
    <t>薛瑞晴</t>
  </si>
  <si>
    <t>10.191.8.243</t>
  </si>
  <si>
    <t>FE:FC:FA:86:3d:80</t>
  </si>
  <si>
    <t>BK1181312</t>
  </si>
  <si>
    <t>K1102047-JB</t>
  </si>
  <si>
    <t>K1102047</t>
  </si>
  <si>
    <t>张骞</t>
  </si>
  <si>
    <t>BK1102047</t>
  </si>
  <si>
    <t>10.191.8.244</t>
  </si>
  <si>
    <t>FE:FC:FA:2f:a2:3e</t>
  </si>
  <si>
    <t>BK1181750</t>
  </si>
  <si>
    <t>K1182010-JB</t>
  </si>
  <si>
    <t>K1182010</t>
  </si>
  <si>
    <t>彭丽</t>
  </si>
  <si>
    <t>10.191.8.245</t>
  </si>
  <si>
    <t>FE:FC:FA:4e:91:76</t>
  </si>
  <si>
    <t>BK1181768</t>
  </si>
  <si>
    <t>K2111229-JB</t>
  </si>
  <si>
    <t>K2111229</t>
  </si>
  <si>
    <t>叶晓群</t>
  </si>
  <si>
    <t>10.191.8.246</t>
  </si>
  <si>
    <t>FE:FC:FA:8f:97:37</t>
  </si>
  <si>
    <t>BK1181777</t>
  </si>
  <si>
    <t>160.22.4.60</t>
  </si>
  <si>
    <t>K2111227-JB</t>
  </si>
  <si>
    <t>K2111227</t>
  </si>
  <si>
    <t>王江</t>
  </si>
  <si>
    <t>10.191.8.247</t>
  </si>
  <si>
    <t>FE:FC:FA:2c:ba:c4</t>
  </si>
  <si>
    <t>160.22.3.190</t>
  </si>
  <si>
    <t>K0131458-JB</t>
  </si>
  <si>
    <t>K0131458</t>
  </si>
  <si>
    <t>杨腊梅</t>
  </si>
  <si>
    <t>10.191.8.248</t>
  </si>
  <si>
    <t>FE:FC:FA:1f:d9:9b</t>
  </si>
  <si>
    <t>160.22.4.61</t>
  </si>
  <si>
    <t>K0161229-JB</t>
  </si>
  <si>
    <t>K0161229</t>
  </si>
  <si>
    <t>吕飞</t>
  </si>
  <si>
    <t>10.191.8.249</t>
  </si>
  <si>
    <t>FE:FC:FA:9c:e5:bb</t>
  </si>
  <si>
    <t>160.22.21.191</t>
  </si>
  <si>
    <t>K0161228-JB</t>
  </si>
  <si>
    <t>K0161228</t>
  </si>
  <si>
    <t>刘莎莎</t>
  </si>
  <si>
    <t>10.191.8.250</t>
  </si>
  <si>
    <t>FE:FC:FA:3f:1a:c6</t>
  </si>
  <si>
    <t>160.22.11.177</t>
  </si>
  <si>
    <t>K0161225-JB</t>
  </si>
  <si>
    <t>K0161225</t>
  </si>
  <si>
    <t>许威</t>
  </si>
  <si>
    <t>10.191.8.251</t>
  </si>
  <si>
    <t>FE:FC:FA:b8:09:24</t>
  </si>
  <si>
    <t>BK0240029</t>
  </si>
  <si>
    <t>160.22.11.160</t>
  </si>
  <si>
    <t>K0161210-JB</t>
  </si>
  <si>
    <t>K0161210</t>
  </si>
  <si>
    <t>张鹏飞</t>
  </si>
  <si>
    <t>10.191.8.252</t>
  </si>
  <si>
    <t>FE:FC:FA:9a:eb:0c</t>
  </si>
  <si>
    <t>BK2511591</t>
  </si>
  <si>
    <t>160.22.12.22</t>
  </si>
  <si>
    <t>K0321214-JB</t>
  </si>
  <si>
    <t>K0321214</t>
  </si>
  <si>
    <t>王婵</t>
  </si>
  <si>
    <t>10.191.8.253</t>
  </si>
  <si>
    <t>FE:FC:FA:ab:ca:7a</t>
  </si>
  <si>
    <t>160.22.11.54</t>
  </si>
  <si>
    <t>K1101923-JB</t>
  </si>
  <si>
    <t>K1101923</t>
  </si>
  <si>
    <t>李民舟</t>
  </si>
  <si>
    <t>10.191.8.254</t>
  </si>
  <si>
    <t>FE:FC:FA:e1:66:33</t>
  </si>
  <si>
    <t>160.22.3.193</t>
  </si>
  <si>
    <t>K0101591-JB</t>
  </si>
  <si>
    <t>K0101591</t>
  </si>
  <si>
    <t>葛梦婕</t>
  </si>
  <si>
    <t>10.191.9.1</t>
  </si>
  <si>
    <t>FE:FC:FA:70:77:36</t>
  </si>
  <si>
    <t>160.22.19.89</t>
  </si>
  <si>
    <t>K1181646-CS</t>
  </si>
  <si>
    <t>K1181646</t>
  </si>
  <si>
    <t>陶婉婷</t>
  </si>
  <si>
    <t>10.191.9.2</t>
  </si>
  <si>
    <t>FE:FC:FA:34:77:8b</t>
  </si>
  <si>
    <t>160.22.17.243</t>
  </si>
  <si>
    <t>K0101571-JB</t>
  </si>
  <si>
    <t>K0101571</t>
  </si>
  <si>
    <t>叶杨</t>
  </si>
  <si>
    <t>10.191.9.3</t>
  </si>
  <si>
    <t>FE:FC:FA:44:c7:b2</t>
  </si>
  <si>
    <t>160.22.17.238</t>
  </si>
  <si>
    <t>K2501483-JB</t>
  </si>
  <si>
    <t>K2501483</t>
  </si>
  <si>
    <t>杜刚</t>
  </si>
  <si>
    <t>10.191.9.4</t>
  </si>
  <si>
    <t>FE:FC:FA:81:eb:cc</t>
  </si>
  <si>
    <t>160.22.4.70</t>
  </si>
  <si>
    <t>K2501502-JB</t>
  </si>
  <si>
    <t>K2501502</t>
  </si>
  <si>
    <t>韩丽丽</t>
  </si>
  <si>
    <t>BK2501502</t>
  </si>
  <si>
    <t>10.191.9.5</t>
  </si>
  <si>
    <t>FE:FC:FA:ff:a9:f7</t>
  </si>
  <si>
    <t>160.22.17.183</t>
  </si>
  <si>
    <t>K2501500-JB</t>
  </si>
  <si>
    <t>K2501500</t>
  </si>
  <si>
    <t>黄良超</t>
  </si>
  <si>
    <t>BK2501500</t>
  </si>
  <si>
    <t>10.191.9.6</t>
  </si>
  <si>
    <t>FE:FC:FA:d2:25:55</t>
  </si>
  <si>
    <t>160.22.4.146</t>
  </si>
  <si>
    <t>K0051850-JB</t>
  </si>
  <si>
    <t>K0051850</t>
  </si>
  <si>
    <t>陈晓妍</t>
  </si>
  <si>
    <t>10.191.9.7</t>
  </si>
  <si>
    <t>FE:FC:FA:4f:6d:82</t>
  </si>
  <si>
    <t>160.22.11.170</t>
  </si>
  <si>
    <t>K2511592-JB</t>
  </si>
  <si>
    <t>K2511592</t>
  </si>
  <si>
    <t>宗泽峰</t>
  </si>
  <si>
    <t>10.191.9.8</t>
  </si>
  <si>
    <t>FE:FC:FA:42:cc:15</t>
  </si>
  <si>
    <t>160.22.4.52</t>
  </si>
  <si>
    <t>K2511591-JB</t>
  </si>
  <si>
    <t>K2511591</t>
  </si>
  <si>
    <t>茹芳</t>
  </si>
  <si>
    <t>10.191.9.9</t>
  </si>
  <si>
    <t>FE:FC:FA:51:ae:b4</t>
  </si>
  <si>
    <t>160.22.4.56</t>
  </si>
  <si>
    <t>K0051824-JB</t>
  </si>
  <si>
    <t>K0051824</t>
  </si>
  <si>
    <t>孙马杰</t>
  </si>
  <si>
    <t>10.191.9.10</t>
  </si>
  <si>
    <t>FE:FC:FA:32:99:64</t>
  </si>
  <si>
    <t>160.22.11.175</t>
  </si>
  <si>
    <t>K0321694-JB</t>
  </si>
  <si>
    <t>K0321694</t>
  </si>
  <si>
    <t>徐全海</t>
  </si>
  <si>
    <t>10.191.9.11</t>
  </si>
  <si>
    <t>FE:FC:FA:14:4f:73</t>
  </si>
  <si>
    <t>160.22.4.62</t>
  </si>
  <si>
    <t>K1181781-JB</t>
  </si>
  <si>
    <t>K1181781</t>
  </si>
  <si>
    <t>李志龙</t>
  </si>
  <si>
    <t>10.191.9.12</t>
  </si>
  <si>
    <t>FE:FC:FA:6c:41:5b</t>
  </si>
  <si>
    <t>160.22.17.193</t>
  </si>
  <si>
    <t>K1181777-JB</t>
  </si>
  <si>
    <t>160.22.5.66</t>
  </si>
  <si>
    <t>K1181777</t>
  </si>
  <si>
    <t>杨纪东</t>
  </si>
  <si>
    <t>10.191.9.13</t>
  </si>
  <si>
    <t>FE:FC:FA:a1:23:75</t>
  </si>
  <si>
    <t>VDI_Cluster06_LUN07</t>
  </si>
  <si>
    <t>160.22.20.71</t>
  </si>
  <si>
    <t>K1181768-JB</t>
  </si>
  <si>
    <t>160.22.18.41</t>
  </si>
  <si>
    <t>K1181768</t>
  </si>
  <si>
    <t>张文锦</t>
  </si>
  <si>
    <t>10.191.9.14</t>
  </si>
  <si>
    <t>FE:FC:FA:c1:ad:d0</t>
  </si>
  <si>
    <t>160.22.16.93</t>
  </si>
  <si>
    <t>K0181412-JB</t>
  </si>
  <si>
    <t>160.22.17.195</t>
  </si>
  <si>
    <t>K0181412</t>
  </si>
  <si>
    <t>徐月琴</t>
  </si>
  <si>
    <t>BK0181412</t>
  </si>
  <si>
    <t>10.191.9.15</t>
  </si>
  <si>
    <t>FE:FC:FA:1c:7b:d1</t>
  </si>
  <si>
    <t>K0241239-JB</t>
  </si>
  <si>
    <t>K0241239</t>
  </si>
  <si>
    <t>周妍</t>
  </si>
  <si>
    <t>10.191.9.16</t>
  </si>
  <si>
    <t>FE:FC:FA:40:20:a4</t>
  </si>
  <si>
    <t>160.22.20.110</t>
  </si>
  <si>
    <t>K1130028-JB</t>
  </si>
  <si>
    <t>160.22.21.122</t>
  </si>
  <si>
    <t>K1130028</t>
  </si>
  <si>
    <t>焦伊凡</t>
  </si>
  <si>
    <t>10.191.9.17</t>
  </si>
  <si>
    <t>FE:FC:FA:a3:33:73</t>
  </si>
  <si>
    <t>160.22.11.185</t>
  </si>
  <si>
    <t>K0101246-JB</t>
  </si>
  <si>
    <t>K0101246</t>
  </si>
  <si>
    <t>朱晨杰</t>
  </si>
  <si>
    <t>10.191.9.18</t>
  </si>
  <si>
    <t>FE:FC:FA:cb:d2:e8</t>
  </si>
  <si>
    <t>K0181377-JB</t>
  </si>
  <si>
    <t>K0181377</t>
  </si>
  <si>
    <t>陆念东</t>
  </si>
  <si>
    <t>10.191.9.19</t>
  </si>
  <si>
    <t>FE:FC:FA:32:95:f0</t>
  </si>
  <si>
    <t>160.22.11.78</t>
  </si>
  <si>
    <t>K0181549-JB</t>
  </si>
  <si>
    <t>K0181549</t>
  </si>
  <si>
    <t>姜雨烨</t>
  </si>
  <si>
    <t>10.191.9.20</t>
  </si>
  <si>
    <t>FE:FC:FA:7e:fd:6b</t>
  </si>
  <si>
    <t>160.22.16.184</t>
  </si>
  <si>
    <t>K0181393-JB</t>
  </si>
  <si>
    <t>K0181393</t>
  </si>
  <si>
    <t>袁建婷</t>
  </si>
  <si>
    <t>10.191.9.21</t>
  </si>
  <si>
    <t>FE:FC:FA:de:90:05</t>
  </si>
  <si>
    <t>160.22.16.134</t>
  </si>
  <si>
    <t>K0241224-JB</t>
  </si>
  <si>
    <t>K0241224</t>
  </si>
  <si>
    <t>陈柏宇</t>
  </si>
  <si>
    <t>10.191.9.22</t>
  </si>
  <si>
    <t>FE:FC:FA:19:61:70</t>
  </si>
  <si>
    <t>160.22.21.216</t>
  </si>
  <si>
    <t>K0181339-JB</t>
  </si>
  <si>
    <t>K0181339</t>
  </si>
  <si>
    <t>陈梅</t>
  </si>
  <si>
    <t>BK0181339</t>
  </si>
  <si>
    <t>10.191.9.23</t>
  </si>
  <si>
    <t>FE:FC:FA:cc:0e:94</t>
  </si>
  <si>
    <t>K2111215-JB</t>
  </si>
  <si>
    <t>160.22.4.177</t>
  </si>
  <si>
    <t>K2111215</t>
  </si>
  <si>
    <t>胡俊</t>
  </si>
  <si>
    <t>10.191.9.24</t>
  </si>
  <si>
    <t>FE:FC:FA:92:ac:37</t>
  </si>
  <si>
    <t>K0101265-JB</t>
  </si>
  <si>
    <t>K0101265</t>
  </si>
  <si>
    <t>孙勤</t>
  </si>
  <si>
    <t>10.191.9.25</t>
  </si>
  <si>
    <t>FE:FC:FA:b1:58:1e</t>
  </si>
  <si>
    <t>160.22.11.74</t>
  </si>
  <si>
    <t>K0101344-JB</t>
  </si>
  <si>
    <t>K0101344</t>
  </si>
  <si>
    <t>黄冠澄</t>
  </si>
  <si>
    <t>10.191.9.26</t>
  </si>
  <si>
    <t>FE:FC:FA:0b:c8:2b</t>
  </si>
  <si>
    <t>K0181562-1</t>
  </si>
  <si>
    <t>K0181562</t>
  </si>
  <si>
    <t>苏帅浩</t>
  </si>
  <si>
    <t>10.191.9.27</t>
  </si>
  <si>
    <t>FE:FC:FA:bc:94:08</t>
  </si>
  <si>
    <t>160.22.21.219</t>
  </si>
  <si>
    <t>K0570214-JB</t>
  </si>
  <si>
    <t>K0570214</t>
  </si>
  <si>
    <t>陈宏霞</t>
  </si>
  <si>
    <t>BK0570214</t>
  </si>
  <si>
    <t>10.191.9.28</t>
  </si>
  <si>
    <t>FE:FC:FA:b7:c2:55</t>
  </si>
  <si>
    <t>K0181203-JB</t>
  </si>
  <si>
    <t>K0181203</t>
  </si>
  <si>
    <t>徐永光</t>
  </si>
  <si>
    <t>10.191.9.29</t>
  </si>
  <si>
    <t>FE:FC:FA:5e:e4:38</t>
  </si>
  <si>
    <t>K0101214-JB</t>
  </si>
  <si>
    <t>K0101214</t>
  </si>
  <si>
    <t>聂志刚</t>
  </si>
  <si>
    <t>10.191.9.30</t>
  </si>
  <si>
    <t>FE:FC:FA:4a:46:58</t>
  </si>
  <si>
    <t>K0240014-JB</t>
  </si>
  <si>
    <t>K0240014</t>
  </si>
  <si>
    <t>郭影</t>
  </si>
  <si>
    <t>10.191.9.31</t>
  </si>
  <si>
    <t>FE:FC:FA:91:7d:5f</t>
  </si>
  <si>
    <t>K1201242-JB</t>
  </si>
  <si>
    <t>K1201242</t>
  </si>
  <si>
    <t>秦文龙</t>
  </si>
  <si>
    <t>10.191.9.32</t>
  </si>
  <si>
    <t>FE:FC:FA:e2:3c:03</t>
  </si>
  <si>
    <t>K0100088-JB</t>
  </si>
  <si>
    <t>K0100088</t>
  </si>
  <si>
    <t>郭丽丽</t>
  </si>
  <si>
    <t>10.191.9.33</t>
  </si>
  <si>
    <t>FE:FC:FA:9d:39:d1</t>
  </si>
  <si>
    <t>K0240029-JB</t>
  </si>
  <si>
    <t>K0240029</t>
  </si>
  <si>
    <t>余良雨</t>
  </si>
  <si>
    <t>10.191.9.34</t>
  </si>
  <si>
    <t>FE:FC:FA:bf:5f:6c</t>
  </si>
  <si>
    <t>K0240034-JB</t>
  </si>
  <si>
    <t>K0240034</t>
  </si>
  <si>
    <t>万丽庆</t>
  </si>
  <si>
    <t>10.191.9.35</t>
  </si>
  <si>
    <t>FE:FC:FA:74:84:b9</t>
  </si>
  <si>
    <t>K0101338-JB</t>
  </si>
  <si>
    <t>K0101338</t>
  </si>
  <si>
    <t>章聪慧</t>
  </si>
  <si>
    <t>10.191.9.36</t>
  </si>
  <si>
    <t>FE:FC:FA:e3:77:e8</t>
  </si>
  <si>
    <t>K0100084-JB</t>
  </si>
  <si>
    <t>K0100084</t>
  </si>
  <si>
    <t>朱文娟</t>
  </si>
  <si>
    <t>10.191.9.37</t>
  </si>
  <si>
    <t>FE:FC:FA:50:ff:f7</t>
  </si>
  <si>
    <t>K0181553-JB</t>
  </si>
  <si>
    <t>K0181553</t>
  </si>
  <si>
    <t>王泽天</t>
  </si>
  <si>
    <t>10.191.9.38</t>
  </si>
  <si>
    <t>FE:FC:FA:73:12:62</t>
  </si>
  <si>
    <t>K0181427-JB</t>
  </si>
  <si>
    <t>K0181427</t>
  </si>
  <si>
    <t>邱婷婷</t>
  </si>
  <si>
    <t>10.191.9.39</t>
  </si>
  <si>
    <t>FE:FC:FA:2e:ec:d9</t>
  </si>
  <si>
    <t>K1131276-JB</t>
  </si>
  <si>
    <t>K1131276</t>
  </si>
  <si>
    <t>李德润</t>
  </si>
  <si>
    <t>10.191.9.40</t>
  </si>
  <si>
    <t>FE:FC:FA:dd:e5:6d</t>
  </si>
  <si>
    <t>K0171580-JB</t>
  </si>
  <si>
    <t>K0171580</t>
  </si>
  <si>
    <t>司强</t>
  </si>
  <si>
    <t>10.191.9.41</t>
  </si>
  <si>
    <t>FE:FC:FA:1c:39:ca</t>
  </si>
  <si>
    <t>K2500004-JB</t>
  </si>
  <si>
    <t>K2500004</t>
  </si>
  <si>
    <t>刘棒棒</t>
  </si>
  <si>
    <t>10.191.9.42</t>
  </si>
  <si>
    <t>FE:FC:FA:a6:02:78</t>
  </si>
  <si>
    <t>K1181750-JB</t>
  </si>
  <si>
    <t>K1181750</t>
  </si>
  <si>
    <t>郑许娟</t>
  </si>
  <si>
    <t>10.191.9.43</t>
  </si>
  <si>
    <t>FE:FC:FA:d2:6c:c5</t>
  </si>
  <si>
    <t>K1131560-JB</t>
  </si>
  <si>
    <t>K1131560</t>
  </si>
  <si>
    <t>马凌云</t>
  </si>
  <si>
    <t>10.191.9.44</t>
  </si>
  <si>
    <t>FE:FC:FA:25:0b:f3</t>
  </si>
  <si>
    <t>K0321431-CS</t>
  </si>
  <si>
    <t>K0321431</t>
  </si>
  <si>
    <t>董冉</t>
  </si>
  <si>
    <t>10.191.9.45</t>
  </si>
  <si>
    <t>FE:FC:FA:94:30:4b</t>
  </si>
  <si>
    <t>K0321432-CS</t>
  </si>
  <si>
    <t>K0321432</t>
  </si>
  <si>
    <t>朱丽雯</t>
  </si>
  <si>
    <t>10.191.9.46</t>
  </si>
  <si>
    <t>FE:FC:FA:98:71:1e</t>
  </si>
  <si>
    <t>K1181312-CS</t>
  </si>
  <si>
    <t>K1181312</t>
  </si>
  <si>
    <t>崔维晶</t>
  </si>
  <si>
    <t>10.191.9.47</t>
  </si>
  <si>
    <t>FE:FC:FA:df:37:45</t>
  </si>
  <si>
    <t>K0321227-CS</t>
  </si>
  <si>
    <t>K0321227</t>
  </si>
  <si>
    <t>陆洁</t>
  </si>
  <si>
    <t>10.191.9.48</t>
  </si>
  <si>
    <t>FE:FC:FA:f6:38:32</t>
  </si>
  <si>
    <t>目标端资源分配核查</t>
  </si>
  <si>
    <t>用户验证
时间</t>
  </si>
  <si>
    <t>5.25迁移失败</t>
  </si>
  <si>
    <t>BK0071212</t>
  </si>
  <si>
    <t xml:space="preserve"> 2026-06-24 21:08:35 </t>
  </si>
  <si>
    <t>BK1061210</t>
  </si>
  <si>
    <t>BK3040009</t>
  </si>
  <si>
    <t>修好</t>
  </si>
  <si>
    <t>5.27迁移失败</t>
  </si>
  <si>
    <t>5.29迁移失败</t>
  </si>
  <si>
    <t>6.17迁移失败</t>
  </si>
  <si>
    <t>160.22.11.167</t>
  </si>
  <si>
    <t>K0321772-JB</t>
  </si>
  <si>
    <t>160.22.7.163</t>
  </si>
  <si>
    <t>K0321772</t>
  </si>
  <si>
    <t>蒋钰旗</t>
  </si>
  <si>
    <t>BK0321772</t>
  </si>
  <si>
    <t>10.191.9.50</t>
  </si>
  <si>
    <t>FE:FC:FA:83:46:94</t>
  </si>
  <si>
    <t>汤 已删除</t>
  </si>
  <si>
    <t>K0171758-JB</t>
  </si>
  <si>
    <t>K0171758</t>
  </si>
  <si>
    <t>鲍殊</t>
  </si>
  <si>
    <t>BK0171758</t>
  </si>
  <si>
    <t>10.191.9.51</t>
  </si>
  <si>
    <t>FE:FC:FA:10:34:e8</t>
  </si>
  <si>
    <t>K0892144-JB</t>
  </si>
  <si>
    <t>160.22.11.168</t>
  </si>
  <si>
    <t>K0892144</t>
  </si>
  <si>
    <t>涂多倩</t>
  </si>
  <si>
    <t>BK0892144</t>
  </si>
  <si>
    <t>10.191.9.52</t>
  </si>
  <si>
    <t>FE:FC:FA:0a:89:0e</t>
  </si>
  <si>
    <t>K2502159-JB</t>
  </si>
  <si>
    <t>160.22.10.151</t>
  </si>
  <si>
    <t>K2502159</t>
  </si>
  <si>
    <t>李兵</t>
  </si>
  <si>
    <t>BK2502159</t>
  </si>
  <si>
    <t>10.191.9.53</t>
  </si>
  <si>
    <t>FE:FC:FA:0e:8d:b2</t>
  </si>
  <si>
    <t>加域失败，修好</t>
  </si>
  <si>
    <t>160.22.1.220</t>
  </si>
  <si>
    <t>K2501630-JB</t>
  </si>
  <si>
    <t>160.22.0.30</t>
  </si>
  <si>
    <t>K2501630</t>
  </si>
  <si>
    <t>沈星</t>
  </si>
  <si>
    <t>BK2501630</t>
  </si>
  <si>
    <t>10.191.9.54</t>
  </si>
  <si>
    <t>FE:FC:FA:1e:57:dd</t>
  </si>
  <si>
    <t>160.22.9.194</t>
  </si>
  <si>
    <t>K1930033-JB</t>
  </si>
  <si>
    <t>160.22.2.113</t>
  </si>
  <si>
    <t>K1930033</t>
  </si>
  <si>
    <t>曹璐</t>
  </si>
  <si>
    <t>BK1930033</t>
  </si>
  <si>
    <t>10.191.9.55</t>
  </si>
  <si>
    <t>FE:FC:FA:18:ec:c8</t>
  </si>
  <si>
    <t>160.22.9.18</t>
  </si>
  <si>
    <t>K1181981-JB</t>
  </si>
  <si>
    <t>K1181981</t>
  </si>
  <si>
    <t>印薛松</t>
  </si>
  <si>
    <t>BK1181981</t>
  </si>
  <si>
    <t>10.191.9.56</t>
  </si>
  <si>
    <t>FE:FC:FA:3c:8f:80</t>
  </si>
  <si>
    <t>K1181975-JB</t>
  </si>
  <si>
    <t>K1181975</t>
  </si>
  <si>
    <t>胡柯</t>
  </si>
  <si>
    <t>BK1181975</t>
  </si>
  <si>
    <t>10.191.9.57</t>
  </si>
  <si>
    <t>FE:FC:FA:b9:bf:3f</t>
  </si>
  <si>
    <t>K1420045-JB</t>
  </si>
  <si>
    <t>K1420045</t>
  </si>
  <si>
    <t>刘晓美</t>
  </si>
  <si>
    <t>BK1420045</t>
  </si>
  <si>
    <t>10.191.9.58</t>
  </si>
  <si>
    <t>FE:FC:FA:69:f7:e7</t>
  </si>
  <si>
    <t>K1420056-JB</t>
  </si>
  <si>
    <t>160.22.1.10</t>
  </si>
  <si>
    <t>K1420056</t>
  </si>
  <si>
    <t>朱克宇</t>
  </si>
  <si>
    <t>BK1420056</t>
  </si>
  <si>
    <t>10.191.9.59</t>
  </si>
  <si>
    <t>FE:FC:FA:bf:8f:ed</t>
  </si>
  <si>
    <t>K0321710-JB</t>
  </si>
  <si>
    <t>160.22.5.203</t>
  </si>
  <si>
    <t>K0321710</t>
  </si>
  <si>
    <t>陈文婷</t>
  </si>
  <si>
    <t>BK0321710</t>
  </si>
  <si>
    <t>10.191.9.60</t>
  </si>
  <si>
    <t>FE:FC:FA:68:b7:f9</t>
  </si>
  <si>
    <t>K0321698-JB</t>
  </si>
  <si>
    <t>160.22.13.21</t>
  </si>
  <si>
    <t>K0321698</t>
  </si>
  <si>
    <t>吴奇雯</t>
  </si>
  <si>
    <t>BK0321698</t>
  </si>
  <si>
    <t>10.191.9.61</t>
  </si>
  <si>
    <t>FE:FC:FA:4f:9c:22</t>
  </si>
  <si>
    <t>苏 已删除</t>
  </si>
  <si>
    <t>K1420081-JB</t>
  </si>
  <si>
    <t>160.22.12.164</t>
  </si>
  <si>
    <t>K1420081</t>
  </si>
  <si>
    <t>杨冰笋</t>
  </si>
  <si>
    <t>BK1420081</t>
  </si>
  <si>
    <t>10.191.9.62</t>
  </si>
  <si>
    <t>FE:FC:FA:d0:85:62</t>
  </si>
  <si>
    <t>160.22.5.18</t>
  </si>
  <si>
    <t>K0051794-JB</t>
  </si>
  <si>
    <t>K0051794</t>
  </si>
  <si>
    <t>陈亚朦</t>
  </si>
  <si>
    <t>BK0051794</t>
  </si>
  <si>
    <t>10.191.9.63</t>
  </si>
  <si>
    <t>FE:FC:FA:81:bc:5b</t>
  </si>
  <si>
    <t>160.22.2.86</t>
  </si>
  <si>
    <t>K1420069-JB</t>
  </si>
  <si>
    <t>160.22.5.2</t>
  </si>
  <si>
    <t>K1420069</t>
  </si>
  <si>
    <t>梁丹</t>
  </si>
  <si>
    <t>BK1420069</t>
  </si>
  <si>
    <t>10.191.9.64</t>
  </si>
  <si>
    <t>FE:FC:FA:af:8b:e7</t>
  </si>
  <si>
    <t>160.22.2.84</t>
  </si>
  <si>
    <t>K1420025-JB</t>
  </si>
  <si>
    <t>160.22.17.51</t>
  </si>
  <si>
    <t>K1420025</t>
  </si>
  <si>
    <t>郑高超</t>
  </si>
  <si>
    <t>BK1420025</t>
  </si>
  <si>
    <t>10.191.9.65</t>
  </si>
  <si>
    <t>FE:FC:FA:e1:a2:f2</t>
  </si>
  <si>
    <t>BK0171273</t>
  </si>
  <si>
    <t>K0361209-JB</t>
  </si>
  <si>
    <t>160.22.10.184</t>
  </si>
  <si>
    <t>K0361209</t>
  </si>
  <si>
    <t>王斗翥</t>
  </si>
  <si>
    <t>BK0361209</t>
  </si>
  <si>
    <t>10.191.9.66</t>
  </si>
  <si>
    <t>FE:FC:FA:21:5d:89</t>
  </si>
  <si>
    <t>BK0171498</t>
  </si>
  <si>
    <t>K1101722-JB</t>
  </si>
  <si>
    <t>160.22.2.70</t>
  </si>
  <si>
    <t>K1101722</t>
  </si>
  <si>
    <t>金玲</t>
  </si>
  <si>
    <t>BK1101722</t>
  </si>
  <si>
    <t>10.191.9.67</t>
  </si>
  <si>
    <t>FE:FC:FA:f4:1a:26</t>
  </si>
  <si>
    <t>K1101374-JB</t>
  </si>
  <si>
    <t>160.22.9.220</t>
  </si>
  <si>
    <t>K1101374</t>
  </si>
  <si>
    <t>卞雅婧</t>
  </si>
  <si>
    <t>BK1101374</t>
  </si>
  <si>
    <t>10.191.9.68</t>
  </si>
  <si>
    <t>FE:FC:FA:33:f6:21</t>
  </si>
  <si>
    <t>160.22.2.83</t>
  </si>
  <si>
    <t>K1101253-JB</t>
  </si>
  <si>
    <t>K1101253</t>
  </si>
  <si>
    <t>吴稀雯</t>
  </si>
  <si>
    <t>BK1101253</t>
  </si>
  <si>
    <t>10.191.9.69</t>
  </si>
  <si>
    <t>FE:FC:FA:f4:82:58</t>
  </si>
  <si>
    <t>K0171498-JB</t>
  </si>
  <si>
    <t>K0171498</t>
  </si>
  <si>
    <t>朱丽丽</t>
  </si>
  <si>
    <t>10.191.9.70</t>
  </si>
  <si>
    <t>FE:FC:FA:f4:dd:b0</t>
  </si>
  <si>
    <t>K0171273-JB</t>
  </si>
  <si>
    <t>K0171273</t>
  </si>
  <si>
    <t>郭雯</t>
  </si>
  <si>
    <t>10.191.9.71</t>
  </si>
  <si>
    <t>FE:FC:FA:98:32:9a</t>
  </si>
  <si>
    <t>K1420047-KF</t>
  </si>
  <si>
    <t>160.22.8.146</t>
  </si>
  <si>
    <t>K1420047</t>
  </si>
  <si>
    <t>闫顺盼</t>
  </si>
  <si>
    <t>BK1420047</t>
  </si>
  <si>
    <t>10.191.9.72</t>
  </si>
  <si>
    <t>FE:FC:FA:23:82:91</t>
  </si>
  <si>
    <t>K2510001</t>
  </si>
  <si>
    <t>160.22.1.5</t>
  </si>
  <si>
    <t>董金鑫</t>
  </si>
  <si>
    <t>BK2510001</t>
  </si>
  <si>
    <t>10.191.9.73</t>
  </si>
  <si>
    <t>FE:FC:FA:a2:a7:0c</t>
  </si>
  <si>
    <t>K5800006-JB</t>
  </si>
  <si>
    <t>160.22.25.110</t>
  </si>
  <si>
    <t>K5800006</t>
  </si>
  <si>
    <t>朱明</t>
  </si>
  <si>
    <t>BK5800006</t>
  </si>
  <si>
    <t>FE:FC:FA:33:1e:fa</t>
  </si>
  <si>
    <t xml:space="preserve"> 二平面-开发商桌面运维01</t>
  </si>
  <si>
    <t>K4131439-JB</t>
  </si>
  <si>
    <t>160.22.29.140</t>
  </si>
  <si>
    <t>K4131439</t>
  </si>
  <si>
    <t>吴强</t>
  </si>
  <si>
    <t>BK4131439</t>
  </si>
  <si>
    <t>10.191.32.15</t>
  </si>
  <si>
    <t>FE:FC:FA:b9:5b:99</t>
  </si>
  <si>
    <t>K4131438-JB</t>
  </si>
  <si>
    <t>160.22.25.108</t>
  </si>
  <si>
    <t>K4131438</t>
  </si>
  <si>
    <t>卞飞</t>
  </si>
  <si>
    <t>BK4131438</t>
  </si>
  <si>
    <t>10.191.32.16</t>
  </si>
  <si>
    <t>FE:FC:FA:d0:fb:ed</t>
  </si>
  <si>
    <t xml:space="preserve"> 2026-06-24 21:10:52 </t>
  </si>
  <si>
    <t>K1182264-JB</t>
  </si>
  <si>
    <t>160.22.25.107</t>
  </si>
  <si>
    <t>K1182264</t>
  </si>
  <si>
    <t>武晓晗</t>
  </si>
  <si>
    <t>BK1182264</t>
  </si>
  <si>
    <t>10.191.32.17</t>
  </si>
  <si>
    <t>FE:FC:FA:e2:69:30</t>
  </si>
  <si>
    <t>K5800001-JB</t>
  </si>
  <si>
    <t>160.22.29.141</t>
  </si>
  <si>
    <t>K5800001</t>
  </si>
  <si>
    <t>杨鹏</t>
  </si>
  <si>
    <t>BK5800001</t>
  </si>
  <si>
    <t>10.191.32.18</t>
  </si>
  <si>
    <t>FE:FC:FA:2c:72:0a</t>
  </si>
  <si>
    <t>K5800003-JB</t>
  </si>
  <si>
    <t>160.22.25.109</t>
  </si>
  <si>
    <t>K5800003</t>
  </si>
  <si>
    <t>田斌</t>
  </si>
  <si>
    <t>BK5800003</t>
  </si>
  <si>
    <t>10.191.32.19</t>
  </si>
  <si>
    <t>FE:FC:FA:86:17:56</t>
  </si>
  <si>
    <t>BK0110122</t>
  </si>
  <si>
    <t>160.22.29.136</t>
  </si>
  <si>
    <t>K5800005-JB</t>
  </si>
  <si>
    <t>160.22.25.106</t>
  </si>
  <si>
    <t>K5800005</t>
  </si>
  <si>
    <t>左功玉</t>
  </si>
  <si>
    <t>BK5800005</t>
  </si>
  <si>
    <t>10.191.32.20</t>
  </si>
  <si>
    <t>FE:FC:FA:a2:44:fe</t>
  </si>
  <si>
    <t>BK0111247</t>
  </si>
  <si>
    <t>160.22.29.137</t>
  </si>
  <si>
    <t>K5800004-JB</t>
  </si>
  <si>
    <t>160.22.29.138</t>
  </si>
  <si>
    <t>K5800004</t>
  </si>
  <si>
    <t>徐爱杰</t>
  </si>
  <si>
    <t>BK5800004</t>
  </si>
  <si>
    <t>10.191.32.21</t>
  </si>
  <si>
    <t>FE:FC:FA:37:1e:f9</t>
  </si>
  <si>
    <t>BK1182242</t>
  </si>
  <si>
    <t>160.22.25.104</t>
  </si>
  <si>
    <t>K4130013-JB</t>
  </si>
  <si>
    <t>160.22.29.132</t>
  </si>
  <si>
    <t>K4130013</t>
  </si>
  <si>
    <t>马金</t>
  </si>
  <si>
    <t>BK4130013</t>
  </si>
  <si>
    <t>10.191.32.22</t>
  </si>
  <si>
    <t>FE:FC:FA:10:9a:6b</t>
  </si>
  <si>
    <t xml:space="preserve"> 2026-06-24 21:03:38 </t>
  </si>
  <si>
    <t>K4131435-JB</t>
  </si>
  <si>
    <t>160.22.29.130</t>
  </si>
  <si>
    <t>K4131435</t>
  </si>
  <si>
    <t>张垚</t>
  </si>
  <si>
    <t>BK4131435</t>
  </si>
  <si>
    <t>10.191.32.23</t>
  </si>
  <si>
    <t>FE:FC:FA:f9:b3:ec</t>
  </si>
  <si>
    <t>BK1800013</t>
  </si>
  <si>
    <t>160.22.29.134</t>
  </si>
  <si>
    <t>K4130015-JB</t>
  </si>
  <si>
    <t>160.22.29.129</t>
  </si>
  <si>
    <t>K4130015</t>
  </si>
  <si>
    <t>蒋浩然</t>
  </si>
  <si>
    <t>BK4130015</t>
  </si>
  <si>
    <t>10.191.32.24</t>
  </si>
  <si>
    <t>FE:FC:FA:2a:1c:bf</t>
  </si>
  <si>
    <t xml:space="preserve"> 2026-06-24 21:03:10 </t>
  </si>
  <si>
    <t>BK2501518</t>
  </si>
  <si>
    <t>160.22.25.105</t>
  </si>
  <si>
    <t>K4130014-JB</t>
  </si>
  <si>
    <t>160.22.29.128</t>
  </si>
  <si>
    <t>K4130014</t>
  </si>
  <si>
    <t>汪睿</t>
  </si>
  <si>
    <t>BK4130014</t>
  </si>
  <si>
    <t>10.191.32.25</t>
  </si>
  <si>
    <t>FE:FC:FA:25:86:a1</t>
  </si>
  <si>
    <t>伟 已删除</t>
  </si>
  <si>
    <t>K0111247-JB</t>
  </si>
  <si>
    <t>K0111247</t>
  </si>
  <si>
    <t>余文瑶</t>
  </si>
  <si>
    <t>10.191.32.26</t>
  </si>
  <si>
    <t>FE:FC:FA:7c:76:34</t>
  </si>
  <si>
    <t>K0110122-YW</t>
  </si>
  <si>
    <t>K0110122</t>
  </si>
  <si>
    <t>魏爱科</t>
  </si>
  <si>
    <t>10.191.32.27</t>
  </si>
  <si>
    <t>FE:FC:FA:48:f3:e0</t>
  </si>
  <si>
    <t>K4131436-JB</t>
  </si>
  <si>
    <t>160.22.29.135</t>
  </si>
  <si>
    <t>K4131436</t>
  </si>
  <si>
    <t>朱莉</t>
  </si>
  <si>
    <t>BK4131436</t>
  </si>
  <si>
    <t>10.191.32.28</t>
  </si>
  <si>
    <t>FE:FC:FA:6f:53:0a</t>
  </si>
  <si>
    <t>修不好</t>
  </si>
  <si>
    <t>已回退</t>
  </si>
  <si>
    <t>K1800013-JB</t>
  </si>
  <si>
    <t>K1800013</t>
  </si>
  <si>
    <t>赵杰</t>
  </si>
  <si>
    <t>10.191.32.29</t>
  </si>
  <si>
    <t>FE:FC:FA:61:34:39</t>
  </si>
  <si>
    <t>K2501518-JB</t>
  </si>
  <si>
    <t>K2501518</t>
  </si>
  <si>
    <t>陶亚明</t>
  </si>
  <si>
    <t>10.191.32.30</t>
  </si>
  <si>
    <t>FE:FC:FA:6d:dc:1e</t>
  </si>
  <si>
    <t>K1182242-JB</t>
  </si>
  <si>
    <t>K1182242</t>
  </si>
  <si>
    <t>吴月</t>
  </si>
  <si>
    <t>10.191.32.31</t>
  </si>
  <si>
    <t>FE:FC:FA:35:29:af</t>
  </si>
  <si>
    <t>K1182191-JB</t>
  </si>
  <si>
    <t>160.22.29.126</t>
  </si>
  <si>
    <t>K1182191</t>
  </si>
  <si>
    <t>张雪芹</t>
  </si>
  <si>
    <t>BK1182191</t>
  </si>
  <si>
    <t>10.191.32.32</t>
  </si>
  <si>
    <t>FE:FC:FA:78:7f:6b</t>
  </si>
  <si>
    <t>坤 已删除</t>
  </si>
  <si>
    <t>K0052059-JB</t>
  </si>
  <si>
    <t>160.22.25.100</t>
  </si>
  <si>
    <t>K0052059</t>
  </si>
  <si>
    <t>刘辉玉</t>
  </si>
  <si>
    <t>BK0052059</t>
  </si>
  <si>
    <t>10.191.32.33</t>
  </si>
  <si>
    <t>FE:FC:FA:0a:81:c3</t>
  </si>
  <si>
    <t>K5530002-JB</t>
  </si>
  <si>
    <t>160.22.25.101</t>
  </si>
  <si>
    <t>K5530002</t>
  </si>
  <si>
    <t>毛跃超</t>
  </si>
  <si>
    <t>BK5530002</t>
  </si>
  <si>
    <t>10.191.32.34</t>
  </si>
  <si>
    <t>FE:FC:FA:3c:62:5d</t>
  </si>
  <si>
    <t>K0321491-JB</t>
  </si>
  <si>
    <t>160.22.29.124</t>
  </si>
  <si>
    <t>K0321491</t>
  </si>
  <si>
    <t>吴艳</t>
  </si>
  <si>
    <t>BK0321491</t>
  </si>
  <si>
    <t>10.191.32.35</t>
  </si>
  <si>
    <t>FE:FC:FA:04:4d:7f</t>
  </si>
  <si>
    <t>K3040009-JB</t>
  </si>
  <si>
    <t>160.22.29.123</t>
  </si>
  <si>
    <t>K3040009</t>
  </si>
  <si>
    <t>施志成</t>
  </si>
  <si>
    <t>10.191.32.36</t>
  </si>
  <si>
    <t>FE:FC:FA:2f:15:22</t>
  </si>
  <si>
    <t xml:space="preserve"> 2026-06-24 21:11:26 </t>
  </si>
  <si>
    <t>K1182147-JB</t>
  </si>
  <si>
    <t>160.22.29.122</t>
  </si>
  <si>
    <t>K1182147</t>
  </si>
  <si>
    <t>鹿麓</t>
  </si>
  <si>
    <t>BK1182147</t>
  </si>
  <si>
    <t>10.191.32.37</t>
  </si>
  <si>
    <t>FE:FC:FA:39:5e:6c</t>
  </si>
  <si>
    <t>BK0021817</t>
  </si>
  <si>
    <t>K0021817-JB</t>
  </si>
  <si>
    <t>160.22.29.113</t>
  </si>
  <si>
    <t>K0021817</t>
  </si>
  <si>
    <t>王燕凤</t>
  </si>
  <si>
    <t>10.191.32.38</t>
  </si>
  <si>
    <t>FE:FC:FA:66:c8:44</t>
  </si>
  <si>
    <t>K1182005-JB</t>
  </si>
  <si>
    <t>160.22.29.99</t>
  </si>
  <si>
    <t>K1182005</t>
  </si>
  <si>
    <t>吕昭虎</t>
  </si>
  <si>
    <t>BK1182005</t>
  </si>
  <si>
    <t>10.191.32.39</t>
  </si>
  <si>
    <t>FE:FC:FA:ca:c7:54</t>
  </si>
  <si>
    <t>K1181931-JB</t>
  </si>
  <si>
    <t>160.22.29.88</t>
  </si>
  <si>
    <t>K1181931</t>
  </si>
  <si>
    <t>陈宇杰</t>
  </si>
  <si>
    <t>BK1181931</t>
  </si>
  <si>
    <t>10.191.32.40</t>
  </si>
  <si>
    <t>FE:FC:FA:52:67:46</t>
  </si>
  <si>
    <t>BK1061206</t>
  </si>
  <si>
    <t>K1061206-JB</t>
  </si>
  <si>
    <t>160.22.29.47</t>
  </si>
  <si>
    <t>K1061206</t>
  </si>
  <si>
    <t>10.191.32.41</t>
  </si>
  <si>
    <t>FE:FC:FA:d5:6b:4b</t>
  </si>
  <si>
    <t>K3040004-JB</t>
  </si>
  <si>
    <t>160.22.25.13</t>
  </si>
  <si>
    <t>K3040004</t>
  </si>
  <si>
    <t>陈保威</t>
  </si>
  <si>
    <t>BK3040004</t>
  </si>
  <si>
    <t>10.191.32.42</t>
  </si>
  <si>
    <t>FE:FC:FA:a0:7f:96</t>
  </si>
  <si>
    <t xml:space="preserve"> 2026-06-24 20:35:24 </t>
  </si>
  <si>
    <t>K0901217-JB</t>
  </si>
  <si>
    <t>160.22.29.27</t>
  </si>
  <si>
    <t>K0901217</t>
  </si>
  <si>
    <t>吕振云</t>
  </si>
  <si>
    <t>BK0901217</t>
  </si>
  <si>
    <t>10.191.32.43</t>
  </si>
  <si>
    <t>FE:FC:FA:a8:df:e3</t>
  </si>
  <si>
    <t>K0051752-KF</t>
  </si>
  <si>
    <t>160.22.24.240</t>
  </si>
  <si>
    <t>K0051752</t>
  </si>
  <si>
    <t>刘敏</t>
  </si>
  <si>
    <t>BK0051752</t>
  </si>
  <si>
    <t>10.191.32.44</t>
  </si>
  <si>
    <t>FE:FC:FA:78:ea:9c</t>
  </si>
  <si>
    <t>K0021565-JB</t>
  </si>
  <si>
    <t>160.22.28.251</t>
  </si>
  <si>
    <t>K0021565</t>
  </si>
  <si>
    <t>郭骏</t>
  </si>
  <si>
    <t>BK0021565</t>
  </si>
  <si>
    <t>10.191.32.45</t>
  </si>
  <si>
    <t>FE:FC:FA:bf:6f:68</t>
  </si>
  <si>
    <t>K0131427-JB</t>
  </si>
  <si>
    <t>160.22.24.241</t>
  </si>
  <si>
    <t>K0131427</t>
  </si>
  <si>
    <t>采芝彬</t>
  </si>
  <si>
    <t>BK0131427</t>
  </si>
  <si>
    <t>10.191.32.46</t>
  </si>
  <si>
    <t>FE:FC:FA:11:76:92</t>
  </si>
  <si>
    <t>K0071212-JB</t>
  </si>
  <si>
    <t>160.22.24.237</t>
  </si>
  <si>
    <t>K0071212</t>
  </si>
  <si>
    <t>刘红伟</t>
  </si>
  <si>
    <t>10.191.32.47</t>
  </si>
  <si>
    <t>FE:FC:FA:db:78:48</t>
  </si>
  <si>
    <t>BK0021537</t>
  </si>
  <si>
    <t>K0321473-CS</t>
  </si>
  <si>
    <t>160.22.24.203</t>
  </si>
  <si>
    <t>K0321473</t>
  </si>
  <si>
    <t>李泽缘</t>
  </si>
  <si>
    <t>BK0321473</t>
  </si>
  <si>
    <t>10.191.32.48</t>
  </si>
  <si>
    <t>FE:FC:FA:2e:71:99</t>
  </si>
  <si>
    <t>K1101786</t>
  </si>
  <si>
    <t>160.22.28.212</t>
  </si>
  <si>
    <t>许可</t>
  </si>
  <si>
    <t>BK1101786</t>
  </si>
  <si>
    <t>10.191.32.49</t>
  </si>
  <si>
    <t>FE:FC:FA:b8:3a:b8</t>
  </si>
  <si>
    <t>160.22.28.207</t>
  </si>
  <si>
    <t>K0021537-JB</t>
  </si>
  <si>
    <t>K0021537</t>
  </si>
  <si>
    <t>杨晨</t>
  </si>
  <si>
    <t>10.191.32.50</t>
  </si>
  <si>
    <t>FE:FC:FA:02:d9:11</t>
  </si>
  <si>
    <t>K1061210-JB</t>
  </si>
  <si>
    <t>160.22.28.205</t>
  </si>
  <si>
    <t>K1061210</t>
  </si>
  <si>
    <t>葛红权</t>
  </si>
  <si>
    <t>10.191.32.51</t>
  </si>
  <si>
    <t>FE:FC:FA:73:a5:44</t>
  </si>
  <si>
    <t>VDI_Cluster06_LUN08</t>
  </si>
  <si>
    <t>160.22.24.240|192.168.5.1|192.168.71.1</t>
  </si>
  <si>
    <t>K1061211-JB</t>
  </si>
  <si>
    <t>160.22.28.204</t>
  </si>
  <si>
    <t>K1061211</t>
  </si>
  <si>
    <t>叶灵</t>
  </si>
  <si>
    <t>BK1061211</t>
  </si>
  <si>
    <t>10.191.32.52</t>
  </si>
  <si>
    <t>FE:FC:FA:82:fe:1b</t>
  </si>
  <si>
    <t>K1801429-JB</t>
  </si>
  <si>
    <t>160.22.28.203</t>
  </si>
  <si>
    <t>K1801429</t>
  </si>
  <si>
    <t>范耀阳</t>
  </si>
  <si>
    <t>BK1801429</t>
  </si>
  <si>
    <t>10.191.32.53</t>
  </si>
  <si>
    <t>FE:FC:FA:2a:ed:fd</t>
  </si>
  <si>
    <t>K0021428-JB</t>
  </si>
  <si>
    <t>160.22.24.150</t>
  </si>
  <si>
    <t>K0021428</t>
  </si>
  <si>
    <t>丁宗施</t>
  </si>
  <si>
    <t>BK0021428</t>
  </si>
  <si>
    <t>10.191.32.54</t>
  </si>
  <si>
    <t>FE:FC:FA:52:35:ca</t>
  </si>
  <si>
    <t>K0131213-JB</t>
  </si>
  <si>
    <t>160.22.24.75</t>
  </si>
  <si>
    <t>K0131213</t>
  </si>
  <si>
    <t>侯鑫</t>
  </si>
  <si>
    <t>BK0131213</t>
  </si>
  <si>
    <t>10.191.32.55</t>
  </si>
  <si>
    <t>FE:FC:FA:d7:94:f6</t>
  </si>
  <si>
    <t>K0021514-JB</t>
  </si>
  <si>
    <t>160.22.28.187</t>
  </si>
  <si>
    <t>K0021514</t>
  </si>
  <si>
    <t>余恒</t>
  </si>
  <si>
    <t>BK0021514</t>
  </si>
  <si>
    <t>10.191.32.56</t>
  </si>
  <si>
    <t>FE:FC:FA:85:1b:12</t>
  </si>
  <si>
    <t>程 已删除</t>
  </si>
  <si>
    <t>K0071208-JB</t>
  </si>
  <si>
    <t>160.22.28.169</t>
  </si>
  <si>
    <t>K0071208</t>
  </si>
  <si>
    <t>徐帅林</t>
  </si>
  <si>
    <t>BK0071208</t>
  </si>
  <si>
    <t>10.191.32.57</t>
  </si>
  <si>
    <t>FE:FC:FA:6e:85:52</t>
  </si>
  <si>
    <t>K2610001-JB</t>
  </si>
  <si>
    <t>160.22.28.196</t>
  </si>
  <si>
    <t>K2610001</t>
  </si>
  <si>
    <t>王铭</t>
  </si>
  <si>
    <t>BK2610001</t>
  </si>
  <si>
    <t>10.191.32.58</t>
  </si>
  <si>
    <t>FE:FC:FA:b3:7b:15</t>
  </si>
  <si>
    <t>K0901206-YW</t>
  </si>
  <si>
    <t>160.22.24.54</t>
  </si>
  <si>
    <t>K0901206</t>
  </si>
  <si>
    <t>刘娣</t>
  </si>
  <si>
    <t>BK0901206</t>
  </si>
  <si>
    <t>10.191.32.59</t>
  </si>
  <si>
    <t>FE:FC:FA:18:4b:66</t>
  </si>
  <si>
    <t>K1181666-CS</t>
  </si>
  <si>
    <t>160.22.24.69</t>
  </si>
  <si>
    <t>K1181666</t>
  </si>
  <si>
    <t>厉兆明</t>
  </si>
  <si>
    <t>BK1181666</t>
  </si>
  <si>
    <t>10.191.32.60</t>
  </si>
  <si>
    <t>FE:FC:FA:a8:f7:ee</t>
  </si>
  <si>
    <t>K1181622-YW</t>
  </si>
  <si>
    <t>160.22.24.58</t>
  </si>
  <si>
    <t>K1181622</t>
  </si>
  <si>
    <t>孙亚运</t>
  </si>
  <si>
    <t>BK1181622</t>
  </si>
  <si>
    <t>10.191.32.61</t>
  </si>
  <si>
    <t>FE:FC:FA:7c:7a:2f</t>
  </si>
  <si>
    <t>K0901209-YW</t>
  </si>
  <si>
    <t>160.22.24.52</t>
  </si>
  <si>
    <t>K0901209</t>
  </si>
  <si>
    <t>范安</t>
  </si>
  <si>
    <t>BK0901209</t>
  </si>
  <si>
    <t>10.191.32.62</t>
  </si>
  <si>
    <t>FE:FC:FA:ac:ed:a3</t>
  </si>
  <si>
    <t>K0570039-YW</t>
  </si>
  <si>
    <t>160.22.24.49</t>
  </si>
  <si>
    <t>K0570039</t>
  </si>
  <si>
    <t>陈梦竹</t>
  </si>
  <si>
    <t>BK0570039</t>
  </si>
  <si>
    <t>10.191.32.63</t>
  </si>
  <si>
    <t>FE:FC:FA:e4:bf:7a</t>
  </si>
  <si>
    <t>160.22.24.34</t>
  </si>
  <si>
    <t>K0570161-YW</t>
  </si>
  <si>
    <t>160.22.28.71</t>
  </si>
  <si>
    <t>K0570161</t>
  </si>
  <si>
    <t>杨钰婷</t>
  </si>
  <si>
    <t>BK0570161</t>
  </si>
  <si>
    <t>10.191.32.64</t>
  </si>
  <si>
    <t>FE:FC:FA:6a:01:de</t>
  </si>
  <si>
    <t>K1181727-CS</t>
  </si>
  <si>
    <t>160.22.24.80</t>
  </si>
  <si>
    <t>K1181727</t>
  </si>
  <si>
    <t>杨瑞</t>
  </si>
  <si>
    <t>BK1181727</t>
  </si>
  <si>
    <t>10.191.32.65</t>
  </si>
  <si>
    <t>FE:FC:FA:54:62:00</t>
  </si>
  <si>
    <t>K0051288-YW</t>
  </si>
  <si>
    <t>K0051288</t>
  </si>
  <si>
    <t>孙庆</t>
  </si>
  <si>
    <t>BK0051288</t>
  </si>
  <si>
    <t>10.191.32.66</t>
  </si>
  <si>
    <t>FE:FC:FA:ab:9c:80</t>
  </si>
  <si>
    <t>160.22.24.62</t>
  </si>
  <si>
    <t>K1800019-YW</t>
  </si>
  <si>
    <t>160.22.24.37</t>
  </si>
  <si>
    <t>K1800019</t>
  </si>
  <si>
    <t>潘宇</t>
  </si>
  <si>
    <t>BK1800019</t>
  </si>
  <si>
    <t>10.191.32.67</t>
  </si>
  <si>
    <t>FE:FC:FA:78:28:41</t>
  </si>
  <si>
    <t>K1801424-YW</t>
  </si>
  <si>
    <t>160.22.24.43</t>
  </si>
  <si>
    <t>K1801424</t>
  </si>
  <si>
    <t>周韦华</t>
  </si>
  <si>
    <t>BK1801424</t>
  </si>
  <si>
    <t>10.191.32.68</t>
  </si>
  <si>
    <t>FE:FC:FA:a4:f4:00</t>
  </si>
  <si>
    <t xml:space="preserve"> 2026-06-24 21:03:36 </t>
  </si>
  <si>
    <t>K1801422-YW</t>
  </si>
  <si>
    <t>160.22.28.53</t>
  </si>
  <si>
    <t>K1801422</t>
  </si>
  <si>
    <t>蔡智成</t>
  </si>
  <si>
    <t>BK1801422</t>
  </si>
  <si>
    <t>10.191.32.69</t>
  </si>
  <si>
    <t>FE:FC:FA:5c:e9:6b</t>
  </si>
  <si>
    <t>K0151202</t>
  </si>
  <si>
    <t>顾俊婷</t>
  </si>
  <si>
    <t>BK0151202</t>
  </si>
  <si>
    <t>10.191.32.70</t>
  </si>
  <si>
    <t>FE:FC:FA:2c:bc:b0</t>
  </si>
  <si>
    <t>K1800014-YW</t>
  </si>
  <si>
    <t>160.22.28.30</t>
  </si>
  <si>
    <t>K1800014</t>
  </si>
  <si>
    <t>宋佳</t>
  </si>
  <si>
    <t>BK1800014</t>
  </si>
  <si>
    <t>10.191.32.71</t>
  </si>
  <si>
    <t>FE:FC:FA:7f:56:9e</t>
  </si>
  <si>
    <t>KHW0008-JB16</t>
  </si>
  <si>
    <t>160.22.24.194</t>
  </si>
  <si>
    <t>KHW0008</t>
  </si>
  <si>
    <t>BKHW0008</t>
  </si>
  <si>
    <t>10.191.32.72</t>
  </si>
  <si>
    <t>FE:FC:FA:14:3c:ba</t>
  </si>
  <si>
    <t xml:space="preserve"> 2026-06-24 21:20:59 </t>
  </si>
  <si>
    <t>6.17工作冲突，下周三迁移</t>
  </si>
  <si>
    <t>6.17待确认人员情况</t>
  </si>
  <si>
    <t xml:space="preserve"> 2026-06-24 21:14:19 </t>
  </si>
  <si>
    <t xml:space="preserve"> 2026-06-24 21:09:59 </t>
  </si>
  <si>
    <t>W001432</t>
  </si>
  <si>
    <t>160.18.240.67</t>
  </si>
  <si>
    <t>001432</t>
  </si>
  <si>
    <t>王晓宁</t>
  </si>
  <si>
    <t>南京分公司</t>
  </si>
  <si>
    <t>南京庐山路证券营业部</t>
  </si>
  <si>
    <t>南京</t>
  </si>
  <si>
    <t>6.29</t>
  </si>
  <si>
    <t>B001432</t>
  </si>
  <si>
    <t>10.187.240.12</t>
  </si>
  <si>
    <t>FE:FC:FA:9f:cd:9a</t>
  </si>
  <si>
    <t>267.14 GB</t>
  </si>
  <si>
    <t>VLAN1059</t>
  </si>
  <si>
    <t>B001222</t>
  </si>
  <si>
    <t>W002241</t>
  </si>
  <si>
    <t>160.18.240.45</t>
  </si>
  <si>
    <t>002241</t>
  </si>
  <si>
    <t>陈磊</t>
  </si>
  <si>
    <t>B002241</t>
  </si>
  <si>
    <t>10.187.240.13</t>
  </si>
  <si>
    <t>FE:FC:FA:00:e8:40</t>
  </si>
  <si>
    <t>267.58 GB</t>
  </si>
  <si>
    <t>B001248</t>
  </si>
  <si>
    <t>W002610</t>
  </si>
  <si>
    <t>160.18.240.86</t>
  </si>
  <si>
    <t>002610</t>
  </si>
  <si>
    <t>袁琛然</t>
  </si>
  <si>
    <t>B002610</t>
  </si>
  <si>
    <t>10.187.240.14</t>
  </si>
  <si>
    <t>FE:FC:FA:f8:58:25</t>
  </si>
  <si>
    <t>W003420</t>
  </si>
  <si>
    <t>160.18.240.251</t>
  </si>
  <si>
    <t>003420</t>
  </si>
  <si>
    <t>沈雅琪</t>
  </si>
  <si>
    <t>B003420</t>
  </si>
  <si>
    <t>10.187.240.15</t>
  </si>
  <si>
    <t>FE:FC:FA:07:02:89</t>
  </si>
  <si>
    <t>266.52 GB</t>
  </si>
  <si>
    <t>B002985</t>
  </si>
  <si>
    <t>W003933</t>
  </si>
  <si>
    <t>160.18.240.4</t>
  </si>
  <si>
    <t>003933</t>
  </si>
  <si>
    <t>兰霞</t>
  </si>
  <si>
    <t>B003933</t>
  </si>
  <si>
    <t>10.187.240.16</t>
  </si>
  <si>
    <t>FE:FC:FA:74:54:b0</t>
  </si>
  <si>
    <t>767.11 GB</t>
  </si>
  <si>
    <t>B003415</t>
  </si>
  <si>
    <t>W006801</t>
  </si>
  <si>
    <t>160.18.240.224</t>
  </si>
  <si>
    <t>006801</t>
  </si>
  <si>
    <t>文捷</t>
  </si>
  <si>
    <t>B006801</t>
  </si>
  <si>
    <t>10.187.240.17</t>
  </si>
  <si>
    <t>FE:FC:FA:64:e9:ce</t>
  </si>
  <si>
    <t>267.29 GB</t>
  </si>
  <si>
    <t>B016759</t>
  </si>
  <si>
    <t>W007144</t>
  </si>
  <si>
    <t>160.18.240.31</t>
  </si>
  <si>
    <t>007144</t>
  </si>
  <si>
    <t>解惠敏</t>
  </si>
  <si>
    <t>B007144</t>
  </si>
  <si>
    <t>10.187.240.18</t>
  </si>
  <si>
    <t>FE:FC:FA:76:85:7f</t>
  </si>
  <si>
    <t>286.12 GB</t>
  </si>
  <si>
    <t>B020965</t>
  </si>
  <si>
    <t>W007173</t>
  </si>
  <si>
    <t>160.18.240.12</t>
  </si>
  <si>
    <t>007173</t>
  </si>
  <si>
    <t>B007173</t>
  </si>
  <si>
    <t>10.187.240.19</t>
  </si>
  <si>
    <t>FE:FC:FA:00:3e:ae</t>
  </si>
  <si>
    <t>B023012</t>
  </si>
  <si>
    <t>W010416</t>
  </si>
  <si>
    <t>160.18.240.136</t>
  </si>
  <si>
    <t>010416</t>
  </si>
  <si>
    <t>顾轶</t>
  </si>
  <si>
    <t>B010416</t>
  </si>
  <si>
    <t>10.187.240.20</t>
  </si>
  <si>
    <t>FE:FC:FA:ce:5d:05</t>
  </si>
  <si>
    <t>286.49 GB</t>
  </si>
  <si>
    <t>B023149</t>
  </si>
  <si>
    <t>W011371</t>
  </si>
  <si>
    <t>160.18.240.60</t>
  </si>
  <si>
    <t>011371</t>
  </si>
  <si>
    <t>胡在鑫</t>
  </si>
  <si>
    <t>B011371</t>
  </si>
  <si>
    <t>10.187.240.21</t>
  </si>
  <si>
    <t>FE:FC:FA:01:80:69</t>
  </si>
  <si>
    <t>286.38 GB</t>
  </si>
  <si>
    <t>VDI_Cluster01_LUN02</t>
  </si>
  <si>
    <t>B023791</t>
  </si>
  <si>
    <t>160.18.240.75</t>
  </si>
  <si>
    <t>W011979</t>
  </si>
  <si>
    <t>160.18.240.233</t>
  </si>
  <si>
    <t>011979</t>
  </si>
  <si>
    <t>金建军</t>
  </si>
  <si>
    <t>B011979</t>
  </si>
  <si>
    <t>10.187.240.22</t>
  </si>
  <si>
    <t>FE:FC:FA:39:13:56</t>
  </si>
  <si>
    <t>B024324</t>
  </si>
  <si>
    <t>160.18.240.180</t>
  </si>
  <si>
    <t>W012392</t>
  </si>
  <si>
    <t>160.18.241.31</t>
  </si>
  <si>
    <t>012392</t>
  </si>
  <si>
    <t>徐凌云</t>
  </si>
  <si>
    <t>B012392</t>
  </si>
  <si>
    <t>10.187.240.23</t>
  </si>
  <si>
    <t>FE:FC:FA:98:ce:b6</t>
  </si>
  <si>
    <t>B024561</t>
  </si>
  <si>
    <t>160.18.240.102</t>
  </si>
  <si>
    <t>W012994</t>
  </si>
  <si>
    <t>160.18.242.120</t>
  </si>
  <si>
    <t>012994</t>
  </si>
  <si>
    <t>张海乔</t>
  </si>
  <si>
    <t>B012994</t>
  </si>
  <si>
    <t>10.187.240.24</t>
  </si>
  <si>
    <t>FE:FC:FA:eb:8a:8b</t>
  </si>
  <si>
    <t>B024564</t>
  </si>
  <si>
    <t>160.18.240.144</t>
  </si>
  <si>
    <t>W020727</t>
  </si>
  <si>
    <t>160.18.242.115</t>
  </si>
  <si>
    <t>020727</t>
  </si>
  <si>
    <t>刘斯亮</t>
  </si>
  <si>
    <t>B020727</t>
  </si>
  <si>
    <t>10.187.240.25</t>
  </si>
  <si>
    <t>FE:FC:FA:ce:e8:71</t>
  </si>
  <si>
    <t>B025895</t>
  </si>
  <si>
    <t>160.18.240.91</t>
  </si>
  <si>
    <t>Z023043</t>
  </si>
  <si>
    <t>160.28.242.8</t>
  </si>
  <si>
    <t>023043</t>
  </si>
  <si>
    <t>孙政</t>
  </si>
  <si>
    <t>B023043</t>
  </si>
  <si>
    <t>10.187.240.26</t>
  </si>
  <si>
    <t>FE:FC:FA:9e:da:0f</t>
  </si>
  <si>
    <t>均无</t>
  </si>
  <si>
    <t>重启3次，好了</t>
  </si>
  <si>
    <t>Z024564</t>
  </si>
  <si>
    <t>160.28.240.50</t>
  </si>
  <si>
    <t>024564</t>
  </si>
  <si>
    <t>陈圆圆</t>
  </si>
  <si>
    <t>10.187.240.27</t>
  </si>
  <si>
    <t>FE:FC:FA:3e:48:d6</t>
  </si>
  <si>
    <t>W001222</t>
  </si>
  <si>
    <t>001222</t>
  </si>
  <si>
    <t>李国平</t>
  </si>
  <si>
    <t>南京民智路证券营业部</t>
  </si>
  <si>
    <t>10.187.240.28</t>
  </si>
  <si>
    <t>FE:FC:FA:35:10:0f</t>
  </si>
  <si>
    <t>266.39 GB</t>
  </si>
  <si>
    <t>BWTEST2026-26Q</t>
  </si>
  <si>
    <t>W003549</t>
  </si>
  <si>
    <t>003549</t>
  </si>
  <si>
    <t>孙文璟</t>
  </si>
  <si>
    <t>B003549</t>
  </si>
  <si>
    <t>10.187.240.29</t>
  </si>
  <si>
    <t>FE:FC:FA:5d:aa:fb</t>
  </si>
  <si>
    <t>zyvdidt01-26Q</t>
  </si>
  <si>
    <t>W005275</t>
  </si>
  <si>
    <t>005275</t>
  </si>
  <si>
    <t>陶红斌</t>
  </si>
  <si>
    <t>B005275</t>
  </si>
  <si>
    <t>10.187.240.30</t>
  </si>
  <si>
    <t>FE:FC:FA:c0:24:b7</t>
  </si>
  <si>
    <t>267.05 GB</t>
  </si>
  <si>
    <t>B001371</t>
  </si>
  <si>
    <t>W007288</t>
  </si>
  <si>
    <t>007288</t>
  </si>
  <si>
    <t>冷昕</t>
  </si>
  <si>
    <t>B007288</t>
  </si>
  <si>
    <t>10.187.240.31</t>
  </si>
  <si>
    <t>FE:FC:FA:4b:cd:1e</t>
  </si>
  <si>
    <t>B001441</t>
  </si>
  <si>
    <t>W007614</t>
  </si>
  <si>
    <t>007614</t>
  </si>
  <si>
    <t>周颖</t>
  </si>
  <si>
    <t>B007614</t>
  </si>
  <si>
    <t>10.187.240.32</t>
  </si>
  <si>
    <t>FE:FC:FA:59:8a:d7</t>
  </si>
  <si>
    <t>266.1 GB</t>
  </si>
  <si>
    <t>B002262</t>
  </si>
  <si>
    <t>W016759</t>
  </si>
  <si>
    <t>160.18.241.67</t>
  </si>
  <si>
    <t>016759</t>
  </si>
  <si>
    <t>俞丹</t>
  </si>
  <si>
    <t>10.187.240.33</t>
  </si>
  <si>
    <t>FE:FC:FA:a9:39:a8</t>
  </si>
  <si>
    <t>160.18.240.181</t>
  </si>
  <si>
    <t>W017587</t>
  </si>
  <si>
    <t>160.18.242.195</t>
  </si>
  <si>
    <t>017587</t>
  </si>
  <si>
    <t>刘静</t>
  </si>
  <si>
    <t>B017587</t>
  </si>
  <si>
    <t>10.187.240.34</t>
  </si>
  <si>
    <t>FE:FC:FA:dd:92:cf</t>
  </si>
  <si>
    <t>286.4 GB</t>
  </si>
  <si>
    <t>W018292</t>
  </si>
  <si>
    <t>160.18.242.143</t>
  </si>
  <si>
    <t>018292</t>
  </si>
  <si>
    <t>王辰昇</t>
  </si>
  <si>
    <t>B018292</t>
  </si>
  <si>
    <t>10.187.240.35</t>
  </si>
  <si>
    <t>FE:FC:FA:aa:b5:0e</t>
  </si>
  <si>
    <t>267.26 GB</t>
  </si>
  <si>
    <t>B006117</t>
  </si>
  <si>
    <t>W020341</t>
  </si>
  <si>
    <t>160.18.243.13</t>
  </si>
  <si>
    <t>020341</t>
  </si>
  <si>
    <t>B020341</t>
  </si>
  <si>
    <t>10.187.240.36</t>
  </si>
  <si>
    <t>FE:FC:FA:39:89:bd</t>
  </si>
  <si>
    <t>B007369</t>
  </si>
  <si>
    <t>W020731</t>
  </si>
  <si>
    <t>160.18.242.117</t>
  </si>
  <si>
    <t>020731</t>
  </si>
  <si>
    <t>毕倩</t>
  </si>
  <si>
    <t>B020731</t>
  </si>
  <si>
    <t>10.187.240.37</t>
  </si>
  <si>
    <t>FE:FC:FA:16:d3:f4</t>
  </si>
  <si>
    <t>B007875</t>
  </si>
  <si>
    <t>W021500</t>
  </si>
  <si>
    <t>160.18.243.53</t>
  </si>
  <si>
    <t>021500</t>
  </si>
  <si>
    <t>康迅</t>
  </si>
  <si>
    <t>B021500</t>
  </si>
  <si>
    <t>10.187.240.38</t>
  </si>
  <si>
    <t>FE:FC:FA:f2:33:20</t>
  </si>
  <si>
    <t>267.45 GB</t>
  </si>
  <si>
    <t>B010337</t>
  </si>
  <si>
    <t>W022306</t>
  </si>
  <si>
    <t>160.18.241.162</t>
  </si>
  <si>
    <t>022306</t>
  </si>
  <si>
    <t>黄秀云</t>
  </si>
  <si>
    <t>B022306</t>
  </si>
  <si>
    <t>10.187.240.39</t>
  </si>
  <si>
    <t>FE:FC:FA:51:58:91</t>
  </si>
  <si>
    <t>286.23 GB</t>
  </si>
  <si>
    <t>B010549</t>
  </si>
  <si>
    <t>W025916</t>
  </si>
  <si>
    <t>160.18.241.188</t>
  </si>
  <si>
    <t>025916</t>
  </si>
  <si>
    <t>王艳超</t>
  </si>
  <si>
    <t>B025916</t>
  </si>
  <si>
    <t>10.187.240.40</t>
  </si>
  <si>
    <t>FE:FC:FA:0d:8c:5d</t>
  </si>
  <si>
    <t>266.17 GB</t>
  </si>
  <si>
    <t>B010844</t>
  </si>
  <si>
    <t>Z023012</t>
  </si>
  <si>
    <t>160.28.240.15</t>
  </si>
  <si>
    <t>023012</t>
  </si>
  <si>
    <t>冯浩轩</t>
  </si>
  <si>
    <t>10.187.240.41</t>
  </si>
  <si>
    <t>FE:FC:FA:d0:ce:25</t>
  </si>
  <si>
    <t>B011288</t>
  </si>
  <si>
    <t>Z023791</t>
  </si>
  <si>
    <t>160.28.240.26</t>
  </si>
  <si>
    <t>023791</t>
  </si>
  <si>
    <t>吉恒山</t>
  </si>
  <si>
    <t>10.187.240.42</t>
  </si>
  <si>
    <t>FE:FC:FA:64:11:6c</t>
  </si>
  <si>
    <t>B011335</t>
  </si>
  <si>
    <t>Z024324</t>
  </si>
  <si>
    <t>160.28.240.33</t>
  </si>
  <si>
    <t>024324</t>
  </si>
  <si>
    <t>葛洋</t>
  </si>
  <si>
    <t>10.187.240.43</t>
  </si>
  <si>
    <t>FE:FC:FA:fd:18:bd</t>
  </si>
  <si>
    <t>B012628</t>
  </si>
  <si>
    <t>W002262</t>
  </si>
  <si>
    <t>002262</t>
  </si>
  <si>
    <t>徐敏峰</t>
  </si>
  <si>
    <t>南京宁双路证券营业部</t>
  </si>
  <si>
    <t>10.187.240.44</t>
  </si>
  <si>
    <t>FE:FC:FA:a7:6e:43</t>
  </si>
  <si>
    <t>266.42 GB</t>
  </si>
  <si>
    <t>B012684</t>
  </si>
  <si>
    <t>W002985</t>
  </si>
  <si>
    <t>160.18.240.40</t>
  </si>
  <si>
    <t>002985</t>
  </si>
  <si>
    <t>吴娴</t>
  </si>
  <si>
    <t>10.187.240.45</t>
  </si>
  <si>
    <t>FE:FC:FA:88:73:ba</t>
  </si>
  <si>
    <t>B012974</t>
  </si>
  <si>
    <t>W003415</t>
  </si>
  <si>
    <t>160.18.240.24</t>
  </si>
  <si>
    <t>003415</t>
  </si>
  <si>
    <t>陆洲</t>
  </si>
  <si>
    <t>10.187.240.46</t>
  </si>
  <si>
    <t>FE:FC:FA:03:d8:f7</t>
  </si>
  <si>
    <t>B014570</t>
  </si>
  <si>
    <t>W004958</t>
  </si>
  <si>
    <t>160.18.241.0</t>
  </si>
  <si>
    <t>004958</t>
  </si>
  <si>
    <t>王振民</t>
  </si>
  <si>
    <t>B004958</t>
  </si>
  <si>
    <t>10.187.240.47</t>
  </si>
  <si>
    <t>FE:FC:FA:f2:05:8a</t>
  </si>
  <si>
    <t>266.68 GB</t>
  </si>
  <si>
    <t>W010844</t>
  </si>
  <si>
    <t>160.18.240.182</t>
  </si>
  <si>
    <t>010844</t>
  </si>
  <si>
    <t>傅琪</t>
  </si>
  <si>
    <t>10.187.240.48</t>
  </si>
  <si>
    <t>FE:FC:FA:e4:c1:38</t>
  </si>
  <si>
    <t>B021045</t>
  </si>
  <si>
    <t>W012005</t>
  </si>
  <si>
    <t>160.18.240.207</t>
  </si>
  <si>
    <t>012005</t>
  </si>
  <si>
    <t>陈琳</t>
  </si>
  <si>
    <t>B012005</t>
  </si>
  <si>
    <t>10.187.240.49</t>
  </si>
  <si>
    <t>FE:FC:FA:ae:c4:f0</t>
  </si>
  <si>
    <t>286.13 GB</t>
  </si>
  <si>
    <t>B021279</t>
  </si>
  <si>
    <t>W012006</t>
  </si>
  <si>
    <t>160.18.240.172</t>
  </si>
  <si>
    <t>012006</t>
  </si>
  <si>
    <t>B012006</t>
  </si>
  <si>
    <t>10.187.240.50</t>
  </si>
  <si>
    <t>FE:FC:FA:1a:66:57</t>
  </si>
  <si>
    <t>B023622</t>
  </si>
  <si>
    <t>W012684</t>
  </si>
  <si>
    <t>160.18.240.177</t>
  </si>
  <si>
    <t>012684</t>
  </si>
  <si>
    <t>匡丽</t>
  </si>
  <si>
    <t>10.187.240.51</t>
  </si>
  <si>
    <t>FE:FC:FA:0a:d9:33</t>
  </si>
  <si>
    <t>B025039</t>
  </si>
  <si>
    <t>W014780</t>
  </si>
  <si>
    <t>160.18.241.58</t>
  </si>
  <si>
    <t>014780</t>
  </si>
  <si>
    <t>顾宁珑</t>
  </si>
  <si>
    <t>B014780</t>
  </si>
  <si>
    <t>10.187.240.52</t>
  </si>
  <si>
    <t>FE:FC:FA:84:01:f1</t>
  </si>
  <si>
    <t>266.53 GB</t>
  </si>
  <si>
    <t>W020965</t>
  </si>
  <si>
    <t>160.18.242.121</t>
  </si>
  <si>
    <t>020965</t>
  </si>
  <si>
    <t>孟萌</t>
  </si>
  <si>
    <t>10.187.240.53</t>
  </si>
  <si>
    <t>FE:FC:FA:7e:56:2f</t>
  </si>
  <si>
    <t>B001220</t>
  </si>
  <si>
    <t>W021045</t>
  </si>
  <si>
    <t>160.18.242.126</t>
  </si>
  <si>
    <t>021045</t>
  </si>
  <si>
    <t>赵苏缘</t>
  </si>
  <si>
    <t>10.187.240.54</t>
  </si>
  <si>
    <t>FE:FC:FA:48:37:7a</t>
  </si>
  <si>
    <t>160.18.243.41</t>
  </si>
  <si>
    <t>W021279</t>
  </si>
  <si>
    <t>021279</t>
  </si>
  <si>
    <t>梁立</t>
  </si>
  <si>
    <t>10.187.240.55</t>
  </si>
  <si>
    <t>FE:FC:FA:3f:d7:0a</t>
  </si>
  <si>
    <t>B001481</t>
  </si>
  <si>
    <t>160.18.243.48</t>
  </si>
  <si>
    <t>W021386</t>
  </si>
  <si>
    <t>021386</t>
  </si>
  <si>
    <t>王昕</t>
  </si>
  <si>
    <t>B021386</t>
  </si>
  <si>
    <t>10.187.240.56</t>
  </si>
  <si>
    <t>FE:FC:FA:f9:e7:17</t>
  </si>
  <si>
    <t>266.48 GB</t>
  </si>
  <si>
    <t>160.18.240.226</t>
  </si>
  <si>
    <t>W021656</t>
  </si>
  <si>
    <t>160.18.241.155</t>
  </si>
  <si>
    <t>021656</t>
  </si>
  <si>
    <t>吴禹衡</t>
  </si>
  <si>
    <t>B021656</t>
  </si>
  <si>
    <t>10.187.240.57</t>
  </si>
  <si>
    <t>FE:FC:FA:20:ba:f9</t>
  </si>
  <si>
    <t>B003419</t>
  </si>
  <si>
    <t>160.18.240.132</t>
  </si>
  <si>
    <t>W021766</t>
  </si>
  <si>
    <t>160.18.243.59</t>
  </si>
  <si>
    <t>021766</t>
  </si>
  <si>
    <t>李旭</t>
  </si>
  <si>
    <t>B021766</t>
  </si>
  <si>
    <t>10.187.240.58</t>
  </si>
  <si>
    <t>FE:FC:FA:a9:dc:6f</t>
  </si>
  <si>
    <t>160.18.240.179</t>
  </si>
  <si>
    <t>W021828</t>
  </si>
  <si>
    <t>160.18.243.60</t>
  </si>
  <si>
    <t>021828</t>
  </si>
  <si>
    <t>田宇熙</t>
  </si>
  <si>
    <t>B021828</t>
  </si>
  <si>
    <t>10.187.240.59</t>
  </si>
  <si>
    <t>FE:FC:FA:1c:20:82</t>
  </si>
  <si>
    <t>267.27 GB</t>
  </si>
  <si>
    <t>B003861</t>
  </si>
  <si>
    <t>160.18.240.252</t>
  </si>
  <si>
    <t>W025895</t>
  </si>
  <si>
    <t>160.18.243.72</t>
  </si>
  <si>
    <t>025895</t>
  </si>
  <si>
    <t>滕帆</t>
  </si>
  <si>
    <t>10.187.240.60</t>
  </si>
  <si>
    <t>FE:FC:FA:f6:d8:37</t>
  </si>
  <si>
    <t>160.18.240.94</t>
  </si>
  <si>
    <t>Z023149</t>
  </si>
  <si>
    <t>160.28.240.18</t>
  </si>
  <si>
    <t>023149</t>
  </si>
  <si>
    <t>李鹏辉</t>
  </si>
  <si>
    <t>10.187.240.61</t>
  </si>
  <si>
    <t>FE:FC:FA:f3:c9:14</t>
  </si>
  <si>
    <t>160.18.240.243</t>
  </si>
  <si>
    <t>W001123</t>
  </si>
  <si>
    <t>001123</t>
  </si>
  <si>
    <t>吴俊</t>
  </si>
  <si>
    <t>南京清凉门大街证券营业部</t>
  </si>
  <si>
    <t>B001123</t>
  </si>
  <si>
    <t>10.187.240.62</t>
  </si>
  <si>
    <t>FE:FC:FA:48:d0:fd</t>
  </si>
  <si>
    <t>266.83 GB</t>
  </si>
  <si>
    <t>160.18.240.58</t>
  </si>
  <si>
    <t>W001248</t>
  </si>
  <si>
    <t>001248</t>
  </si>
  <si>
    <t>张铮</t>
  </si>
  <si>
    <t>10.187.240.63</t>
  </si>
  <si>
    <t>FE:FC:FA:50:85:18</t>
  </si>
  <si>
    <t>267.23 GB</t>
  </si>
  <si>
    <t>B010339</t>
  </si>
  <si>
    <t>160.18.240.219</t>
  </si>
  <si>
    <t>W001441</t>
  </si>
  <si>
    <t>001441</t>
  </si>
  <si>
    <t>周炘</t>
  </si>
  <si>
    <t>10.187.240.64</t>
  </si>
  <si>
    <t>FE:FC:FA:66:60:1f</t>
  </si>
  <si>
    <t>W002518</t>
  </si>
  <si>
    <t>002518</t>
  </si>
  <si>
    <t>吴丽萍</t>
  </si>
  <si>
    <t>B002518</t>
  </si>
  <si>
    <t>10.187.240.65</t>
  </si>
  <si>
    <t>FE:FC:FA:dc:01:47</t>
  </si>
  <si>
    <t>266.2 GB</t>
  </si>
  <si>
    <t>W003279</t>
  </si>
  <si>
    <t>003279</t>
  </si>
  <si>
    <t>彭金波</t>
  </si>
  <si>
    <t>B003279</t>
  </si>
  <si>
    <t>10.187.240.66</t>
  </si>
  <si>
    <t>FE:FC:FA:68:47:9f</t>
  </si>
  <si>
    <t>286.96 GB</t>
  </si>
  <si>
    <t>W003419</t>
  </si>
  <si>
    <t>003419</t>
  </si>
  <si>
    <t>褚亚波</t>
  </si>
  <si>
    <t>10.187.240.67</t>
  </si>
  <si>
    <t>FE:FC:FA:0e:e5:d2</t>
  </si>
  <si>
    <t>267.67 GB</t>
  </si>
  <si>
    <t>B017403</t>
  </si>
  <si>
    <t>160.28.242.45</t>
  </si>
  <si>
    <t>W003861</t>
  </si>
  <si>
    <t>003861</t>
  </si>
  <si>
    <t>刘磊</t>
  </si>
  <si>
    <t>10.187.240.68</t>
  </si>
  <si>
    <t>FE:FC:FA:a4:85:9a</t>
  </si>
  <si>
    <t>267.61 GB</t>
  </si>
  <si>
    <t>B017545</t>
  </si>
  <si>
    <t>160.18.240.18</t>
  </si>
  <si>
    <t>W007369</t>
  </si>
  <si>
    <t>007369</t>
  </si>
  <si>
    <t>王颖</t>
  </si>
  <si>
    <t>10.187.240.69</t>
  </si>
  <si>
    <t>FE:FC:FA:75:15:09</t>
  </si>
  <si>
    <t>286.58 GB</t>
  </si>
  <si>
    <t>长时间卡在安装深信服VMTools成功。已修好</t>
  </si>
  <si>
    <t>160.18.240.85</t>
  </si>
  <si>
    <t>W007875</t>
  </si>
  <si>
    <t>160.18.240.112</t>
  </si>
  <si>
    <t>007875</t>
  </si>
  <si>
    <t>李博扬</t>
  </si>
  <si>
    <t>10.187.240.70</t>
  </si>
  <si>
    <t>FE:FC:FA:f5:da:2d</t>
  </si>
  <si>
    <t>B018710</t>
  </si>
  <si>
    <t>160.18.240.7</t>
  </si>
  <si>
    <t>W010347</t>
  </si>
  <si>
    <t>160.18.240.20</t>
  </si>
  <si>
    <t>010347</t>
  </si>
  <si>
    <t>徐标</t>
  </si>
  <si>
    <t>B010347</t>
  </si>
  <si>
    <t>10.187.240.71</t>
  </si>
  <si>
    <t>FE:FC:FA:fa:69:a9</t>
  </si>
  <si>
    <t>266.54 GB</t>
  </si>
  <si>
    <t>W018710</t>
  </si>
  <si>
    <t>160.18.242.161</t>
  </si>
  <si>
    <t>018710</t>
  </si>
  <si>
    <t>冯宁宁</t>
  </si>
  <si>
    <t>10.187.240.72</t>
  </si>
  <si>
    <t>FE:FC:FA:46:da:82</t>
  </si>
  <si>
    <t>160.18.240.73</t>
  </si>
  <si>
    <t>W022030</t>
  </si>
  <si>
    <t>160.18.243.62</t>
  </si>
  <si>
    <t>022030</t>
  </si>
  <si>
    <t>江楠</t>
  </si>
  <si>
    <t>B022030</t>
  </si>
  <si>
    <t>10.187.240.73</t>
  </si>
  <si>
    <t>FE:FC:FA:f4:61:1c</t>
  </si>
  <si>
    <t>266.28 GB</t>
  </si>
  <si>
    <t>B001118</t>
  </si>
  <si>
    <t>W022485</t>
  </si>
  <si>
    <t>160.18.241.168</t>
  </si>
  <si>
    <t>022485</t>
  </si>
  <si>
    <t>羊嘉鑫</t>
  </si>
  <si>
    <t>B022485</t>
  </si>
  <si>
    <t>10.187.240.74</t>
  </si>
  <si>
    <t>FE:FC:FA:39:f6:71</t>
  </si>
  <si>
    <t>267.15 GB</t>
  </si>
  <si>
    <t>160.18.240.185</t>
  </si>
  <si>
    <t>W025039</t>
  </si>
  <si>
    <t>160.18.241.174</t>
  </si>
  <si>
    <t>025039</t>
  </si>
  <si>
    <t>卢潇逸</t>
  </si>
  <si>
    <t>10.187.240.75</t>
  </si>
  <si>
    <t>FE:FC:FA:ee:2d:ab</t>
  </si>
  <si>
    <t>267.51 GB</t>
  </si>
  <si>
    <t>B004454</t>
  </si>
  <si>
    <t>Z022131</t>
  </si>
  <si>
    <t>160.28.242.4</t>
  </si>
  <si>
    <t>022131</t>
  </si>
  <si>
    <t>祁阳</t>
  </si>
  <si>
    <t>B022131</t>
  </si>
  <si>
    <t>10.187.240.76</t>
  </si>
  <si>
    <t>FE:FC:FA:81:35:1e</t>
  </si>
  <si>
    <t>Z023622</t>
  </si>
  <si>
    <t>160.28.240.25</t>
  </si>
  <si>
    <t>023622</t>
  </si>
  <si>
    <t>杨鑫</t>
  </si>
  <si>
    <t>10.187.240.77</t>
  </si>
  <si>
    <t>FE:FC:FA:26:34:3f</t>
  </si>
  <si>
    <t>W001118</t>
  </si>
  <si>
    <t>001118</t>
  </si>
  <si>
    <t>郭健</t>
  </si>
  <si>
    <t>南京中华路证券营业部</t>
  </si>
  <si>
    <t>10.187.240.78</t>
  </si>
  <si>
    <t>FE:FC:FA:14:6a:b8</t>
  </si>
  <si>
    <t>W004454</t>
  </si>
  <si>
    <t>004454</t>
  </si>
  <si>
    <t>陈晓蔚</t>
  </si>
  <si>
    <t>10.187.240.79</t>
  </si>
  <si>
    <t>FE:FC:FA:f0:92:ce</t>
  </si>
  <si>
    <t>266.84 GB</t>
  </si>
  <si>
    <t>W006097</t>
  </si>
  <si>
    <t>160.18.240.56</t>
  </si>
  <si>
    <t>006097</t>
  </si>
  <si>
    <t>张丽</t>
  </si>
  <si>
    <t>B006097</t>
  </si>
  <si>
    <t>10.187.240.80</t>
  </si>
  <si>
    <t>FE:FC:FA:dd:5b:91</t>
  </si>
  <si>
    <t>B012018</t>
  </si>
  <si>
    <t>W006117</t>
  </si>
  <si>
    <t>006117</t>
  </si>
  <si>
    <t>徐萍</t>
  </si>
  <si>
    <t>10.187.240.81</t>
  </si>
  <si>
    <t>FE:FC:FA:91:3e:f3</t>
  </si>
  <si>
    <t>160.18.241.103</t>
  </si>
  <si>
    <t>W010335</t>
  </si>
  <si>
    <t>010335</t>
  </si>
  <si>
    <t>黄立国</t>
  </si>
  <si>
    <t>B010335</t>
  </si>
  <si>
    <t>10.187.240.82</t>
  </si>
  <si>
    <t>FE:FC:FA:98:a5:dc</t>
  </si>
  <si>
    <t>267.11 GB</t>
  </si>
  <si>
    <t>160.28.240.21</t>
  </si>
  <si>
    <t>W010548</t>
  </si>
  <si>
    <t>010548</t>
  </si>
  <si>
    <t>孙心绮</t>
  </si>
  <si>
    <t>B010548</t>
  </si>
  <si>
    <t>10.187.240.83</t>
  </si>
  <si>
    <t>FE:FC:FA:e0:de:2a</t>
  </si>
  <si>
    <t>287.65 GB</t>
  </si>
  <si>
    <t>160.28.240.49</t>
  </si>
  <si>
    <t>W011288</t>
  </si>
  <si>
    <t>160.18.240.14</t>
  </si>
  <si>
    <t>011288</t>
  </si>
  <si>
    <t>杨海坤</t>
  </si>
  <si>
    <t>10.187.240.84</t>
  </si>
  <si>
    <t>FE:FC:FA:cf:51:bc</t>
  </si>
  <si>
    <t>266.26 GB</t>
  </si>
  <si>
    <t>160.18.240.127</t>
  </si>
  <si>
    <t>W011335</t>
  </si>
  <si>
    <t>160.18.240.205</t>
  </si>
  <si>
    <t>011335</t>
  </si>
  <si>
    <t>王淑寰</t>
  </si>
  <si>
    <t>10.187.240.85</t>
  </si>
  <si>
    <t>FE:FC:FA:66:1e:ed</t>
  </si>
  <si>
    <t>286.72 GB</t>
  </si>
  <si>
    <t>160.18.240.148</t>
  </si>
  <si>
    <t>W012018</t>
  </si>
  <si>
    <t>160.18.240.39</t>
  </si>
  <si>
    <t>012018</t>
  </si>
  <si>
    <t>张亚飞</t>
  </si>
  <si>
    <t>10.187.240.86</t>
  </si>
  <si>
    <t>FE:FC:FA:14:fd:3a</t>
  </si>
  <si>
    <t>160.18.240.57</t>
  </si>
  <si>
    <t>W012628</t>
  </si>
  <si>
    <t>160.18.240.176</t>
  </si>
  <si>
    <t>012628</t>
  </si>
  <si>
    <t>汪慧明</t>
  </si>
  <si>
    <t>10.187.240.87</t>
  </si>
  <si>
    <t>FE:FC:FA:b6:fa:1a</t>
  </si>
  <si>
    <t>160.18.240.249</t>
  </si>
  <si>
    <t>W012974</t>
  </si>
  <si>
    <t>160.18.241.14</t>
  </si>
  <si>
    <t>012974</t>
  </si>
  <si>
    <t>张启林</t>
  </si>
  <si>
    <t>10.187.240.88</t>
  </si>
  <si>
    <t>FE:FC:FA:69:57:84</t>
  </si>
  <si>
    <t>267.47 GB</t>
  </si>
  <si>
    <t>160.18.240.234</t>
  </si>
  <si>
    <t>W015840</t>
  </si>
  <si>
    <t>160.18.243.34</t>
  </si>
  <si>
    <t>015840</t>
  </si>
  <si>
    <t>胡婧</t>
  </si>
  <si>
    <t>B015840</t>
  </si>
  <si>
    <t>10.187.240.89</t>
  </si>
  <si>
    <t>FE:FC:FA:db:1b:f2</t>
  </si>
  <si>
    <t>160.18.240.115</t>
  </si>
  <si>
    <t>W017403</t>
  </si>
  <si>
    <t>160.18.241.62</t>
  </si>
  <si>
    <t>017403</t>
  </si>
  <si>
    <t>孙逊</t>
  </si>
  <si>
    <t>10.187.240.90</t>
  </si>
  <si>
    <t>FE:FC:FA:2c:53:f6</t>
  </si>
  <si>
    <t>B006107</t>
  </si>
  <si>
    <t>160.18.240.231</t>
  </si>
  <si>
    <t>W018079</t>
  </si>
  <si>
    <t>160.18.242.137</t>
  </si>
  <si>
    <t>018079</t>
  </si>
  <si>
    <t>毕逸伟</t>
  </si>
  <si>
    <t>B018079</t>
  </si>
  <si>
    <t>10.187.240.91</t>
  </si>
  <si>
    <t>FE:FC:FA:36:be:04</t>
  </si>
  <si>
    <t>B006123</t>
  </si>
  <si>
    <t>160.18.241.1</t>
  </si>
  <si>
    <t>W001220</t>
  </si>
  <si>
    <t>001220</t>
  </si>
  <si>
    <t>蒋献明</t>
  </si>
  <si>
    <t>南京中山东路第二证券营业部</t>
  </si>
  <si>
    <t>10.187.240.92</t>
  </si>
  <si>
    <t>FE:FC:FA:1e:5f:2d</t>
  </si>
  <si>
    <t>616.94 GB</t>
  </si>
  <si>
    <t>W001371</t>
  </si>
  <si>
    <t>001371</t>
  </si>
  <si>
    <t>陈新</t>
  </si>
  <si>
    <t>10.187.240.93</t>
  </si>
  <si>
    <t>FE:FC:FA:15:80:2f</t>
  </si>
  <si>
    <t>266.88 GB</t>
  </si>
  <si>
    <t>W001481</t>
  </si>
  <si>
    <t>001481</t>
  </si>
  <si>
    <t>徐晶</t>
  </si>
  <si>
    <t>10.187.240.94</t>
  </si>
  <si>
    <t>FE:FC:FA:47:13:7f</t>
  </si>
  <si>
    <t>366.31 GB</t>
  </si>
  <si>
    <t>W006107</t>
  </si>
  <si>
    <t>006107</t>
  </si>
  <si>
    <t>沈媛媛</t>
  </si>
  <si>
    <t>10.187.240.95</t>
  </si>
  <si>
    <t>FE:FC:FA:fb:61:bd</t>
  </si>
  <si>
    <t>416.22 GB</t>
  </si>
  <si>
    <t>160.18.240.166</t>
  </si>
  <si>
    <t>W006123</t>
  </si>
  <si>
    <t>006123</t>
  </si>
  <si>
    <t>王妮</t>
  </si>
  <si>
    <t>10.187.240.96</t>
  </si>
  <si>
    <t>FE:FC:FA:ad:3d:a7</t>
  </si>
  <si>
    <t>267.07 GB</t>
  </si>
  <si>
    <t>W010337</t>
  </si>
  <si>
    <t>010337</t>
  </si>
  <si>
    <t>殷骏</t>
  </si>
  <si>
    <t>10.187.240.97</t>
  </si>
  <si>
    <t>FE:FC:FA:09:70:81</t>
  </si>
  <si>
    <t>267.08 GB</t>
  </si>
  <si>
    <t>160.18.241.69</t>
  </si>
  <si>
    <t>W010339</t>
  </si>
  <si>
    <t>010339</t>
  </si>
  <si>
    <t>孙正阳</t>
  </si>
  <si>
    <t>10.187.240.98</t>
  </si>
  <si>
    <t>FE:FC:FA:ac:33:b8</t>
  </si>
  <si>
    <t>268.23 GB</t>
  </si>
  <si>
    <t>160.18.241.43</t>
  </si>
  <si>
    <t>W010549</t>
  </si>
  <si>
    <t>010549</t>
  </si>
  <si>
    <t>刘韦韦</t>
  </si>
  <si>
    <t>10.187.240.99</t>
  </si>
  <si>
    <t>FE:FC:FA:33:0a:f4</t>
  </si>
  <si>
    <t>267.62 GB</t>
  </si>
  <si>
    <t>W012835</t>
  </si>
  <si>
    <t>012835</t>
  </si>
  <si>
    <t>杨奕</t>
  </si>
  <si>
    <t>B012835</t>
  </si>
  <si>
    <t>10.187.240.100</t>
  </si>
  <si>
    <t>FE:FC:FA:fc:75:7d</t>
  </si>
  <si>
    <t>287.28 GB</t>
  </si>
  <si>
    <t>W014570</t>
  </si>
  <si>
    <t>014570</t>
  </si>
  <si>
    <t>宣俭成</t>
  </si>
  <si>
    <t>10.187.240.101</t>
  </si>
  <si>
    <t>FE:FC:FA:3a:57:49</t>
  </si>
  <si>
    <t>267.76 GB</t>
  </si>
  <si>
    <t>W015676</t>
  </si>
  <si>
    <t>015676</t>
  </si>
  <si>
    <t>李冉</t>
  </si>
  <si>
    <t>B015676</t>
  </si>
  <si>
    <t>10.187.240.102</t>
  </si>
  <si>
    <t>FE:FC:FA:a7:4a:47</t>
  </si>
  <si>
    <t>W017545</t>
  </si>
  <si>
    <t>017545</t>
  </si>
  <si>
    <t>刘红梅</t>
  </si>
  <si>
    <t>10.187.240.103</t>
  </si>
  <si>
    <t>FE:FC:FA:42:30:1a</t>
  </si>
  <si>
    <t>Z023306</t>
  </si>
  <si>
    <t>023306</t>
  </si>
  <si>
    <t>陈念</t>
  </si>
  <si>
    <t>B023306</t>
  </si>
  <si>
    <t>10.187.240.104</t>
  </si>
  <si>
    <t>FE:FC:FA:40:f0:e9</t>
  </si>
  <si>
    <t>Z024561</t>
  </si>
  <si>
    <t>024561</t>
  </si>
  <si>
    <t>苏展鹏</t>
  </si>
  <si>
    <t>10.187.240.105</t>
  </si>
  <si>
    <t>FE:FC:FA:95:f4:22</t>
  </si>
  <si>
    <t>zyvdidt01-1</t>
  </si>
  <si>
    <t>10.187.240.9</t>
  </si>
  <si>
    <t>FE:FC:FA:91:67:f4</t>
  </si>
  <si>
    <t>250 GB</t>
  </si>
  <si>
    <t>wtest2026-26Q</t>
  </si>
  <si>
    <t>10.187.240.8</t>
  </si>
  <si>
    <t>FE:FC:FA:93:32:4d</t>
  </si>
  <si>
    <t>W012687</t>
  </si>
  <si>
    <t>160.18.240.228</t>
  </si>
  <si>
    <t>012687</t>
  </si>
  <si>
    <t>张爱华</t>
  </si>
  <si>
    <t>溧水珍珠北路证券营业部</t>
  </si>
  <si>
    <t>7.6</t>
  </si>
  <si>
    <t>B012687</t>
  </si>
  <si>
    <t>10.187.240.106</t>
  </si>
  <si>
    <t>FE:FC:FA:d9:46:c3</t>
  </si>
  <si>
    <t>266.31 GB</t>
  </si>
  <si>
    <t>B022145</t>
  </si>
  <si>
    <t>160.18.240.157</t>
  </si>
  <si>
    <t>W018642</t>
  </si>
  <si>
    <t>160.18.242.150</t>
  </si>
  <si>
    <t>018642</t>
  </si>
  <si>
    <t>查天豪</t>
  </si>
  <si>
    <t>B018642</t>
  </si>
  <si>
    <t>10.187.240.107</t>
  </si>
  <si>
    <t>FE:FC:FA:e1:25:a3</t>
  </si>
  <si>
    <t>307.62 GB</t>
  </si>
  <si>
    <t>B024690</t>
  </si>
  <si>
    <t>160.18.240.96</t>
  </si>
  <si>
    <t>W025011</t>
  </si>
  <si>
    <t>160.18.242.111</t>
  </si>
  <si>
    <t>025011</t>
  </si>
  <si>
    <t>葛志新</t>
  </si>
  <si>
    <t>B025011</t>
  </si>
  <si>
    <t>10.187.240.108</t>
  </si>
  <si>
    <t>FE:FC:FA:8b:10:b4</t>
  </si>
  <si>
    <t xml:space="preserve"> 2026-07-06 22:21:37 </t>
  </si>
  <si>
    <t>B021044</t>
  </si>
  <si>
    <t>160.18.240.164</t>
  </si>
  <si>
    <t>W025924</t>
  </si>
  <si>
    <t>160.18.243.74</t>
  </si>
  <si>
    <t>025924</t>
  </si>
  <si>
    <t>祝伟奇</t>
  </si>
  <si>
    <t>B025924</t>
  </si>
  <si>
    <t>10.187.240.109</t>
  </si>
  <si>
    <t>FE:FC:FA:cf:7f:9f</t>
  </si>
  <si>
    <t>266.29 GB</t>
  </si>
  <si>
    <t>加域失败，已修复</t>
  </si>
  <si>
    <t>汤 已卸载</t>
  </si>
  <si>
    <t xml:space="preserve"> 2026-07-06 21:56:23 </t>
  </si>
  <si>
    <t>B001235</t>
  </si>
  <si>
    <t>160.18.240.162</t>
  </si>
  <si>
    <t>W001235</t>
  </si>
  <si>
    <t>160.18.240.9</t>
  </si>
  <si>
    <t>001235</t>
  </si>
  <si>
    <t>王莉</t>
  </si>
  <si>
    <t>南京大光路证券营业部</t>
  </si>
  <si>
    <t>10.187.240.110</t>
  </si>
  <si>
    <t>FE:FC:FA:3a:1c:f2</t>
  </si>
  <si>
    <t>B002399</t>
  </si>
  <si>
    <t>160.18.240.118</t>
  </si>
  <si>
    <t>W002399</t>
  </si>
  <si>
    <t>160.18.240.79</t>
  </si>
  <si>
    <t>002399</t>
  </si>
  <si>
    <t>葛志成</t>
  </si>
  <si>
    <t>10.187.240.111</t>
  </si>
  <si>
    <t>FE:FC:FA:c9:e3:64</t>
  </si>
  <si>
    <t>267.72 GB</t>
  </si>
  <si>
    <t>B002412</t>
  </si>
  <si>
    <t>160.18.240.82</t>
  </si>
  <si>
    <t>W002412</t>
  </si>
  <si>
    <t>160.18.240.109</t>
  </si>
  <si>
    <t>002412</t>
  </si>
  <si>
    <t>黄忠莺</t>
  </si>
  <si>
    <t>10.187.240.112</t>
  </si>
  <si>
    <t>FE:FC:FA:08:a9:8c</t>
  </si>
  <si>
    <t>B002841</t>
  </si>
  <si>
    <t>160.18.240.1</t>
  </si>
  <si>
    <t>W002841</t>
  </si>
  <si>
    <t>160.18.241.11</t>
  </si>
  <si>
    <t>002841</t>
  </si>
  <si>
    <t>张欣</t>
  </si>
  <si>
    <t>10.187.240.113</t>
  </si>
  <si>
    <t>FE:FC:FA:e1:dd:49</t>
  </si>
  <si>
    <t>B003275</t>
  </si>
  <si>
    <t>160.18.241.179</t>
  </si>
  <si>
    <t>W003275</t>
  </si>
  <si>
    <t>160.18.240.163</t>
  </si>
  <si>
    <t>003275</t>
  </si>
  <si>
    <t>闫美娜</t>
  </si>
  <si>
    <t>10.187.240.114</t>
  </si>
  <si>
    <t>FE:FC:FA:06:3f:b8</t>
  </si>
  <si>
    <t>267.69 GB</t>
  </si>
  <si>
    <t>B004577</t>
  </si>
  <si>
    <t>160.18.241.26</t>
  </si>
  <si>
    <t>W004577</t>
  </si>
  <si>
    <t>160.18.240.138</t>
  </si>
  <si>
    <t>004577</t>
  </si>
  <si>
    <t>刘小萍</t>
  </si>
  <si>
    <t>10.187.240.115</t>
  </si>
  <si>
    <t>FE:FC:FA:90:af:97</t>
  </si>
  <si>
    <t>420.71 GB</t>
  </si>
  <si>
    <t>B010332</t>
  </si>
  <si>
    <t>160.18.240.26</t>
  </si>
  <si>
    <t>W010332</t>
  </si>
  <si>
    <t>160.18.240.74</t>
  </si>
  <si>
    <t>010332</t>
  </si>
  <si>
    <t>王兴闯</t>
  </si>
  <si>
    <t>10.187.240.116</t>
  </si>
  <si>
    <t>FE:FC:FA:fc:a3:f6</t>
  </si>
  <si>
    <t>317.08 GB</t>
  </si>
  <si>
    <t>B010560</t>
  </si>
  <si>
    <t>160.18.240.175</t>
  </si>
  <si>
    <t>W010560</t>
  </si>
  <si>
    <t>160.18.240.107</t>
  </si>
  <si>
    <t>010560</t>
  </si>
  <si>
    <t>谢挺</t>
  </si>
  <si>
    <t>10.187.240.117</t>
  </si>
  <si>
    <t>FE:FC:FA:67:83:50</t>
  </si>
  <si>
    <t>367.2 GB</t>
  </si>
  <si>
    <t>B011342</t>
  </si>
  <si>
    <t>160.18.240.153</t>
  </si>
  <si>
    <t>W011342</t>
  </si>
  <si>
    <t>160.18.240.92</t>
  </si>
  <si>
    <t>011342</t>
  </si>
  <si>
    <t>花静</t>
  </si>
  <si>
    <t>10.187.240.118</t>
  </si>
  <si>
    <t>FE:FC:FA:bf:58:54</t>
  </si>
  <si>
    <t>B012055</t>
  </si>
  <si>
    <t>160.18.240.81</t>
  </si>
  <si>
    <t>W012685</t>
  </si>
  <si>
    <t>160.18.241.16</t>
  </si>
  <si>
    <t>012685</t>
  </si>
  <si>
    <t>姚晓强</t>
  </si>
  <si>
    <t>B012685</t>
  </si>
  <si>
    <t>10.187.240.119</t>
  </si>
  <si>
    <t>FE:FC:FA:47:5f:7a</t>
  </si>
  <si>
    <t>160.18.240.198</t>
  </si>
  <si>
    <t>W012686</t>
  </si>
  <si>
    <t>160.18.240.84</t>
  </si>
  <si>
    <t>012686</t>
  </si>
  <si>
    <t>智日恺</t>
  </si>
  <si>
    <t>B012686</t>
  </si>
  <si>
    <t>10.187.240.120</t>
  </si>
  <si>
    <t>FE:FC:FA:96:4f:1a</t>
  </si>
  <si>
    <t>287.64 GB</t>
  </si>
  <si>
    <t>160.18.241.50</t>
  </si>
  <si>
    <t>W012714</t>
  </si>
  <si>
    <t>160.18.240.232</t>
  </si>
  <si>
    <t>012714</t>
  </si>
  <si>
    <t>陈培</t>
  </si>
  <si>
    <t>B012714</t>
  </si>
  <si>
    <t>10.187.240.121</t>
  </si>
  <si>
    <t>FE:FC:FA:24:02:2c</t>
  </si>
  <si>
    <t>160.18.241.119</t>
  </si>
  <si>
    <t>W013074</t>
  </si>
  <si>
    <t>160.18.242.140</t>
  </si>
  <si>
    <t>013074</t>
  </si>
  <si>
    <t>侯嘉睿</t>
  </si>
  <si>
    <t>B013074</t>
  </si>
  <si>
    <t>10.187.240.122</t>
  </si>
  <si>
    <t>FE:FC:FA:e2:a7:b6</t>
  </si>
  <si>
    <t>160.18.242.147</t>
  </si>
  <si>
    <t>W014183</t>
  </si>
  <si>
    <t>160.18.240.34</t>
  </si>
  <si>
    <t>014183</t>
  </si>
  <si>
    <t>李勇</t>
  </si>
  <si>
    <t>B014183</t>
  </si>
  <si>
    <t>10.187.240.123</t>
  </si>
  <si>
    <t>FE:FC:FA:8e:af:e6</t>
  </si>
  <si>
    <t>267.02 GB</t>
  </si>
  <si>
    <t>BWTEST2026-71Q</t>
  </si>
  <si>
    <t>160.18.242.254</t>
  </si>
  <si>
    <t>W014922</t>
  </si>
  <si>
    <t>160.18.241.93</t>
  </si>
  <si>
    <t>014922</t>
  </si>
  <si>
    <t>胡潇枭</t>
  </si>
  <si>
    <t>B014922</t>
  </si>
  <si>
    <t>10.187.240.124</t>
  </si>
  <si>
    <t>FE:FC:FA:e6:00:de</t>
  </si>
  <si>
    <t>BZYVDDT01-71Q</t>
  </si>
  <si>
    <t>160.18.241.131</t>
  </si>
  <si>
    <t>W015067</t>
  </si>
  <si>
    <t>160.18.241.83</t>
  </si>
  <si>
    <t>015067</t>
  </si>
  <si>
    <t>高夏莹</t>
  </si>
  <si>
    <t>B015067</t>
  </si>
  <si>
    <t>10.187.240.125</t>
  </si>
  <si>
    <t>FE:FC:FA:b6:b7:d8</t>
  </si>
  <si>
    <t>336.22 GB</t>
  </si>
  <si>
    <t>B001246</t>
  </si>
  <si>
    <t>160.18.243.19</t>
  </si>
  <si>
    <t>W015849</t>
  </si>
  <si>
    <t>160.18.241.84</t>
  </si>
  <si>
    <t>015849</t>
  </si>
  <si>
    <t>楼天阳</t>
  </si>
  <si>
    <t>B015849</t>
  </si>
  <si>
    <t>10.187.240.126</t>
  </si>
  <si>
    <t>FE:FC:FA:35:b4:b5</t>
  </si>
  <si>
    <t>B002334</t>
  </si>
  <si>
    <t>160.18.243.25</t>
  </si>
  <si>
    <t>W018691</t>
  </si>
  <si>
    <t>160.18.241.121</t>
  </si>
  <si>
    <t>018691</t>
  </si>
  <si>
    <t>孙阳</t>
  </si>
  <si>
    <t>B018691</t>
  </si>
  <si>
    <t>10.187.240.127</t>
  </si>
  <si>
    <t>FE:FC:FA:80:64:d5</t>
  </si>
  <si>
    <t>266.92 GB</t>
  </si>
  <si>
    <t>B003516</t>
  </si>
  <si>
    <t>160.18.243.24</t>
  </si>
  <si>
    <t>W018754</t>
  </si>
  <si>
    <t>160.18.241.124</t>
  </si>
  <si>
    <t>018754</t>
  </si>
  <si>
    <t>王云云</t>
  </si>
  <si>
    <t>B018754</t>
  </si>
  <si>
    <t>10.187.240.128</t>
  </si>
  <si>
    <t>FE:FC:FA:03:be:aa</t>
  </si>
  <si>
    <t>B003717</t>
  </si>
  <si>
    <t>160.18.243.23</t>
  </si>
  <si>
    <t>W018755</t>
  </si>
  <si>
    <t>160.18.241.125</t>
  </si>
  <si>
    <t>018755</t>
  </si>
  <si>
    <t>叶飞</t>
  </si>
  <si>
    <t>B018755</t>
  </si>
  <si>
    <t>10.187.240.129</t>
  </si>
  <si>
    <t>FE:FC:FA:79:d4:76</t>
  </si>
  <si>
    <t>316.71 GB</t>
  </si>
  <si>
    <t>B004094</t>
  </si>
  <si>
    <t>160.18.243.47</t>
  </si>
  <si>
    <t>W021662</t>
  </si>
  <si>
    <t>160.18.243.65</t>
  </si>
  <si>
    <t>021662</t>
  </si>
  <si>
    <t>杭轩泽</t>
  </si>
  <si>
    <t>B021662</t>
  </si>
  <si>
    <t>10.187.240.130</t>
  </si>
  <si>
    <t>FE:FC:FA:26:0f:ec</t>
  </si>
  <si>
    <t>B004988</t>
  </si>
  <si>
    <t>160.18.241.184</t>
  </si>
  <si>
    <t>W021920</t>
  </si>
  <si>
    <t>160.18.241.183</t>
  </si>
  <si>
    <t>021920</t>
  </si>
  <si>
    <t>童沐菡</t>
  </si>
  <si>
    <t>B021920</t>
  </si>
  <si>
    <t>10.187.240.131</t>
  </si>
  <si>
    <t>FE:FC:FA:9b:97:a2</t>
  </si>
  <si>
    <t>267.24 GB</t>
  </si>
  <si>
    <t>B006486</t>
  </si>
  <si>
    <t>160.18.241.153</t>
  </si>
  <si>
    <t>Z023451</t>
  </si>
  <si>
    <t>160.28.242.14</t>
  </si>
  <si>
    <t>023451</t>
  </si>
  <si>
    <t>刘宇珺</t>
  </si>
  <si>
    <t>B023451</t>
  </si>
  <si>
    <t>10.187.240.132</t>
  </si>
  <si>
    <t>FE:FC:FA:9d:35:9f</t>
  </si>
  <si>
    <t>273.16 GB</t>
  </si>
  <si>
    <t>B007947</t>
  </si>
  <si>
    <t>160.18.242.103</t>
  </si>
  <si>
    <t>Z024690</t>
  </si>
  <si>
    <t>160.28.240.55</t>
  </si>
  <si>
    <t>024690</t>
  </si>
  <si>
    <t>何川</t>
  </si>
  <si>
    <t>10.187.240.133</t>
  </si>
  <si>
    <t>FE:FC:FA:81:44:17</t>
  </si>
  <si>
    <t>266.38 GB</t>
  </si>
  <si>
    <t xml:space="preserve"> 2026-07-06 22:31:13 </t>
  </si>
  <si>
    <t>B012008</t>
  </si>
  <si>
    <t>160.18.241.165</t>
  </si>
  <si>
    <t>W004572</t>
  </si>
  <si>
    <t>160.18.241.22</t>
  </si>
  <si>
    <t>004572</t>
  </si>
  <si>
    <t>陈浩</t>
  </si>
  <si>
    <t>南京高淳宝塔路证券营业部</t>
  </si>
  <si>
    <t>B004572</t>
  </si>
  <si>
    <t>10.187.240.134</t>
  </si>
  <si>
    <t>FE:FC:FA:f6:59:8a</t>
  </si>
  <si>
    <t>B012089</t>
  </si>
  <si>
    <t>160.18.243.75</t>
  </si>
  <si>
    <t>W013118</t>
  </si>
  <si>
    <t>160.18.243.33</t>
  </si>
  <si>
    <t>013118</t>
  </si>
  <si>
    <t>蒋来</t>
  </si>
  <si>
    <t>B013118</t>
  </si>
  <si>
    <t>10.187.240.135</t>
  </si>
  <si>
    <t>FE:FC:FA:3f:3d:a5</t>
  </si>
  <si>
    <t>B012588</t>
  </si>
  <si>
    <t>160.28.240.39</t>
  </si>
  <si>
    <t>W017737</t>
  </si>
  <si>
    <t>160.18.241.105</t>
  </si>
  <si>
    <t>017737</t>
  </si>
  <si>
    <t>朱洋</t>
  </si>
  <si>
    <t>B017737</t>
  </si>
  <si>
    <t>10.187.240.136</t>
  </si>
  <si>
    <t>FE:FC:FA:5c:34:a9</t>
  </si>
  <si>
    <t>B015906</t>
  </si>
  <si>
    <t>160.28.240.40</t>
  </si>
  <si>
    <t>Z024588</t>
  </si>
  <si>
    <t>160.28.242.42</t>
  </si>
  <si>
    <t>024588</t>
  </si>
  <si>
    <t>王亮福</t>
  </si>
  <si>
    <t>B024588</t>
  </si>
  <si>
    <t>10.187.240.137</t>
  </si>
  <si>
    <t>FE:FC:FA:53:f4:4f</t>
  </si>
  <si>
    <t>266.71 GB</t>
  </si>
  <si>
    <t>B017234</t>
  </si>
  <si>
    <t>160.28.242.5</t>
  </si>
  <si>
    <t>W004297</t>
  </si>
  <si>
    <t>160.18.240.114</t>
  </si>
  <si>
    <t>004297</t>
  </si>
  <si>
    <t>叶瑶</t>
  </si>
  <si>
    <t>南京江宁苏源大道证券营业部</t>
  </si>
  <si>
    <t>B004297</t>
  </si>
  <si>
    <t>10.187.240.138</t>
  </si>
  <si>
    <t>FE:FC:FA:f0:6a:3f</t>
  </si>
  <si>
    <t>286.26 GB</t>
  </si>
  <si>
    <t>B017429</t>
  </si>
  <si>
    <t>160.28.242.6</t>
  </si>
  <si>
    <t>W008803</t>
  </si>
  <si>
    <t>160.18.240.17</t>
  </si>
  <si>
    <t>008803</t>
  </si>
  <si>
    <t>谢恺</t>
  </si>
  <si>
    <t>B008803</t>
  </si>
  <si>
    <t>10.187.240.139</t>
  </si>
  <si>
    <t>FE:FC:FA:be:66:36</t>
  </si>
  <si>
    <t>B018080</t>
  </si>
  <si>
    <t>160.28.240.20</t>
  </si>
  <si>
    <t>W010358</t>
  </si>
  <si>
    <t>160.18.240.28</t>
  </si>
  <si>
    <t>010358</t>
  </si>
  <si>
    <t>周时青</t>
  </si>
  <si>
    <t>B010358</t>
  </si>
  <si>
    <t>10.187.240.140</t>
  </si>
  <si>
    <t>FE:FC:FA:2e:d9:3e</t>
  </si>
  <si>
    <t>B018505</t>
  </si>
  <si>
    <t>160.28.240.53</t>
  </si>
  <si>
    <t>W010359</t>
  </si>
  <si>
    <t>160.18.240.215</t>
  </si>
  <si>
    <t>010359</t>
  </si>
  <si>
    <t>胡瑾菲</t>
  </si>
  <si>
    <t>B010359</t>
  </si>
  <si>
    <t>10.187.240.141</t>
  </si>
  <si>
    <t>FE:FC:FA:fe:05:48</t>
  </si>
  <si>
    <t>267.01 GB</t>
  </si>
  <si>
    <t>B019342</t>
  </si>
  <si>
    <t>W015997</t>
  </si>
  <si>
    <t>160.18.243.66</t>
  </si>
  <si>
    <t>015997</t>
  </si>
  <si>
    <t>杨华</t>
  </si>
  <si>
    <t>B015997</t>
  </si>
  <si>
    <t>10.187.240.142</t>
  </si>
  <si>
    <t>FE:FC:FA:b6:4f:b3</t>
  </si>
  <si>
    <t>B020473</t>
  </si>
  <si>
    <t>W016701</t>
  </si>
  <si>
    <t>160.18.241.73</t>
  </si>
  <si>
    <t>016701</t>
  </si>
  <si>
    <t>唐奴尔·阿布地别克</t>
  </si>
  <si>
    <t>B016701</t>
  </si>
  <si>
    <t>10.187.240.143</t>
  </si>
  <si>
    <t>FE:FC:FA:51:aa:32</t>
  </si>
  <si>
    <t>B021502</t>
  </si>
  <si>
    <t>W017429</t>
  </si>
  <si>
    <t>160.18.241.52</t>
  </si>
  <si>
    <t>017429</t>
  </si>
  <si>
    <t>10.187.240.144</t>
  </si>
  <si>
    <t>FE:FC:FA:64:ac:93</t>
  </si>
  <si>
    <t>266.4 GB</t>
  </si>
  <si>
    <t>B021504</t>
  </si>
  <si>
    <t>W018080</t>
  </si>
  <si>
    <t>160.18.242.138</t>
  </si>
  <si>
    <t>018080</t>
  </si>
  <si>
    <t>杨昕</t>
  </si>
  <si>
    <t>10.187.240.145</t>
  </si>
  <si>
    <t>FE:FC:FA:d8:50:f8</t>
  </si>
  <si>
    <t>266.23 GB</t>
  </si>
  <si>
    <t>B021576</t>
  </si>
  <si>
    <t>W018505</t>
  </si>
  <si>
    <t>160.18.241.118</t>
  </si>
  <si>
    <t>018505</t>
  </si>
  <si>
    <t>查璟煜</t>
  </si>
  <si>
    <t>10.187.240.146</t>
  </si>
  <si>
    <t>FE:FC:FA:72:98:bf</t>
  </si>
  <si>
    <t>B023961</t>
  </si>
  <si>
    <t>W003717</t>
  </si>
  <si>
    <t>160.18.240.95</t>
  </si>
  <si>
    <t>003717</t>
  </si>
  <si>
    <t>徐莹</t>
  </si>
  <si>
    <t>南京江宁天元东路证券营业部</t>
  </si>
  <si>
    <t>10.187.240.147</t>
  </si>
  <si>
    <t>FE:FC:FA:13:4d:4c</t>
  </si>
  <si>
    <t>286.11 GB</t>
  </si>
  <si>
    <t>B024508</t>
  </si>
  <si>
    <t>W006486</t>
  </si>
  <si>
    <t>160.18.240.99</t>
  </si>
  <si>
    <t>006486</t>
  </si>
  <si>
    <t>刘欢</t>
  </si>
  <si>
    <t>10.187.240.148</t>
  </si>
  <si>
    <t>FE:FC:FA:14:ca:66</t>
  </si>
  <si>
    <t>B024560</t>
  </si>
  <si>
    <t>W007947</t>
  </si>
  <si>
    <t>160.18.240.248</t>
  </si>
  <si>
    <t>007947</t>
  </si>
  <si>
    <t>马巧萍</t>
  </si>
  <si>
    <t>10.187.240.149</t>
  </si>
  <si>
    <t>FE:FC:FA:b2:30:10</t>
  </si>
  <si>
    <t>286.47 GB</t>
  </si>
  <si>
    <t>B025612</t>
  </si>
  <si>
    <t>W012008</t>
  </si>
  <si>
    <t>160.18.240.161</t>
  </si>
  <si>
    <t>012008</t>
  </si>
  <si>
    <t>杜可桢</t>
  </si>
  <si>
    <t>10.187.240.150</t>
  </si>
  <si>
    <t>FE:FC:FA:24:bc:d8</t>
  </si>
  <si>
    <t>267.13 GB</t>
  </si>
  <si>
    <t>B006131</t>
  </si>
  <si>
    <t>W012089</t>
  </si>
  <si>
    <t>160.18.240.52</t>
  </si>
  <si>
    <t>012089</t>
  </si>
  <si>
    <t>王丽婷</t>
  </si>
  <si>
    <t>10.187.240.151</t>
  </si>
  <si>
    <t>FE:FC:FA:be:c7:9e</t>
  </si>
  <si>
    <t>W012588</t>
  </si>
  <si>
    <t>160.18.240.199</t>
  </si>
  <si>
    <t>012588</t>
  </si>
  <si>
    <t>郝力</t>
  </si>
  <si>
    <t>10.187.240.152</t>
  </si>
  <si>
    <t>FE:FC:FA:52:03:ce</t>
  </si>
  <si>
    <t>267.4 GB</t>
  </si>
  <si>
    <t>W015906</t>
  </si>
  <si>
    <t>160.18.241.37</t>
  </si>
  <si>
    <t>015906</t>
  </si>
  <si>
    <t>郑新艳</t>
  </si>
  <si>
    <t>10.187.240.153</t>
  </si>
  <si>
    <t>FE:FC:FA:4f:a4:28</t>
  </si>
  <si>
    <t>286.1 GB</t>
  </si>
  <si>
    <t>W017234</t>
  </si>
  <si>
    <t>160.18.241.38</t>
  </si>
  <si>
    <t>017234</t>
  </si>
  <si>
    <t>胡小华</t>
  </si>
  <si>
    <t>10.187.240.154</t>
  </si>
  <si>
    <t>FE:FC:FA:3e:40:ca</t>
  </si>
  <si>
    <t>W021044</t>
  </si>
  <si>
    <t>160.18.242.125</t>
  </si>
  <si>
    <t>021044</t>
  </si>
  <si>
    <t>孔良</t>
  </si>
  <si>
    <t>10.187.240.155</t>
  </si>
  <si>
    <t>FE:FC:FA:0f:03:f3</t>
  </si>
  <si>
    <t xml:space="preserve"> 2026-07-06 22:01:51 </t>
  </si>
  <si>
    <t>160.18.241.19</t>
  </si>
  <si>
    <t>W021576</t>
  </si>
  <si>
    <t>160.18.241.152</t>
  </si>
  <si>
    <t>021576</t>
  </si>
  <si>
    <t>吴继俊</t>
  </si>
  <si>
    <t>10.187.240.156</t>
  </si>
  <si>
    <t>FE:FC:FA:ff:b6:4b</t>
  </si>
  <si>
    <t>160.18.240.184</t>
  </si>
  <si>
    <t>W025612</t>
  </si>
  <si>
    <t>160.18.241.186</t>
  </si>
  <si>
    <t>025612</t>
  </si>
  <si>
    <t>姜博士</t>
  </si>
  <si>
    <t>10.187.240.157</t>
  </si>
  <si>
    <t>FE:FC:FA:0d:32:2a</t>
  </si>
  <si>
    <t>160.18.240.206</t>
  </si>
  <si>
    <t>Z023961</t>
  </si>
  <si>
    <t>160.28.242.23</t>
  </si>
  <si>
    <t>023961</t>
  </si>
  <si>
    <t>赵德财</t>
  </si>
  <si>
    <t>10.187.240.158</t>
  </si>
  <si>
    <t>FE:FC:FA:49:72:50</t>
  </si>
  <si>
    <t>160.18.241.29</t>
  </si>
  <si>
    <t>Z024508</t>
  </si>
  <si>
    <t>160.28.240.45</t>
  </si>
  <si>
    <t>024508</t>
  </si>
  <si>
    <t>张启洋</t>
  </si>
  <si>
    <t>10.187.240.159</t>
  </si>
  <si>
    <t>FE:FC:FA:96:a4:10</t>
  </si>
  <si>
    <t>160.18.240.23</t>
  </si>
  <si>
    <t>Z024560</t>
  </si>
  <si>
    <t>160.28.240.48</t>
  </si>
  <si>
    <t>024560</t>
  </si>
  <si>
    <t>马继奇</t>
  </si>
  <si>
    <t>10.187.240.160</t>
  </si>
  <si>
    <t>FE:FC:FA:87:15:63</t>
  </si>
  <si>
    <t>160.18.240.6</t>
  </si>
  <si>
    <t>W002334</t>
  </si>
  <si>
    <t>160.18.241.17</t>
  </si>
  <si>
    <t>002334</t>
  </si>
  <si>
    <t>孙涛</t>
  </si>
  <si>
    <t>南京六合雄州西路证券营业部</t>
  </si>
  <si>
    <t>10.187.240.161</t>
  </si>
  <si>
    <t>FE:FC:FA:bd:a1:fb</t>
  </si>
  <si>
    <t>苏 已卸载</t>
  </si>
  <si>
    <t>160.18.240.186</t>
  </si>
  <si>
    <t>W003516</t>
  </si>
  <si>
    <t>160.18.240.238</t>
  </si>
  <si>
    <t>003516</t>
  </si>
  <si>
    <t>康青</t>
  </si>
  <si>
    <t>10.187.240.162</t>
  </si>
  <si>
    <t>FE:FC:FA:b6:46:2a</t>
  </si>
  <si>
    <t>160.28.242.33</t>
  </si>
  <si>
    <t>W019342</t>
  </si>
  <si>
    <t>160.18.242.245</t>
  </si>
  <si>
    <t>019342</t>
  </si>
  <si>
    <t>10.187.240.163</t>
  </si>
  <si>
    <t>FE:FC:FA:f1:e4:00</t>
  </si>
  <si>
    <t>267.55 GB</t>
  </si>
  <si>
    <t>160.28.240.41</t>
  </si>
  <si>
    <t>W020473</t>
  </si>
  <si>
    <t>160.18.243.16</t>
  </si>
  <si>
    <t>020473</t>
  </si>
  <si>
    <t>王芝军</t>
  </si>
  <si>
    <t>10.187.240.164</t>
  </si>
  <si>
    <t>FE:FC:FA:4c:05:43</t>
  </si>
  <si>
    <t>160.18.240.255</t>
  </si>
  <si>
    <t>W021502</t>
  </si>
  <si>
    <t>160.18.243.54</t>
  </si>
  <si>
    <t>021502</t>
  </si>
  <si>
    <t>王安俊</t>
  </si>
  <si>
    <t>10.187.240.165</t>
  </si>
  <si>
    <t>FE:FC:FA:cf:91:a2</t>
  </si>
  <si>
    <t>416.12 GB</t>
  </si>
  <si>
    <t>160.18.240.239</t>
  </si>
  <si>
    <t>W021504</t>
  </si>
  <si>
    <t>160.18.243.55</t>
  </si>
  <si>
    <t>021504</t>
  </si>
  <si>
    <t>王安飞</t>
  </si>
  <si>
    <t>10.187.240.166</t>
  </si>
  <si>
    <t>FE:FC:FA:df:83:34</t>
  </si>
  <si>
    <t>286.7 GB</t>
  </si>
  <si>
    <t>160.18.240.123</t>
  </si>
  <si>
    <t>W001246</t>
  </si>
  <si>
    <t>160.18.240.171</t>
  </si>
  <si>
    <t>001246</t>
  </si>
  <si>
    <t>张明道</t>
  </si>
  <si>
    <t>南京浦口大道证券营业部</t>
  </si>
  <si>
    <t>10.187.240.167</t>
  </si>
  <si>
    <t>FE:FC:FA:99:67:bf</t>
  </si>
  <si>
    <t>160.18.240.65</t>
  </si>
  <si>
    <t>W004094</t>
  </si>
  <si>
    <t>160.18.240.223</t>
  </si>
  <si>
    <t>004094</t>
  </si>
  <si>
    <t>徐登伟</t>
  </si>
  <si>
    <t>10.187.240.168</t>
  </si>
  <si>
    <t>FE:FC:FA:2a:aa:0c</t>
  </si>
  <si>
    <t>160.18.240.108</t>
  </si>
  <si>
    <t>W004988</t>
  </si>
  <si>
    <t>160.18.240.51</t>
  </si>
  <si>
    <t>004988</t>
  </si>
  <si>
    <t>孙婕</t>
  </si>
  <si>
    <t>10.187.240.169</t>
  </si>
  <si>
    <t>FE:FC:FA:46:05:a2</t>
  </si>
  <si>
    <t>160.18.241.2</t>
  </si>
  <si>
    <t>W006131</t>
  </si>
  <si>
    <t>160.18.241.23</t>
  </si>
  <si>
    <t>006131</t>
  </si>
  <si>
    <t>陈向林</t>
  </si>
  <si>
    <t>10.187.240.170</t>
  </si>
  <si>
    <t>FE:FC:FA:ab:ef:5f</t>
  </si>
  <si>
    <t>286.67 GB</t>
  </si>
  <si>
    <t>160.18.240.46</t>
  </si>
  <si>
    <t>W010340</t>
  </si>
  <si>
    <t>160.18.240.151</t>
  </si>
  <si>
    <t>010340</t>
  </si>
  <si>
    <t>张杰</t>
  </si>
  <si>
    <t>B010340</t>
  </si>
  <si>
    <t>10.187.240.171</t>
  </si>
  <si>
    <t>FE:FC:FA:2e:da:4b</t>
  </si>
  <si>
    <t>W010342</t>
  </si>
  <si>
    <t>160.18.240.168</t>
  </si>
  <si>
    <t>010342</t>
  </si>
  <si>
    <t>张晓明</t>
  </si>
  <si>
    <t>B010342</t>
  </si>
  <si>
    <t>10.187.240.172</t>
  </si>
  <si>
    <t>FE:FC:FA:12:ee:1b</t>
  </si>
  <si>
    <t>160.18.240.63</t>
  </si>
  <si>
    <t>W016732</t>
  </si>
  <si>
    <t>160.18.156.23</t>
  </si>
  <si>
    <t>016732</t>
  </si>
  <si>
    <t>杨鸿甲</t>
  </si>
  <si>
    <t>B016732</t>
  </si>
  <si>
    <t>10.187.240.173</t>
  </si>
  <si>
    <t>FE:FC:FA:91:58:9e</t>
  </si>
  <si>
    <t>160.18.240.21</t>
  </si>
  <si>
    <t>W019381</t>
  </si>
  <si>
    <t>160.18.242.108</t>
  </si>
  <si>
    <t>019381</t>
  </si>
  <si>
    <t>周子恒</t>
  </si>
  <si>
    <t>B019381</t>
  </si>
  <si>
    <t>10.187.240.174</t>
  </si>
  <si>
    <t>FE:FC:FA:ac:3a:77</t>
  </si>
  <si>
    <t>B001194</t>
  </si>
  <si>
    <t>160.18.240.121</t>
  </si>
  <si>
    <t>W020553</t>
  </si>
  <si>
    <t>160.18.243.28</t>
  </si>
  <si>
    <t>020553</t>
  </si>
  <si>
    <t>张玺</t>
  </si>
  <si>
    <t>B020553</t>
  </si>
  <si>
    <t>10.187.240.175</t>
  </si>
  <si>
    <t>FE:FC:FA:e6:19:dd</t>
  </si>
  <si>
    <t>B001206</t>
  </si>
  <si>
    <t>160.18.240.137</t>
  </si>
  <si>
    <t>W025040-1</t>
  </si>
  <si>
    <t>160.18.241.175</t>
  </si>
  <si>
    <t>025040</t>
  </si>
  <si>
    <t>吴佳贝</t>
  </si>
  <si>
    <t>B025040</t>
  </si>
  <si>
    <t>10.187.240.176</t>
  </si>
  <si>
    <t>FE:FC:FA:10:6c:29</t>
  </si>
  <si>
    <t>416.1 GB</t>
  </si>
  <si>
    <t>B001421</t>
  </si>
  <si>
    <t>W025898</t>
  </si>
  <si>
    <t>160.18.243.73</t>
  </si>
  <si>
    <t>025898</t>
  </si>
  <si>
    <t>赵宇轩</t>
  </si>
  <si>
    <t>B025898</t>
  </si>
  <si>
    <t>10.187.240.177</t>
  </si>
  <si>
    <t>FE:FC:FA:c0:fa:b7</t>
  </si>
  <si>
    <t>B001443</t>
  </si>
  <si>
    <t>W001519</t>
  </si>
  <si>
    <t>001519</t>
  </si>
  <si>
    <t>朱红梅</t>
  </si>
  <si>
    <t>南京文澜路证券营业部</t>
  </si>
  <si>
    <t>B001519</t>
  </si>
  <si>
    <t>10.187.240.178</t>
  </si>
  <si>
    <t>FE:FC:FA:87:3c:6e</t>
  </si>
  <si>
    <t>160.18.240.38</t>
  </si>
  <si>
    <t>W003112</t>
  </si>
  <si>
    <t>003112</t>
  </si>
  <si>
    <t>解祥顺</t>
  </si>
  <si>
    <t>B003112</t>
  </si>
  <si>
    <t>10.187.240.179</t>
  </si>
  <si>
    <t>FE:FC:FA:37:07:a8</t>
  </si>
  <si>
    <t>286.14 GB</t>
  </si>
  <si>
    <t>B001921</t>
  </si>
  <si>
    <t>W004137</t>
  </si>
  <si>
    <t>004137</t>
  </si>
  <si>
    <t>陈国建</t>
  </si>
  <si>
    <t>B004137</t>
  </si>
  <si>
    <t>10.187.240.180</t>
  </si>
  <si>
    <t>FE:FC:FA:82:4c:80</t>
  </si>
  <si>
    <t>B002045</t>
  </si>
  <si>
    <t>160.18.240.217</t>
  </si>
  <si>
    <t>W006087</t>
  </si>
  <si>
    <t>006087</t>
  </si>
  <si>
    <t>黄韬</t>
  </si>
  <si>
    <t>B006087</t>
  </si>
  <si>
    <t>10.187.240.181</t>
  </si>
  <si>
    <t>FE:FC:FA:9d:86:fc</t>
  </si>
  <si>
    <t>B002111251</t>
  </si>
  <si>
    <t>160.18.240.69</t>
  </si>
  <si>
    <t>W006162</t>
  </si>
  <si>
    <t>006162</t>
  </si>
  <si>
    <t>葛文莉</t>
  </si>
  <si>
    <t>B006162</t>
  </si>
  <si>
    <t>10.187.240.182</t>
  </si>
  <si>
    <t>FE:FC:FA:ae:9f:91</t>
  </si>
  <si>
    <t>B002111300</t>
  </si>
  <si>
    <t>160.18.240.237</t>
  </si>
  <si>
    <t>W012022</t>
  </si>
  <si>
    <t>012022</t>
  </si>
  <si>
    <t>葛慧敏</t>
  </si>
  <si>
    <t>B012022</t>
  </si>
  <si>
    <t>10.187.240.183</t>
  </si>
  <si>
    <t>FE:FC:FA:b3:91:37</t>
  </si>
  <si>
    <t>160.18.241.182</t>
  </si>
  <si>
    <t>W012710</t>
  </si>
  <si>
    <t>012710</t>
  </si>
  <si>
    <t>B012710</t>
  </si>
  <si>
    <t>10.187.240.184</t>
  </si>
  <si>
    <t>FE:FC:FA:2f:56:8a</t>
  </si>
  <si>
    <t>B003463</t>
  </si>
  <si>
    <t>W021278</t>
  </si>
  <si>
    <t>160.18.243.40</t>
  </si>
  <si>
    <t>021278</t>
  </si>
  <si>
    <t>王星</t>
  </si>
  <si>
    <t>B021278</t>
  </si>
  <si>
    <t>10.187.240.185</t>
  </si>
  <si>
    <t>FE:FC:FA:9b:5d:6c</t>
  </si>
  <si>
    <t>W021827</t>
  </si>
  <si>
    <t>160.18.241.157</t>
  </si>
  <si>
    <t>021827</t>
  </si>
  <si>
    <t>李炳君</t>
  </si>
  <si>
    <t>B021827</t>
  </si>
  <si>
    <t>10.187.240.186</t>
  </si>
  <si>
    <t>FE:FC:FA:8e:1a:f8</t>
  </si>
  <si>
    <t>266.35 GB</t>
  </si>
  <si>
    <t>B004607</t>
  </si>
  <si>
    <t>Z023553-JB</t>
  </si>
  <si>
    <t>160.28.240.24</t>
  </si>
  <si>
    <t>023553</t>
  </si>
  <si>
    <t>陈运</t>
  </si>
  <si>
    <t>B023553</t>
  </si>
  <si>
    <t>10.187.240.187</t>
  </si>
  <si>
    <t>FE:FC:FA:8e:7f:fe</t>
  </si>
  <si>
    <t>B005911</t>
  </si>
  <si>
    <t>Z024462</t>
  </si>
  <si>
    <t>160.28.242.30</t>
  </si>
  <si>
    <t>024462</t>
  </si>
  <si>
    <t>王威</t>
  </si>
  <si>
    <t>B024462</t>
  </si>
  <si>
    <t>10.187.240.188</t>
  </si>
  <si>
    <t>FE:FC:FA:f0:88:7f</t>
  </si>
  <si>
    <t>W001194</t>
  </si>
  <si>
    <t>001194</t>
  </si>
  <si>
    <t>吴珏</t>
  </si>
  <si>
    <t>南京长江路证券营业部</t>
  </si>
  <si>
    <t>10.187.240.189</t>
  </si>
  <si>
    <t>FE:FC:FA:8f:5c:4a</t>
  </si>
  <si>
    <t>B006109</t>
  </si>
  <si>
    <t>W001206</t>
  </si>
  <si>
    <t>001206</t>
  </si>
  <si>
    <t>卜文灿</t>
  </si>
  <si>
    <t>10.187.240.190</t>
  </si>
  <si>
    <t>FE:FC:FA:13:19:c8</t>
  </si>
  <si>
    <t>W001421</t>
  </si>
  <si>
    <t>001421</t>
  </si>
  <si>
    <t>刘长生</t>
  </si>
  <si>
    <t>10.187.240.191</t>
  </si>
  <si>
    <t>FE:FC:FA:a7:b8:38</t>
  </si>
  <si>
    <t>伟 已卸载</t>
  </si>
  <si>
    <t>B008049</t>
  </si>
  <si>
    <t>W001443</t>
  </si>
  <si>
    <t>001443</t>
  </si>
  <si>
    <t>10.187.240.192</t>
  </si>
  <si>
    <t>FE:FC:FA:6e:ea:c6</t>
  </si>
  <si>
    <t>B010075</t>
  </si>
  <si>
    <t>W001921</t>
  </si>
  <si>
    <t>001921</t>
  </si>
  <si>
    <t>丛蓉</t>
  </si>
  <si>
    <t>10.187.240.193</t>
  </si>
  <si>
    <t>FE:FC:FA:b6:08:aa</t>
  </si>
  <si>
    <t>W002045</t>
  </si>
  <si>
    <t>002045</t>
  </si>
  <si>
    <t>刘涛</t>
  </si>
  <si>
    <t>10.187.240.194</t>
  </si>
  <si>
    <t>FE:FC:FA:23:dc:d9</t>
  </si>
  <si>
    <t>286.31 GB</t>
  </si>
  <si>
    <t>W002111251</t>
  </si>
  <si>
    <t>002111251</t>
  </si>
  <si>
    <t>潘方伟</t>
  </si>
  <si>
    <t>10.187.240.195</t>
  </si>
  <si>
    <t>FE:FC:FA:8c:2a:46</t>
  </si>
  <si>
    <t>267.17 GB</t>
  </si>
  <si>
    <t>B002332</t>
  </si>
  <si>
    <t>W002111300</t>
  </si>
  <si>
    <t>002111300</t>
  </si>
  <si>
    <t>董京</t>
  </si>
  <si>
    <t>10.187.240.196</t>
  </si>
  <si>
    <t>FE:FC:FA:49:6a:ea</t>
  </si>
  <si>
    <t>268.58 GB</t>
  </si>
  <si>
    <t>W002332</t>
  </si>
  <si>
    <t>002332</t>
  </si>
  <si>
    <t>魏巍</t>
  </si>
  <si>
    <t>10.187.240.197</t>
  </si>
  <si>
    <t>FE:FC:FA:81:47:f9</t>
  </si>
  <si>
    <t>286.83 GB</t>
  </si>
  <si>
    <t>W003463</t>
  </si>
  <si>
    <t>003463</t>
  </si>
  <si>
    <t>韩妙</t>
  </si>
  <si>
    <t>10.187.240.198</t>
  </si>
  <si>
    <t>FE:FC:FA:76:2a:42</t>
  </si>
  <si>
    <t>286.68 GB</t>
  </si>
  <si>
    <t>W004607</t>
  </si>
  <si>
    <t>004607</t>
  </si>
  <si>
    <t>邢琴</t>
  </si>
  <si>
    <t>10.187.240.199</t>
  </si>
  <si>
    <t>FE:FC:FA:c9:96:71</t>
  </si>
  <si>
    <t>W005911</t>
  </si>
  <si>
    <t>005911</t>
  </si>
  <si>
    <t>王得合</t>
  </si>
  <si>
    <t>10.187.240.200</t>
  </si>
  <si>
    <t>FE:FC:FA:5a:c7:b4</t>
  </si>
  <si>
    <t>W006109</t>
  </si>
  <si>
    <t>006109</t>
  </si>
  <si>
    <t>张利</t>
  </si>
  <si>
    <t>10.187.240.201</t>
  </si>
  <si>
    <t>FE:FC:FA:3b:d9:d6</t>
  </si>
  <si>
    <t>286.48 GB</t>
  </si>
  <si>
    <t>B010384</t>
  </si>
  <si>
    <t>W008049</t>
  </si>
  <si>
    <t>008049</t>
  </si>
  <si>
    <t>贾燕</t>
  </si>
  <si>
    <t>10.187.240.202</t>
  </si>
  <si>
    <t>FE:FC:FA:b5:f8:09</t>
  </si>
  <si>
    <t>B011383</t>
  </si>
  <si>
    <t>W010075</t>
  </si>
  <si>
    <t>010075</t>
  </si>
  <si>
    <t>赵雪莹</t>
  </si>
  <si>
    <t>10.187.240.203</t>
  </si>
  <si>
    <t>FE:FC:FA:b3:a3:f2</t>
  </si>
  <si>
    <t>286.17 GB</t>
  </si>
  <si>
    <t>W010384</t>
  </si>
  <si>
    <t>010384</t>
  </si>
  <si>
    <t>蔡晓飞</t>
  </si>
  <si>
    <t>10.187.240.204</t>
  </si>
  <si>
    <t>FE:FC:FA:5e:f0:d5</t>
  </si>
  <si>
    <t>266.97 GB</t>
  </si>
  <si>
    <t>B012911</t>
  </si>
  <si>
    <t>W011383</t>
  </si>
  <si>
    <t>011383</t>
  </si>
  <si>
    <t>任佳丽</t>
  </si>
  <si>
    <t>10.187.240.205</t>
  </si>
  <si>
    <t>FE:FC:FA:23:d2:68</t>
  </si>
  <si>
    <t>267.7 GB</t>
  </si>
  <si>
    <t>W012055</t>
  </si>
  <si>
    <t>160.18.240.71</t>
  </si>
  <si>
    <t>012055</t>
  </si>
  <si>
    <t>邵淑萍</t>
  </si>
  <si>
    <t>10.187.240.206</t>
  </si>
  <si>
    <t>FE:FC:FA:41:7d:81</t>
  </si>
  <si>
    <t>267.43 GB</t>
  </si>
  <si>
    <t>W012911</t>
  </si>
  <si>
    <t>012911</t>
  </si>
  <si>
    <t>朱禾</t>
  </si>
  <si>
    <t>10.187.240.207</t>
  </si>
  <si>
    <t>FE:FC:FA:fe:19:a9</t>
  </si>
  <si>
    <t>32 GB</t>
  </si>
  <si>
    <t>532.71 GB</t>
  </si>
  <si>
    <t>W018532</t>
  </si>
  <si>
    <t>018532</t>
  </si>
  <si>
    <t>张丹妮</t>
  </si>
  <si>
    <t>B018532</t>
  </si>
  <si>
    <t>10.187.240.208</t>
  </si>
  <si>
    <t>FE:FC:FA:7c:ee:a7</t>
  </si>
  <si>
    <t>266.75 GB</t>
  </si>
  <si>
    <t>W019820</t>
  </si>
  <si>
    <t>019820</t>
  </si>
  <si>
    <t>樊晶晶</t>
  </si>
  <si>
    <t>B019820</t>
  </si>
  <si>
    <t>10.187.240.209</t>
  </si>
  <si>
    <t>FE:FC:FA:98:50:c9</t>
  </si>
  <si>
    <t>286.39 GB</t>
  </si>
  <si>
    <t>W020471</t>
  </si>
  <si>
    <t>020471</t>
  </si>
  <si>
    <t>林瑞</t>
  </si>
  <si>
    <t>B020471</t>
  </si>
  <si>
    <t>10.187.240.210</t>
  </si>
  <si>
    <t>FE:FC:FA:77:9d:78</t>
  </si>
  <si>
    <t>306.74 GB</t>
  </si>
  <si>
    <t>B001712</t>
  </si>
  <si>
    <t>W020504</t>
  </si>
  <si>
    <t>020504</t>
  </si>
  <si>
    <t>吕亚光</t>
  </si>
  <si>
    <t>B020504</t>
  </si>
  <si>
    <t>10.187.240.211</t>
  </si>
  <si>
    <t>FE:FC:FA:e8:7f:93</t>
  </si>
  <si>
    <t>286.8 GB</t>
  </si>
  <si>
    <t>B001876</t>
  </si>
  <si>
    <t>W020506</t>
  </si>
  <si>
    <t>020506</t>
  </si>
  <si>
    <t>何泽慧</t>
  </si>
  <si>
    <t>B020506</t>
  </si>
  <si>
    <t>10.187.240.212</t>
  </si>
  <si>
    <t>FE:FC:FA:f4:d1:18</t>
  </si>
  <si>
    <t>266.7 GB</t>
  </si>
  <si>
    <t>B002285</t>
  </si>
  <si>
    <t>W020508</t>
  </si>
  <si>
    <t>020508</t>
  </si>
  <si>
    <t>丁念冰</t>
  </si>
  <si>
    <t>B020508</t>
  </si>
  <si>
    <t>10.187.240.213</t>
  </si>
  <si>
    <t>FE:FC:FA:9d:18:3e</t>
  </si>
  <si>
    <t>267.85 GB</t>
  </si>
  <si>
    <t>B002505</t>
  </si>
  <si>
    <t>W021385</t>
  </si>
  <si>
    <t>021385</t>
  </si>
  <si>
    <t>程琦</t>
  </si>
  <si>
    <t>B021385</t>
  </si>
  <si>
    <t>10.187.240.214</t>
  </si>
  <si>
    <t>FE:FC:FA:24:47:e6</t>
  </si>
  <si>
    <t>306.2 GB</t>
  </si>
  <si>
    <t>B004043</t>
  </si>
  <si>
    <t>W021627</t>
  </si>
  <si>
    <t>021627</t>
  </si>
  <si>
    <t>史鹏</t>
  </si>
  <si>
    <t>B021627</t>
  </si>
  <si>
    <t>10.187.240.215</t>
  </si>
  <si>
    <t>FE:FC:FA:c0:bf:2d</t>
  </si>
  <si>
    <t>306.69 GB</t>
  </si>
  <si>
    <t>B004873</t>
  </si>
  <si>
    <t>W022202</t>
  </si>
  <si>
    <t>022202</t>
  </si>
  <si>
    <t>李慧君</t>
  </si>
  <si>
    <t>B022202</t>
  </si>
  <si>
    <t>10.187.240.216</t>
  </si>
  <si>
    <t>FE:FC:FA:87:e2:dc</t>
  </si>
  <si>
    <t>286.71 GB</t>
  </si>
  <si>
    <t>B005975</t>
  </si>
  <si>
    <t>W025941</t>
  </si>
  <si>
    <t>025941</t>
  </si>
  <si>
    <t>薛诗宸</t>
  </si>
  <si>
    <t>B025941</t>
  </si>
  <si>
    <t>10.187.240.217</t>
  </si>
  <si>
    <t>FE:FC:FA:5f:36:18</t>
  </si>
  <si>
    <t>B016027</t>
  </si>
  <si>
    <t>Z022137</t>
  </si>
  <si>
    <t>022137</t>
  </si>
  <si>
    <t>帅元昊</t>
  </si>
  <si>
    <t>B022137</t>
  </si>
  <si>
    <t>10.187.240.218</t>
  </si>
  <si>
    <t>FE:FC:FA:e3:a3:b2</t>
  </si>
  <si>
    <t>B001440</t>
  </si>
  <si>
    <t>Z023194</t>
  </si>
  <si>
    <t>023194</t>
  </si>
  <si>
    <t>赵禹杰</t>
  </si>
  <si>
    <t>B023194</t>
  </si>
  <si>
    <t>10.187.240.219</t>
  </si>
  <si>
    <t>FE:FC:FA:d1:4d:10</t>
  </si>
  <si>
    <t>B001445</t>
  </si>
  <si>
    <t>Z024635</t>
  </si>
  <si>
    <t>024635</t>
  </si>
  <si>
    <t>黄威</t>
  </si>
  <si>
    <t>B024635</t>
  </si>
  <si>
    <t>10.187.240.220</t>
  </si>
  <si>
    <t>FE:FC:FA:c9:3d:ed</t>
  </si>
  <si>
    <t>B003413</t>
  </si>
  <si>
    <t>W001440</t>
  </si>
  <si>
    <t>001440</t>
  </si>
  <si>
    <t>赵亮</t>
  </si>
  <si>
    <t>南京止马营证券营业部</t>
  </si>
  <si>
    <t>10.187.240.221</t>
  </si>
  <si>
    <t>FE:FC:FA:69:5d:6b</t>
  </si>
  <si>
    <t>302.33 GB</t>
  </si>
  <si>
    <t>B010338</t>
  </si>
  <si>
    <t>W001445</t>
  </si>
  <si>
    <t>001445</t>
  </si>
  <si>
    <t>陈昱</t>
  </si>
  <si>
    <t>10.187.240.222</t>
  </si>
  <si>
    <t>FE:FC:FA:3c:7a:4b</t>
  </si>
  <si>
    <t>B010883</t>
  </si>
  <si>
    <t>W001712</t>
  </si>
  <si>
    <t>001712</t>
  </si>
  <si>
    <t>徐军</t>
  </si>
  <si>
    <t>10.187.240.223</t>
  </si>
  <si>
    <t>FE:FC:FA:d7:c1:0d</t>
  </si>
  <si>
    <t>287.84 GB</t>
  </si>
  <si>
    <t>B012460</t>
  </si>
  <si>
    <t>W001876-1</t>
  </si>
  <si>
    <t>160.18.240.135</t>
  </si>
  <si>
    <t>001876</t>
  </si>
  <si>
    <t>吴春鹏</t>
  </si>
  <si>
    <t>10.187.240.224</t>
  </si>
  <si>
    <t>FE:FC:FA:4a:9f:4b</t>
  </si>
  <si>
    <t>416.11 GB</t>
  </si>
  <si>
    <t>B013474</t>
  </si>
  <si>
    <t>W002285</t>
  </si>
  <si>
    <t>002285</t>
  </si>
  <si>
    <t>李婧</t>
  </si>
  <si>
    <t>10.187.240.225</t>
  </si>
  <si>
    <t>FE:FC:FA:dc:9e:e7</t>
  </si>
  <si>
    <t>W002505</t>
  </si>
  <si>
    <t>002505</t>
  </si>
  <si>
    <t>戎鑫</t>
  </si>
  <si>
    <t>10.187.240.226</t>
  </si>
  <si>
    <t>FE:FC:FA:e0:eb:f8</t>
  </si>
  <si>
    <t>267.74 GB</t>
  </si>
  <si>
    <t>B011781</t>
  </si>
  <si>
    <t>W003413</t>
  </si>
  <si>
    <t>003413</t>
  </si>
  <si>
    <t>刘彬</t>
  </si>
  <si>
    <t>10.187.240.227</t>
  </si>
  <si>
    <t>FE:FC:FA:3b:e2:7d</t>
  </si>
  <si>
    <t>B018541</t>
  </si>
  <si>
    <t>W004043</t>
  </si>
  <si>
    <t>004043</t>
  </si>
  <si>
    <t>谷含章</t>
  </si>
  <si>
    <t>10.187.240.228</t>
  </si>
  <si>
    <t>FE:FC:FA:97:98:a8</t>
  </si>
  <si>
    <t>616.97 GB</t>
  </si>
  <si>
    <t>B019380</t>
  </si>
  <si>
    <t>W004873</t>
  </si>
  <si>
    <t>004873</t>
  </si>
  <si>
    <t>郭桁熙</t>
  </si>
  <si>
    <t>10.187.240.229</t>
  </si>
  <si>
    <t>FE:FC:FA:10:91:ae</t>
  </si>
  <si>
    <t>500.1 GB</t>
  </si>
  <si>
    <t>W005975</t>
  </si>
  <si>
    <t>005975</t>
  </si>
  <si>
    <t>凌德银</t>
  </si>
  <si>
    <t>10.187.240.230</t>
  </si>
  <si>
    <t>FE:FC:FA:c4:b0:58</t>
  </si>
  <si>
    <t>266.87 GB</t>
  </si>
  <si>
    <t>W010338</t>
  </si>
  <si>
    <t>010338</t>
  </si>
  <si>
    <t>陈曦</t>
  </si>
  <si>
    <t>10.187.240.231</t>
  </si>
  <si>
    <t>FE:FC:FA:e5:ad:bb</t>
  </si>
  <si>
    <t>326.87 GB</t>
  </si>
  <si>
    <t>B001110162</t>
  </si>
  <si>
    <t>W010883</t>
  </si>
  <si>
    <t>010883</t>
  </si>
  <si>
    <t>肖国健</t>
  </si>
  <si>
    <t>10.187.240.232</t>
  </si>
  <si>
    <t>FE:FC:FA:33:e5:09</t>
  </si>
  <si>
    <t>B004110904</t>
  </si>
  <si>
    <t>W011781</t>
  </si>
  <si>
    <t>011781</t>
  </si>
  <si>
    <t>汤梦妍</t>
  </si>
  <si>
    <t>10.187.240.233</t>
  </si>
  <si>
    <t>FE:FC:FA:6b:f4:cb</t>
  </si>
  <si>
    <t>286.24 GB</t>
  </si>
  <si>
    <t>W012460</t>
  </si>
  <si>
    <t>012460</t>
  </si>
  <si>
    <t>孟凡健</t>
  </si>
  <si>
    <t>10.187.240.234</t>
  </si>
  <si>
    <t>FE:FC:FA:16:0d:10</t>
  </si>
  <si>
    <t>W013474</t>
  </si>
  <si>
    <t>013474</t>
  </si>
  <si>
    <t>陈贵妤</t>
  </si>
  <si>
    <t>10.187.240.235</t>
  </si>
  <si>
    <t>FE:FC:FA:71:0a:52</t>
  </si>
  <si>
    <t>W016027</t>
  </si>
  <si>
    <t>016027</t>
  </si>
  <si>
    <t>冀婧</t>
  </si>
  <si>
    <t>10.187.240.236</t>
  </si>
  <si>
    <t>FE:FC:FA:88:3f:dd</t>
  </si>
  <si>
    <t>287.31 GB</t>
  </si>
  <si>
    <t>W018541</t>
  </si>
  <si>
    <t>018541</t>
  </si>
  <si>
    <t>车晶晶</t>
  </si>
  <si>
    <t>10.187.240.237</t>
  </si>
  <si>
    <t>FE:FC:FA:9a:95:e9</t>
  </si>
  <si>
    <t>286.79 GB</t>
  </si>
  <si>
    <t>B021556</t>
  </si>
  <si>
    <t>W019380</t>
  </si>
  <si>
    <t>019380</t>
  </si>
  <si>
    <t>张新星</t>
  </si>
  <si>
    <t>10.187.240.238</t>
  </si>
  <si>
    <t>FE:FC:FA:60:0e:1d</t>
  </si>
  <si>
    <t>W021556</t>
  </si>
  <si>
    <t>021556</t>
  </si>
  <si>
    <t>魏倩钰</t>
  </si>
  <si>
    <t>10.187.240.239</t>
  </si>
  <si>
    <t>FE:FC:FA:ec:c3:bf</t>
  </si>
  <si>
    <t>W022343</t>
  </si>
  <si>
    <t>022343</t>
  </si>
  <si>
    <t>瞿奔</t>
  </si>
  <si>
    <t>B022343</t>
  </si>
  <si>
    <t>10.187.240.240</t>
  </si>
  <si>
    <t>FE:FC:FA:4d:9e:9b</t>
  </si>
  <si>
    <t>W1110162</t>
  </si>
  <si>
    <t>001110162</t>
  </si>
  <si>
    <t>陈文杰</t>
  </si>
  <si>
    <t>10.187.240.241</t>
  </si>
  <si>
    <t>FE:FC:FA:f3:ad:01</t>
  </si>
  <si>
    <t>267.09 GB</t>
  </si>
  <si>
    <t>W4110904</t>
  </si>
  <si>
    <t>004110904</t>
  </si>
  <si>
    <t>韩涛</t>
  </si>
  <si>
    <t>10.187.240.242</t>
  </si>
  <si>
    <t>FE:FC:FA:15:fe:11</t>
  </si>
  <si>
    <t>266.46 GB</t>
  </si>
  <si>
    <t>Z022145</t>
  </si>
  <si>
    <t>022145</t>
  </si>
  <si>
    <t>杨朋</t>
  </si>
  <si>
    <t>10.187.240.243</t>
  </si>
  <si>
    <t>FE:FC:FA:76:78:7d</t>
  </si>
  <si>
    <t xml:space="preserve"> 2026-07-06 21:42:35 </t>
  </si>
  <si>
    <t>FE:FC:FA:f5:de:1a</t>
  </si>
  <si>
    <t xml:space="preserve"> 2026-07-06 20:52:37 </t>
  </si>
  <si>
    <t>WTEST2026</t>
  </si>
  <si>
    <t>FE:FC:FA:f7:6c:65</t>
  </si>
  <si>
    <t xml:space="preserve"> 2026-07-06 20:56:07 </t>
  </si>
  <si>
    <t>W014959</t>
  </si>
  <si>
    <t>160.18.181.66</t>
  </si>
  <si>
    <t>014959</t>
  </si>
  <si>
    <t>陈夫强</t>
  </si>
  <si>
    <t>2026.7.W4</t>
  </si>
  <si>
    <t>B014959</t>
  </si>
  <si>
    <t>10.187.13.1</t>
  </si>
  <si>
    <t>FE:FC:FA:73:98:26</t>
  </si>
  <si>
    <t>VDI_Cluster08_LUN01</t>
  </si>
  <si>
    <t>B025876</t>
  </si>
  <si>
    <t>W020362</t>
  </si>
  <si>
    <t>160.18.17.179</t>
  </si>
  <si>
    <t>020362</t>
  </si>
  <si>
    <t>张峰</t>
  </si>
  <si>
    <t>B020362</t>
  </si>
  <si>
    <t>10.187.13.2</t>
  </si>
  <si>
    <t>FE:FC:FA:40:72:8e</t>
  </si>
  <si>
    <t>B025877</t>
  </si>
  <si>
    <t>W003303</t>
  </si>
  <si>
    <t>160.18.12.187</t>
  </si>
  <si>
    <t>003303</t>
  </si>
  <si>
    <t>孙啸寅</t>
  </si>
  <si>
    <t>B003303</t>
  </si>
  <si>
    <t>10.187.13.3</t>
  </si>
  <si>
    <t>FE:FC:FA:97:8d:b9</t>
  </si>
  <si>
    <t>B025987</t>
  </si>
  <si>
    <t>W002376</t>
  </si>
  <si>
    <t>160.18.13.223</t>
  </si>
  <si>
    <t>002376</t>
  </si>
  <si>
    <t>姚荣元</t>
  </si>
  <si>
    <t>B002376</t>
  </si>
  <si>
    <t>10.187.13.4</t>
  </si>
  <si>
    <t>FE:FC:FA:93:7d:7c</t>
  </si>
  <si>
    <t>BDATASEC01</t>
  </si>
  <si>
    <t>W021625</t>
  </si>
  <si>
    <t>160.18.181.71</t>
  </si>
  <si>
    <t>021625</t>
  </si>
  <si>
    <t>王天宇</t>
  </si>
  <si>
    <t>B021625</t>
  </si>
  <si>
    <t>10.187.13.5</t>
  </si>
  <si>
    <t>FE:FC:FA:7e:8e:fa</t>
  </si>
  <si>
    <t>BWTEST2026-721Q</t>
  </si>
  <si>
    <t>W025987</t>
  </si>
  <si>
    <t>160.18.19.218</t>
  </si>
  <si>
    <t>025987</t>
  </si>
  <si>
    <t>李晗</t>
  </si>
  <si>
    <t>10.187.13.6</t>
  </si>
  <si>
    <t>FE:FC:FA:4a:65:0c</t>
  </si>
  <si>
    <t xml:space="preserve"> 2026-07-21 21:54:09 </t>
  </si>
  <si>
    <t>BZYVDDT01-721Q</t>
  </si>
  <si>
    <t>W025889</t>
  </si>
  <si>
    <t>160.18.18.29</t>
  </si>
  <si>
    <t>025889</t>
  </si>
  <si>
    <t>鹿凯翔</t>
  </si>
  <si>
    <t>B025889</t>
  </si>
  <si>
    <t>10.187.13.7</t>
  </si>
  <si>
    <t>FE:FC:FA:84:89:2a</t>
  </si>
  <si>
    <t>10.187.13.8</t>
  </si>
  <si>
    <t>FE:FC:FA:3f:ac:6a</t>
  </si>
  <si>
    <t>B015215</t>
  </si>
  <si>
    <t>160.18.15.239</t>
  </si>
  <si>
    <t>W025902</t>
  </si>
  <si>
    <t>160.18.17.157</t>
  </si>
  <si>
    <t>025902</t>
  </si>
  <si>
    <t>吴嘉伟</t>
  </si>
  <si>
    <t>B025902</t>
  </si>
  <si>
    <t>10.187.13.9</t>
  </si>
  <si>
    <t>FE:FC:FA:44:c4:0c</t>
  </si>
  <si>
    <t>B015278</t>
  </si>
  <si>
    <t>W025894</t>
  </si>
  <si>
    <t>160.18.19.199</t>
  </si>
  <si>
    <t>025894</t>
  </si>
  <si>
    <t>夏煜东</t>
  </si>
  <si>
    <t>B025894</t>
  </si>
  <si>
    <t>10.187.13.10</t>
  </si>
  <si>
    <t>FE:FC:FA:3f:72:a5</t>
  </si>
  <si>
    <t>B020275</t>
  </si>
  <si>
    <t>160.18.17.155</t>
  </si>
  <si>
    <t>W025887</t>
  </si>
  <si>
    <t>160.18.19.200</t>
  </si>
  <si>
    <t>025887</t>
  </si>
  <si>
    <t>李傲东</t>
  </si>
  <si>
    <t>B025887</t>
  </si>
  <si>
    <t>10.187.13.11</t>
  </si>
  <si>
    <t>FE:FC:FA:c7:46:33</t>
  </si>
  <si>
    <t xml:space="preserve"> 2026-07-21 21:38:09 </t>
  </si>
  <si>
    <t>B024132</t>
  </si>
  <si>
    <t>160.18.13.215</t>
  </si>
  <si>
    <t>W025886</t>
  </si>
  <si>
    <t>160.18.17.158</t>
  </si>
  <si>
    <t>025886</t>
  </si>
  <si>
    <t>黄悦恒</t>
  </si>
  <si>
    <t>B025886</t>
  </si>
  <si>
    <t>10.187.13.12</t>
  </si>
  <si>
    <t>FE:FC:FA:37:fa:98</t>
  </si>
  <si>
    <t>160.18.17.138</t>
  </si>
  <si>
    <t>W025881</t>
  </si>
  <si>
    <t>160.18.19.213</t>
  </si>
  <si>
    <t>025881</t>
  </si>
  <si>
    <t>王子祺</t>
  </si>
  <si>
    <t>B025881</t>
  </si>
  <si>
    <t>10.187.13.13</t>
  </si>
  <si>
    <t>FE:FC:FA:b4:8c:e7</t>
  </si>
  <si>
    <t xml:space="preserve"> 2026-07-21 21:35:15 </t>
  </si>
  <si>
    <t>160.18.17.136</t>
  </si>
  <si>
    <t>W025879</t>
  </si>
  <si>
    <t>160.18.19.198</t>
  </si>
  <si>
    <t>025879</t>
  </si>
  <si>
    <t>陈楚芃</t>
  </si>
  <si>
    <t>B025879</t>
  </si>
  <si>
    <t>10.187.13.14</t>
  </si>
  <si>
    <t>FE:FC:FA:0a:ea:47</t>
  </si>
  <si>
    <t>W025878</t>
  </si>
  <si>
    <t>025878</t>
  </si>
  <si>
    <t>何文泽</t>
  </si>
  <si>
    <t>B025878</t>
  </si>
  <si>
    <t>10.187.13.15</t>
  </si>
  <si>
    <t>FE:FC:FA:c2:e1:78</t>
  </si>
  <si>
    <t>W025877</t>
  </si>
  <si>
    <t>025877</t>
  </si>
  <si>
    <t>郑申奥</t>
  </si>
  <si>
    <t>10.187.13.16</t>
  </si>
  <si>
    <t>FE:FC:FA:7b:d5:58</t>
  </si>
  <si>
    <t>W025876</t>
  </si>
  <si>
    <t>025876</t>
  </si>
  <si>
    <t>刘心荷</t>
  </si>
  <si>
    <t>10.187.13.17</t>
  </si>
  <si>
    <t>FE:FC:FA:6f:40:90</t>
  </si>
  <si>
    <t>W025865</t>
  </si>
  <si>
    <t>025865</t>
  </si>
  <si>
    <t>刘宇尘</t>
  </si>
  <si>
    <t>B025865</t>
  </si>
  <si>
    <t>10.187.13.18</t>
  </si>
  <si>
    <t>FE:FC:FA:32:80:f1</t>
  </si>
  <si>
    <t>WDATASEC01</t>
  </si>
  <si>
    <t>datasec01</t>
  </si>
  <si>
    <t>10.187.13.19</t>
  </si>
  <si>
    <t>FE:FC:FA:a0:fa:6b</t>
  </si>
  <si>
    <t>B022700</t>
  </si>
  <si>
    <t>W022700</t>
  </si>
  <si>
    <t>022700</t>
  </si>
  <si>
    <t>戴金朝</t>
  </si>
  <si>
    <t>10.187.13.20</t>
  </si>
  <si>
    <t>FE:FC:FA:63:66:bf</t>
  </si>
  <si>
    <t>tqtest01</t>
  </si>
  <si>
    <t>BTQTEST01</t>
  </si>
  <si>
    <t>10.187.13.21</t>
  </si>
  <si>
    <t>FE:FC:FA:d5:bb:a2</t>
  </si>
  <si>
    <t>VDI_Cluster08_LUN02</t>
  </si>
  <si>
    <t>重迁</t>
  </si>
  <si>
    <t>10.187.13.22</t>
  </si>
  <si>
    <t>FE:FC:FA:60:5a:4a</t>
  </si>
  <si>
    <t>W011048</t>
  </si>
  <si>
    <t>160.18.181.65</t>
  </si>
  <si>
    <t>011048</t>
  </si>
  <si>
    <t>邱小铭</t>
  </si>
  <si>
    <t>B011048</t>
  </si>
  <si>
    <t>10.187.13.23</t>
  </si>
  <si>
    <t>FE:FC:FA:15:cd:19</t>
  </si>
  <si>
    <t>W015414</t>
  </si>
  <si>
    <t>160.18.16.70</t>
  </si>
  <si>
    <t>015414</t>
  </si>
  <si>
    <t>邹忠伟</t>
  </si>
  <si>
    <t>B015414</t>
  </si>
  <si>
    <t>10.187.13.24</t>
  </si>
  <si>
    <t>FE:FC:FA:b4:11:8a</t>
  </si>
  <si>
    <t>Z024132</t>
  </si>
  <si>
    <t>160.28.12.78</t>
  </si>
  <si>
    <t>024132</t>
  </si>
  <si>
    <t>陈昱霖</t>
  </si>
  <si>
    <t>10.187.13.25</t>
  </si>
  <si>
    <t>FE:FC:FA:3a:2c:e1</t>
  </si>
  <si>
    <t>412.35 GB</t>
  </si>
  <si>
    <t xml:space="preserve"> 2026-07-21 21:33:06 </t>
  </si>
  <si>
    <t>W016899</t>
  </si>
  <si>
    <t>160.18.181.74</t>
  </si>
  <si>
    <t>016899</t>
  </si>
  <si>
    <t>段定</t>
  </si>
  <si>
    <t>B016899</t>
  </si>
  <si>
    <t>10.187.13.26</t>
  </si>
  <si>
    <t>FE:FC:FA:dd:17:e6</t>
  </si>
  <si>
    <t>160.18.12.213</t>
  </si>
  <si>
    <t>10.187.13.27</t>
  </si>
  <si>
    <t>FE:FC:FA:ec:14:a0</t>
  </si>
  <si>
    <t>438.31 GB</t>
  </si>
  <si>
    <t>160.18.181.64</t>
  </si>
  <si>
    <t>W016892</t>
  </si>
  <si>
    <t>160.18.181.67</t>
  </si>
  <si>
    <t>016892</t>
  </si>
  <si>
    <t>苏宇</t>
  </si>
  <si>
    <t>B016892</t>
  </si>
  <si>
    <t>10.187.13.28</t>
  </si>
  <si>
    <t>FE:FC:FA:4c:98:72</t>
  </si>
  <si>
    <t>W016088</t>
  </si>
  <si>
    <t>160.18.14.185</t>
  </si>
  <si>
    <t>016088</t>
  </si>
  <si>
    <t>徐纪滨</t>
  </si>
  <si>
    <t>B016088</t>
  </si>
  <si>
    <t>10.187.13.29</t>
  </si>
  <si>
    <t>FE:FC:FA:91:fe:48</t>
  </si>
  <si>
    <t>W018832</t>
  </si>
  <si>
    <t>160.18.16.148</t>
  </si>
  <si>
    <t>018832</t>
  </si>
  <si>
    <t>高尚政</t>
  </si>
  <si>
    <t>B018832</t>
  </si>
  <si>
    <t>10.187.13.30</t>
  </si>
  <si>
    <t>FE:FC:FA:97:54:40</t>
  </si>
  <si>
    <t>W015215</t>
  </si>
  <si>
    <t>015215</t>
  </si>
  <si>
    <t>徐文涛</t>
  </si>
  <si>
    <t>10.187.13.31</t>
  </si>
  <si>
    <t>FE:FC:FA:1e:30:f1</t>
  </si>
  <si>
    <t>W020831</t>
  </si>
  <si>
    <t>160.18.17.64</t>
  </si>
  <si>
    <t>020831</t>
  </si>
  <si>
    <t>胡金鹏</t>
  </si>
  <si>
    <t>未上线</t>
  </si>
  <si>
    <t>B020831</t>
  </si>
  <si>
    <t>10.187.13.32</t>
  </si>
  <si>
    <t>FE:FC:FA:18:43:3d</t>
  </si>
  <si>
    <t>setup运行报错：Runtime error 255 at 77C46842</t>
  </si>
  <si>
    <t>10.187.13.33</t>
  </si>
  <si>
    <t>FE:FC:FA:3a:3d:3f</t>
  </si>
  <si>
    <t>10.187.13.34</t>
  </si>
  <si>
    <t>FE:FC:FA:df:f7:15</t>
  </si>
  <si>
    <t>W019708</t>
  </si>
  <si>
    <t>160.18.18.210</t>
  </si>
  <si>
    <t>019708</t>
  </si>
  <si>
    <t>王杰</t>
  </si>
  <si>
    <t>B019708</t>
  </si>
  <si>
    <t>10.187.13.35</t>
  </si>
  <si>
    <t>FE:FC:FA:98:49:cb</t>
  </si>
  <si>
    <t>160.18.18.59</t>
  </si>
  <si>
    <t>W018895</t>
  </si>
  <si>
    <t>018895</t>
  </si>
  <si>
    <t>吴仁杰</t>
  </si>
  <si>
    <t>B018895</t>
  </si>
  <si>
    <t>10.187.13.36</t>
  </si>
  <si>
    <t>FE:FC:FA:d1:64:ab</t>
  </si>
  <si>
    <t>160.18.18.93</t>
  </si>
  <si>
    <t>W015278</t>
  </si>
  <si>
    <t>015278</t>
  </si>
  <si>
    <t>张汝宸</t>
  </si>
  <si>
    <t>10.187.13.37</t>
  </si>
  <si>
    <t>FE:FC:FA:91:2b:c6</t>
  </si>
  <si>
    <t>B019169</t>
  </si>
  <si>
    <t>10.187.13.38</t>
  </si>
  <si>
    <t>FE:FC:FA:ed:2a:93</t>
  </si>
  <si>
    <t>W019169</t>
  </si>
  <si>
    <t>019169</t>
  </si>
  <si>
    <t>刘淼</t>
  </si>
  <si>
    <t>上海市</t>
  </si>
  <si>
    <t>10.187.13.39</t>
  </si>
  <si>
    <t>FE:FC:FA:d5:fc:6c</t>
  </si>
  <si>
    <t>W020275</t>
  </si>
  <si>
    <t>160.18.17.114</t>
  </si>
  <si>
    <t>020275</t>
  </si>
  <si>
    <t>顾笑雪</t>
  </si>
  <si>
    <t>10.187.13.40</t>
  </si>
  <si>
    <t>FE:FC:FA:58:2f:5d</t>
  </si>
  <si>
    <t>W015313</t>
  </si>
  <si>
    <t>160.18.12.231</t>
  </si>
  <si>
    <t>015313</t>
  </si>
  <si>
    <t>杨鹏涛</t>
  </si>
  <si>
    <t>B015313</t>
  </si>
  <si>
    <t>10.187.13.41</t>
  </si>
  <si>
    <t>FE:FC:FA:f8:58:a3</t>
  </si>
  <si>
    <t>VDI_Cluster08_LUN03</t>
  </si>
  <si>
    <t>Z025549</t>
  </si>
  <si>
    <t>160.28.12.159</t>
  </si>
  <si>
    <t>025549</t>
  </si>
  <si>
    <t>柏硕</t>
  </si>
  <si>
    <t>B025549</t>
  </si>
  <si>
    <t>10.187.13.42</t>
  </si>
  <si>
    <t>FE:FC:FA:2a:21:b6</t>
  </si>
  <si>
    <t>267.79 GB</t>
  </si>
  <si>
    <t>B016865</t>
  </si>
  <si>
    <t>Z024631</t>
  </si>
  <si>
    <t>160.28.12.120</t>
  </si>
  <si>
    <t>024631</t>
  </si>
  <si>
    <t>韩宇童</t>
  </si>
  <si>
    <t>B024631</t>
  </si>
  <si>
    <t>10.187.13.43</t>
  </si>
  <si>
    <t>FE:FC:FA:2c:45:2e</t>
  </si>
  <si>
    <t>283.99 GB</t>
  </si>
  <si>
    <t>160.18.14.222</t>
  </si>
  <si>
    <t>W025275</t>
  </si>
  <si>
    <t>160.18.15.223</t>
  </si>
  <si>
    <t>025275</t>
  </si>
  <si>
    <t>冯成遂</t>
  </si>
  <si>
    <t>B025275</t>
  </si>
  <si>
    <t>10.187.13.44</t>
  </si>
  <si>
    <t>FE:FC:FA:53:21:45</t>
  </si>
  <si>
    <t>B018263</t>
  </si>
  <si>
    <t>160.18.14.52</t>
  </si>
  <si>
    <t>W025262</t>
  </si>
  <si>
    <t>160.18.15.129</t>
  </si>
  <si>
    <t>025262</t>
  </si>
  <si>
    <t>祖德</t>
  </si>
  <si>
    <t>B025262</t>
  </si>
  <si>
    <t>10.187.13.45</t>
  </si>
  <si>
    <t>FE:FC:FA:94:7b:95</t>
  </si>
  <si>
    <t>B021961</t>
  </si>
  <si>
    <t>160.18.13.160</t>
  </si>
  <si>
    <t>Z024920</t>
  </si>
  <si>
    <t>160.28.12.140</t>
  </si>
  <si>
    <t>024920</t>
  </si>
  <si>
    <t>吕明晟</t>
  </si>
  <si>
    <t>B024920</t>
  </si>
  <si>
    <t>10.187.13.46</t>
  </si>
  <si>
    <t>FE:FC:FA:c8:74:9b</t>
  </si>
  <si>
    <t>B021982</t>
  </si>
  <si>
    <t>160.18.17.135</t>
  </si>
  <si>
    <t>W021809</t>
  </si>
  <si>
    <t>021809</t>
  </si>
  <si>
    <t>胡诗佳</t>
  </si>
  <si>
    <t>B021809</t>
  </si>
  <si>
    <t>10.187.13.47</t>
  </si>
  <si>
    <t>FE:FC:FA:64:1e:9a</t>
  </si>
  <si>
    <t>B023822</t>
  </si>
  <si>
    <t>160.18.17.153</t>
  </si>
  <si>
    <t>Z024827</t>
  </si>
  <si>
    <t>160.28.12.138</t>
  </si>
  <si>
    <t>024827</t>
  </si>
  <si>
    <t>吴琼</t>
  </si>
  <si>
    <t>B024827</t>
  </si>
  <si>
    <t>10.187.13.48</t>
  </si>
  <si>
    <t>FE:FC:FA:12:e6:0f</t>
  </si>
  <si>
    <t>283.29 GB</t>
  </si>
  <si>
    <t>B024218</t>
  </si>
  <si>
    <t>Z024786</t>
  </si>
  <si>
    <t>160.28.12.121</t>
  </si>
  <si>
    <t>024786</t>
  </si>
  <si>
    <t>侯建</t>
  </si>
  <si>
    <t>B024786</t>
  </si>
  <si>
    <t>10.187.13.49</t>
  </si>
  <si>
    <t>FE:FC:FA:4f:83:4b</t>
  </si>
  <si>
    <t>267.53 GB</t>
  </si>
  <si>
    <t>B024225</t>
  </si>
  <si>
    <t>W016865</t>
  </si>
  <si>
    <t>016865</t>
  </si>
  <si>
    <t>贾絮然</t>
  </si>
  <si>
    <t>10.187.13.50</t>
  </si>
  <si>
    <t>FE:FC:FA:ee:74:3c</t>
  </si>
  <si>
    <t>B024355</t>
  </si>
  <si>
    <t>W018263</t>
  </si>
  <si>
    <t>018263</t>
  </si>
  <si>
    <t>冯好时</t>
  </si>
  <si>
    <t>10.187.13.51</t>
  </si>
  <si>
    <t>FE:FC:FA:63:d1:c3</t>
  </si>
  <si>
    <t>B024358</t>
  </si>
  <si>
    <t>160.28.12.23</t>
  </si>
  <si>
    <t>Z024358</t>
  </si>
  <si>
    <t>160.28.14.95</t>
  </si>
  <si>
    <t>024358</t>
  </si>
  <si>
    <t>李皓威</t>
  </si>
  <si>
    <t>10.187.13.52</t>
  </si>
  <si>
    <t>FE:FC:FA:58:09:e4</t>
  </si>
  <si>
    <t>283.79 GB</t>
  </si>
  <si>
    <t>160.28.180.39</t>
  </si>
  <si>
    <t>Z024355</t>
  </si>
  <si>
    <t>160.28.14.97</t>
  </si>
  <si>
    <t>024355</t>
  </si>
  <si>
    <t>俱伟</t>
  </si>
  <si>
    <t>10.187.13.53</t>
  </si>
  <si>
    <t>FE:FC:FA:2e:8f:f9</t>
  </si>
  <si>
    <t>Z021982</t>
  </si>
  <si>
    <t>021982</t>
  </si>
  <si>
    <t>马云飞</t>
  </si>
  <si>
    <t>10.187.13.54</t>
  </si>
  <si>
    <t>FE:FC:FA:08:ac:b0</t>
  </si>
  <si>
    <t>267.1 GB</t>
  </si>
  <si>
    <t>160.28.12.66</t>
  </si>
  <si>
    <t>Z023822</t>
  </si>
  <si>
    <t>023822</t>
  </si>
  <si>
    <t>戚纬琛</t>
  </si>
  <si>
    <t>10.187.13.55</t>
  </si>
  <si>
    <t>FE:FC:FA:e2:ed:5b</t>
  </si>
  <si>
    <t>274.22 GB</t>
  </si>
  <si>
    <t>160.28.14.75</t>
  </si>
  <si>
    <t>Z024225</t>
  </si>
  <si>
    <t>160.28.14.76</t>
  </si>
  <si>
    <t>024225</t>
  </si>
  <si>
    <t>盖文晓</t>
  </si>
  <si>
    <t>10.187.13.56</t>
  </si>
  <si>
    <t>FE:FC:FA:4d:5c:91</t>
  </si>
  <si>
    <t xml:space="preserve"> 2026-07-21 21:40:26 </t>
  </si>
  <si>
    <t>Z024218</t>
  </si>
  <si>
    <t>024218</t>
  </si>
  <si>
    <t>陈辰</t>
  </si>
  <si>
    <t>10.187.13.57</t>
  </si>
  <si>
    <t>FE:FC:FA:ee:3e:d7</t>
  </si>
  <si>
    <t>282.94 GB</t>
  </si>
  <si>
    <t>W017559</t>
  </si>
  <si>
    <t>017559</t>
  </si>
  <si>
    <t>夏一帆</t>
  </si>
  <si>
    <t>B017559</t>
  </si>
  <si>
    <t>10.187.13.58</t>
  </si>
  <si>
    <t>FE:FC:FA:d6:da:11</t>
  </si>
  <si>
    <t>Z022965</t>
  </si>
  <si>
    <t>022965</t>
  </si>
  <si>
    <t>陈家悦</t>
  </si>
  <si>
    <t>B022965</t>
  </si>
  <si>
    <t>10.187.13.59</t>
  </si>
  <si>
    <t>FE:FC:FA:13:02:7e</t>
  </si>
  <si>
    <t>266.24 GB</t>
  </si>
  <si>
    <t>B005775</t>
  </si>
  <si>
    <t>W021961</t>
  </si>
  <si>
    <t>021961</t>
  </si>
  <si>
    <t>刘雨晴</t>
  </si>
  <si>
    <t>10.187.13.60</t>
  </si>
  <si>
    <t>FE:FC:FA:b8:d3:fe</t>
  </si>
  <si>
    <t>B015355</t>
  </si>
  <si>
    <t>W021841</t>
  </si>
  <si>
    <t>160.18.17.142</t>
  </si>
  <si>
    <t>021841</t>
  </si>
  <si>
    <t>张琦</t>
  </si>
  <si>
    <t>B021841</t>
  </si>
  <si>
    <t>10.187.13.61</t>
  </si>
  <si>
    <t>FE:FC:FA:ab:4b:b4</t>
  </si>
  <si>
    <t>VDI_Cluster08_LUN04</t>
  </si>
  <si>
    <t>W021783</t>
  </si>
  <si>
    <t>160.18.19.174</t>
  </si>
  <si>
    <t>021783</t>
  </si>
  <si>
    <t>黄雷</t>
  </si>
  <si>
    <t>B021783</t>
  </si>
  <si>
    <t>10.187.13.62</t>
  </si>
  <si>
    <t>FE:FC:FA:8e:c4:5b</t>
  </si>
  <si>
    <t>B019771</t>
  </si>
  <si>
    <t>W021133</t>
  </si>
  <si>
    <t>160.18.17.108</t>
  </si>
  <si>
    <t>021133</t>
  </si>
  <si>
    <t>王嘉莹</t>
  </si>
  <si>
    <t>B021133</t>
  </si>
  <si>
    <t>10.187.13.63</t>
  </si>
  <si>
    <t>FE:FC:FA:9c:9c:cc</t>
  </si>
  <si>
    <t>B020446</t>
  </si>
  <si>
    <t>W020979</t>
  </si>
  <si>
    <t>160.18.19.91</t>
  </si>
  <si>
    <t>020979</t>
  </si>
  <si>
    <t>魏晓茹</t>
  </si>
  <si>
    <t>B020979</t>
  </si>
  <si>
    <t>10.187.13.64</t>
  </si>
  <si>
    <t>FE:FC:FA:b8:3e:71</t>
  </si>
  <si>
    <t>B020837</t>
  </si>
  <si>
    <t>W020919</t>
  </si>
  <si>
    <t>160.18.19.90</t>
  </si>
  <si>
    <t>020919</t>
  </si>
  <si>
    <t>沈珩</t>
  </si>
  <si>
    <t>B020919</t>
  </si>
  <si>
    <t>10.187.13.65</t>
  </si>
  <si>
    <t>FE:FC:FA:6f:4e:25</t>
  </si>
  <si>
    <t>B020857</t>
  </si>
  <si>
    <t>W020857</t>
  </si>
  <si>
    <t>160.18.181.69</t>
  </si>
  <si>
    <t>020857</t>
  </si>
  <si>
    <t>赵铃雅</t>
  </si>
  <si>
    <t>10.187.13.66</t>
  </si>
  <si>
    <t>FE:FC:FA:75:31:4d</t>
  </si>
  <si>
    <t>W020837</t>
  </si>
  <si>
    <t>160.18.17.80</t>
  </si>
  <si>
    <t>020837</t>
  </si>
  <si>
    <t>单好思</t>
  </si>
  <si>
    <t>10.187.13.67</t>
  </si>
  <si>
    <t>FE:FC:FA:34:43:e1</t>
  </si>
  <si>
    <t>W020446</t>
  </si>
  <si>
    <t>160.18.17.195</t>
  </si>
  <si>
    <t>020446</t>
  </si>
  <si>
    <t>田晓琴</t>
  </si>
  <si>
    <t>10.187.13.68</t>
  </si>
  <si>
    <t>FE:FC:FA:3c:f2:e1</t>
  </si>
  <si>
    <t>B010250</t>
  </si>
  <si>
    <t>W020266</t>
  </si>
  <si>
    <t>160.18.17.200</t>
  </si>
  <si>
    <t>020266</t>
  </si>
  <si>
    <t>尹喜福</t>
  </si>
  <si>
    <t>B020266</t>
  </si>
  <si>
    <t>10.187.13.69</t>
  </si>
  <si>
    <t>FE:FC:FA:45:61:14</t>
  </si>
  <si>
    <t xml:space="preserve"> 2026-07-21 21:22:59 </t>
  </si>
  <si>
    <t>B015211</t>
  </si>
  <si>
    <t>W019711-1</t>
  </si>
  <si>
    <t>160.18.17.2</t>
  </si>
  <si>
    <t>019711</t>
  </si>
  <si>
    <t>沈丽</t>
  </si>
  <si>
    <t>B019711</t>
  </si>
  <si>
    <t>10.187.13.70</t>
  </si>
  <si>
    <t>FE:FC:FA:a0:d1:f5</t>
  </si>
  <si>
    <t>B015331</t>
  </si>
  <si>
    <t>160.18.12.5</t>
  </si>
  <si>
    <t>W019771</t>
  </si>
  <si>
    <t>160.18.18.198</t>
  </si>
  <si>
    <t>019771</t>
  </si>
  <si>
    <t>方秋实</t>
  </si>
  <si>
    <t>10.187.13.71</t>
  </si>
  <si>
    <t>FE:FC:FA:d7:72:69</t>
  </si>
  <si>
    <t>B016554</t>
  </si>
  <si>
    <t>160.18.14.19</t>
  </si>
  <si>
    <t>W019663</t>
  </si>
  <si>
    <t>160.18.18.189</t>
  </si>
  <si>
    <t>019663</t>
  </si>
  <si>
    <t>岳泽彬</t>
  </si>
  <si>
    <t>B019663</t>
  </si>
  <si>
    <t>10.187.13.72</t>
  </si>
  <si>
    <t>FE:FC:FA:1d:72:e6</t>
  </si>
  <si>
    <t>160.18.12.170</t>
  </si>
  <si>
    <t>W019228</t>
  </si>
  <si>
    <t>160.18.16.209</t>
  </si>
  <si>
    <t>019228</t>
  </si>
  <si>
    <t>杨传海</t>
  </si>
  <si>
    <t>B019228</t>
  </si>
  <si>
    <t>10.187.13.73</t>
  </si>
  <si>
    <t>FE:FC:FA:eb:4c:46</t>
  </si>
  <si>
    <t>B018393</t>
  </si>
  <si>
    <t>160.18.12.57</t>
  </si>
  <si>
    <t>W018864</t>
  </si>
  <si>
    <t>160.18.16.149</t>
  </si>
  <si>
    <t>018864</t>
  </si>
  <si>
    <t>陈林承</t>
  </si>
  <si>
    <t>B018864</t>
  </si>
  <si>
    <t>10.187.13.74</t>
  </si>
  <si>
    <t>FE:FC:FA:ab:78:22</t>
  </si>
  <si>
    <t>160.18.14.59</t>
  </si>
  <si>
    <t>W018393</t>
  </si>
  <si>
    <t>160.18.15.184</t>
  </si>
  <si>
    <t>018393</t>
  </si>
  <si>
    <t>赵新</t>
  </si>
  <si>
    <t>10.187.13.75</t>
  </si>
  <si>
    <t>FE:FC:FA:05:3c:b1</t>
  </si>
  <si>
    <t>W017705</t>
  </si>
  <si>
    <t>017705</t>
  </si>
  <si>
    <t>吴沛然</t>
  </si>
  <si>
    <t>B017705</t>
  </si>
  <si>
    <t>10.187.13.76</t>
  </si>
  <si>
    <t>FE:FC:FA:e6:ef:e0</t>
  </si>
  <si>
    <t>B019235</t>
  </si>
  <si>
    <t>W016554</t>
  </si>
  <si>
    <t>016554</t>
  </si>
  <si>
    <t>张鑫</t>
  </si>
  <si>
    <t>10.187.13.77</t>
  </si>
  <si>
    <t>FE:FC:FA:11:ed:15</t>
  </si>
  <si>
    <t>W015355</t>
  </si>
  <si>
    <t>015355</t>
  </si>
  <si>
    <t>姜珊</t>
  </si>
  <si>
    <t>10.187.13.78</t>
  </si>
  <si>
    <t>FE:FC:FA:f1:6d:ce</t>
  </si>
  <si>
    <t>W015331</t>
  </si>
  <si>
    <t>015331</t>
  </si>
  <si>
    <t>王新明</t>
  </si>
  <si>
    <t>10.187.13.79</t>
  </si>
  <si>
    <t>FE:FC:FA:51:b3:21</t>
  </si>
  <si>
    <t>B019856</t>
  </si>
  <si>
    <t>W005775</t>
  </si>
  <si>
    <t>005775</t>
  </si>
  <si>
    <t>曹利强</t>
  </si>
  <si>
    <t>10.187.13.80</t>
  </si>
  <si>
    <t>FE:FC:FA:df:29:3d</t>
  </si>
  <si>
    <t>W021171</t>
  </si>
  <si>
    <t>160.18.17.116</t>
  </si>
  <si>
    <t>021171</t>
  </si>
  <si>
    <t>梁帅</t>
  </si>
  <si>
    <t>深圳市</t>
  </si>
  <si>
    <t>B021171</t>
  </si>
  <si>
    <t>10.187.13.81</t>
  </si>
  <si>
    <t>FE:FC:FA:5b:c0:bc</t>
  </si>
  <si>
    <t>W021872</t>
  </si>
  <si>
    <t>160.18.19.186</t>
  </si>
  <si>
    <t>021872</t>
  </si>
  <si>
    <t>李隆隆</t>
  </si>
  <si>
    <t>B021872</t>
  </si>
  <si>
    <t>10.187.13.82</t>
  </si>
  <si>
    <t>FE:FC:FA:e5:51:53</t>
  </si>
  <si>
    <t>W019034</t>
  </si>
  <si>
    <t>160.18.16.164</t>
  </si>
  <si>
    <t>019034</t>
  </si>
  <si>
    <t>彭文龙</t>
  </si>
  <si>
    <t>B019034</t>
  </si>
  <si>
    <t>10.187.13.83</t>
  </si>
  <si>
    <t>FE:FC:FA:a6:1d:bd</t>
  </si>
  <si>
    <t>B021341</t>
  </si>
  <si>
    <t>W021341</t>
  </si>
  <si>
    <t>160.18.19.125</t>
  </si>
  <si>
    <t>021341</t>
  </si>
  <si>
    <t>邓文兵</t>
  </si>
  <si>
    <t>10.187.13.84</t>
  </si>
  <si>
    <t>FE:FC:FA:de:39:ca</t>
  </si>
  <si>
    <t>W016413</t>
  </si>
  <si>
    <t>160.18.16.14</t>
  </si>
  <si>
    <t>016413</t>
  </si>
  <si>
    <t>陈健龙</t>
  </si>
  <si>
    <t>B016413</t>
  </si>
  <si>
    <t>10.187.13.85</t>
  </si>
  <si>
    <t>FE:FC:FA:09:49:98</t>
  </si>
  <si>
    <t>W025512</t>
  </si>
  <si>
    <t>160.18.14.172</t>
  </si>
  <si>
    <t>025512</t>
  </si>
  <si>
    <t>胡静</t>
  </si>
  <si>
    <t>B025512</t>
  </si>
  <si>
    <t>10.187.13.86</t>
  </si>
  <si>
    <t>FE:FC:FA:1b:de:f6</t>
  </si>
  <si>
    <t>Z025722</t>
  </si>
  <si>
    <t>160.28.12.171</t>
  </si>
  <si>
    <t>025722</t>
  </si>
  <si>
    <t>甘俊辉</t>
  </si>
  <si>
    <t>B025722</t>
  </si>
  <si>
    <t>10.187.13.87</t>
  </si>
  <si>
    <t>FE:FC:FA:07:b4:ca</t>
  </si>
  <si>
    <t>389.32 GB</t>
  </si>
  <si>
    <t>B024532</t>
  </si>
  <si>
    <t>W019235</t>
  </si>
  <si>
    <t>160.18.18.121</t>
  </si>
  <si>
    <t>019235</t>
  </si>
  <si>
    <t>喻怡安</t>
  </si>
  <si>
    <t>10.187.13.88</t>
  </si>
  <si>
    <t>FE:FC:FA:34:46:14</t>
  </si>
  <si>
    <t>B024712</t>
  </si>
  <si>
    <t>160.18.16.94</t>
  </si>
  <si>
    <t>W015211</t>
  </si>
  <si>
    <t>160.18.16.24</t>
  </si>
  <si>
    <t>015211</t>
  </si>
  <si>
    <t>李明华</t>
  </si>
  <si>
    <t>10.187.13.89</t>
  </si>
  <si>
    <t>FE:FC:FA:64:81:33</t>
  </si>
  <si>
    <t>B024926</t>
  </si>
  <si>
    <t>W007283</t>
  </si>
  <si>
    <t>007283</t>
  </si>
  <si>
    <t>武永兵</t>
  </si>
  <si>
    <t>B007283</t>
  </si>
  <si>
    <t>10.187.13.90</t>
  </si>
  <si>
    <t>FE:FC:FA:7c:8d:09</t>
  </si>
  <si>
    <t>B025152</t>
  </si>
  <si>
    <t>160.18.16.84</t>
  </si>
  <si>
    <t>W025613</t>
  </si>
  <si>
    <t>160.18.13.147</t>
  </si>
  <si>
    <t>025613</t>
  </si>
  <si>
    <t>B025613</t>
  </si>
  <si>
    <t>10.187.13.91</t>
  </si>
  <si>
    <t>FE:FC:FA:34:09:d3</t>
  </si>
  <si>
    <t>B025386</t>
  </si>
  <si>
    <t>160.18.18.38</t>
  </si>
  <si>
    <t>Z025152</t>
  </si>
  <si>
    <t>160.28.12.147</t>
  </si>
  <si>
    <t>025152</t>
  </si>
  <si>
    <t>郭友</t>
  </si>
  <si>
    <t>10.187.13.92</t>
  </si>
  <si>
    <t>FE:FC:FA:03:73:72</t>
  </si>
  <si>
    <t>282.6 GB</t>
  </si>
  <si>
    <t>W010250</t>
  </si>
  <si>
    <t>010250</t>
  </si>
  <si>
    <t>李昕</t>
  </si>
  <si>
    <t>10.187.13.93</t>
  </si>
  <si>
    <t>FE:FC:FA:81:35:03</t>
  </si>
  <si>
    <t>160.18.16.54</t>
  </si>
  <si>
    <t>W015261</t>
  </si>
  <si>
    <t>015261</t>
  </si>
  <si>
    <t>李凯平</t>
  </si>
  <si>
    <t>B015261</t>
  </si>
  <si>
    <t>10.187.13.94</t>
  </si>
  <si>
    <t>FE:FC:FA:73:89:97</t>
  </si>
  <si>
    <t>W019856</t>
  </si>
  <si>
    <t>160.18.17.242</t>
  </si>
  <si>
    <t>019856</t>
  </si>
  <si>
    <t>林仕文</t>
  </si>
  <si>
    <t>10.187.13.95</t>
  </si>
  <si>
    <t>FE:FC:FA:e9:d9:8c</t>
  </si>
  <si>
    <t>W025386</t>
  </si>
  <si>
    <t>160.18.14.142</t>
  </si>
  <si>
    <t>025386</t>
  </si>
  <si>
    <t>朱肖炜</t>
  </si>
  <si>
    <t>10.187.13.96</t>
  </si>
  <si>
    <t>FE:FC:FA:f7:45:6c</t>
  </si>
  <si>
    <t>Z024532</t>
  </si>
  <si>
    <t>160.28.12.118</t>
  </si>
  <si>
    <t>024532</t>
  </si>
  <si>
    <t>巩浩桐</t>
  </si>
  <si>
    <t>10.187.13.97</t>
  </si>
  <si>
    <t>FE:FC:FA:67:49:fb</t>
  </si>
  <si>
    <t>284.51 GB</t>
  </si>
  <si>
    <t>B008392</t>
  </si>
  <si>
    <t>Z024712</t>
  </si>
  <si>
    <t>160.28.14.121</t>
  </si>
  <si>
    <t>024712</t>
  </si>
  <si>
    <t>唐银银</t>
  </si>
  <si>
    <t>10.187.13.98</t>
  </si>
  <si>
    <t>FE:FC:FA:4a:08:e0</t>
  </si>
  <si>
    <t>304.94 GB</t>
  </si>
  <si>
    <t>B012201</t>
  </si>
  <si>
    <t>W013486</t>
  </si>
  <si>
    <t>013486</t>
  </si>
  <si>
    <t>王招凡</t>
  </si>
  <si>
    <t>B013486</t>
  </si>
  <si>
    <t>10.187.13.99</t>
  </si>
  <si>
    <t>FE:FC:FA:31:11:92</t>
  </si>
  <si>
    <t>B012898</t>
  </si>
  <si>
    <t>Z024926</t>
  </si>
  <si>
    <t>160.28.12.141</t>
  </si>
  <si>
    <t>024926</t>
  </si>
  <si>
    <t>瞿嘉明</t>
  </si>
  <si>
    <t>10.187.13.100</t>
  </si>
  <si>
    <t>FE:FC:FA:03:0d:dd</t>
  </si>
  <si>
    <t>285.49 GB</t>
  </si>
  <si>
    <t>B013053</t>
  </si>
  <si>
    <t>Z025133</t>
  </si>
  <si>
    <t>160.28.12.150</t>
  </si>
  <si>
    <t>025133</t>
  </si>
  <si>
    <t>陈蕾</t>
  </si>
  <si>
    <t>B025133</t>
  </si>
  <si>
    <t>10.187.13.101</t>
  </si>
  <si>
    <t>FE:FC:FA:0b:5a:06</t>
  </si>
  <si>
    <t>285.64 GB</t>
  </si>
  <si>
    <t>VDI_Cluster08_LUN06</t>
  </si>
  <si>
    <t>B014963</t>
  </si>
  <si>
    <t>W018340-1</t>
  </si>
  <si>
    <t>160.18.13.159</t>
  </si>
  <si>
    <t>018340</t>
  </si>
  <si>
    <t>刘志添</t>
  </si>
  <si>
    <t>B018340</t>
  </si>
  <si>
    <t>10.187.13.102</t>
  </si>
  <si>
    <t>FE:FC:FA:af:b4:a0</t>
  </si>
  <si>
    <t>B017872</t>
  </si>
  <si>
    <t>W021707</t>
  </si>
  <si>
    <t>160.18.17.130</t>
  </si>
  <si>
    <t>021707</t>
  </si>
  <si>
    <t>黄煊智</t>
  </si>
  <si>
    <t>B021707</t>
  </si>
  <si>
    <t>10.187.13.103</t>
  </si>
  <si>
    <t>FE:FC:FA:fe:6f:55</t>
  </si>
  <si>
    <t>B018567</t>
  </si>
  <si>
    <t>W008392</t>
  </si>
  <si>
    <t>160.18.16.106</t>
  </si>
  <si>
    <t>008392</t>
  </si>
  <si>
    <t>何伟</t>
  </si>
  <si>
    <t>10.187.13.104</t>
  </si>
  <si>
    <t>FE:FC:FA:2c:67:e6</t>
  </si>
  <si>
    <t>B018778</t>
  </si>
  <si>
    <t>W019125</t>
  </si>
  <si>
    <t>160.18.18.80</t>
  </si>
  <si>
    <t>019125</t>
  </si>
  <si>
    <t>牛雪</t>
  </si>
  <si>
    <t>B019125</t>
  </si>
  <si>
    <t>10.187.13.105</t>
  </si>
  <si>
    <t>FE:FC:FA:6b:06:c5</t>
  </si>
  <si>
    <t>W012201</t>
  </si>
  <si>
    <t>160.18.16.26</t>
  </si>
  <si>
    <t>012201</t>
  </si>
  <si>
    <t>龙建益</t>
  </si>
  <si>
    <t>10.187.13.106</t>
  </si>
  <si>
    <t>FE:FC:FA:2a:20:33</t>
  </si>
  <si>
    <t>10.59.120.160|160.28.14.121</t>
  </si>
  <si>
    <t>W019181</t>
  </si>
  <si>
    <t>160.18.18.142</t>
  </si>
  <si>
    <t>019181</t>
  </si>
  <si>
    <t>严俊林</t>
  </si>
  <si>
    <t>B019181</t>
  </si>
  <si>
    <t>10.187.13.107</t>
  </si>
  <si>
    <t>FE:FC:FA:52:5f:8e</t>
  </si>
  <si>
    <t>W017872</t>
  </si>
  <si>
    <t>160.18.14.62</t>
  </si>
  <si>
    <t>017872</t>
  </si>
  <si>
    <t>郭力恒</t>
  </si>
  <si>
    <t>10.187.13.108</t>
  </si>
  <si>
    <t>FE:FC:FA:56:ce:ed</t>
  </si>
  <si>
    <t>B019178</t>
  </si>
  <si>
    <t>W014963</t>
  </si>
  <si>
    <t>160.18.14.100</t>
  </si>
  <si>
    <t>014963</t>
  </si>
  <si>
    <t>王朝辉</t>
  </si>
  <si>
    <t>10.187.13.109</t>
  </si>
  <si>
    <t>FE:FC:FA:2e:65:4e</t>
  </si>
  <si>
    <t>B019337</t>
  </si>
  <si>
    <t>W018367</t>
  </si>
  <si>
    <t>160.18.13.164</t>
  </si>
  <si>
    <t>018367</t>
  </si>
  <si>
    <t>B018367</t>
  </si>
  <si>
    <t>10.187.13.110</t>
  </si>
  <si>
    <t>FE:FC:FA:f4:2b:09</t>
  </si>
  <si>
    <t>B019936</t>
  </si>
  <si>
    <t>W019178</t>
  </si>
  <si>
    <t>160.18.18.138</t>
  </si>
  <si>
    <t>019178</t>
  </si>
  <si>
    <t>王柳叶</t>
  </si>
  <si>
    <t>10.187.13.111</t>
  </si>
  <si>
    <t>FE:FC:FA:6f:af:2d</t>
  </si>
  <si>
    <t>W019337</t>
  </si>
  <si>
    <t>160.18.18.21</t>
  </si>
  <si>
    <t>019337</t>
  </si>
  <si>
    <t>刘方晴</t>
  </si>
  <si>
    <t>10.187.13.112</t>
  </si>
  <si>
    <t>FE:FC:FA:8d:23:4f</t>
  </si>
  <si>
    <t>W015403</t>
  </si>
  <si>
    <t>160.18.16.91</t>
  </si>
  <si>
    <t>015403</t>
  </si>
  <si>
    <t>梅凡</t>
  </si>
  <si>
    <t>B015403</t>
  </si>
  <si>
    <t>10.187.13.113</t>
  </si>
  <si>
    <t>FE:FC:FA:33:92:8d</t>
  </si>
  <si>
    <t>B021714</t>
  </si>
  <si>
    <t>160.18.16.64</t>
  </si>
  <si>
    <t>W018567</t>
  </si>
  <si>
    <t>160.18.15.189</t>
  </si>
  <si>
    <t>018567</t>
  </si>
  <si>
    <t>俞瑜</t>
  </si>
  <si>
    <t>10.187.13.114</t>
  </si>
  <si>
    <t>FE:FC:FA:66:e8:dc</t>
  </si>
  <si>
    <t>160.18.16.118</t>
  </si>
  <si>
    <t>W013053</t>
  </si>
  <si>
    <t>013053</t>
  </si>
  <si>
    <t>何金艳</t>
  </si>
  <si>
    <t>10.187.13.115</t>
  </si>
  <si>
    <t>FE:FC:FA:13:c8:6c</t>
  </si>
  <si>
    <t>坤  已卸载</t>
  </si>
  <si>
    <t>B007298</t>
  </si>
  <si>
    <t>W018778</t>
  </si>
  <si>
    <t>160.18.16.139</t>
  </si>
  <si>
    <t>018778</t>
  </si>
  <si>
    <t>张超</t>
  </si>
  <si>
    <t>10.187.13.116</t>
  </si>
  <si>
    <t>FE:FC:FA:83:6f:a7</t>
  </si>
  <si>
    <t>W012898</t>
  </si>
  <si>
    <t>012898</t>
  </si>
  <si>
    <t>黄奇</t>
  </si>
  <si>
    <t>10.187.13.117</t>
  </si>
  <si>
    <t>FE:FC:FA:71:67:4a</t>
  </si>
  <si>
    <t>W019936-1</t>
  </si>
  <si>
    <t>160.18.18.243</t>
  </si>
  <si>
    <t>019936</t>
  </si>
  <si>
    <t>刘扬</t>
  </si>
  <si>
    <t>10.187.13.118</t>
  </si>
  <si>
    <t>FE:FC:FA:38:94:ea</t>
  </si>
  <si>
    <t>B021835</t>
  </si>
  <si>
    <t>W019971</t>
  </si>
  <si>
    <t>160.18.17.21</t>
  </si>
  <si>
    <t>019971</t>
  </si>
  <si>
    <t>龙新</t>
  </si>
  <si>
    <t>B019971</t>
  </si>
  <si>
    <t>10.187.13.119</t>
  </si>
  <si>
    <t>FE:FC:FA:69:eb:f0</t>
  </si>
  <si>
    <t>W021714</t>
  </si>
  <si>
    <t>160.18.19.162</t>
  </si>
  <si>
    <t>021714</t>
  </si>
  <si>
    <t>贺冲</t>
  </si>
  <si>
    <t>10.187.13.120</t>
  </si>
  <si>
    <t>FE:FC:FA:74:0b:91</t>
  </si>
  <si>
    <t>B022752</t>
  </si>
  <si>
    <t>W018852</t>
  </si>
  <si>
    <t>160.18.16.154</t>
  </si>
  <si>
    <t>018852</t>
  </si>
  <si>
    <t>黄海峰</t>
  </si>
  <si>
    <t>B018852</t>
  </si>
  <si>
    <t>10.187.13.121</t>
  </si>
  <si>
    <t>FE:FC:FA:94:90:88</t>
  </si>
  <si>
    <t>VDI_Cluster08_LUN07</t>
  </si>
  <si>
    <t>B022976</t>
  </si>
  <si>
    <t>W004714</t>
  </si>
  <si>
    <t>160.18.16.86</t>
  </si>
  <si>
    <t>004714</t>
  </si>
  <si>
    <t>杨坤霖</t>
  </si>
  <si>
    <t>B004714</t>
  </si>
  <si>
    <t>10.187.13.122</t>
  </si>
  <si>
    <t>FE:FC:FA:79:05:93</t>
  </si>
  <si>
    <t>Z022976</t>
  </si>
  <si>
    <t>160.28.14.28</t>
  </si>
  <si>
    <t>022976</t>
  </si>
  <si>
    <t>朱炫</t>
  </si>
  <si>
    <t>10.187.13.123</t>
  </si>
  <si>
    <t>FE:FC:FA:ae:ca:1d</t>
  </si>
  <si>
    <t>B010033</t>
  </si>
  <si>
    <t>W018736</t>
  </si>
  <si>
    <t>160.18.18.45</t>
  </si>
  <si>
    <t>018736</t>
  </si>
  <si>
    <t>庄铄</t>
  </si>
  <si>
    <t>B018736</t>
  </si>
  <si>
    <t>10.187.13.124</t>
  </si>
  <si>
    <t>FE:FC:FA:ed:2c:93</t>
  </si>
  <si>
    <t>W022908</t>
  </si>
  <si>
    <t>160.18.15.203</t>
  </si>
  <si>
    <t>022908</t>
  </si>
  <si>
    <t>喻邵青</t>
  </si>
  <si>
    <t>B022908</t>
  </si>
  <si>
    <t>10.187.13.125</t>
  </si>
  <si>
    <t>FE:FC:FA:d9:08:56</t>
  </si>
  <si>
    <t xml:space="preserve"> 2026-07-21 21:30:09 </t>
  </si>
  <si>
    <t>W010033</t>
  </si>
  <si>
    <t>160.18.12.64</t>
  </si>
  <si>
    <t>010033</t>
  </si>
  <si>
    <t>冯宾</t>
  </si>
  <si>
    <t>10.187.13.126</t>
  </si>
  <si>
    <t>FE:FC:FA:82:f4:9e</t>
  </si>
  <si>
    <t>B016303</t>
  </si>
  <si>
    <t>W016303</t>
  </si>
  <si>
    <t>160.18.16.2</t>
  </si>
  <si>
    <t>016303</t>
  </si>
  <si>
    <t>马亚娜</t>
  </si>
  <si>
    <t>10.187.13.127</t>
  </si>
  <si>
    <t>FE:FC:FA:74:cb:22</t>
  </si>
  <si>
    <t>Z023783</t>
  </si>
  <si>
    <t>160.28.12.64</t>
  </si>
  <si>
    <t>023783</t>
  </si>
  <si>
    <t>谌立</t>
  </si>
  <si>
    <t>B023783</t>
  </si>
  <si>
    <t>10.187.13.128</t>
  </si>
  <si>
    <t>FE:FC:FA:09:e8:f4</t>
  </si>
  <si>
    <t>267.3 GB</t>
  </si>
  <si>
    <t>B021790</t>
  </si>
  <si>
    <t>WN007298</t>
  </si>
  <si>
    <t>160.18.12.69</t>
  </si>
  <si>
    <t>007298</t>
  </si>
  <si>
    <t>金兆荣</t>
  </si>
  <si>
    <t>10.187.13.129</t>
  </si>
  <si>
    <t>FE:FC:FA:02:f0:5f</t>
  </si>
  <si>
    <t xml:space="preserve"> 2026-07-21 21:30:24 </t>
  </si>
  <si>
    <t>B022656</t>
  </si>
  <si>
    <t>W007576</t>
  </si>
  <si>
    <t>160.18.12.63</t>
  </si>
  <si>
    <t>007576</t>
  </si>
  <si>
    <t>严博</t>
  </si>
  <si>
    <t>B007576</t>
  </si>
  <si>
    <t>10.187.13.130</t>
  </si>
  <si>
    <t>FE:FC:FA:9f:f2:c2</t>
  </si>
  <si>
    <t>B022792</t>
  </si>
  <si>
    <t>W022792</t>
  </si>
  <si>
    <t>160.18.13.185</t>
  </si>
  <si>
    <t>022792</t>
  </si>
  <si>
    <t>吴智强</t>
  </si>
  <si>
    <t>10.187.13.131</t>
  </si>
  <si>
    <t>FE:FC:FA:27:17:3a</t>
  </si>
  <si>
    <t>W022750</t>
  </si>
  <si>
    <t>160.18.12.68</t>
  </si>
  <si>
    <t>022750</t>
  </si>
  <si>
    <t>苏全道</t>
  </si>
  <si>
    <t>B022750</t>
  </si>
  <si>
    <t>10.187.13.132</t>
  </si>
  <si>
    <t>FE:FC:FA:b5:b9:f6</t>
  </si>
  <si>
    <t>B023164</t>
  </si>
  <si>
    <t>Z023164</t>
  </si>
  <si>
    <t>160.28.14.48</t>
  </si>
  <si>
    <t>023164</t>
  </si>
  <si>
    <t>赵一锦</t>
  </si>
  <si>
    <t>10.187.13.133</t>
  </si>
  <si>
    <t>FE:FC:FA:12:cd:7c</t>
  </si>
  <si>
    <t>268.97 GB</t>
  </si>
  <si>
    <t>W022656</t>
  </si>
  <si>
    <t>160.18.15.242</t>
  </si>
  <si>
    <t>022656</t>
  </si>
  <si>
    <t>胡国华</t>
  </si>
  <si>
    <t>10.187.13.134</t>
  </si>
  <si>
    <t>FE:FC:FA:c9:17:c9</t>
  </si>
  <si>
    <t>W023038</t>
  </si>
  <si>
    <t>160.18.14.192</t>
  </si>
  <si>
    <t>023038</t>
  </si>
  <si>
    <t>钱恒恒</t>
  </si>
  <si>
    <t>B023038</t>
  </si>
  <si>
    <t>10.187.13.135</t>
  </si>
  <si>
    <t>FE:FC:FA:6a:56:f5</t>
  </si>
  <si>
    <t>W022752</t>
  </si>
  <si>
    <t>160.18.13.118</t>
  </si>
  <si>
    <t>022752</t>
  </si>
  <si>
    <t>何家裕</t>
  </si>
  <si>
    <t>10.187.13.136</t>
  </si>
  <si>
    <t>FE:FC:FA:f4:9e:8b</t>
  </si>
  <si>
    <t>W021835</t>
  </si>
  <si>
    <t>160.18.19.179</t>
  </si>
  <si>
    <t>021835</t>
  </si>
  <si>
    <t>王耀琛</t>
  </si>
  <si>
    <t>10.187.13.137</t>
  </si>
  <si>
    <t>FE:FC:FA:19:79:7f</t>
  </si>
  <si>
    <t>B019523</t>
  </si>
  <si>
    <t>160.18.16.81</t>
  </si>
  <si>
    <t>W007352</t>
  </si>
  <si>
    <t>007352</t>
  </si>
  <si>
    <t>吴辉</t>
  </si>
  <si>
    <t>B007352</t>
  </si>
  <si>
    <t>10.187.13.138</t>
  </si>
  <si>
    <t>FE:FC:FA:3a:82:89</t>
  </si>
  <si>
    <t>W021790</t>
  </si>
  <si>
    <t>160.18.17.163</t>
  </si>
  <si>
    <t>021790</t>
  </si>
  <si>
    <t>梅晗</t>
  </si>
  <si>
    <t>10.187.13.139</t>
  </si>
  <si>
    <t>FE:FC:FA:40:1c:e2</t>
  </si>
  <si>
    <t>W019523</t>
  </si>
  <si>
    <t>160.18.17.40</t>
  </si>
  <si>
    <t>019523</t>
  </si>
  <si>
    <t>肖鹏</t>
  </si>
  <si>
    <t>10.187.13.140</t>
  </si>
  <si>
    <t>FE:FC:FA:0e:01:a5</t>
  </si>
  <si>
    <t>B007175</t>
  </si>
  <si>
    <t>WN017916</t>
  </si>
  <si>
    <t>160.18.14.69</t>
  </si>
  <si>
    <t>017916</t>
  </si>
  <si>
    <t>曾祥</t>
  </si>
  <si>
    <t>B017916</t>
  </si>
  <si>
    <t>10.187.13.141</t>
  </si>
  <si>
    <t>FE:FC:FA:76:fe:a3</t>
  </si>
  <si>
    <t>VDI_Cluster08_LUN08</t>
  </si>
  <si>
    <t>B007445</t>
  </si>
  <si>
    <t>W020960</t>
  </si>
  <si>
    <t>160.18.19.111</t>
  </si>
  <si>
    <t>020960</t>
  </si>
  <si>
    <t>杨文坚</t>
  </si>
  <si>
    <t>B020960</t>
  </si>
  <si>
    <t>10.187.13.142</t>
  </si>
  <si>
    <t>FE:FC:FA:ab:31:c3</t>
  </si>
  <si>
    <t>B013912</t>
  </si>
  <si>
    <t>W020365</t>
  </si>
  <si>
    <t>160.18.19.98</t>
  </si>
  <si>
    <t>020365</t>
  </si>
  <si>
    <t>谢静</t>
  </si>
  <si>
    <t>B020365</t>
  </si>
  <si>
    <t>10.187.13.143</t>
  </si>
  <si>
    <t>FE:FC:FA:9b:56:a3</t>
  </si>
  <si>
    <t>B016538</t>
  </si>
  <si>
    <t>W019825</t>
  </si>
  <si>
    <t>160.18.17.235</t>
  </si>
  <si>
    <t>019825</t>
  </si>
  <si>
    <t>徐植君</t>
  </si>
  <si>
    <t>B019825</t>
  </si>
  <si>
    <t>10.187.13.144</t>
  </si>
  <si>
    <t>FE:FC:FA:32:25:2b</t>
  </si>
  <si>
    <t>W018477</t>
  </si>
  <si>
    <t>160.18.15.187</t>
  </si>
  <si>
    <t>018477</t>
  </si>
  <si>
    <t>史翔禄</t>
  </si>
  <si>
    <t>B018477</t>
  </si>
  <si>
    <t>10.187.13.145</t>
  </si>
  <si>
    <t>FE:FC:FA:69:47:2f</t>
  </si>
  <si>
    <t>W019975</t>
  </si>
  <si>
    <t>160.18.18.254</t>
  </si>
  <si>
    <t>019975</t>
  </si>
  <si>
    <t>陆明</t>
  </si>
  <si>
    <t>B019975</t>
  </si>
  <si>
    <t>10.187.13.146</t>
  </si>
  <si>
    <t>FE:FC:FA:69:40:80</t>
  </si>
  <si>
    <t>B018797</t>
  </si>
  <si>
    <t>W019941</t>
  </si>
  <si>
    <t>160.18.16.246</t>
  </si>
  <si>
    <t>019941</t>
  </si>
  <si>
    <t>陆应通</t>
  </si>
  <si>
    <t>B019941</t>
  </si>
  <si>
    <t>10.187.13.147</t>
  </si>
  <si>
    <t>FE:FC:FA:65:2b:88</t>
  </si>
  <si>
    <t>B018890</t>
  </si>
  <si>
    <t>W019572</t>
  </si>
  <si>
    <t>160.18.18.191</t>
  </si>
  <si>
    <t>019572</t>
  </si>
  <si>
    <t>李文鸿</t>
  </si>
  <si>
    <t>B019572</t>
  </si>
  <si>
    <t>10.187.13.148</t>
  </si>
  <si>
    <t>FE:FC:FA:c4:3e:a4</t>
  </si>
  <si>
    <t>B018891</t>
  </si>
  <si>
    <t>W019500</t>
  </si>
  <si>
    <t>160.18.15.195</t>
  </si>
  <si>
    <t>019500</t>
  </si>
  <si>
    <t>胡空明</t>
  </si>
  <si>
    <t>B019500</t>
  </si>
  <si>
    <t>10.187.13.149</t>
  </si>
  <si>
    <t>FE:FC:FA:d5:40:35</t>
  </si>
  <si>
    <t>B018983</t>
  </si>
  <si>
    <t>W019135</t>
  </si>
  <si>
    <t>160.18.18.91</t>
  </si>
  <si>
    <t>019135</t>
  </si>
  <si>
    <t>胡海晴</t>
  </si>
  <si>
    <t>B019135</t>
  </si>
  <si>
    <t>10.187.13.150</t>
  </si>
  <si>
    <t>FE:FC:FA:ab:41:93</t>
  </si>
  <si>
    <t>W018983</t>
  </si>
  <si>
    <t>160.18.18.66</t>
  </si>
  <si>
    <t>018983</t>
  </si>
  <si>
    <t>杨永强</t>
  </si>
  <si>
    <t>10.187.13.151</t>
  </si>
  <si>
    <t>FE:FC:FA:b0:24:5b</t>
  </si>
  <si>
    <t>W018891</t>
  </si>
  <si>
    <t>160.18.16.157</t>
  </si>
  <si>
    <t>018891</t>
  </si>
  <si>
    <t>周琳</t>
  </si>
  <si>
    <t>10.187.13.152</t>
  </si>
  <si>
    <t>FE:FC:FA:ae:a9:02</t>
  </si>
  <si>
    <t>W018890</t>
  </si>
  <si>
    <t>160.18.18.56</t>
  </si>
  <si>
    <t>018890</t>
  </si>
  <si>
    <t>李千顶</t>
  </si>
  <si>
    <t>10.187.13.153</t>
  </si>
  <si>
    <t>FE:FC:FA:6b:9e:92</t>
  </si>
  <si>
    <t>W018797</t>
  </si>
  <si>
    <t>160.18.16.143</t>
  </si>
  <si>
    <t>018797</t>
  </si>
  <si>
    <t>潘敏</t>
  </si>
  <si>
    <t>10.187.13.154</t>
  </si>
  <si>
    <t>FE:FC:FA:27:a4:c9</t>
  </si>
  <si>
    <t>W016538</t>
  </si>
  <si>
    <t>160.18.16.9</t>
  </si>
  <si>
    <t>016538</t>
  </si>
  <si>
    <t>杨雪儿</t>
  </si>
  <si>
    <t>10.187.13.155</t>
  </si>
  <si>
    <t>FE:FC:FA:d6:c5:b6</t>
  </si>
  <si>
    <t>W016120</t>
  </si>
  <si>
    <t>160.18.16.55</t>
  </si>
  <si>
    <t>016120</t>
  </si>
  <si>
    <t>胡辉</t>
  </si>
  <si>
    <t>B016120</t>
  </si>
  <si>
    <t>10.187.13.156</t>
  </si>
  <si>
    <t>FE:FC:FA:1c:4b:bc</t>
  </si>
  <si>
    <t>W013912</t>
  </si>
  <si>
    <t>160.18.14.139</t>
  </si>
  <si>
    <t>013912</t>
  </si>
  <si>
    <t>张媛</t>
  </si>
  <si>
    <t>10.187.13.157</t>
  </si>
  <si>
    <t>FE:FC:FA:b7:30:00</t>
  </si>
  <si>
    <t>W007445</t>
  </si>
  <si>
    <t>160.18.16.124</t>
  </si>
  <si>
    <t>007445</t>
  </si>
  <si>
    <t>唐大义</t>
  </si>
  <si>
    <t>10.187.13.158</t>
  </si>
  <si>
    <t>FE:FC:FA:da:c0:9a</t>
  </si>
  <si>
    <t>W007175</t>
  </si>
  <si>
    <t>160.18.12.133</t>
  </si>
  <si>
    <t>007175</t>
  </si>
  <si>
    <t>曹宏伟</t>
  </si>
  <si>
    <t>10.187.13.159</t>
  </si>
  <si>
    <t>FE:FC:FA:1b:94:b4</t>
  </si>
  <si>
    <t>10.187.12.8</t>
  </si>
  <si>
    <t xml:space="preserve"> 2026-07-21 21:48:06 </t>
  </si>
  <si>
    <t>10.187.12.9</t>
  </si>
  <si>
    <t xml:space="preserve"> 2026-07-21 21:48:57 </t>
  </si>
  <si>
    <t>10.59.120.157|160.18.18.191|192.168.56.1</t>
  </si>
  <si>
    <t>10.159.120.159|160.18.14.69</t>
  </si>
  <si>
    <t>W016300</t>
  </si>
  <si>
    <t>160.18.77.31</t>
  </si>
  <si>
    <t>016300</t>
  </si>
  <si>
    <t>张勇华</t>
  </si>
  <si>
    <t>7.23</t>
  </si>
  <si>
    <t>B016300</t>
  </si>
  <si>
    <t>10.187.76.21</t>
  </si>
  <si>
    <t>FE:FC:FA:65:79:13</t>
  </si>
  <si>
    <t>VLAN1018</t>
  </si>
  <si>
    <t>B002909</t>
  </si>
  <si>
    <t>W016409</t>
  </si>
  <si>
    <t>160.18.76.32</t>
  </si>
  <si>
    <t>016409</t>
  </si>
  <si>
    <t>姚成宇</t>
  </si>
  <si>
    <t>B016409</t>
  </si>
  <si>
    <t>10.187.76.22</t>
  </si>
  <si>
    <t>FE:FC:FA:28:35:b9</t>
  </si>
  <si>
    <t>B024002</t>
  </si>
  <si>
    <t>W002909</t>
  </si>
  <si>
    <t>160.18.77.19</t>
  </si>
  <si>
    <t>002909</t>
  </si>
  <si>
    <t>颜凯</t>
  </si>
  <si>
    <t>10.187.76.23</t>
  </si>
  <si>
    <t>FE:FC:FA:47:ee:5f</t>
  </si>
  <si>
    <t>B025834</t>
  </si>
  <si>
    <t>W026143</t>
  </si>
  <si>
    <t>160.18.78.107</t>
  </si>
  <si>
    <t>026143</t>
  </si>
  <si>
    <t>陈龙</t>
  </si>
  <si>
    <t>B026143</t>
  </si>
  <si>
    <t>10.187.76.24</t>
  </si>
  <si>
    <t>FE:FC:FA:4e:dd:e5</t>
  </si>
  <si>
    <t>B026063</t>
  </si>
  <si>
    <t>160.18.77.12</t>
  </si>
  <si>
    <t>W026064</t>
  </si>
  <si>
    <t>160.18.78.106</t>
  </si>
  <si>
    <t>026064</t>
  </si>
  <si>
    <t>邵冠岚</t>
  </si>
  <si>
    <t>B026064</t>
  </si>
  <si>
    <t>10.187.76.25</t>
  </si>
  <si>
    <t>FE:FC:FA:6b:d6:3e</t>
  </si>
  <si>
    <t xml:space="preserve"> 2026-07-23 21:27:55 </t>
  </si>
  <si>
    <t>BWTEST2026-723Q</t>
  </si>
  <si>
    <t>160.18.77.16</t>
  </si>
  <si>
    <t>W026107</t>
  </si>
  <si>
    <t>160.18.76.84</t>
  </si>
  <si>
    <t>026107</t>
  </si>
  <si>
    <t>林均劼</t>
  </si>
  <si>
    <t>B026107</t>
  </si>
  <si>
    <t>10.187.76.26</t>
  </si>
  <si>
    <t>FE:FC:FA:d9:66:92</t>
  </si>
  <si>
    <t xml:space="preserve"> 2026-07-23 21:58:54 </t>
  </si>
  <si>
    <t>BZYVDDT01-723Q</t>
  </si>
  <si>
    <t>160.18.77.32</t>
  </si>
  <si>
    <t>W026096</t>
  </si>
  <si>
    <t>160.18.76.83</t>
  </si>
  <si>
    <t>026096</t>
  </si>
  <si>
    <t>李怡燃</t>
  </si>
  <si>
    <t>B026096</t>
  </si>
  <si>
    <t>10.187.76.27</t>
  </si>
  <si>
    <t>FE:FC:FA:64:eb:92</t>
  </si>
  <si>
    <t xml:space="preserve"> 2026-07-23 22:02:24 </t>
  </si>
  <si>
    <t>B011305</t>
  </si>
  <si>
    <t>W026083</t>
  </si>
  <si>
    <t>160.18.78.104</t>
  </si>
  <si>
    <t>026083</t>
  </si>
  <si>
    <t>杨子鹏</t>
  </si>
  <si>
    <t>B026083</t>
  </si>
  <si>
    <t>10.187.76.28</t>
  </si>
  <si>
    <t>FE:FC:FA:1c:e1:a1</t>
  </si>
  <si>
    <t>B016230</t>
  </si>
  <si>
    <t>W026063</t>
  </si>
  <si>
    <t>160.18.76.82</t>
  </si>
  <si>
    <t>026063</t>
  </si>
  <si>
    <t>郑元骢</t>
  </si>
  <si>
    <t>10.187.76.29</t>
  </si>
  <si>
    <t>FE:FC:FA:74:b1:eb</t>
  </si>
  <si>
    <t>160.18.182.120</t>
  </si>
  <si>
    <t>W018436</t>
  </si>
  <si>
    <t>160.18.114.8</t>
  </si>
  <si>
    <t>018436</t>
  </si>
  <si>
    <t>易思含</t>
  </si>
  <si>
    <t>B018436</t>
  </si>
  <si>
    <t>10.187.76.30</t>
  </si>
  <si>
    <t>FE:FC:FA:27:1d:25</t>
  </si>
  <si>
    <t>W016883</t>
  </si>
  <si>
    <t>016883</t>
  </si>
  <si>
    <t>林元宽</t>
  </si>
  <si>
    <t>B016883</t>
  </si>
  <si>
    <t>10.187.76.31</t>
  </si>
  <si>
    <t>FE:FC:FA:54:15:67</t>
  </si>
  <si>
    <t>160.18.78.53</t>
  </si>
  <si>
    <t>W019112</t>
  </si>
  <si>
    <t>019112</t>
  </si>
  <si>
    <t>蒋瑞</t>
  </si>
  <si>
    <t>B019112</t>
  </si>
  <si>
    <t>10.187.76.32</t>
  </si>
  <si>
    <t>FE:FC:FA:6b:52:3f</t>
  </si>
  <si>
    <t>160.18.78.101</t>
  </si>
  <si>
    <t>Z024002</t>
  </si>
  <si>
    <t>160.28.112.14</t>
  </si>
  <si>
    <t>024002</t>
  </si>
  <si>
    <t>王继琛</t>
  </si>
  <si>
    <t>10.187.76.33</t>
  </si>
  <si>
    <t>FE:FC:FA:a1:25:53</t>
  </si>
  <si>
    <t>283.57 GB</t>
  </si>
  <si>
    <t>汤 已删除1</t>
  </si>
  <si>
    <t>160.18.78.100</t>
  </si>
  <si>
    <t>W016230</t>
  </si>
  <si>
    <t>016230</t>
  </si>
  <si>
    <t>汪余景</t>
  </si>
  <si>
    <t>10.187.76.34</t>
  </si>
  <si>
    <t>FE:FC:FA:e7:85:92</t>
  </si>
  <si>
    <t>B020433</t>
  </si>
  <si>
    <t>160.18.78.102</t>
  </si>
  <si>
    <t>W011330</t>
  </si>
  <si>
    <t>011330</t>
  </si>
  <si>
    <t>罗楠</t>
  </si>
  <si>
    <t>B011330</t>
  </si>
  <si>
    <t>10.187.76.35</t>
  </si>
  <si>
    <t>FE:FC:FA:1f:77:3e</t>
  </si>
  <si>
    <t>B025833</t>
  </si>
  <si>
    <t>W011305</t>
  </si>
  <si>
    <t>011305</t>
  </si>
  <si>
    <t>陈茜</t>
  </si>
  <si>
    <t>10.187.76.36</t>
  </si>
  <si>
    <t>FE:FC:FA:ec:0e:55</t>
  </si>
  <si>
    <t>W025968</t>
  </si>
  <si>
    <t>025968</t>
  </si>
  <si>
    <t>宋英达</t>
  </si>
  <si>
    <t>B025968</t>
  </si>
  <si>
    <t>10.187.76.37</t>
  </si>
  <si>
    <t>FE:FC:FA:f4:f7:1e</t>
  </si>
  <si>
    <t>W025834</t>
  </si>
  <si>
    <t>025834</t>
  </si>
  <si>
    <t>张艺源</t>
  </si>
  <si>
    <t>10.187.76.38</t>
  </si>
  <si>
    <t>FE:FC:FA:c1:78:65</t>
  </si>
  <si>
    <t>W025833</t>
  </si>
  <si>
    <t>025833</t>
  </si>
  <si>
    <t>苏子涵</t>
  </si>
  <si>
    <t>10.187.76.39</t>
  </si>
  <si>
    <t>FE:FC:FA:2b:38:1f</t>
  </si>
  <si>
    <t>W020903</t>
  </si>
  <si>
    <t>160.18.77.43</t>
  </si>
  <si>
    <t>020903</t>
  </si>
  <si>
    <t>王前锋</t>
  </si>
  <si>
    <t>B020903</t>
  </si>
  <si>
    <t>10.187.76.40</t>
  </si>
  <si>
    <t>FE:FC:FA:6b:f6:33</t>
  </si>
  <si>
    <t>W019088</t>
  </si>
  <si>
    <t>160.18.77.51</t>
  </si>
  <si>
    <t>019088</t>
  </si>
  <si>
    <t>刘艺伟</t>
  </si>
  <si>
    <t>B019088</t>
  </si>
  <si>
    <t>10.187.76.41</t>
  </si>
  <si>
    <t>FE:FC:FA:f9:76:09</t>
  </si>
  <si>
    <t>W020447</t>
  </si>
  <si>
    <t>160.18.77.36</t>
  </si>
  <si>
    <t>020447</t>
  </si>
  <si>
    <t>高玉集</t>
  </si>
  <si>
    <t>B020447</t>
  </si>
  <si>
    <t>10.187.76.42</t>
  </si>
  <si>
    <t>FE:FC:FA:95:28:88</t>
  </si>
  <si>
    <t>B020279</t>
  </si>
  <si>
    <t>W019406</t>
  </si>
  <si>
    <t>160.18.77.44</t>
  </si>
  <si>
    <t>019406</t>
  </si>
  <si>
    <t>李斐</t>
  </si>
  <si>
    <t>B019406</t>
  </si>
  <si>
    <t>10.187.76.43</t>
  </si>
  <si>
    <t>FE:FC:FA:3a:bf:09</t>
  </si>
  <si>
    <t>B021200</t>
  </si>
  <si>
    <t>160.18.74.12</t>
  </si>
  <si>
    <t>W025864</t>
  </si>
  <si>
    <t>160.18.78.70</t>
  </si>
  <si>
    <t>025864</t>
  </si>
  <si>
    <t>谢鹏</t>
  </si>
  <si>
    <t>B025864</t>
  </si>
  <si>
    <t>10.187.76.44</t>
  </si>
  <si>
    <t>FE:FC:FA:71:b2:e6</t>
  </si>
  <si>
    <t>160.18.78.52</t>
  </si>
  <si>
    <t>W021954</t>
  </si>
  <si>
    <t>160.18.77.34</t>
  </si>
  <si>
    <t>021954</t>
  </si>
  <si>
    <t>王海洋</t>
  </si>
  <si>
    <t>B021954</t>
  </si>
  <si>
    <t>10.187.76.45</t>
  </si>
  <si>
    <t>FE:FC:FA:29:b3:49</t>
  </si>
  <si>
    <t>B006026</t>
  </si>
  <si>
    <t>160.18.77.27</t>
  </si>
  <si>
    <t>Z025677</t>
  </si>
  <si>
    <t>160.28.76.17</t>
  </si>
  <si>
    <t>025677</t>
  </si>
  <si>
    <t>王雨函</t>
  </si>
  <si>
    <t>B025677</t>
  </si>
  <si>
    <t>10.187.76.46</t>
  </si>
  <si>
    <t>FE:FC:FA:32:48:d4</t>
  </si>
  <si>
    <t>266.74 GB</t>
  </si>
  <si>
    <t>有剪贴板</t>
  </si>
  <si>
    <t xml:space="preserve"> 2026-07-23 22:00:24 </t>
  </si>
  <si>
    <t>B006782</t>
  </si>
  <si>
    <t>Z025696</t>
  </si>
  <si>
    <t>160.28.78.8</t>
  </si>
  <si>
    <t>025696</t>
  </si>
  <si>
    <t>黄润哲</t>
  </si>
  <si>
    <t>B025696</t>
  </si>
  <si>
    <t>10.187.76.47</t>
  </si>
  <si>
    <t>FE:FC:FA:26:4f:18</t>
  </si>
  <si>
    <t>266.36 GB</t>
  </si>
  <si>
    <t xml:space="preserve"> 2026-07-23 21:49:25 </t>
  </si>
  <si>
    <t>B015408</t>
  </si>
  <si>
    <t>160.18.77.28</t>
  </si>
  <si>
    <t>W006782</t>
  </si>
  <si>
    <t>006782</t>
  </si>
  <si>
    <t>黄伟</t>
  </si>
  <si>
    <t>10.187.76.48</t>
  </si>
  <si>
    <t>FE:FC:FA:a3:f2:47</t>
  </si>
  <si>
    <t>B018169</t>
  </si>
  <si>
    <t>160.18.76.5</t>
  </si>
  <si>
    <t>W019525</t>
  </si>
  <si>
    <t>160.18.77.41</t>
  </si>
  <si>
    <t>019525</t>
  </si>
  <si>
    <t>王铮然</t>
  </si>
  <si>
    <t>B019525</t>
  </si>
  <si>
    <t>10.187.76.49</t>
  </si>
  <si>
    <t>FE:FC:FA:a5:a0:80</t>
  </si>
  <si>
    <t>W015408</t>
  </si>
  <si>
    <t>015408</t>
  </si>
  <si>
    <t>李强</t>
  </si>
  <si>
    <t>10.187.76.50</t>
  </si>
  <si>
    <t>FE:FC:FA:1e:c5:b7</t>
  </si>
  <si>
    <t>W025581</t>
  </si>
  <si>
    <t>160.18.114.30</t>
  </si>
  <si>
    <t>025581</t>
  </si>
  <si>
    <t>郑众</t>
  </si>
  <si>
    <t>B025581</t>
  </si>
  <si>
    <t>10.187.76.51</t>
  </si>
  <si>
    <t>FE:FC:FA:60:20:5e</t>
  </si>
  <si>
    <t>WFICCOSC</t>
  </si>
  <si>
    <t>160.18.78.40</t>
  </si>
  <si>
    <t>ficcosc</t>
  </si>
  <si>
    <t>李铠岑</t>
  </si>
  <si>
    <t>BFICCOSC</t>
  </si>
  <si>
    <t>10.187.76.52</t>
  </si>
  <si>
    <t>FE:FC:FA:c9:d2:67</t>
  </si>
  <si>
    <t>汤 已删除2</t>
  </si>
  <si>
    <t>Z024445</t>
  </si>
  <si>
    <t>160.28.76.13</t>
  </si>
  <si>
    <t>024445</t>
  </si>
  <si>
    <t>何晗冰</t>
  </si>
  <si>
    <t>B024445</t>
  </si>
  <si>
    <t>10.187.76.53</t>
  </si>
  <si>
    <t>FE:FC:FA:08:4f:2f</t>
  </si>
  <si>
    <t>285.98 GB</t>
  </si>
  <si>
    <t>W006026</t>
  </si>
  <si>
    <t>006026</t>
  </si>
  <si>
    <t>王子皿</t>
  </si>
  <si>
    <t>10.187.76.54</t>
  </si>
  <si>
    <t>FE:FC:FA:6a:93:64</t>
  </si>
  <si>
    <t>无消息，重启1次</t>
  </si>
  <si>
    <t>自动关机</t>
  </si>
  <si>
    <t>W025461</t>
  </si>
  <si>
    <t>160.18.77.23</t>
  </si>
  <si>
    <t>025461</t>
  </si>
  <si>
    <t>李婧宇</t>
  </si>
  <si>
    <t>B025461</t>
  </si>
  <si>
    <t>10.187.76.55</t>
  </si>
  <si>
    <t>FE:FC:FA:ae:80:e8</t>
  </si>
  <si>
    <t>W018169</t>
  </si>
  <si>
    <t>018169</t>
  </si>
  <si>
    <t>张吉远</t>
  </si>
  <si>
    <t>10.187.76.56</t>
  </si>
  <si>
    <t>FE:FC:FA:3d:b0:d1</t>
  </si>
  <si>
    <t>W014359</t>
  </si>
  <si>
    <t>014359</t>
  </si>
  <si>
    <t>朱建</t>
  </si>
  <si>
    <t>B014359</t>
  </si>
  <si>
    <t>10.187.76.57</t>
  </si>
  <si>
    <t>FE:FC:FA:cf:1b:d0</t>
  </si>
  <si>
    <t>W025376</t>
  </si>
  <si>
    <t>160.18.77.25</t>
  </si>
  <si>
    <t>025376</t>
  </si>
  <si>
    <t>李思婵</t>
  </si>
  <si>
    <t>B025376</t>
  </si>
  <si>
    <t>10.187.76.58</t>
  </si>
  <si>
    <t>FE:FC:FA:f9:69:09</t>
  </si>
  <si>
    <t>B004367</t>
  </si>
  <si>
    <t>W004367</t>
  </si>
  <si>
    <t>160.18.78.2</t>
  </si>
  <si>
    <t>004367</t>
  </si>
  <si>
    <t>黄晓达</t>
  </si>
  <si>
    <t>10.187.76.59</t>
  </si>
  <si>
    <t>FE:FC:FA:ce:46:f8</t>
  </si>
  <si>
    <t>W019160</t>
  </si>
  <si>
    <t>160.18.112.50</t>
  </si>
  <si>
    <t>019160</t>
  </si>
  <si>
    <t>唐家博</t>
  </si>
  <si>
    <t>B019160</t>
  </si>
  <si>
    <t>10.187.76.60</t>
  </si>
  <si>
    <t>FE:FC:FA:24:ef:0d</t>
  </si>
  <si>
    <t>W020433</t>
  </si>
  <si>
    <t>160.18.76.23</t>
  </si>
  <si>
    <t>020433</t>
  </si>
  <si>
    <t>梁悦</t>
  </si>
  <si>
    <t>10.187.76.61</t>
  </si>
  <si>
    <t>FE:FC:FA:c2:19:3a</t>
  </si>
  <si>
    <t>B024767</t>
  </si>
  <si>
    <t>W016353</t>
  </si>
  <si>
    <t>160.18.77.20</t>
  </si>
  <si>
    <t>016353</t>
  </si>
  <si>
    <t>程光敏</t>
  </si>
  <si>
    <t>B016353</t>
  </si>
  <si>
    <t>10.187.76.62</t>
  </si>
  <si>
    <t>FE:FC:FA:0d:5d:29</t>
  </si>
  <si>
    <t>B025307</t>
  </si>
  <si>
    <t>W025307</t>
  </si>
  <si>
    <t>160.18.77.24</t>
  </si>
  <si>
    <t>025307</t>
  </si>
  <si>
    <t>高勇</t>
  </si>
  <si>
    <t>10.187.76.63</t>
  </si>
  <si>
    <t>FE:FC:FA:84:21:db</t>
  </si>
  <si>
    <t>160.18.112.21</t>
  </si>
  <si>
    <t>W011648</t>
  </si>
  <si>
    <t>011648</t>
  </si>
  <si>
    <t>韩雪</t>
  </si>
  <si>
    <t>B011648</t>
  </si>
  <si>
    <t>10.187.76.64</t>
  </si>
  <si>
    <t>FE:FC:FA:84:72:b4</t>
  </si>
  <si>
    <t>160.18.77.22</t>
  </si>
  <si>
    <t>W016869</t>
  </si>
  <si>
    <t>160.18.114.29</t>
  </si>
  <si>
    <t>016869</t>
  </si>
  <si>
    <t>牛书炜</t>
  </si>
  <si>
    <t>B016869</t>
  </si>
  <si>
    <t>10.187.76.65</t>
  </si>
  <si>
    <t>FE:FC:FA:1d:67:ed</t>
  </si>
  <si>
    <t>B013146</t>
  </si>
  <si>
    <t>160.18.112.48</t>
  </si>
  <si>
    <t>W013554</t>
  </si>
  <si>
    <t>013554</t>
  </si>
  <si>
    <t>潘城屹</t>
  </si>
  <si>
    <t>B013554</t>
  </si>
  <si>
    <t>10.187.76.66</t>
  </si>
  <si>
    <t>FE:FC:FA:9c:91:78</t>
  </si>
  <si>
    <t>W020321</t>
  </si>
  <si>
    <t>160.18.77.58</t>
  </si>
  <si>
    <t>020321</t>
  </si>
  <si>
    <t>唐建</t>
  </si>
  <si>
    <t>B020321</t>
  </si>
  <si>
    <t>10.187.76.67</t>
  </si>
  <si>
    <t>FE:FC:FA:44:3f:61</t>
  </si>
  <si>
    <t>B019507</t>
  </si>
  <si>
    <t>W019214</t>
  </si>
  <si>
    <t>160.18.77.45</t>
  </si>
  <si>
    <t>019214</t>
  </si>
  <si>
    <t>谢若晗</t>
  </si>
  <si>
    <t>B019214</t>
  </si>
  <si>
    <t>10.187.76.68</t>
  </si>
  <si>
    <t>FE:FC:FA:ae:f4:2b</t>
  </si>
  <si>
    <t>Z024955</t>
  </si>
  <si>
    <t>160.28.76.15</t>
  </si>
  <si>
    <t>024955</t>
  </si>
  <si>
    <t>陈天泽</t>
  </si>
  <si>
    <t>B024955</t>
  </si>
  <si>
    <t>10.187.76.69</t>
  </si>
  <si>
    <t>FE:FC:FA:1c:5d:9f</t>
  </si>
  <si>
    <t>267.04 GB</t>
  </si>
  <si>
    <t>B024943</t>
  </si>
  <si>
    <t>Z024943</t>
  </si>
  <si>
    <t>160.28.76.14</t>
  </si>
  <si>
    <t>024943</t>
  </si>
  <si>
    <t>吴加琪</t>
  </si>
  <si>
    <t>10.187.76.70</t>
  </si>
  <si>
    <t>FE:FC:FA:85:5a:ec</t>
  </si>
  <si>
    <t>160.18.78.27</t>
  </si>
  <si>
    <t>W019507</t>
  </si>
  <si>
    <t>019507</t>
  </si>
  <si>
    <t>宋晓波</t>
  </si>
  <si>
    <t>10.187.76.71</t>
  </si>
  <si>
    <t>FE:FC:FA:77:af:e3</t>
  </si>
  <si>
    <t>Z024767</t>
  </si>
  <si>
    <t>160.28.114.12</t>
  </si>
  <si>
    <t>024767</t>
  </si>
  <si>
    <t>王薏璇</t>
  </si>
  <si>
    <t>10.187.76.72</t>
  </si>
  <si>
    <t>FE:FC:FA:a5:dd:b0</t>
  </si>
  <si>
    <t>270.17 GB</t>
  </si>
  <si>
    <t>160.18.77.55</t>
  </si>
  <si>
    <t>Z024759</t>
  </si>
  <si>
    <t>160.28.114.11</t>
  </si>
  <si>
    <t>024759</t>
  </si>
  <si>
    <t>李彦博</t>
  </si>
  <si>
    <t>B024759</t>
  </si>
  <si>
    <t>10.187.76.73</t>
  </si>
  <si>
    <t>FE:FC:FA:98:28:85</t>
  </si>
  <si>
    <t>269.21 GB</t>
  </si>
  <si>
    <t>W021479</t>
  </si>
  <si>
    <t>021479</t>
  </si>
  <si>
    <t>陈墨阳</t>
  </si>
  <si>
    <t>B021479</t>
  </si>
  <si>
    <t>10.187.76.74</t>
  </si>
  <si>
    <t>FE:FC:FA:4f:a1:f2</t>
  </si>
  <si>
    <t>W013146</t>
  </si>
  <si>
    <t>013146</t>
  </si>
  <si>
    <t>胡铜铃</t>
  </si>
  <si>
    <t>10.187.76.75</t>
  </si>
  <si>
    <t>FE:FC:FA:7c:5a:cc</t>
  </si>
  <si>
    <t>W019612</t>
  </si>
  <si>
    <t>160.18.77.48</t>
  </si>
  <si>
    <t>019612</t>
  </si>
  <si>
    <t>孙圣</t>
  </si>
  <si>
    <t>B019612</t>
  </si>
  <si>
    <t>10.187.76.76</t>
  </si>
  <si>
    <t>FE:FC:FA:7e:0b:f9</t>
  </si>
  <si>
    <t>W021038</t>
  </si>
  <si>
    <t>160.18.77.60</t>
  </si>
  <si>
    <t>021038</t>
  </si>
  <si>
    <t>张寅</t>
  </si>
  <si>
    <t>B021038</t>
  </si>
  <si>
    <t>10.187.76.77</t>
  </si>
  <si>
    <t>FE:FC:FA:38:21:4b</t>
  </si>
  <si>
    <t>伟 已删除2</t>
  </si>
  <si>
    <t>Z024444</t>
  </si>
  <si>
    <t>160.28.78.6</t>
  </si>
  <si>
    <t>024444</t>
  </si>
  <si>
    <t>孔妍然</t>
  </si>
  <si>
    <t>B024444</t>
  </si>
  <si>
    <t>10.187.76.78</t>
  </si>
  <si>
    <t>FE:FC:FA:c9:ef:40</t>
  </si>
  <si>
    <t>270.54 GB</t>
  </si>
  <si>
    <t>B012828</t>
  </si>
  <si>
    <t>W012828</t>
  </si>
  <si>
    <t>160.18.77.29</t>
  </si>
  <si>
    <t>012828</t>
  </si>
  <si>
    <t>崔越</t>
  </si>
  <si>
    <t>10.187.76.79</t>
  </si>
  <si>
    <t>FE:FC:FA:47:a6:0b</t>
  </si>
  <si>
    <t>B015344</t>
  </si>
  <si>
    <t>W022919</t>
  </si>
  <si>
    <t>160.18.77.10</t>
  </si>
  <si>
    <t>022919</t>
  </si>
  <si>
    <t>李姗姗</t>
  </si>
  <si>
    <t>B022919</t>
  </si>
  <si>
    <t>10.187.76.80</t>
  </si>
  <si>
    <t>FE:FC:FA:a2:42:a0</t>
  </si>
  <si>
    <t>B016119</t>
  </si>
  <si>
    <t>Z024035</t>
  </si>
  <si>
    <t>160.28.112.12</t>
  </si>
  <si>
    <t>024035</t>
  </si>
  <si>
    <t>杨宇</t>
  </si>
  <si>
    <t>B024035</t>
  </si>
  <si>
    <t>10.187.76.81</t>
  </si>
  <si>
    <t>FE:FC:FA:c3:08:92</t>
  </si>
  <si>
    <t>284.91 GB</t>
  </si>
  <si>
    <t>B016963</t>
  </si>
  <si>
    <t>160.18.77.11</t>
  </si>
  <si>
    <t>W017021</t>
  </si>
  <si>
    <t>160.18.114.11</t>
  </si>
  <si>
    <t>017021</t>
  </si>
  <si>
    <t>梁爽</t>
  </si>
  <si>
    <t>B017021</t>
  </si>
  <si>
    <t>10.187.76.82</t>
  </si>
  <si>
    <t>FE:FC:FA:bd:37:f0</t>
  </si>
  <si>
    <t xml:space="preserve"> 2026-07-23 21:44:10 </t>
  </si>
  <si>
    <t>B017020</t>
  </si>
  <si>
    <t>160.18.78.14</t>
  </si>
  <si>
    <t>W022246</t>
  </si>
  <si>
    <t>160.18.78.37</t>
  </si>
  <si>
    <t>022246</t>
  </si>
  <si>
    <t>沈玄博</t>
  </si>
  <si>
    <t>B022246</t>
  </si>
  <si>
    <t>10.187.76.83</t>
  </si>
  <si>
    <t>FE:FC:FA:e8:e8:00</t>
  </si>
  <si>
    <t>160.18.114.28</t>
  </si>
  <si>
    <t>W018750</t>
  </si>
  <si>
    <t>160.18.77.50</t>
  </si>
  <si>
    <t>018750</t>
  </si>
  <si>
    <t>蒋昕</t>
  </si>
  <si>
    <t>B018750</t>
  </si>
  <si>
    <t>10.187.76.84</t>
  </si>
  <si>
    <t>FE:FC:FA:34:e1:6b</t>
  </si>
  <si>
    <t xml:space="preserve"> 2026-07-23 21:56:43 </t>
  </si>
  <si>
    <t>B018637</t>
  </si>
  <si>
    <t>160.18.78.42</t>
  </si>
  <si>
    <t>Z024106</t>
  </si>
  <si>
    <t>160.28.114.8</t>
  </si>
  <si>
    <t>024106</t>
  </si>
  <si>
    <t>陈梓灵</t>
  </si>
  <si>
    <t>B024106</t>
  </si>
  <si>
    <t>10.187.76.85</t>
  </si>
  <si>
    <t>FE:FC:FA:78:fa:e4</t>
  </si>
  <si>
    <t>B019150</t>
  </si>
  <si>
    <t>160.18.112.16</t>
  </si>
  <si>
    <t>W015344</t>
  </si>
  <si>
    <t>015344</t>
  </si>
  <si>
    <t>周璐</t>
  </si>
  <si>
    <t>10.187.76.86</t>
  </si>
  <si>
    <t>FE:FC:FA:89:5b:72</t>
  </si>
  <si>
    <t>Z024065</t>
  </si>
  <si>
    <t>160.28.112.13</t>
  </si>
  <si>
    <t>024065</t>
  </si>
  <si>
    <t>徐业帆</t>
  </si>
  <si>
    <t>B024065</t>
  </si>
  <si>
    <t>10.187.76.87</t>
  </si>
  <si>
    <t>FE:FC:FA:11:9c:7f</t>
  </si>
  <si>
    <t>160.18.112.53</t>
  </si>
  <si>
    <t>W018637</t>
  </si>
  <si>
    <t>018637</t>
  </si>
  <si>
    <t>范威风</t>
  </si>
  <si>
    <t>10.187.76.88</t>
  </si>
  <si>
    <t>FE:FC:FA:19:c3:ca</t>
  </si>
  <si>
    <t>B020060</t>
  </si>
  <si>
    <t>W016911</t>
  </si>
  <si>
    <t>016911</t>
  </si>
  <si>
    <t>孙清伟</t>
  </si>
  <si>
    <t>B016911</t>
  </si>
  <si>
    <t>10.187.76.89</t>
  </si>
  <si>
    <t>FE:FC:FA:b5:4a:ca</t>
  </si>
  <si>
    <t>160.18.77.52</t>
  </si>
  <si>
    <t>W017020</t>
  </si>
  <si>
    <t>017020</t>
  </si>
  <si>
    <t>刘歆珂</t>
  </si>
  <si>
    <t>10.187.76.90</t>
  </si>
  <si>
    <t>FE:FC:FA:ad:31:de</t>
  </si>
  <si>
    <t>W020060</t>
  </si>
  <si>
    <t>160.18.77.37</t>
  </si>
  <si>
    <t>020060</t>
  </si>
  <si>
    <t>熊新苑</t>
  </si>
  <si>
    <t>10.187.76.91</t>
  </si>
  <si>
    <t>FE:FC:FA:4b:bf:11</t>
  </si>
  <si>
    <t>W016963</t>
  </si>
  <si>
    <t>016963</t>
  </si>
  <si>
    <t>刘蒙欢</t>
  </si>
  <si>
    <t>10.187.76.92</t>
  </si>
  <si>
    <t>FE:FC:FA:8d:52:d1</t>
  </si>
  <si>
    <t>W019150</t>
  </si>
  <si>
    <t>019150</t>
  </si>
  <si>
    <t>周进</t>
  </si>
  <si>
    <t>10.187.76.93</t>
  </si>
  <si>
    <t>FE:FC:FA:63:ff:33</t>
  </si>
  <si>
    <t>W016119</t>
  </si>
  <si>
    <t>016119</t>
  </si>
  <si>
    <t>10.187.76.94</t>
  </si>
  <si>
    <t>FE:FC:FA:20:ad:a7</t>
  </si>
  <si>
    <t>W017019</t>
  </si>
  <si>
    <t>160.18.114.12</t>
  </si>
  <si>
    <t>017019</t>
  </si>
  <si>
    <t>赵昆</t>
  </si>
  <si>
    <t>B017019</t>
  </si>
  <si>
    <t>10.187.76.95</t>
  </si>
  <si>
    <t>FE:FC:FA:c7:b0:b9</t>
  </si>
  <si>
    <t>W016679</t>
  </si>
  <si>
    <t>160.18.78.23</t>
  </si>
  <si>
    <t>016679</t>
  </si>
  <si>
    <t>吉子垚</t>
  </si>
  <si>
    <t>B016679</t>
  </si>
  <si>
    <t>10.187.76.96</t>
  </si>
  <si>
    <t>FE:FC:FA:54:3e:7e</t>
  </si>
  <si>
    <t>Z023091</t>
  </si>
  <si>
    <t>160.28.76.20</t>
  </si>
  <si>
    <t>023091</t>
  </si>
  <si>
    <t>白鑫磊</t>
  </si>
  <si>
    <t>B023091</t>
  </si>
  <si>
    <t>10.187.76.97</t>
  </si>
  <si>
    <t>FE:FC:FA:88:46:a0</t>
  </si>
  <si>
    <t>B013000</t>
  </si>
  <si>
    <t>Z023048</t>
  </si>
  <si>
    <t>160.28.76.11</t>
  </si>
  <si>
    <t>023048</t>
  </si>
  <si>
    <t>夏潇湘</t>
  </si>
  <si>
    <t>B023048</t>
  </si>
  <si>
    <t>10.187.76.98</t>
  </si>
  <si>
    <t>FE:FC:FA:c8:95:c1</t>
  </si>
  <si>
    <t>273.38 GB</t>
  </si>
  <si>
    <t>B018377</t>
  </si>
  <si>
    <t>W022542</t>
  </si>
  <si>
    <t>160.18.78.39</t>
  </si>
  <si>
    <t>022542</t>
  </si>
  <si>
    <t>湛美</t>
  </si>
  <si>
    <t>B022542</t>
  </si>
  <si>
    <t>10.187.76.99</t>
  </si>
  <si>
    <t>FE:FC:FA:96:15:d5</t>
  </si>
  <si>
    <t>B020320</t>
  </si>
  <si>
    <t>W022218</t>
  </si>
  <si>
    <t>160.18.76.53</t>
  </si>
  <si>
    <t>022218</t>
  </si>
  <si>
    <t>B022218</t>
  </si>
  <si>
    <t>10.187.76.100</t>
  </si>
  <si>
    <t>FE:FC:FA:25:45:7a</t>
  </si>
  <si>
    <t>B016807</t>
  </si>
  <si>
    <t>W022024</t>
  </si>
  <si>
    <t>160.18.77.35</t>
  </si>
  <si>
    <t>022024</t>
  </si>
  <si>
    <t>张鑫炎</t>
  </si>
  <si>
    <t>B022024</t>
  </si>
  <si>
    <t>10.187.76.101</t>
  </si>
  <si>
    <t>FE:FC:FA:12:3d:a9</t>
  </si>
  <si>
    <t>160.18.77.18</t>
  </si>
  <si>
    <t>W011419</t>
  </si>
  <si>
    <t>011419</t>
  </si>
  <si>
    <t>胡江峰</t>
  </si>
  <si>
    <t>B011419</t>
  </si>
  <si>
    <t>10.187.76.102</t>
  </si>
  <si>
    <t>FE:FC:FA:9d:9a:d0</t>
  </si>
  <si>
    <t>B020394</t>
  </si>
  <si>
    <t>160.18.76.37</t>
  </si>
  <si>
    <t>W018377</t>
  </si>
  <si>
    <t>160.18.76.58</t>
  </si>
  <si>
    <t>018377</t>
  </si>
  <si>
    <t>张天成</t>
  </si>
  <si>
    <t>10.187.76.103</t>
  </si>
  <si>
    <t>FE:FC:FA:a6:27:1d</t>
  </si>
  <si>
    <t>160.18.77.21</t>
  </si>
  <si>
    <t>W021200</t>
  </si>
  <si>
    <t>160.18.77.54</t>
  </si>
  <si>
    <t>021200</t>
  </si>
  <si>
    <t>王岭</t>
  </si>
  <si>
    <t>10.187.76.104</t>
  </si>
  <si>
    <t>FE:FC:FA:ca:d3:5e</t>
  </si>
  <si>
    <t>W021134</t>
  </si>
  <si>
    <t>160.18.180.54</t>
  </si>
  <si>
    <t>021134</t>
  </si>
  <si>
    <t>B021134</t>
  </si>
  <si>
    <t>10.187.76.105</t>
  </si>
  <si>
    <t>FE:FC:FA:03:9f:f9</t>
  </si>
  <si>
    <t>160.18.76.7</t>
  </si>
  <si>
    <t>W016347</t>
  </si>
  <si>
    <t>016347</t>
  </si>
  <si>
    <t>游海波</t>
  </si>
  <si>
    <t>B016347</t>
  </si>
  <si>
    <t>10.187.76.106</t>
  </si>
  <si>
    <t>FE:FC:FA:d3:1b:42</t>
  </si>
  <si>
    <t xml:space="preserve"> 2026-07-23 21:34:55 </t>
  </si>
  <si>
    <t>B003462</t>
  </si>
  <si>
    <t>W020142</t>
  </si>
  <si>
    <t>160.18.77.56</t>
  </si>
  <si>
    <t>020142</t>
  </si>
  <si>
    <t>杨康瑞</t>
  </si>
  <si>
    <t>B020142</t>
  </si>
  <si>
    <t>10.187.76.107</t>
  </si>
  <si>
    <t>FE:FC:FA:c0:63:85</t>
  </si>
  <si>
    <t>W017108</t>
  </si>
  <si>
    <t>160.18.112.33</t>
  </si>
  <si>
    <t>017108</t>
  </si>
  <si>
    <t>徐轩绚</t>
  </si>
  <si>
    <t>B017108</t>
  </si>
  <si>
    <t>10.187.76.108</t>
  </si>
  <si>
    <t>FE:FC:FA:d8:7a:99</t>
  </si>
  <si>
    <t>B003554</t>
  </si>
  <si>
    <t>W016807</t>
  </si>
  <si>
    <t>016807</t>
  </si>
  <si>
    <t>李昕哲</t>
  </si>
  <si>
    <t>10.187.76.109</t>
  </si>
  <si>
    <t>FE:FC:FA:01:02:cf</t>
  </si>
  <si>
    <t>B004661</t>
  </si>
  <si>
    <t>W013000</t>
  </si>
  <si>
    <t>013000</t>
  </si>
  <si>
    <t>沈天驰</t>
  </si>
  <si>
    <t>10.187.76.110</t>
  </si>
  <si>
    <t>FE:FC:FA:0c:47:9c</t>
  </si>
  <si>
    <t>B006723</t>
  </si>
  <si>
    <t>160.18.77.57</t>
  </si>
  <si>
    <t>W020858</t>
  </si>
  <si>
    <t>160.18.78.30</t>
  </si>
  <si>
    <t>020858</t>
  </si>
  <si>
    <t>牛彤</t>
  </si>
  <si>
    <t>B020858</t>
  </si>
  <si>
    <t>10.187.76.111</t>
  </si>
  <si>
    <t>FE:FC:FA:81:99:07</t>
  </si>
  <si>
    <t>B010725</t>
  </si>
  <si>
    <t>160.18.76.24</t>
  </si>
  <si>
    <t>W020442</t>
  </si>
  <si>
    <t>160.18.78.47</t>
  </si>
  <si>
    <t>020442</t>
  </si>
  <si>
    <t>徐嘉倩</t>
  </si>
  <si>
    <t>B020442</t>
  </si>
  <si>
    <t>10.187.76.112</t>
  </si>
  <si>
    <t>FE:FC:FA:2a:0c:10</t>
  </si>
  <si>
    <t>B010739</t>
  </si>
  <si>
    <t>W020394</t>
  </si>
  <si>
    <t>020394</t>
  </si>
  <si>
    <t>黎慧</t>
  </si>
  <si>
    <t>10.187.76.113</t>
  </si>
  <si>
    <t>FE:FC:FA:7e:1b:00</t>
  </si>
  <si>
    <t>B013248</t>
  </si>
  <si>
    <t>W020320</t>
  </si>
  <si>
    <t>020320</t>
  </si>
  <si>
    <t>周杵祺</t>
  </si>
  <si>
    <t>10.187.76.114</t>
  </si>
  <si>
    <t>FE:FC:FA:e2:09:e3</t>
  </si>
  <si>
    <t>B013553</t>
  </si>
  <si>
    <t>W017397</t>
  </si>
  <si>
    <t>160.18.112.34</t>
  </si>
  <si>
    <t>017397</t>
  </si>
  <si>
    <t>桑杰</t>
  </si>
  <si>
    <t>B017397</t>
  </si>
  <si>
    <t>10.187.76.115</t>
  </si>
  <si>
    <t>FE:FC:FA:49:2f:54</t>
  </si>
  <si>
    <t>W019592</t>
  </si>
  <si>
    <t>160.18.77.40</t>
  </si>
  <si>
    <t>019592</t>
  </si>
  <si>
    <t>高秋云</t>
  </si>
  <si>
    <t>B019592</t>
  </si>
  <si>
    <t>10.187.76.116</t>
  </si>
  <si>
    <t>FE:FC:FA:2c:25:44</t>
  </si>
  <si>
    <t>B016863</t>
  </si>
  <si>
    <t>W019251</t>
  </si>
  <si>
    <t>160.18.77.46</t>
  </si>
  <si>
    <t>019251</t>
  </si>
  <si>
    <t>丁苏陕</t>
  </si>
  <si>
    <t>B019251</t>
  </si>
  <si>
    <t>10.187.76.117</t>
  </si>
  <si>
    <t>FE:FC:FA:53:84:87</t>
  </si>
  <si>
    <t>W019180</t>
  </si>
  <si>
    <t>160.18.76.12</t>
  </si>
  <si>
    <t>019180</t>
  </si>
  <si>
    <t>吴艺梦</t>
  </si>
  <si>
    <t>B019180</t>
  </si>
  <si>
    <t>10.187.76.118</t>
  </si>
  <si>
    <t>FE:FC:FA:ce:b2:b9</t>
  </si>
  <si>
    <t>B019128</t>
  </si>
  <si>
    <t>W019128</t>
  </si>
  <si>
    <t>160.18.77.30</t>
  </si>
  <si>
    <t>019128</t>
  </si>
  <si>
    <t>秦操</t>
  </si>
  <si>
    <t>10.187.76.119</t>
  </si>
  <si>
    <t>FE:FC:FA:24:9b:07</t>
  </si>
  <si>
    <t>W010739</t>
  </si>
  <si>
    <t>160.18.78.7</t>
  </si>
  <si>
    <t>010739</t>
  </si>
  <si>
    <t>高士翔</t>
  </si>
  <si>
    <t>10.187.76.120</t>
  </si>
  <si>
    <t>FE:FC:FA:4e:a5:38</t>
  </si>
  <si>
    <t>160.18.76.52</t>
  </si>
  <si>
    <t>W003554</t>
  </si>
  <si>
    <t>160.18.78.1</t>
  </si>
  <si>
    <t>003554</t>
  </si>
  <si>
    <t>王蓓</t>
  </si>
  <si>
    <t>10.187.76.121</t>
  </si>
  <si>
    <t>FE:FC:FA:b9:17:6e</t>
  </si>
  <si>
    <t>W004661</t>
  </si>
  <si>
    <t>160.18.78.4</t>
  </si>
  <si>
    <t>004661</t>
  </si>
  <si>
    <t>吕佩蕾</t>
  </si>
  <si>
    <t>10.187.76.122</t>
  </si>
  <si>
    <t>FE:FC:FA:3d:ba:95</t>
  </si>
  <si>
    <t>W016863</t>
  </si>
  <si>
    <t>160.18.76.35</t>
  </si>
  <si>
    <t>016863</t>
  </si>
  <si>
    <t>曾凡凡</t>
  </si>
  <si>
    <t>10.187.76.123</t>
  </si>
  <si>
    <t>FE:FC:FA:51:2a:ec</t>
  </si>
  <si>
    <t>160.18.114.24</t>
  </si>
  <si>
    <t>W013553</t>
  </si>
  <si>
    <t>160.18.78.43</t>
  </si>
  <si>
    <t>013553</t>
  </si>
  <si>
    <t>李小敏</t>
  </si>
  <si>
    <t>10.187.76.124</t>
  </si>
  <si>
    <t>FE:FC:FA:9b:85:ec</t>
  </si>
  <si>
    <t>160.18.78.6</t>
  </si>
  <si>
    <t>W013248</t>
  </si>
  <si>
    <t>160.18.68.44</t>
  </si>
  <si>
    <t>013248</t>
  </si>
  <si>
    <t>徐源</t>
  </si>
  <si>
    <t>10.187.76.125</t>
  </si>
  <si>
    <t>FE:FC:FA:8b:e4:18</t>
  </si>
  <si>
    <t>W012131</t>
  </si>
  <si>
    <t>160.18.77.17</t>
  </si>
  <si>
    <t>012131</t>
  </si>
  <si>
    <t>朱凯</t>
  </si>
  <si>
    <t>B012131</t>
  </si>
  <si>
    <t>10.187.76.126</t>
  </si>
  <si>
    <t>FE:FC:FA:c8:ea:62</t>
  </si>
  <si>
    <t xml:space="preserve">坤 已卸载 </t>
  </si>
  <si>
    <t>B024531</t>
  </si>
  <si>
    <t>W006723</t>
  </si>
  <si>
    <t>006723</t>
  </si>
  <si>
    <t>严潇然</t>
  </si>
  <si>
    <t>10.187.76.127</t>
  </si>
  <si>
    <t>FE:FC:FA:f8:e1:02</t>
  </si>
  <si>
    <t>B012177</t>
  </si>
  <si>
    <t>W003462</t>
  </si>
  <si>
    <t>003462</t>
  </si>
  <si>
    <t>季晨曦</t>
  </si>
  <si>
    <t>10.187.76.128</t>
  </si>
  <si>
    <t>FE:FC:FA:47:b4:b8</t>
  </si>
  <si>
    <t>B016333</t>
  </si>
  <si>
    <t>W010725</t>
  </si>
  <si>
    <t>010725</t>
  </si>
  <si>
    <t>杨盛波</t>
  </si>
  <si>
    <t>10.187.76.129</t>
  </si>
  <si>
    <t>FE:FC:FA:b1:c0:a1</t>
  </si>
  <si>
    <t>B019697</t>
  </si>
  <si>
    <t>W016288</t>
  </si>
  <si>
    <t>160.18.78.16</t>
  </si>
  <si>
    <t>016288</t>
  </si>
  <si>
    <t>刘夕阳</t>
  </si>
  <si>
    <t>B016288</t>
  </si>
  <si>
    <t>10.187.76.130</t>
  </si>
  <si>
    <t>FE:FC:FA:b9:93:75</t>
  </si>
  <si>
    <t>W017828</t>
  </si>
  <si>
    <t>160.18.76.2</t>
  </si>
  <si>
    <t>017828</t>
  </si>
  <si>
    <t>鲁瑶</t>
  </si>
  <si>
    <t>B017828</t>
  </si>
  <si>
    <t>10.187.76.131</t>
  </si>
  <si>
    <t>FE:FC:FA:cc:11:e5</t>
  </si>
  <si>
    <t>W015064</t>
  </si>
  <si>
    <t>160.18.78.50</t>
  </si>
  <si>
    <t>015064</t>
  </si>
  <si>
    <t>马莉</t>
  </si>
  <si>
    <t>B015064</t>
  </si>
  <si>
    <t>10.187.76.132</t>
  </si>
  <si>
    <t>FE:FC:FA:6a:a7:bb</t>
  </si>
  <si>
    <t>B024977</t>
  </si>
  <si>
    <t>W025030</t>
  </si>
  <si>
    <t>160.18.76.62</t>
  </si>
  <si>
    <t>025030</t>
  </si>
  <si>
    <t>李欣睿</t>
  </si>
  <si>
    <t>B025030</t>
  </si>
  <si>
    <t>10.187.76.133</t>
  </si>
  <si>
    <t>FE:FC:FA:1e:37:db</t>
  </si>
  <si>
    <t>B026019</t>
  </si>
  <si>
    <t>Z024977</t>
  </si>
  <si>
    <t>160.28.76.16</t>
  </si>
  <si>
    <t>024977</t>
  </si>
  <si>
    <t>孙夕媖</t>
  </si>
  <si>
    <t>10.187.76.134</t>
  </si>
  <si>
    <t>FE:FC:FA:1e:5f:0d</t>
  </si>
  <si>
    <t>269.13 GB</t>
  </si>
  <si>
    <t>W016355</t>
  </si>
  <si>
    <t>160.18.78.18</t>
  </si>
  <si>
    <t>016355</t>
  </si>
  <si>
    <t>仇潇伟</t>
  </si>
  <si>
    <t>B016355</t>
  </si>
  <si>
    <t>10.187.76.135</t>
  </si>
  <si>
    <t>FE:FC:FA:2e:eb:de</t>
  </si>
  <si>
    <t>Z024614</t>
  </si>
  <si>
    <t>160.28.76.21</t>
  </si>
  <si>
    <t>024614</t>
  </si>
  <si>
    <t>高嘉欣</t>
  </si>
  <si>
    <t>B024614</t>
  </si>
  <si>
    <t>10.187.76.136</t>
  </si>
  <si>
    <t>FE:FC:FA:96:56:56</t>
  </si>
  <si>
    <t>269.69 GB</t>
  </si>
  <si>
    <t>B012179</t>
  </si>
  <si>
    <t>160.18.76.36</t>
  </si>
  <si>
    <t>Z024531</t>
  </si>
  <si>
    <t>160.28.76.12</t>
  </si>
  <si>
    <t>024531</t>
  </si>
  <si>
    <t>贺普</t>
  </si>
  <si>
    <t>10.187.76.137</t>
  </si>
  <si>
    <t>FE:FC:FA:6f:23:0b</t>
  </si>
  <si>
    <t>269.56 GB</t>
  </si>
  <si>
    <t>W020906</t>
  </si>
  <si>
    <t>160.18.236.43</t>
  </si>
  <si>
    <t>020906</t>
  </si>
  <si>
    <t>李玉颖</t>
  </si>
  <si>
    <t>B020906</t>
  </si>
  <si>
    <t>10.187.76.138</t>
  </si>
  <si>
    <t>FE:FC:FA:2e:e8:98</t>
  </si>
  <si>
    <t>B016783</t>
  </si>
  <si>
    <t>W012179</t>
  </si>
  <si>
    <t>012179</t>
  </si>
  <si>
    <t>许冠岚</t>
  </si>
  <si>
    <t>10.187.76.139</t>
  </si>
  <si>
    <t>FE:FC:FA:76:0f:7b</t>
  </si>
  <si>
    <t>160.18.76.61</t>
  </si>
  <si>
    <t>W016914</t>
  </si>
  <si>
    <t>160.18.76.6</t>
  </si>
  <si>
    <t>016914</t>
  </si>
  <si>
    <t>杨若昀</t>
  </si>
  <si>
    <t>B016914</t>
  </si>
  <si>
    <t>10.187.76.140</t>
  </si>
  <si>
    <t>FE:FC:FA:c5:29:0f</t>
  </si>
  <si>
    <t>Z023885</t>
  </si>
  <si>
    <t>160.28.78.5</t>
  </si>
  <si>
    <t>023885</t>
  </si>
  <si>
    <t>郭欣铭</t>
  </si>
  <si>
    <t>B023885</t>
  </si>
  <si>
    <t>10.187.76.141</t>
  </si>
  <si>
    <t>FE:FC:FA:c5:1b:22</t>
  </si>
  <si>
    <t>B020737</t>
  </si>
  <si>
    <t>160.18.76.43</t>
  </si>
  <si>
    <t>W016344</t>
  </si>
  <si>
    <t>016344</t>
  </si>
  <si>
    <t>朱滢</t>
  </si>
  <si>
    <t>B016344</t>
  </si>
  <si>
    <t>10.187.76.142</t>
  </si>
  <si>
    <t>FE:FC:FA:f2:2f:6a</t>
  </si>
  <si>
    <t>B020877</t>
  </si>
  <si>
    <t>W021676</t>
  </si>
  <si>
    <t>160.18.78.35</t>
  </si>
  <si>
    <t>021676</t>
  </si>
  <si>
    <t>郭和圆</t>
  </si>
  <si>
    <t>B021676</t>
  </si>
  <si>
    <t>10.187.76.143</t>
  </si>
  <si>
    <t>FE:FC:FA:68:a4:0a</t>
  </si>
  <si>
    <t>W021309</t>
  </si>
  <si>
    <t>160.18.76.47</t>
  </si>
  <si>
    <t>021309</t>
  </si>
  <si>
    <t>邵凌</t>
  </si>
  <si>
    <t>B021309</t>
  </si>
  <si>
    <t>10.187.76.144</t>
  </si>
  <si>
    <t>FE:FC:FA:0e:0a:a3</t>
  </si>
  <si>
    <t>160.18.76.27</t>
  </si>
  <si>
    <t>W016783</t>
  </si>
  <si>
    <t>016783</t>
  </si>
  <si>
    <t>武思佳</t>
  </si>
  <si>
    <t>10.187.76.145</t>
  </si>
  <si>
    <t>FE:FC:FA:8c:24:f9</t>
  </si>
  <si>
    <t>160.18.76.28</t>
  </si>
  <si>
    <t>W020877</t>
  </si>
  <si>
    <t>160.18.76.63</t>
  </si>
  <si>
    <t>020877</t>
  </si>
  <si>
    <t>10.187.76.146</t>
  </si>
  <si>
    <t>FE:FC:FA:00:56:e5</t>
  </si>
  <si>
    <t>W020737</t>
  </si>
  <si>
    <t>020737</t>
  </si>
  <si>
    <t>林静</t>
  </si>
  <si>
    <t>10.187.76.147</t>
  </si>
  <si>
    <t>FE:FC:FA:bb:46:a4</t>
  </si>
  <si>
    <t>W020451</t>
  </si>
  <si>
    <t>020451</t>
  </si>
  <si>
    <t>全然新</t>
  </si>
  <si>
    <t>B020451</t>
  </si>
  <si>
    <t>10.187.76.148</t>
  </si>
  <si>
    <t>FE:FC:FA:77:5e:16</t>
  </si>
  <si>
    <t>W020276</t>
  </si>
  <si>
    <t>160.18.76.22</t>
  </si>
  <si>
    <t>020276</t>
  </si>
  <si>
    <t>陈彦如</t>
  </si>
  <si>
    <t>B020276</t>
  </si>
  <si>
    <t>10.187.76.149</t>
  </si>
  <si>
    <t>FE:FC:FA:96:4a:67</t>
  </si>
  <si>
    <t>B020725</t>
  </si>
  <si>
    <t>W020279</t>
  </si>
  <si>
    <t>160.18.76.21</t>
  </si>
  <si>
    <t>020279</t>
  </si>
  <si>
    <t>陈雨谦</t>
  </si>
  <si>
    <t>10.187.76.150</t>
  </si>
  <si>
    <t>FE:FC:FA:6e:9f:89</t>
  </si>
  <si>
    <t>W019697</t>
  </si>
  <si>
    <t>160.18.78.49</t>
  </si>
  <si>
    <t>019697</t>
  </si>
  <si>
    <t>刘语晖</t>
  </si>
  <si>
    <t>10.187.76.151</t>
  </si>
  <si>
    <t>FE:FC:FA:21:ed:21</t>
  </si>
  <si>
    <t>B013999</t>
  </si>
  <si>
    <t>W019669</t>
  </si>
  <si>
    <t>160.18.76.60</t>
  </si>
  <si>
    <t>019669</t>
  </si>
  <si>
    <t>李佩</t>
  </si>
  <si>
    <t>B019669</t>
  </si>
  <si>
    <t>10.187.76.152</t>
  </si>
  <si>
    <t>FE:FC:FA:af:5f:e8</t>
  </si>
  <si>
    <t>B016561</t>
  </si>
  <si>
    <t>W019265-1</t>
  </si>
  <si>
    <t>160.18.77.47</t>
  </si>
  <si>
    <t>019265</t>
  </si>
  <si>
    <t>边敬云</t>
  </si>
  <si>
    <t>B019265</t>
  </si>
  <si>
    <t>10.187.76.153</t>
  </si>
  <si>
    <t>FE:FC:FA:43:40:51</t>
  </si>
  <si>
    <t>W016561</t>
  </si>
  <si>
    <t>160.18.78.22</t>
  </si>
  <si>
    <t>016561</t>
  </si>
  <si>
    <t>徐航</t>
  </si>
  <si>
    <t>10.187.76.154</t>
  </si>
  <si>
    <t>FE:FC:FA:0c:1b:6b</t>
  </si>
  <si>
    <t>W016333</t>
  </si>
  <si>
    <t>160.18.78.17</t>
  </si>
  <si>
    <t>016333</t>
  </si>
  <si>
    <t>施璐</t>
  </si>
  <si>
    <t>10.187.76.155</t>
  </si>
  <si>
    <t>FE:FC:FA:d3:f1:e0</t>
  </si>
  <si>
    <t>W015491</t>
  </si>
  <si>
    <t>160.18.78.13</t>
  </si>
  <si>
    <t>015491</t>
  </si>
  <si>
    <t>崔梦娜</t>
  </si>
  <si>
    <t>B015491</t>
  </si>
  <si>
    <t>10.187.76.156</t>
  </si>
  <si>
    <t>FE:FC:FA:80:a8:1d</t>
  </si>
  <si>
    <t>B025785</t>
  </si>
  <si>
    <t>160.18.78.8</t>
  </si>
  <si>
    <t>W015216</t>
  </si>
  <si>
    <t>160.18.78.12</t>
  </si>
  <si>
    <t>015216</t>
  </si>
  <si>
    <t>向文龙</t>
  </si>
  <si>
    <t>B015216</t>
  </si>
  <si>
    <t>10.187.76.157</t>
  </si>
  <si>
    <t>FE:FC:FA:c0:5d:98</t>
  </si>
  <si>
    <t>B012297</t>
  </si>
  <si>
    <t>160.18.76.59</t>
  </si>
  <si>
    <t>W012441</t>
  </si>
  <si>
    <t>160.18.78.9</t>
  </si>
  <si>
    <t>012441</t>
  </si>
  <si>
    <t>李钒</t>
  </si>
  <si>
    <t>B012441</t>
  </si>
  <si>
    <t>10.187.76.158</t>
  </si>
  <si>
    <t>FE:FC:FA:e6:72:77</t>
  </si>
  <si>
    <t>W012177</t>
  </si>
  <si>
    <t>012177</t>
  </si>
  <si>
    <t>王骏杰</t>
  </si>
  <si>
    <t>10.187.76.159</t>
  </si>
  <si>
    <t>FE:FC:FA:22:aa:16</t>
  </si>
  <si>
    <t>160.18.112.26</t>
  </si>
  <si>
    <t>W012297</t>
  </si>
  <si>
    <t>012297</t>
  </si>
  <si>
    <t>喻辉</t>
  </si>
  <si>
    <t>10.187.76.160</t>
  </si>
  <si>
    <t>FE:FC:FA:67:c4:c9</t>
  </si>
  <si>
    <t>B015288</t>
  </si>
  <si>
    <t>W018951</t>
  </si>
  <si>
    <t>160.18.76.8</t>
  </si>
  <si>
    <t>018951</t>
  </si>
  <si>
    <t>宫之清</t>
  </si>
  <si>
    <t>B018951</t>
  </si>
  <si>
    <t>10.187.76.161</t>
  </si>
  <si>
    <t>FE:FC:FA:ed:d8:f2</t>
  </si>
  <si>
    <t>160.18.76.38</t>
  </si>
  <si>
    <t>W016776</t>
  </si>
  <si>
    <t>160.18.76.45</t>
  </si>
  <si>
    <t>016776</t>
  </si>
  <si>
    <t>吉斯乐</t>
  </si>
  <si>
    <t>B016776</t>
  </si>
  <si>
    <t>10.187.76.162</t>
  </si>
  <si>
    <t>FE:FC:FA:83:ec:56</t>
  </si>
  <si>
    <t>W015288</t>
  </si>
  <si>
    <t>015288</t>
  </si>
  <si>
    <t>陈小利</t>
  </si>
  <si>
    <t>10.187.76.163</t>
  </si>
  <si>
    <t>FE:FC:FA:16:2a:80</t>
  </si>
  <si>
    <t>W026019</t>
  </si>
  <si>
    <t>160.18.78.105</t>
  </si>
  <si>
    <t>026019</t>
  </si>
  <si>
    <t>梁恬恬</t>
  </si>
  <si>
    <t>10.187.76.164</t>
  </si>
  <si>
    <t>FE:FC:FA:df:ee:96</t>
  </si>
  <si>
    <t>W020987</t>
  </si>
  <si>
    <t>160.18.77.53</t>
  </si>
  <si>
    <t>020987</t>
  </si>
  <si>
    <t>吴杰</t>
  </si>
  <si>
    <t>B020987</t>
  </si>
  <si>
    <t>10.187.76.165</t>
  </si>
  <si>
    <t>FE:FC:FA:76:75:d9</t>
  </si>
  <si>
    <t>W025845</t>
  </si>
  <si>
    <t>160.18.76.81</t>
  </si>
  <si>
    <t>025845</t>
  </si>
  <si>
    <t>杨圣邦</t>
  </si>
  <si>
    <t>B025845</t>
  </si>
  <si>
    <t>10.187.76.166</t>
  </si>
  <si>
    <t>FE:FC:FA:5c:ca:db</t>
  </si>
  <si>
    <t>W025785</t>
  </si>
  <si>
    <t>160.18.78.68</t>
  </si>
  <si>
    <t>025785</t>
  </si>
  <si>
    <t>杨镒铭</t>
  </si>
  <si>
    <t>10.187.76.167</t>
  </si>
  <si>
    <t>FE:FC:FA:ec:72:62</t>
  </si>
  <si>
    <t>Z025640</t>
  </si>
  <si>
    <t>160.28.114.14</t>
  </si>
  <si>
    <t>025640</t>
  </si>
  <si>
    <t>陈永红</t>
  </si>
  <si>
    <t>B025640</t>
  </si>
  <si>
    <t>10.187.76.168</t>
  </si>
  <si>
    <t>FE:FC:FA:f8:25:be</t>
  </si>
  <si>
    <t>W020725</t>
  </si>
  <si>
    <t>160.18.77.42</t>
  </si>
  <si>
    <t>020725</t>
  </si>
  <si>
    <t>辜佳茵</t>
  </si>
  <si>
    <t>10.187.76.169</t>
  </si>
  <si>
    <t>FE:FC:FA:c7:6f:e6</t>
  </si>
  <si>
    <t>W013999</t>
  </si>
  <si>
    <t>013999</t>
  </si>
  <si>
    <t>杜蕾</t>
  </si>
  <si>
    <t>10.187.76.170</t>
  </si>
  <si>
    <t>FE:FC:FA:fd:33:77</t>
  </si>
  <si>
    <t>10.187.76.8</t>
  </si>
  <si>
    <t xml:space="preserve"> 2026-07-23 22:00:36 </t>
  </si>
  <si>
    <t>10.187.76.9</t>
  </si>
  <si>
    <t xml:space="preserve"> 2026-07-23 22:01:41 </t>
  </si>
  <si>
    <t>W021413</t>
  </si>
  <si>
    <t>160.18.20.70</t>
  </si>
  <si>
    <t>021413</t>
  </si>
  <si>
    <t>郑忆秋</t>
  </si>
  <si>
    <t>客户服务中心</t>
  </si>
  <si>
    <t>2026.8.W1</t>
  </si>
  <si>
    <t>8.19</t>
  </si>
  <si>
    <t>B021413</t>
  </si>
  <si>
    <t>10.187.20.228</t>
  </si>
  <si>
    <t>FE:FC:FA:7c:5f:57</t>
  </si>
  <si>
    <t>B006130</t>
  </si>
  <si>
    <t>W021414</t>
  </si>
  <si>
    <t>160.18.20.71</t>
  </si>
  <si>
    <t>021414</t>
  </si>
  <si>
    <t>宋秋阳</t>
  </si>
  <si>
    <t>新发</t>
  </si>
  <si>
    <t>B021414</t>
  </si>
  <si>
    <t>10.187.20.229</t>
  </si>
  <si>
    <t>FE:FC:FA:e7:fc:ec</t>
  </si>
  <si>
    <t>W021417</t>
  </si>
  <si>
    <t>160.18.20.73</t>
  </si>
  <si>
    <t>021417</t>
  </si>
  <si>
    <t>葛悦</t>
  </si>
  <si>
    <t>B021417</t>
  </si>
  <si>
    <t>10.187.20.230</t>
  </si>
  <si>
    <t>FE:FC:FA:3f:10:00</t>
  </si>
  <si>
    <t>B010418</t>
  </si>
  <si>
    <t>W021521</t>
  </si>
  <si>
    <t>160.18.21.164</t>
  </si>
  <si>
    <t>021521</t>
  </si>
  <si>
    <t>张曦文</t>
  </si>
  <si>
    <t>B021521</t>
  </si>
  <si>
    <t>10.187.20.231</t>
  </si>
  <si>
    <t>FE:FC:FA:a9:91:a4</t>
  </si>
  <si>
    <t>B010567</t>
  </si>
  <si>
    <t>W021522</t>
  </si>
  <si>
    <t>160.18.21.165</t>
  </si>
  <si>
    <t>021522</t>
  </si>
  <si>
    <t>朱欣怡</t>
  </si>
  <si>
    <t>B021522</t>
  </si>
  <si>
    <t>10.187.20.232</t>
  </si>
  <si>
    <t>FE:FC:FA:8b:7f:35</t>
  </si>
  <si>
    <t>B010568</t>
  </si>
  <si>
    <t>W021523</t>
  </si>
  <si>
    <t>160.18.21.166</t>
  </si>
  <si>
    <t>021523</t>
  </si>
  <si>
    <t>周倩</t>
  </si>
  <si>
    <t>B021523</t>
  </si>
  <si>
    <t>10.187.20.233</t>
  </si>
  <si>
    <t>FE:FC:FA:66:ef:2e</t>
  </si>
  <si>
    <t>W021524</t>
  </si>
  <si>
    <t>160.18.21.167</t>
  </si>
  <si>
    <t>021524</t>
  </si>
  <si>
    <t>王倩</t>
  </si>
  <si>
    <t>B021524</t>
  </si>
  <si>
    <t>10.187.20.234</t>
  </si>
  <si>
    <t>FE:FC:FA:39:50:fb</t>
  </si>
  <si>
    <t>W021525</t>
  </si>
  <si>
    <t>160.18.21.168</t>
  </si>
  <si>
    <t>021525</t>
  </si>
  <si>
    <t>候雪</t>
  </si>
  <si>
    <t>B021525</t>
  </si>
  <si>
    <t>10.187.20.235</t>
  </si>
  <si>
    <t>FE:FC:FA:8f:b8:4a</t>
  </si>
  <si>
    <t>W021659</t>
  </si>
  <si>
    <t>160.18.21.169</t>
  </si>
  <si>
    <t>021659</t>
  </si>
  <si>
    <t>刘晓霞</t>
  </si>
  <si>
    <t>B021659</t>
  </si>
  <si>
    <t>10.187.20.236</t>
  </si>
  <si>
    <t>FE:FC:FA:88:f8:bc</t>
  </si>
  <si>
    <t>W021660</t>
  </si>
  <si>
    <t>160.18.21.170</t>
  </si>
  <si>
    <t>021660</t>
  </si>
  <si>
    <t>高舒婷</t>
  </si>
  <si>
    <t>B021660</t>
  </si>
  <si>
    <t>10.187.20.237</t>
  </si>
  <si>
    <t>FE:FC:FA:4c:a8:ab</t>
  </si>
  <si>
    <t>W021661</t>
  </si>
  <si>
    <t>160.18.21.171</t>
  </si>
  <si>
    <t>021661</t>
  </si>
  <si>
    <t>张晶</t>
  </si>
  <si>
    <t>B021661</t>
  </si>
  <si>
    <t>10.187.20.238</t>
  </si>
  <si>
    <t>FE:FC:FA:7d:92:1c</t>
  </si>
  <si>
    <t>W021777</t>
  </si>
  <si>
    <t>160.18.21.174</t>
  </si>
  <si>
    <t>021777</t>
  </si>
  <si>
    <t>段园园</t>
  </si>
  <si>
    <t>B021777</t>
  </si>
  <si>
    <t>10.187.20.239</t>
  </si>
  <si>
    <t>FE:FC:FA:30:0f:9d</t>
  </si>
  <si>
    <t>W021779</t>
  </si>
  <si>
    <t>160.18.21.176</t>
  </si>
  <si>
    <t>021779</t>
  </si>
  <si>
    <t>蔡智超</t>
  </si>
  <si>
    <t>B021779</t>
  </si>
  <si>
    <t>10.187.20.240</t>
  </si>
  <si>
    <t>FE:FC:FA:9c:3a:db</t>
  </si>
  <si>
    <t>W021780</t>
  </si>
  <si>
    <t>160.18.21.177</t>
  </si>
  <si>
    <t>021780</t>
  </si>
  <si>
    <t>姜咏兰</t>
  </si>
  <si>
    <t>B021780</t>
  </si>
  <si>
    <t>10.187.20.241</t>
  </si>
  <si>
    <t>FE:FC:FA:30:03:0c</t>
  </si>
  <si>
    <t>W021899</t>
  </si>
  <si>
    <t>160.18.21.228</t>
  </si>
  <si>
    <t>021899</t>
  </si>
  <si>
    <t>潘雪晴</t>
  </si>
  <si>
    <t>B021899</t>
  </si>
  <si>
    <t>10.187.20.242</t>
  </si>
  <si>
    <t>FE:FC:FA:cd:e1:56</t>
  </si>
  <si>
    <t>W021900</t>
  </si>
  <si>
    <t>160.18.21.229</t>
  </si>
  <si>
    <t>021900</t>
  </si>
  <si>
    <t>王超然</t>
  </si>
  <si>
    <t>B021900</t>
  </si>
  <si>
    <t>10.187.20.243</t>
  </si>
  <si>
    <t>FE:FC:FA:17:5b:53</t>
  </si>
  <si>
    <t>W021901</t>
  </si>
  <si>
    <t>160.18.22.169</t>
  </si>
  <si>
    <t>021901</t>
  </si>
  <si>
    <t>范茜</t>
  </si>
  <si>
    <t>B021901</t>
  </si>
  <si>
    <t>10.187.20.244</t>
  </si>
  <si>
    <t>FE:FC:FA:7d:13:9c</t>
  </si>
  <si>
    <t>无消息，不自动重启</t>
  </si>
  <si>
    <t>W021903</t>
  </si>
  <si>
    <t>160.18.22.164</t>
  </si>
  <si>
    <t>021903</t>
  </si>
  <si>
    <t>乔宇</t>
  </si>
  <si>
    <t>B021903</t>
  </si>
  <si>
    <t>10.187.20.245</t>
  </si>
  <si>
    <t>FE:FC:FA:a7:7b:bd</t>
  </si>
  <si>
    <t>W021905</t>
  </si>
  <si>
    <t>160.18.22.165</t>
  </si>
  <si>
    <t>021905</t>
  </si>
  <si>
    <t>陈昕</t>
  </si>
  <si>
    <t>B021905</t>
  </si>
  <si>
    <t>10.187.20.246</t>
  </si>
  <si>
    <t>FE:FC:FA:14:7b:e7</t>
  </si>
  <si>
    <t>BWTEST2026-819Q</t>
  </si>
  <si>
    <t>W021906</t>
  </si>
  <si>
    <t>160.18.20.78</t>
  </si>
  <si>
    <t>021906</t>
  </si>
  <si>
    <t>李彤</t>
  </si>
  <si>
    <t>B021906</t>
  </si>
  <si>
    <t>10.187.20.247</t>
  </si>
  <si>
    <t>FE:FC:FA:cc:e4:17</t>
  </si>
  <si>
    <t>BZYVDDT01-819Q</t>
  </si>
  <si>
    <t>W022518</t>
  </si>
  <si>
    <t>160.18.20.79</t>
  </si>
  <si>
    <t>022518</t>
  </si>
  <si>
    <t>王天翼</t>
  </si>
  <si>
    <t>B022518</t>
  </si>
  <si>
    <t>10.187.20.248</t>
  </si>
  <si>
    <t>FE:FC:FA:f9:4d:bb</t>
  </si>
  <si>
    <t>W022519</t>
  </si>
  <si>
    <t>160.18.20.80</t>
  </si>
  <si>
    <t>022519</t>
  </si>
  <si>
    <t>严律铮</t>
  </si>
  <si>
    <t>B022519</t>
  </si>
  <si>
    <t>10.187.20.249</t>
  </si>
  <si>
    <t>FE:FC:FA:4b:75:57</t>
  </si>
  <si>
    <t>W022520</t>
  </si>
  <si>
    <t>160.18.20.81</t>
  </si>
  <si>
    <t>022520</t>
  </si>
  <si>
    <t>李毅</t>
  </si>
  <si>
    <t>B022520</t>
  </si>
  <si>
    <t>10.187.20.250</t>
  </si>
  <si>
    <t>FE:FC:FA:3b:1d:df</t>
  </si>
  <si>
    <t>W022521</t>
  </si>
  <si>
    <t>160.18.20.82</t>
  </si>
  <si>
    <t>022521</t>
  </si>
  <si>
    <t>高烁然</t>
  </si>
  <si>
    <t>B022521</t>
  </si>
  <si>
    <t>10.187.20.251</t>
  </si>
  <si>
    <t>FE:FC:FA:b8:7e:5a</t>
  </si>
  <si>
    <t>W022522</t>
  </si>
  <si>
    <t>160.18.20.83</t>
  </si>
  <si>
    <t>022522</t>
  </si>
  <si>
    <t>马艺琼</t>
  </si>
  <si>
    <t>B022522</t>
  </si>
  <si>
    <t>10.187.20.252</t>
  </si>
  <si>
    <t>FE:FC:FA:f6:9f:89</t>
  </si>
  <si>
    <t>W022524-1</t>
  </si>
  <si>
    <t>160.18.20.85</t>
  </si>
  <si>
    <t>022524</t>
  </si>
  <si>
    <t>李恕</t>
  </si>
  <si>
    <t>B022524</t>
  </si>
  <si>
    <t>10.187.20.253</t>
  </si>
  <si>
    <t>FE:FC:FA:67:3f:48</t>
  </si>
  <si>
    <t>W022525</t>
  </si>
  <si>
    <t>160.18.20.86</t>
  </si>
  <si>
    <t>022525</t>
  </si>
  <si>
    <t>徐昊</t>
  </si>
  <si>
    <t>B022525</t>
  </si>
  <si>
    <t>10.187.20.254</t>
  </si>
  <si>
    <t>FE:FC:FA:90:d3:60</t>
  </si>
  <si>
    <t>W022526</t>
  </si>
  <si>
    <t>160.18.20.87</t>
  </si>
  <si>
    <t>022526</t>
  </si>
  <si>
    <t>夏瑞</t>
  </si>
  <si>
    <t>B022526</t>
  </si>
  <si>
    <t>10.187.21.11</t>
  </si>
  <si>
    <t>FE:FC:FA:82:e2:31</t>
  </si>
  <si>
    <t>W022527</t>
  </si>
  <si>
    <t>160.18.20.88</t>
  </si>
  <si>
    <t>022527</t>
  </si>
  <si>
    <t>陈俞颖</t>
  </si>
  <si>
    <t>B022527</t>
  </si>
  <si>
    <t>10.187.21.12</t>
  </si>
  <si>
    <t>FE:FC:FA:75:07:8c</t>
  </si>
  <si>
    <t>W022528</t>
  </si>
  <si>
    <t>160.18.20.89</t>
  </si>
  <si>
    <t>022528</t>
  </si>
  <si>
    <t>邓婷</t>
  </si>
  <si>
    <t>B022528</t>
  </si>
  <si>
    <t>10.187.21.13</t>
  </si>
  <si>
    <t>FE:FC:FA:ee:6b:fc</t>
  </si>
  <si>
    <t>W022529</t>
  </si>
  <si>
    <t>160.18.20.90</t>
  </si>
  <si>
    <t>022529</t>
  </si>
  <si>
    <t>纪丽娜</t>
  </si>
  <si>
    <t>B022529</t>
  </si>
  <si>
    <t>10.187.21.14</t>
  </si>
  <si>
    <t>FE:FC:FA:70:e4:a6</t>
  </si>
  <si>
    <t>B022949</t>
  </si>
  <si>
    <t>W022531</t>
  </si>
  <si>
    <t>160.18.20.92</t>
  </si>
  <si>
    <t>022531</t>
  </si>
  <si>
    <t>李伟原</t>
  </si>
  <si>
    <t>B022531</t>
  </si>
  <si>
    <t>10.187.21.15</t>
  </si>
  <si>
    <t>FE:FC:FA:b3:9d:4d</t>
  </si>
  <si>
    <t>W022532</t>
  </si>
  <si>
    <t>160.18.20.93</t>
  </si>
  <si>
    <t>022532</t>
  </si>
  <si>
    <t>季欣宜</t>
  </si>
  <si>
    <t>B022532</t>
  </si>
  <si>
    <t>10.187.21.16</t>
  </si>
  <si>
    <t>FE:FC:FA:4d:5f:8d</t>
  </si>
  <si>
    <t>B023382</t>
  </si>
  <si>
    <t>Z022947</t>
  </si>
  <si>
    <t>160.28.158.10</t>
  </si>
  <si>
    <t>022947</t>
  </si>
  <si>
    <t>徐弘毅</t>
  </si>
  <si>
    <t>B022947</t>
  </si>
  <si>
    <t>10.187.21.17</t>
  </si>
  <si>
    <t>FE:FC:FA:fe:6b:ec</t>
  </si>
  <si>
    <t>268.54 GB</t>
  </si>
  <si>
    <t>Z022949</t>
  </si>
  <si>
    <t>160.28.158.9</t>
  </si>
  <si>
    <t>022949</t>
  </si>
  <si>
    <t>陈瑞</t>
  </si>
  <si>
    <t>10.187.21.18</t>
  </si>
  <si>
    <t>FE:FC:FA:bd:98:48</t>
  </si>
  <si>
    <t>B023506</t>
  </si>
  <si>
    <t>Z023380-1</t>
  </si>
  <si>
    <t>160.28.156.20</t>
  </si>
  <si>
    <t>023380</t>
  </si>
  <si>
    <t>马晓宇</t>
  </si>
  <si>
    <t>B023380</t>
  </si>
  <si>
    <t>10.187.21.19</t>
  </si>
  <si>
    <t>FE:FC:FA:c6:5b:56</t>
  </si>
  <si>
    <t>B024001</t>
  </si>
  <si>
    <t>Z023382</t>
  </si>
  <si>
    <t>160.28.156.21</t>
  </si>
  <si>
    <t>023382</t>
  </si>
  <si>
    <t>赵昕怡</t>
  </si>
  <si>
    <t>10.187.21.20</t>
  </si>
  <si>
    <t>FE:FC:FA:de:ec:5d</t>
  </si>
  <si>
    <t>267.18 GB</t>
  </si>
  <si>
    <t>BHYS002</t>
  </si>
  <si>
    <t>W016298</t>
  </si>
  <si>
    <t>160.18.106.34</t>
  </si>
  <si>
    <t>016298</t>
  </si>
  <si>
    <t>潘王志</t>
  </si>
  <si>
    <t>综合事务部</t>
  </si>
  <si>
    <t>B016298</t>
  </si>
  <si>
    <t>10.187.104.49</t>
  </si>
  <si>
    <t>FE:FC:FA:24:33:d7</t>
  </si>
  <si>
    <t>VLAN1025</t>
  </si>
  <si>
    <t>B002759</t>
  </si>
  <si>
    <t>W017015</t>
  </si>
  <si>
    <t>160.18.106.35</t>
  </si>
  <si>
    <t>017015</t>
  </si>
  <si>
    <t>刘平鑫</t>
  </si>
  <si>
    <t>B017015</t>
  </si>
  <si>
    <t>10.187.104.50</t>
  </si>
  <si>
    <t>FE:FC:FA:bc:84:eb</t>
  </si>
  <si>
    <t>B003088</t>
  </si>
  <si>
    <t>W018943</t>
  </si>
  <si>
    <t>160.18.104.17</t>
  </si>
  <si>
    <t>018943</t>
  </si>
  <si>
    <t>B018943</t>
  </si>
  <si>
    <t>10.187.104.51</t>
  </si>
  <si>
    <t>FE:FC:FA:4e:a5:35</t>
  </si>
  <si>
    <t>B003175</t>
  </si>
  <si>
    <t>W019574</t>
  </si>
  <si>
    <t>160.18.104.21</t>
  </si>
  <si>
    <t>019574</t>
  </si>
  <si>
    <t>叶涛</t>
  </si>
  <si>
    <t>B019574</t>
  </si>
  <si>
    <t>10.187.104.52</t>
  </si>
  <si>
    <t>FE:FC:FA:95:f5:4c</t>
  </si>
  <si>
    <t>B003858</t>
  </si>
  <si>
    <t>W020475</t>
  </si>
  <si>
    <t>160.18.104.23</t>
  </si>
  <si>
    <t>020475</t>
  </si>
  <si>
    <t>张玥旻</t>
  </si>
  <si>
    <t>B020475</t>
  </si>
  <si>
    <t>10.187.104.53</t>
  </si>
  <si>
    <t>FE:FC:FA:1d:52:09</t>
  </si>
  <si>
    <t>B003953</t>
  </si>
  <si>
    <t>W020524</t>
  </si>
  <si>
    <t>160.18.104.24</t>
  </si>
  <si>
    <t>020524</t>
  </si>
  <si>
    <t>张欣怡</t>
  </si>
  <si>
    <t>B020524</t>
  </si>
  <si>
    <t>10.187.104.54</t>
  </si>
  <si>
    <t>FE:FC:FA:04:97:20</t>
  </si>
  <si>
    <t>B004912</t>
  </si>
  <si>
    <t>W021854</t>
  </si>
  <si>
    <t>160.18.104.36</t>
  </si>
  <si>
    <t>021854</t>
  </si>
  <si>
    <t>季旻玥</t>
  </si>
  <si>
    <t>B021854</t>
  </si>
  <si>
    <t>10.187.104.55</t>
  </si>
  <si>
    <t>FE:FC:FA:04:6e:7a</t>
  </si>
  <si>
    <t>B006088</t>
  </si>
  <si>
    <t>W022183</t>
  </si>
  <si>
    <t>160.18.106.55</t>
  </si>
  <si>
    <t>022183</t>
  </si>
  <si>
    <t>樊旭彤</t>
  </si>
  <si>
    <t>B022183</t>
  </si>
  <si>
    <t>10.187.104.56</t>
  </si>
  <si>
    <t>FE:FC:FA:b2:c8:4b</t>
  </si>
  <si>
    <t>B006103</t>
  </si>
  <si>
    <t>W022496</t>
  </si>
  <si>
    <t>160.18.104.40</t>
  </si>
  <si>
    <t>022496</t>
  </si>
  <si>
    <t>杨帆</t>
  </si>
  <si>
    <t>B022496</t>
  </si>
  <si>
    <t>10.187.104.57</t>
  </si>
  <si>
    <t>FE:FC:FA:2f:3d:db</t>
  </si>
  <si>
    <t>B006106</t>
  </si>
  <si>
    <t>W025594</t>
  </si>
  <si>
    <t>160.18.104.47</t>
  </si>
  <si>
    <t>025594</t>
  </si>
  <si>
    <t>陈雨青</t>
  </si>
  <si>
    <t>B025594</t>
  </si>
  <si>
    <t>10.187.104.58</t>
  </si>
  <si>
    <t>FE:FC:FA:12:d1:7f</t>
  </si>
  <si>
    <t>B006137</t>
  </si>
  <si>
    <t>WBGS0009</t>
  </si>
  <si>
    <t>160.28.104.30</t>
  </si>
  <si>
    <t>bgs0009</t>
  </si>
  <si>
    <t>秦镇国</t>
  </si>
  <si>
    <t>NULL</t>
  </si>
  <si>
    <t>BBGS0009</t>
  </si>
  <si>
    <t>10.187.104.59</t>
  </si>
  <si>
    <t>FE:FC:FA:19:05:26</t>
  </si>
  <si>
    <t>266.51 GB</t>
  </si>
  <si>
    <t>B006150</t>
  </si>
  <si>
    <t>WBGS0013</t>
  </si>
  <si>
    <t>160.28.104.28</t>
  </si>
  <si>
    <t>bgs0013</t>
  </si>
  <si>
    <t>刘峰</t>
  </si>
  <si>
    <t>BBGS0013</t>
  </si>
  <si>
    <t>10.187.104.60</t>
  </si>
  <si>
    <t>FE:FC:FA:f1:05:49</t>
  </si>
  <si>
    <t>B006158</t>
  </si>
  <si>
    <t>WHYS001</t>
  </si>
  <si>
    <t>160.28.104.17</t>
  </si>
  <si>
    <t>hys001</t>
  </si>
  <si>
    <t>唐二飞</t>
  </si>
  <si>
    <t>BHYS001</t>
  </si>
  <si>
    <t>10.187.104.61</t>
  </si>
  <si>
    <t>FE:FC:FA:c2:f7:6d</t>
  </si>
  <si>
    <t>B006376</t>
  </si>
  <si>
    <t>WHYS002</t>
  </si>
  <si>
    <t>160.28.104.18</t>
  </si>
  <si>
    <t>hys002</t>
  </si>
  <si>
    <t>10.187.104.62</t>
  </si>
  <si>
    <t>FE:FC:FA:80:f2:55</t>
  </si>
  <si>
    <t>267.22 GB</t>
  </si>
  <si>
    <t>B006849</t>
  </si>
  <si>
    <t>WHYS003</t>
  </si>
  <si>
    <t>160.28.104.19</t>
  </si>
  <si>
    <t>hys003</t>
  </si>
  <si>
    <t>BHYS003</t>
  </si>
  <si>
    <t>10.187.104.63</t>
  </si>
  <si>
    <t>FE:FC:FA:e4:2c:b1</t>
  </si>
  <si>
    <t>B006887</t>
  </si>
  <si>
    <t>WHYS004</t>
  </si>
  <si>
    <t>160.28.106.4</t>
  </si>
  <si>
    <t>hys004</t>
  </si>
  <si>
    <t>BHYS004</t>
  </si>
  <si>
    <t>10.187.104.64</t>
  </si>
  <si>
    <t>FE:FC:FA:55:1c:32</t>
  </si>
  <si>
    <t>B007124</t>
  </si>
  <si>
    <t>WHYS005</t>
  </si>
  <si>
    <t>160.28.104.20</t>
  </si>
  <si>
    <t>hys005</t>
  </si>
  <si>
    <t>BHYS005</t>
  </si>
  <si>
    <t>10.187.104.65</t>
  </si>
  <si>
    <t>FE:FC:FA:6d:b0:87</t>
  </si>
  <si>
    <t>B023437</t>
  </si>
  <si>
    <t>WHYS006</t>
  </si>
  <si>
    <t>160.28.104.22</t>
  </si>
  <si>
    <t>hys006</t>
  </si>
  <si>
    <t>BHYS006</t>
  </si>
  <si>
    <t>10.187.104.66</t>
  </si>
  <si>
    <t>FE:FC:FA:16:1b:c9</t>
  </si>
  <si>
    <t>B023806</t>
  </si>
  <si>
    <t>WHYS007</t>
  </si>
  <si>
    <t>160.28.106.5</t>
  </si>
  <si>
    <t>hys007</t>
  </si>
  <si>
    <t>BHYS007</t>
  </si>
  <si>
    <t>10.187.104.67</t>
  </si>
  <si>
    <t>FE:FC:FA:4d:2c:a8</t>
  </si>
  <si>
    <t>267.03 GB</t>
  </si>
  <si>
    <t>B023999</t>
  </si>
  <si>
    <t>WHYS008</t>
  </si>
  <si>
    <t>160.28.104.24</t>
  </si>
  <si>
    <t>hys008</t>
  </si>
  <si>
    <t>BHYS008</t>
  </si>
  <si>
    <t>10.187.104.68</t>
  </si>
  <si>
    <t>FE:FC:FA:33:36:9b</t>
  </si>
  <si>
    <t>未绿</t>
  </si>
  <si>
    <t>B001449</t>
  </si>
  <si>
    <t>WHYS009</t>
  </si>
  <si>
    <t>160.28.104.23</t>
  </si>
  <si>
    <t>hys009</t>
  </si>
  <si>
    <t>BHYS009</t>
  </si>
  <si>
    <t>10.187.104.69</t>
  </si>
  <si>
    <t>FE:FC:FA:02:e2:9a</t>
  </si>
  <si>
    <t>B002291</t>
  </si>
  <si>
    <t>WHYS010</t>
  </si>
  <si>
    <t>160.28.104.21</t>
  </si>
  <si>
    <t>hys010</t>
  </si>
  <si>
    <t>BHYS010</t>
  </si>
  <si>
    <t>10.187.104.70</t>
  </si>
  <si>
    <t>FE:FC:FA:7d:f2:d6</t>
  </si>
  <si>
    <t>266.72 GB</t>
  </si>
  <si>
    <t>B002611</t>
  </si>
  <si>
    <t>WHYS012</t>
  </si>
  <si>
    <t>160.18.104.38</t>
  </si>
  <si>
    <t>hys012</t>
  </si>
  <si>
    <t>张鼎</t>
  </si>
  <si>
    <t>BHYS012</t>
  </si>
  <si>
    <t>10.187.104.71</t>
  </si>
  <si>
    <t>FE:FC:FA:9b:e3:a9</t>
  </si>
  <si>
    <t>B007395</t>
  </si>
  <si>
    <t>WHYS013</t>
  </si>
  <si>
    <t>160.18.104.39</t>
  </si>
  <si>
    <t>hys013</t>
  </si>
  <si>
    <t>BHYS013</t>
  </si>
  <si>
    <t>10.187.104.72</t>
  </si>
  <si>
    <t>FE:FC:FA:cf:af:fc</t>
  </si>
  <si>
    <t>B007789</t>
  </si>
  <si>
    <t>Wp140851</t>
  </si>
  <si>
    <t>160.28.104.27</t>
  </si>
  <si>
    <t>p140851</t>
  </si>
  <si>
    <t>陈雷</t>
  </si>
  <si>
    <t>BP140851</t>
  </si>
  <si>
    <t>10.187.104.73</t>
  </si>
  <si>
    <t>FE:FC:FA:f6:2d:e8</t>
  </si>
  <si>
    <t>B007839</t>
  </si>
  <si>
    <t>WP141579</t>
  </si>
  <si>
    <t>160.18.106.60</t>
  </si>
  <si>
    <t>p141579</t>
  </si>
  <si>
    <t>BP141579</t>
  </si>
  <si>
    <t>10.187.104.74</t>
  </si>
  <si>
    <t>FE:FC:FA:6c:ca:76</t>
  </si>
  <si>
    <t>B008729</t>
  </si>
  <si>
    <t>WZHSWBSXS01</t>
  </si>
  <si>
    <t>160.28.104.16</t>
  </si>
  <si>
    <t>zhswbsxs01</t>
  </si>
  <si>
    <t>BZHSWBSXS01</t>
  </si>
  <si>
    <t>10.187.104.75</t>
  </si>
  <si>
    <t>FE:FC:FA:d0:7c:13</t>
  </si>
  <si>
    <t>B010006</t>
  </si>
  <si>
    <t>Z023349</t>
  </si>
  <si>
    <t>160.28.104.14</t>
  </si>
  <si>
    <t>023349</t>
  </si>
  <si>
    <t>陈晴华</t>
  </si>
  <si>
    <t>B023349</t>
  </si>
  <si>
    <t>10.187.104.76</t>
  </si>
  <si>
    <t>FE:FC:FA:01:e1:24</t>
  </si>
  <si>
    <t>275.15 GB</t>
  </si>
  <si>
    <t>B010386</t>
  </si>
  <si>
    <t>Z024422</t>
  </si>
  <si>
    <t>160.28.104.15</t>
  </si>
  <si>
    <t>024422</t>
  </si>
  <si>
    <t>戴越</t>
  </si>
  <si>
    <t>B024422</t>
  </si>
  <si>
    <t>10.187.104.77</t>
  </si>
  <si>
    <t>FE:FC:FA:59:5c:1e</t>
  </si>
  <si>
    <t>269.85 GB</t>
  </si>
  <si>
    <t>伟 已卸载1</t>
  </si>
  <si>
    <t>B010387</t>
  </si>
  <si>
    <t>023990-1</t>
  </si>
  <si>
    <t>160.28.68.15</t>
  </si>
  <si>
    <t>023990</t>
  </si>
  <si>
    <t>卜敏哲</t>
  </si>
  <si>
    <t>B023990</t>
  </si>
  <si>
    <t>10.187.68.21</t>
  </si>
  <si>
    <t>FE:FC:FA:8e:1f:0e</t>
  </si>
  <si>
    <t>304.17 GB</t>
  </si>
  <si>
    <t>VLAN1016</t>
  </si>
  <si>
    <t>B010390</t>
  </si>
  <si>
    <t>W001449</t>
  </si>
  <si>
    <t>160.18.68.36</t>
  </si>
  <si>
    <t>001449</t>
  </si>
  <si>
    <t>高绣国</t>
  </si>
  <si>
    <t>10.187.68.22</t>
  </si>
  <si>
    <t>FE:FC:FA:02:f9:58</t>
  </si>
  <si>
    <t>B010393</t>
  </si>
  <si>
    <t>W002023</t>
  </si>
  <si>
    <t>160.18.68.27</t>
  </si>
  <si>
    <t>002023</t>
  </si>
  <si>
    <t>陈健</t>
  </si>
  <si>
    <t>B002023</t>
  </si>
  <si>
    <t>10.187.68.23</t>
  </si>
  <si>
    <t>FE:FC:FA:ca:0e:ac</t>
  </si>
  <si>
    <t>W002291</t>
  </si>
  <si>
    <t>160.18.68.29</t>
  </si>
  <si>
    <t>002291</t>
  </si>
  <si>
    <t>张娟</t>
  </si>
  <si>
    <t>10.187.68.24</t>
  </si>
  <si>
    <t>FE:FC:FA:91:79:e3</t>
  </si>
  <si>
    <t>B010417</t>
  </si>
  <si>
    <t>W002611</t>
  </si>
  <si>
    <t>160.18.68.35</t>
  </si>
  <si>
    <t>002611</t>
  </si>
  <si>
    <t>罗曦</t>
  </si>
  <si>
    <t>10.187.68.25</t>
  </si>
  <si>
    <t>FE:FC:FA:ae:1f:fe</t>
  </si>
  <si>
    <t>B010430</t>
  </si>
  <si>
    <t>W002759</t>
  </si>
  <si>
    <t>160.18.69.255</t>
  </si>
  <si>
    <t>002759</t>
  </si>
  <si>
    <t>陈丹妮</t>
  </si>
  <si>
    <t>10.187.68.26</t>
  </si>
  <si>
    <t>FE:FC:FA:04:4d:fb</t>
  </si>
  <si>
    <t>B010433</t>
  </si>
  <si>
    <t>W003088</t>
  </si>
  <si>
    <t>160.18.68.13</t>
  </si>
  <si>
    <t>003088</t>
  </si>
  <si>
    <t>孙燕</t>
  </si>
  <si>
    <t>10.187.68.27</t>
  </si>
  <si>
    <t>FE:FC:FA:14:8f:5c</t>
  </si>
  <si>
    <t>B010435</t>
  </si>
  <si>
    <t>W003175</t>
  </si>
  <si>
    <t>160.18.68.37</t>
  </si>
  <si>
    <t>003175</t>
  </si>
  <si>
    <t>傅嘉乐</t>
  </si>
  <si>
    <t>10.187.68.28</t>
  </si>
  <si>
    <t>FE:FC:FA:1b:1d:ab</t>
  </si>
  <si>
    <t>W003858</t>
  </si>
  <si>
    <t>160.18.68.40</t>
  </si>
  <si>
    <t>003858</t>
  </si>
  <si>
    <t>陈荣</t>
  </si>
  <si>
    <t>10.187.68.29</t>
  </si>
  <si>
    <t>FE:FC:FA:27:e9:af</t>
  </si>
  <si>
    <t>W003953</t>
  </si>
  <si>
    <t>160.18.68.61</t>
  </si>
  <si>
    <t>003953</t>
  </si>
  <si>
    <t>丁雪</t>
  </si>
  <si>
    <t>10.187.68.30</t>
  </si>
  <si>
    <t>FE:FC:FA:2c:25:9c</t>
  </si>
  <si>
    <t>W004912</t>
  </si>
  <si>
    <t>160.18.68.30</t>
  </si>
  <si>
    <t>004912</t>
  </si>
  <si>
    <t>丁晓颖</t>
  </si>
  <si>
    <t>10.187.68.31</t>
  </si>
  <si>
    <t>FE:FC:FA:ec:39:9e</t>
  </si>
  <si>
    <t>W006088</t>
  </si>
  <si>
    <t>160.18.68.42</t>
  </si>
  <si>
    <t>006088</t>
  </si>
  <si>
    <t>陆巍</t>
  </si>
  <si>
    <t>10.187.68.32</t>
  </si>
  <si>
    <t>FE:FC:FA:26:ad:5e</t>
  </si>
  <si>
    <t>W006103</t>
  </si>
  <si>
    <t>160.18.68.14</t>
  </si>
  <si>
    <t>006103</t>
  </si>
  <si>
    <t>吕娟</t>
  </si>
  <si>
    <t>10.187.68.33</t>
  </si>
  <si>
    <t>FE:FC:FA:48:8c:7b</t>
  </si>
  <si>
    <t>W006106</t>
  </si>
  <si>
    <t>160.18.68.7</t>
  </si>
  <si>
    <t>006106</t>
  </si>
  <si>
    <t>潘海燕</t>
  </si>
  <si>
    <t>10.187.68.34</t>
  </si>
  <si>
    <t>FE:FC:FA:1e:a9:61</t>
  </si>
  <si>
    <t>B021807</t>
  </si>
  <si>
    <t>W006130</t>
  </si>
  <si>
    <t>160.18.68.18</t>
  </si>
  <si>
    <t>006130</t>
  </si>
  <si>
    <t>章恒</t>
  </si>
  <si>
    <t>10.187.68.35</t>
  </si>
  <si>
    <t>FE:FC:FA:82:c2:db</t>
  </si>
  <si>
    <t>W006137</t>
  </si>
  <si>
    <t>160.18.68.24</t>
  </si>
  <si>
    <t>006137</t>
  </si>
  <si>
    <t>丁美琴</t>
  </si>
  <si>
    <t>10.187.68.36</t>
  </si>
  <si>
    <t>FE:FC:FA:e0:64:e3</t>
  </si>
  <si>
    <t>W006150</t>
  </si>
  <si>
    <t>160.18.68.48</t>
  </si>
  <si>
    <t>006150</t>
  </si>
  <si>
    <t>周长虹</t>
  </si>
  <si>
    <t>10.187.68.37</t>
  </si>
  <si>
    <t>FE:FC:FA:0a:d5:db</t>
  </si>
  <si>
    <t>B022108</t>
  </si>
  <si>
    <t>W006158</t>
  </si>
  <si>
    <t>160.18.68.16</t>
  </si>
  <si>
    <t>006158</t>
  </si>
  <si>
    <t>张黎雷</t>
  </si>
  <si>
    <t>10.187.68.38</t>
  </si>
  <si>
    <t>FE:FC:FA:2c:bc:19</t>
  </si>
  <si>
    <t>W006376</t>
  </si>
  <si>
    <t>160.18.68.51</t>
  </si>
  <si>
    <t>006376</t>
  </si>
  <si>
    <t>姜宝龙</t>
  </si>
  <si>
    <t>10.187.68.39</t>
  </si>
  <si>
    <t>FE:FC:FA:36:cc:fd</t>
  </si>
  <si>
    <t>W006849</t>
  </si>
  <si>
    <t>160.18.68.23</t>
  </si>
  <si>
    <t>006849</t>
  </si>
  <si>
    <t>胡中亭</t>
  </si>
  <si>
    <t>10.187.68.40</t>
  </si>
  <si>
    <t>FE:FC:FA:1c:59:08</t>
  </si>
  <si>
    <t>W006887</t>
  </si>
  <si>
    <t>160.18.68.19</t>
  </si>
  <si>
    <t>006887</t>
  </si>
  <si>
    <t>10.187.68.41</t>
  </si>
  <si>
    <t>FE:FC:FA:b9:4d:4f</t>
  </si>
  <si>
    <t>W007124</t>
  </si>
  <si>
    <t>160.18.68.45</t>
  </si>
  <si>
    <t>007124</t>
  </si>
  <si>
    <t>邵祥平</t>
  </si>
  <si>
    <t>10.187.68.42</t>
  </si>
  <si>
    <t>FE:FC:FA:ae:47:25</t>
  </si>
  <si>
    <t>W007395</t>
  </si>
  <si>
    <t>160.18.68.50</t>
  </si>
  <si>
    <t>007395</t>
  </si>
  <si>
    <t>吴琨</t>
  </si>
  <si>
    <t>10.187.68.43</t>
  </si>
  <si>
    <t>FE:FC:FA:e0:34:11</t>
  </si>
  <si>
    <t>W007789</t>
  </si>
  <si>
    <t>160.18.68.9</t>
  </si>
  <si>
    <t>007789</t>
  </si>
  <si>
    <t>孙红燕</t>
  </si>
  <si>
    <t>10.187.68.44</t>
  </si>
  <si>
    <t>FE:FC:FA:3c:1c:fc</t>
  </si>
  <si>
    <t>W007839</t>
  </si>
  <si>
    <t>160.18.68.26</t>
  </si>
  <si>
    <t>007839</t>
  </si>
  <si>
    <t>宗宁</t>
  </si>
  <si>
    <t>10.187.68.45</t>
  </si>
  <si>
    <t>FE:FC:FA:73:7a:2f</t>
  </si>
  <si>
    <t>W008729</t>
  </si>
  <si>
    <t>160.18.68.5</t>
  </si>
  <si>
    <t>008729</t>
  </si>
  <si>
    <t>胡佳洁</t>
  </si>
  <si>
    <t>10.187.68.46</t>
  </si>
  <si>
    <t>FE:FC:FA:de:28:02</t>
  </si>
  <si>
    <t>W010006</t>
  </si>
  <si>
    <t>160.18.68.8</t>
  </si>
  <si>
    <t>010006</t>
  </si>
  <si>
    <t>蔡小凡</t>
  </si>
  <si>
    <t>10.187.68.47</t>
  </si>
  <si>
    <t>FE:FC:FA:f1:f6:fc</t>
  </si>
  <si>
    <t>B023044</t>
  </si>
  <si>
    <t>W010386</t>
  </si>
  <si>
    <t>160.18.68.12</t>
  </si>
  <si>
    <t>010386</t>
  </si>
  <si>
    <t>李芯竹</t>
  </si>
  <si>
    <t>10.187.68.48</t>
  </si>
  <si>
    <t>FE:FC:FA:4d:db:d0</t>
  </si>
  <si>
    <t>B023342</t>
  </si>
  <si>
    <t>W010387</t>
  </si>
  <si>
    <t>160.18.68.31</t>
  </si>
  <si>
    <t>010387</t>
  </si>
  <si>
    <t>陈思文</t>
  </si>
  <si>
    <t>10.187.68.49</t>
  </si>
  <si>
    <t>FE:FC:FA:b7:c8:05</t>
  </si>
  <si>
    <t>W010390</t>
  </si>
  <si>
    <t>160.18.68.3</t>
  </si>
  <si>
    <t>010390</t>
  </si>
  <si>
    <t>童丹萍</t>
  </si>
  <si>
    <t>10.187.68.50</t>
  </si>
  <si>
    <t>FE:FC:FA:e0:1d:b7</t>
  </si>
  <si>
    <t>W010393</t>
  </si>
  <si>
    <t>160.18.68.41</t>
  </si>
  <si>
    <t>010393</t>
  </si>
  <si>
    <t>万盼盼</t>
  </si>
  <si>
    <t>10.187.68.51</t>
  </si>
  <si>
    <t>FE:FC:FA:3a:1f:fd</t>
  </si>
  <si>
    <t>B023534</t>
  </si>
  <si>
    <t>W010417</t>
  </si>
  <si>
    <t>160.18.68.22</t>
  </si>
  <si>
    <t>010417</t>
  </si>
  <si>
    <t>马思宁</t>
  </si>
  <si>
    <t>10.187.68.52</t>
  </si>
  <si>
    <t>FE:FC:FA:19:71:45</t>
  </si>
  <si>
    <t>B023782</t>
  </si>
  <si>
    <t>W010418</t>
  </si>
  <si>
    <t>160.18.68.32</t>
  </si>
  <si>
    <t>010418</t>
  </si>
  <si>
    <t>陆杨</t>
  </si>
  <si>
    <t>10.187.68.53</t>
  </si>
  <si>
    <t>FE:FC:FA:7a:34:eb</t>
  </si>
  <si>
    <t>B023793</t>
  </si>
  <si>
    <t>W010430</t>
  </si>
  <si>
    <t>160.18.68.34</t>
  </si>
  <si>
    <t>010430</t>
  </si>
  <si>
    <t>10.187.68.54</t>
  </si>
  <si>
    <t>FE:FC:FA:ee:b1:63</t>
  </si>
  <si>
    <t>B023807</t>
  </si>
  <si>
    <t>W010433</t>
  </si>
  <si>
    <t>160.18.68.46</t>
  </si>
  <si>
    <t>010433</t>
  </si>
  <si>
    <t>张荣</t>
  </si>
  <si>
    <t>10.187.68.55</t>
  </si>
  <si>
    <t>FE:FC:FA:10:2d:cb</t>
  </si>
  <si>
    <t>W010435</t>
  </si>
  <si>
    <t>160.18.68.49</t>
  </si>
  <si>
    <t>010435</t>
  </si>
  <si>
    <t>尹钰</t>
  </si>
  <si>
    <t>10.187.68.56</t>
  </si>
  <si>
    <t>FE:FC:FA:07:4c:70</t>
  </si>
  <si>
    <t>B023997</t>
  </si>
  <si>
    <t>W010567</t>
  </si>
  <si>
    <t>160.18.68.62</t>
  </si>
  <si>
    <t>010567</t>
  </si>
  <si>
    <t>吴璐璐</t>
  </si>
  <si>
    <t>10.187.68.57</t>
  </si>
  <si>
    <t>FE:FC:FA:9a:1a:1f</t>
  </si>
  <si>
    <t>W010568</t>
  </si>
  <si>
    <t>160.18.68.63</t>
  </si>
  <si>
    <t>010568</t>
  </si>
  <si>
    <t>王翼</t>
  </si>
  <si>
    <t>10.187.68.58</t>
  </si>
  <si>
    <t>FE:FC:FA:95:89:c0</t>
  </si>
  <si>
    <t>Z021807</t>
  </si>
  <si>
    <t>160.28.74.4</t>
  </si>
  <si>
    <t>021807</t>
  </si>
  <si>
    <t>蒋依桐</t>
  </si>
  <si>
    <t>10.187.72.21</t>
  </si>
  <si>
    <t>FE:FC:FA:c4:65:be</t>
  </si>
  <si>
    <t>271.02 GB</t>
  </si>
  <si>
    <t>VLAN1017</t>
  </si>
  <si>
    <t>Z022108</t>
  </si>
  <si>
    <t>160.28.72.12</t>
  </si>
  <si>
    <t>022108</t>
  </si>
  <si>
    <t>李洋</t>
  </si>
  <si>
    <t>10.187.72.22</t>
  </si>
  <si>
    <t>FE:FC:FA:f6:75:6c</t>
  </si>
  <si>
    <t>坤 已卸载1</t>
  </si>
  <si>
    <t>Z023044</t>
  </si>
  <si>
    <t>160.28.72.13</t>
  </si>
  <si>
    <t>023044</t>
  </si>
  <si>
    <t>钟昊</t>
  </si>
  <si>
    <t>10.187.72.23</t>
  </si>
  <si>
    <t>FE:FC:FA:6a:ef:ed</t>
  </si>
  <si>
    <t>276.81 GB</t>
  </si>
  <si>
    <t>Z023271</t>
  </si>
  <si>
    <t>160.28.74.5</t>
  </si>
  <si>
    <t>023271</t>
  </si>
  <si>
    <t>冯玉杰</t>
  </si>
  <si>
    <t>B023271</t>
  </si>
  <si>
    <t>10.187.72.24</t>
  </si>
  <si>
    <t>FE:FC:FA:c8:1e:4e</t>
  </si>
  <si>
    <t>286.64 GB</t>
  </si>
  <si>
    <t>刘 已卸载1</t>
  </si>
  <si>
    <t>Z023342</t>
  </si>
  <si>
    <t>160.28.72.14</t>
  </si>
  <si>
    <t>023342</t>
  </si>
  <si>
    <t>王语凡</t>
  </si>
  <si>
    <t>10.187.72.25</t>
  </si>
  <si>
    <t>FE:FC:FA:88:65:a1</t>
  </si>
  <si>
    <t>269.23 GB</t>
  </si>
  <si>
    <t>Z023437</t>
  </si>
  <si>
    <t>160.28.72.15</t>
  </si>
  <si>
    <t>023437</t>
  </si>
  <si>
    <t>俞媛媛</t>
  </si>
  <si>
    <t>10.187.72.26</t>
  </si>
  <si>
    <t>FE:FC:FA:3d:a7:9c</t>
  </si>
  <si>
    <t>268.44 GB</t>
  </si>
  <si>
    <t>Z023506</t>
  </si>
  <si>
    <t>160.28.72.16</t>
  </si>
  <si>
    <t>023506</t>
  </si>
  <si>
    <t>刘强</t>
  </si>
  <si>
    <t>10.187.72.27</t>
  </si>
  <si>
    <t>FE:FC:FA:24:87:e2</t>
  </si>
  <si>
    <t>269.41 GB</t>
  </si>
  <si>
    <t>徐 已卸载 1</t>
  </si>
  <si>
    <t xml:space="preserve"> 2026-08-19 21:58:21 </t>
  </si>
  <si>
    <t>Z023515</t>
  </si>
  <si>
    <t>160.28.72.17</t>
  </si>
  <si>
    <t>023515</t>
  </si>
  <si>
    <t>阚悦</t>
  </si>
  <si>
    <t>B023515</t>
  </si>
  <si>
    <t>10.187.72.28</t>
  </si>
  <si>
    <t>FE:FC:FA:05:c7:46</t>
  </si>
  <si>
    <t>271.92 GB</t>
  </si>
  <si>
    <t>Z023517</t>
  </si>
  <si>
    <t>160.28.72.18</t>
  </si>
  <si>
    <t>023517</t>
  </si>
  <si>
    <t>于俊朗</t>
  </si>
  <si>
    <t>B023517</t>
  </si>
  <si>
    <t>10.187.72.29</t>
  </si>
  <si>
    <t>FE:FC:FA:28:20:07</t>
  </si>
  <si>
    <t>274.77 GB</t>
  </si>
  <si>
    <t>Z023534</t>
  </si>
  <si>
    <t>160.28.72.19</t>
  </si>
  <si>
    <t>023534</t>
  </si>
  <si>
    <t>季思尧</t>
  </si>
  <si>
    <t>10.187.72.30</t>
  </si>
  <si>
    <t>FE:FC:FA:54:41:a5</t>
  </si>
  <si>
    <t>267.2 GB</t>
  </si>
  <si>
    <t>Z023782</t>
  </si>
  <si>
    <t>160.28.74.7</t>
  </si>
  <si>
    <t>023782</t>
  </si>
  <si>
    <t>宋婧怡</t>
  </si>
  <si>
    <t>10.187.72.31</t>
  </si>
  <si>
    <t>FE:FC:FA:34:46:d0</t>
  </si>
  <si>
    <t>273.71 GB</t>
  </si>
  <si>
    <t>Z023788</t>
  </si>
  <si>
    <t>160.28.74.8</t>
  </si>
  <si>
    <t>023788</t>
  </si>
  <si>
    <t>陈颖</t>
  </si>
  <si>
    <t>B023788</t>
  </si>
  <si>
    <t>10.187.72.32</t>
  </si>
  <si>
    <t>FE:FC:FA:a7:5d:e6</t>
  </si>
  <si>
    <t>269.19 GB</t>
  </si>
  <si>
    <t>Z023793</t>
  </si>
  <si>
    <t>160.28.72.20</t>
  </si>
  <si>
    <t>023793</t>
  </si>
  <si>
    <t>张睿宁</t>
  </si>
  <si>
    <t>10.187.72.33</t>
  </si>
  <si>
    <t>FE:FC:FA:04:fc:13</t>
  </si>
  <si>
    <t>269.59 GB</t>
  </si>
  <si>
    <t>Z023805</t>
  </si>
  <si>
    <t>160.28.74.9</t>
  </si>
  <si>
    <t>023805</t>
  </si>
  <si>
    <t>马行健</t>
  </si>
  <si>
    <t>B023805</t>
  </si>
  <si>
    <t>10.187.72.34</t>
  </si>
  <si>
    <t>FE:FC:FA:79:54:3d</t>
  </si>
  <si>
    <t>271.42 GB</t>
  </si>
  <si>
    <t>Z023806</t>
  </si>
  <si>
    <t>160.28.72.22</t>
  </si>
  <si>
    <t>023806</t>
  </si>
  <si>
    <t>刘峻玮</t>
  </si>
  <si>
    <t>10.187.72.35</t>
  </si>
  <si>
    <t>FE:FC:FA:3b:91:11</t>
  </si>
  <si>
    <t>267.36 GB</t>
  </si>
  <si>
    <t>Z023807</t>
  </si>
  <si>
    <t>160.28.74.10</t>
  </si>
  <si>
    <t>023807</t>
  </si>
  <si>
    <t>袁驿</t>
  </si>
  <si>
    <t>10.187.72.36</t>
  </si>
  <si>
    <t>FE:FC:FA:42:0e:36</t>
  </si>
  <si>
    <t>267.44 GB</t>
  </si>
  <si>
    <t>Z023901</t>
  </si>
  <si>
    <t>160.28.72.21</t>
  </si>
  <si>
    <t>023901</t>
  </si>
  <si>
    <t>徐若桐</t>
  </si>
  <si>
    <t>B023901</t>
  </si>
  <si>
    <t>10.187.72.37</t>
  </si>
  <si>
    <t>FE:FC:FA:67:4d:6a</t>
  </si>
  <si>
    <t>270.72 GB</t>
  </si>
  <si>
    <t>Z023995</t>
  </si>
  <si>
    <t>160.28.74.11</t>
  </si>
  <si>
    <t>023995</t>
  </si>
  <si>
    <t>谢轶雯</t>
  </si>
  <si>
    <t>B023995</t>
  </si>
  <si>
    <t>10.187.72.38</t>
  </si>
  <si>
    <t>FE:FC:FA:cb:35:94</t>
  </si>
  <si>
    <t>Z023996</t>
  </si>
  <si>
    <t>160.28.74.12</t>
  </si>
  <si>
    <t>023996</t>
  </si>
  <si>
    <t>丁钰</t>
  </si>
  <si>
    <t>B023996</t>
  </si>
  <si>
    <t>10.187.72.39</t>
  </si>
  <si>
    <t>FE:FC:FA:41:af:84</t>
  </si>
  <si>
    <t>273.28 GB</t>
  </si>
  <si>
    <t>Z023997</t>
  </si>
  <si>
    <t>160.28.72.25</t>
  </si>
  <si>
    <t>023997</t>
  </si>
  <si>
    <t>姚辰瑜</t>
  </si>
  <si>
    <t>10.187.72.40</t>
  </si>
  <si>
    <t>FE:FC:FA:52:58:af</t>
  </si>
  <si>
    <t>266.99 GB</t>
  </si>
  <si>
    <t>Z023999</t>
  </si>
  <si>
    <t>160.28.72.26</t>
  </si>
  <si>
    <t>023999</t>
  </si>
  <si>
    <t>徐悦</t>
  </si>
  <si>
    <t>10.187.72.41</t>
  </si>
  <si>
    <t>FE:FC:FA:6f:03:5d</t>
  </si>
  <si>
    <t>288.41 GB</t>
  </si>
  <si>
    <t>Z024001</t>
  </si>
  <si>
    <t>160.28.72.23</t>
  </si>
  <si>
    <t>024001</t>
  </si>
  <si>
    <t>殷思益</t>
  </si>
  <si>
    <t>10.187.72.42</t>
  </si>
  <si>
    <t>FE:FC:FA:7b:0c:9c</t>
  </si>
  <si>
    <t>274.82 GB</t>
  </si>
  <si>
    <t>Z024139</t>
  </si>
  <si>
    <t>160.28.72.63</t>
  </si>
  <si>
    <t>024139</t>
  </si>
  <si>
    <t>郭骁</t>
  </si>
  <si>
    <t>B024139</t>
  </si>
  <si>
    <t>10.187.72.43</t>
  </si>
  <si>
    <t>FE:FC:FA:43:4d:da</t>
  </si>
  <si>
    <t>305.34 GB</t>
  </si>
  <si>
    <t>有剪贴板权限</t>
  </si>
  <si>
    <t>W004738</t>
  </si>
  <si>
    <t>160.18.234.76</t>
  </si>
  <si>
    <t>004738</t>
  </si>
  <si>
    <t>丁玲</t>
  </si>
  <si>
    <t>深圳分公司</t>
  </si>
  <si>
    <t>深圳科苑南路华润大厦证券营业部</t>
  </si>
  <si>
    <t>B004738</t>
  </si>
  <si>
    <t>10.187.232.11</t>
  </si>
  <si>
    <t>FE:FC:FA:92:5c:98</t>
  </si>
  <si>
    <t>VLAN1057</t>
  </si>
  <si>
    <t>W007637</t>
  </si>
  <si>
    <t>160.18.233.218</t>
  </si>
  <si>
    <t>007637</t>
  </si>
  <si>
    <t>吕丽</t>
  </si>
  <si>
    <t>B007637</t>
  </si>
  <si>
    <t>10.187.232.12</t>
  </si>
  <si>
    <t>FE:FC:FA:80:60:94</t>
  </si>
  <si>
    <t>W007722</t>
  </si>
  <si>
    <t>160.18.233.111</t>
  </si>
  <si>
    <t>007722</t>
  </si>
  <si>
    <t>张芝琦</t>
  </si>
  <si>
    <t>B007722</t>
  </si>
  <si>
    <t>10.187.232.13</t>
  </si>
  <si>
    <t>FE:FC:FA:65:79:f6</t>
  </si>
  <si>
    <t>W008592</t>
  </si>
  <si>
    <t>160.18.233.192</t>
  </si>
  <si>
    <t>008592</t>
  </si>
  <si>
    <t>许维</t>
  </si>
  <si>
    <t>B008592</t>
  </si>
  <si>
    <t>10.187.232.14</t>
  </si>
  <si>
    <t>FE:FC:FA:d2:dd:54</t>
  </si>
  <si>
    <t>W011372</t>
  </si>
  <si>
    <t>160.18.234.146</t>
  </si>
  <si>
    <t>011372</t>
  </si>
  <si>
    <t>陆兵</t>
  </si>
  <si>
    <t>B011372</t>
  </si>
  <si>
    <t>10.187.232.15</t>
  </si>
  <si>
    <t>FE:FC:FA:7a:2c:ca</t>
  </si>
  <si>
    <t>W013048</t>
  </si>
  <si>
    <t>160.18.234.157</t>
  </si>
  <si>
    <t>013048</t>
  </si>
  <si>
    <t>段金金</t>
  </si>
  <si>
    <t>B013048</t>
  </si>
  <si>
    <t>10.187.232.16</t>
  </si>
  <si>
    <t>FE:FC:FA:33:8e:0a</t>
  </si>
  <si>
    <t>W013333</t>
  </si>
  <si>
    <t>160.18.234.137</t>
  </si>
  <si>
    <t>013333</t>
  </si>
  <si>
    <t>黄磊</t>
  </si>
  <si>
    <t>B013333</t>
  </si>
  <si>
    <t>10.187.232.17</t>
  </si>
  <si>
    <t>FE:FC:FA:ca:c0:9a</t>
  </si>
  <si>
    <t>W013462</t>
  </si>
  <si>
    <t>160.18.233.110</t>
  </si>
  <si>
    <t>013462</t>
  </si>
  <si>
    <t>罗勇</t>
  </si>
  <si>
    <t>B013462</t>
  </si>
  <si>
    <t>10.187.232.18</t>
  </si>
  <si>
    <t>FE:FC:FA:cf:6d:aa</t>
  </si>
  <si>
    <t>W013701</t>
  </si>
  <si>
    <t>160.18.234.113</t>
  </si>
  <si>
    <t>013701</t>
  </si>
  <si>
    <t>曾慧文</t>
  </si>
  <si>
    <t>B013701</t>
  </si>
  <si>
    <t>10.187.232.19</t>
  </si>
  <si>
    <t>FE:FC:FA:77:ef:14</t>
  </si>
  <si>
    <t>W014923</t>
  </si>
  <si>
    <t>160.18.233.165</t>
  </si>
  <si>
    <t>014923</t>
  </si>
  <si>
    <t>王献锋</t>
  </si>
  <si>
    <t>B014923</t>
  </si>
  <si>
    <t>10.187.232.20</t>
  </si>
  <si>
    <t>FE:FC:FA:c4:58:80</t>
  </si>
  <si>
    <t>W016787</t>
  </si>
  <si>
    <t>160.18.235.102</t>
  </si>
  <si>
    <t>016787</t>
  </si>
  <si>
    <t>侯雅洁</t>
  </si>
  <si>
    <t>B016787</t>
  </si>
  <si>
    <t>10.187.232.21</t>
  </si>
  <si>
    <t>FE:FC:FA:a0:d0:58</t>
  </si>
  <si>
    <t>W017381</t>
  </si>
  <si>
    <t>160.18.234.214</t>
  </si>
  <si>
    <t>017381</t>
  </si>
  <si>
    <t>唐应桓</t>
  </si>
  <si>
    <t>B017381</t>
  </si>
  <si>
    <t>10.187.232.22</t>
  </si>
  <si>
    <t>FE:FC:FA:ce:ec:ca</t>
  </si>
  <si>
    <t>W017477</t>
  </si>
  <si>
    <t>160.18.234.103</t>
  </si>
  <si>
    <t>017477</t>
  </si>
  <si>
    <t>郑杰</t>
  </si>
  <si>
    <t>B017477</t>
  </si>
  <si>
    <t>10.187.232.23</t>
  </si>
  <si>
    <t>FE:FC:FA:3d:58:b0</t>
  </si>
  <si>
    <t>W017962</t>
  </si>
  <si>
    <t>160.18.233.76</t>
  </si>
  <si>
    <t>017962</t>
  </si>
  <si>
    <t>王赢</t>
  </si>
  <si>
    <t>B017962</t>
  </si>
  <si>
    <t>10.187.232.24</t>
  </si>
  <si>
    <t>FE:FC:FA:28:7d:d2</t>
  </si>
  <si>
    <t>W019505</t>
  </si>
  <si>
    <t>160.18.233.202</t>
  </si>
  <si>
    <t>019505</t>
  </si>
  <si>
    <t>邓钟旭</t>
  </si>
  <si>
    <t>B019505</t>
  </si>
  <si>
    <t>10.187.232.25</t>
  </si>
  <si>
    <t>FE:FC:FA:f6:ec:d4</t>
  </si>
  <si>
    <t>W021680</t>
  </si>
  <si>
    <t>160.18.233.40</t>
  </si>
  <si>
    <t>021680</t>
  </si>
  <si>
    <t>陈之遥</t>
  </si>
  <si>
    <t>B021680</t>
  </si>
  <si>
    <t>10.187.232.26</t>
  </si>
  <si>
    <t>FE:FC:FA:57:05:91</t>
  </si>
  <si>
    <t>W026170</t>
  </si>
  <si>
    <t>160.18.235.118</t>
  </si>
  <si>
    <t>026170</t>
  </si>
  <si>
    <t>侯浪</t>
  </si>
  <si>
    <t>B026170</t>
  </si>
  <si>
    <t>10.187.232.27</t>
  </si>
  <si>
    <t>FE:FC:FA:fe:a1:c6</t>
  </si>
  <si>
    <t>Z024573</t>
  </si>
  <si>
    <t>160.28.232.56</t>
  </si>
  <si>
    <t>024573</t>
  </si>
  <si>
    <t>严文静</t>
  </si>
  <si>
    <t>B024573</t>
  </si>
  <si>
    <t>10.187.232.28</t>
  </si>
  <si>
    <t>FE:FC:FA:03:d6:62</t>
  </si>
  <si>
    <t>Z024799</t>
  </si>
  <si>
    <t>160.28.232.69</t>
  </si>
  <si>
    <t>024799</t>
  </si>
  <si>
    <t>王铮</t>
  </si>
  <si>
    <t>B024799</t>
  </si>
  <si>
    <t>10.187.232.29</t>
  </si>
  <si>
    <t>FE:FC:FA:7b:67:35</t>
  </si>
  <si>
    <t>269.15 GB</t>
  </si>
  <si>
    <t>322.49 GB</t>
  </si>
  <si>
    <t>W013629</t>
  </si>
  <si>
    <t>160.18.20.14</t>
  </si>
  <si>
    <t>013629</t>
  </si>
  <si>
    <t>邱雨晨</t>
  </si>
  <si>
    <t>B013629</t>
  </si>
  <si>
    <t>10.187.20.163</t>
  </si>
  <si>
    <t>FE:FC:FA:aa:b1:09</t>
  </si>
  <si>
    <t>B022075</t>
  </si>
  <si>
    <t>W013634</t>
  </si>
  <si>
    <t>160.18.22.10</t>
  </si>
  <si>
    <t>013634</t>
  </si>
  <si>
    <t>阮蒙</t>
  </si>
  <si>
    <t>B013634</t>
  </si>
  <si>
    <t>10.187.20.164</t>
  </si>
  <si>
    <t>FE:FC:FA:b7:89:ce</t>
  </si>
  <si>
    <t>W013635</t>
  </si>
  <si>
    <t>160.18.22.143</t>
  </si>
  <si>
    <t>013635</t>
  </si>
  <si>
    <t>沈小玲</t>
  </si>
  <si>
    <t>B013635</t>
  </si>
  <si>
    <t>10.187.20.165</t>
  </si>
  <si>
    <t>FE:FC:FA:07:bd:18</t>
  </si>
  <si>
    <t>W013637</t>
  </si>
  <si>
    <t>160.18.22.1</t>
  </si>
  <si>
    <t>013637</t>
  </si>
  <si>
    <t>邓娅</t>
  </si>
  <si>
    <t>B013637</t>
  </si>
  <si>
    <t>10.187.20.166</t>
  </si>
  <si>
    <t>FE:FC:FA:ea:c5:37</t>
  </si>
  <si>
    <t>W013638</t>
  </si>
  <si>
    <t>160.18.21.203</t>
  </si>
  <si>
    <t>013638</t>
  </si>
  <si>
    <t>杨爽</t>
  </si>
  <si>
    <t>B013638</t>
  </si>
  <si>
    <t>10.187.20.167</t>
  </si>
  <si>
    <t>FE:FC:FA:52:e3:88</t>
  </si>
  <si>
    <t>B022076</t>
  </si>
  <si>
    <t>W013645</t>
  </si>
  <si>
    <t>160.18.22.146</t>
  </si>
  <si>
    <t>013645</t>
  </si>
  <si>
    <t>邓楚秋</t>
  </si>
  <si>
    <t>B013645</t>
  </si>
  <si>
    <t>10.187.20.168</t>
  </si>
  <si>
    <t>FE:FC:FA:d1:92:2e</t>
  </si>
  <si>
    <t>B024775</t>
  </si>
  <si>
    <t>W013646</t>
  </si>
  <si>
    <t>160.18.22.105</t>
  </si>
  <si>
    <t>013646</t>
  </si>
  <si>
    <t>金晶</t>
  </si>
  <si>
    <t>B013646</t>
  </si>
  <si>
    <t>10.187.20.169</t>
  </si>
  <si>
    <t>FE:FC:FA:64:66:bd</t>
  </si>
  <si>
    <t>W013647</t>
  </si>
  <si>
    <t>160.18.22.114</t>
  </si>
  <si>
    <t>013647</t>
  </si>
  <si>
    <t>吴文迪</t>
  </si>
  <si>
    <t>B013647</t>
  </si>
  <si>
    <t>10.187.20.170</t>
  </si>
  <si>
    <t>FE:FC:FA:6d:95:8e</t>
  </si>
  <si>
    <t>BWTEST2026-821Q</t>
  </si>
  <si>
    <t>W013648</t>
  </si>
  <si>
    <t>160.18.22.6</t>
  </si>
  <si>
    <t>013648</t>
  </si>
  <si>
    <t>李欣昊</t>
  </si>
  <si>
    <t>B013648</t>
  </si>
  <si>
    <t>10.187.20.171</t>
  </si>
  <si>
    <t>FE:FC:FA:e8:94:01</t>
  </si>
  <si>
    <t>W013655</t>
  </si>
  <si>
    <t>160.18.22.163</t>
  </si>
  <si>
    <t>013655</t>
  </si>
  <si>
    <t>乐翰</t>
  </si>
  <si>
    <t>B013655</t>
  </si>
  <si>
    <t>10.187.20.172</t>
  </si>
  <si>
    <t>FE:FC:FA:99:af:ce</t>
  </si>
  <si>
    <t>B001981</t>
  </si>
  <si>
    <t>W014028</t>
  </si>
  <si>
    <t>160.18.22.9</t>
  </si>
  <si>
    <t>014028</t>
  </si>
  <si>
    <t>倪巍</t>
  </si>
  <si>
    <t>B014028</t>
  </si>
  <si>
    <t>10.187.20.173</t>
  </si>
  <si>
    <t>FE:FC:FA:24:88:72</t>
  </si>
  <si>
    <t>B003867</t>
  </si>
  <si>
    <t>W014033</t>
  </si>
  <si>
    <t>160.18.21.162</t>
  </si>
  <si>
    <t>014033</t>
  </si>
  <si>
    <t>王小雅</t>
  </si>
  <si>
    <t>B014033</t>
  </si>
  <si>
    <t>10.187.20.174</t>
  </si>
  <si>
    <t>FE:FC:FA:4a:09:42</t>
  </si>
  <si>
    <t>B004595</t>
  </si>
  <si>
    <t>W014111</t>
  </si>
  <si>
    <t>160.18.22.122</t>
  </si>
  <si>
    <t>014111</t>
  </si>
  <si>
    <t>张茜</t>
  </si>
  <si>
    <t>B014111</t>
  </si>
  <si>
    <t>10.187.20.175</t>
  </si>
  <si>
    <t>FE:FC:FA:70:62:37</t>
  </si>
  <si>
    <t>B024085</t>
  </si>
  <si>
    <t>W014113</t>
  </si>
  <si>
    <t>160.18.21.250</t>
  </si>
  <si>
    <t>014113</t>
  </si>
  <si>
    <t>藕慧</t>
  </si>
  <si>
    <t>B014113</t>
  </si>
  <si>
    <t>10.187.20.176</t>
  </si>
  <si>
    <t>FE:FC:FA:06:19:17</t>
  </si>
  <si>
    <t>B024766</t>
  </si>
  <si>
    <t>W014116</t>
  </si>
  <si>
    <t>160.18.22.62</t>
  </si>
  <si>
    <t>014116</t>
  </si>
  <si>
    <t>李雪</t>
  </si>
  <si>
    <t>B014116</t>
  </si>
  <si>
    <t>10.187.20.177</t>
  </si>
  <si>
    <t>FE:FC:FA:b9:5c:f5</t>
  </si>
  <si>
    <t>B024918</t>
  </si>
  <si>
    <t>W014117</t>
  </si>
  <si>
    <t>160.18.22.86</t>
  </si>
  <si>
    <t>014117</t>
  </si>
  <si>
    <t>张聪聪</t>
  </si>
  <si>
    <t>B014117</t>
  </si>
  <si>
    <t>10.187.20.178</t>
  </si>
  <si>
    <t>FE:FC:FA:27:fa:e1</t>
  </si>
  <si>
    <t>W014119</t>
  </si>
  <si>
    <t>160.18.21.233</t>
  </si>
  <si>
    <t>014119</t>
  </si>
  <si>
    <t>B014119</t>
  </si>
  <si>
    <t>10.187.20.179</t>
  </si>
  <si>
    <t>FE:FC:FA:7f:a7:ad</t>
  </si>
  <si>
    <t>W014122</t>
  </si>
  <si>
    <t>160.18.22.25</t>
  </si>
  <si>
    <t>014122</t>
  </si>
  <si>
    <t>王苗苗</t>
  </si>
  <si>
    <t>B014122</t>
  </si>
  <si>
    <t>10.187.20.180</t>
  </si>
  <si>
    <t>FE:FC:FA:55:6b:1f</t>
  </si>
  <si>
    <t>B025001</t>
  </si>
  <si>
    <t>W014124</t>
  </si>
  <si>
    <t>160.18.22.34</t>
  </si>
  <si>
    <t>014124</t>
  </si>
  <si>
    <t>夏天慧</t>
  </si>
  <si>
    <t>B014124</t>
  </si>
  <si>
    <t>10.187.20.181</t>
  </si>
  <si>
    <t>FE:FC:FA:2b:ce:67</t>
  </si>
  <si>
    <t>B001201</t>
  </si>
  <si>
    <t>W014128</t>
  </si>
  <si>
    <t>160.18.22.60</t>
  </si>
  <si>
    <t>014128</t>
  </si>
  <si>
    <t>花笑容</t>
  </si>
  <si>
    <t>B014128</t>
  </si>
  <si>
    <t>10.187.20.182</t>
  </si>
  <si>
    <t>FE:FC:FA:35:f7:1a</t>
  </si>
  <si>
    <t>B002676</t>
  </si>
  <si>
    <t>W014129</t>
  </si>
  <si>
    <t>160.18.22.26</t>
  </si>
  <si>
    <t>014129</t>
  </si>
  <si>
    <t>谢娜</t>
  </si>
  <si>
    <t>B014129</t>
  </si>
  <si>
    <t>10.187.20.183</t>
  </si>
  <si>
    <t>FE:FC:FA:62:43:b7</t>
  </si>
  <si>
    <t>无消息，不重启</t>
  </si>
  <si>
    <t>B011531</t>
  </si>
  <si>
    <t>W014130</t>
  </si>
  <si>
    <t>160.18.22.53</t>
  </si>
  <si>
    <t>014130</t>
  </si>
  <si>
    <t>许可晖</t>
  </si>
  <si>
    <t>B014130</t>
  </si>
  <si>
    <t>10.187.20.184</t>
  </si>
  <si>
    <t>FE:FC:FA:7c:0b:94</t>
  </si>
  <si>
    <t>B011535</t>
  </si>
  <si>
    <t>W014132</t>
  </si>
  <si>
    <t>160.18.22.73</t>
  </si>
  <si>
    <t>014132</t>
  </si>
  <si>
    <t>雷佳茗</t>
  </si>
  <si>
    <t>B014132</t>
  </si>
  <si>
    <t>10.187.20.185</t>
  </si>
  <si>
    <t>FE:FC:FA:8d:9f:c1</t>
  </si>
  <si>
    <t>W014133</t>
  </si>
  <si>
    <t>160.18.22.82</t>
  </si>
  <si>
    <t>014133</t>
  </si>
  <si>
    <t>郭子昂</t>
  </si>
  <si>
    <t>B014133</t>
  </si>
  <si>
    <t>10.187.20.186</t>
  </si>
  <si>
    <t>FE:FC:FA:4e:be:06</t>
  </si>
  <si>
    <t>B012151</t>
  </si>
  <si>
    <t>W014137</t>
  </si>
  <si>
    <t>160.18.21.198</t>
  </si>
  <si>
    <t>014137</t>
  </si>
  <si>
    <t>陆天鹏</t>
  </si>
  <si>
    <t>B014137</t>
  </si>
  <si>
    <t>10.187.20.187</t>
  </si>
  <si>
    <t>FE:FC:FA:cf:73:e2</t>
  </si>
  <si>
    <t>B013251</t>
  </si>
  <si>
    <t>W014139</t>
  </si>
  <si>
    <t>160.18.22.103</t>
  </si>
  <si>
    <t>014139</t>
  </si>
  <si>
    <t>陈文妮</t>
  </si>
  <si>
    <t>B014139</t>
  </si>
  <si>
    <t>10.187.20.188</t>
  </si>
  <si>
    <t>FE:FC:FA:6b:1b:c3</t>
  </si>
  <si>
    <t>W014140</t>
  </si>
  <si>
    <t>160.18.22.102</t>
  </si>
  <si>
    <t>014140</t>
  </si>
  <si>
    <t>端武丹</t>
  </si>
  <si>
    <t>B014140</t>
  </si>
  <si>
    <t>10.187.20.189</t>
  </si>
  <si>
    <t>FE:FC:FA:c9:76:3f</t>
  </si>
  <si>
    <t>W014141</t>
  </si>
  <si>
    <t>160.18.22.96</t>
  </si>
  <si>
    <t>014141</t>
  </si>
  <si>
    <t>顾杨</t>
  </si>
  <si>
    <t>B014141</t>
  </si>
  <si>
    <t>10.187.20.190</t>
  </si>
  <si>
    <t>FE:FC:FA:ea:75:0f</t>
  </si>
  <si>
    <t>W014148</t>
  </si>
  <si>
    <t>160.18.22.98</t>
  </si>
  <si>
    <t>014148</t>
  </si>
  <si>
    <t>刘佳奇</t>
  </si>
  <si>
    <t>B014148</t>
  </si>
  <si>
    <t>10.187.20.191</t>
  </si>
  <si>
    <t>FE:FC:FA:9c:ae:39</t>
  </si>
  <si>
    <t>W014163</t>
  </si>
  <si>
    <t>160.18.21.209</t>
  </si>
  <si>
    <t>014163</t>
  </si>
  <si>
    <t>赵佳慧</t>
  </si>
  <si>
    <t>B014163</t>
  </si>
  <si>
    <t>10.187.20.192</t>
  </si>
  <si>
    <t>FE:FC:FA:6a:aa:36</t>
  </si>
  <si>
    <t>B015463</t>
  </si>
  <si>
    <t>W014167</t>
  </si>
  <si>
    <t>160.18.22.100</t>
  </si>
  <si>
    <t>014167</t>
  </si>
  <si>
    <t>袁颖佳</t>
  </si>
  <si>
    <t>B014167</t>
  </si>
  <si>
    <t>10.187.20.193</t>
  </si>
  <si>
    <t>FE:FC:FA:3f:6b:fa</t>
  </si>
  <si>
    <t>B015640</t>
  </si>
  <si>
    <t>W014171</t>
  </si>
  <si>
    <t>160.18.22.90</t>
  </si>
  <si>
    <t>014171</t>
  </si>
  <si>
    <t>王丹</t>
  </si>
  <si>
    <t>B014171</t>
  </si>
  <si>
    <t>10.187.20.194</t>
  </si>
  <si>
    <t>FE:FC:FA:59:5e:44</t>
  </si>
  <si>
    <t>无消息，自动关机</t>
  </si>
  <si>
    <t>B020853</t>
  </si>
  <si>
    <t>W014172</t>
  </si>
  <si>
    <t>160.18.22.119</t>
  </si>
  <si>
    <t>014172</t>
  </si>
  <si>
    <t>张苇欣</t>
  </si>
  <si>
    <t>B014172</t>
  </si>
  <si>
    <t>10.187.20.195</t>
  </si>
  <si>
    <t>FE:FC:FA:87:0a:fa</t>
  </si>
  <si>
    <t>B021852</t>
  </si>
  <si>
    <t>W014173</t>
  </si>
  <si>
    <t>160.18.22.52</t>
  </si>
  <si>
    <t>014173</t>
  </si>
  <si>
    <t>蒋思羽</t>
  </si>
  <si>
    <t>B014173</t>
  </si>
  <si>
    <t>10.187.20.196</t>
  </si>
  <si>
    <t>FE:FC:FA:e3:ed:cd</t>
  </si>
  <si>
    <t>W014175</t>
  </si>
  <si>
    <t>160.18.20.41</t>
  </si>
  <si>
    <t>014175</t>
  </si>
  <si>
    <t>王娟</t>
  </si>
  <si>
    <t>B014175</t>
  </si>
  <si>
    <t>10.187.20.197</t>
  </si>
  <si>
    <t>FE:FC:FA:0c:f4:bb</t>
  </si>
  <si>
    <t>B021956</t>
  </si>
  <si>
    <t>W014188</t>
  </si>
  <si>
    <t>160.18.22.117</t>
  </si>
  <si>
    <t>014188</t>
  </si>
  <si>
    <t>王怡</t>
  </si>
  <si>
    <t>B014188</t>
  </si>
  <si>
    <t>10.187.20.198</t>
  </si>
  <si>
    <t>FE:FC:FA:e6:ea:29</t>
  </si>
  <si>
    <t>B023294</t>
  </si>
  <si>
    <t>W014190</t>
  </si>
  <si>
    <t>160.18.22.89</t>
  </si>
  <si>
    <t>014190</t>
  </si>
  <si>
    <t>张雨萱</t>
  </si>
  <si>
    <t>B014190</t>
  </si>
  <si>
    <t>10.187.20.199</t>
  </si>
  <si>
    <t>FE:FC:FA:ce:69:28</t>
  </si>
  <si>
    <t>B023962</t>
  </si>
  <si>
    <t>W014882</t>
  </si>
  <si>
    <t>160.18.21.202</t>
  </si>
  <si>
    <t>014882</t>
  </si>
  <si>
    <t>杜娟</t>
  </si>
  <si>
    <t>B014882</t>
  </si>
  <si>
    <t>10.187.20.200</t>
  </si>
  <si>
    <t>FE:FC:FA:26:b0:13</t>
  </si>
  <si>
    <t>B023977</t>
  </si>
  <si>
    <t>W014883</t>
  </si>
  <si>
    <t>160.18.21.219</t>
  </si>
  <si>
    <t>014883</t>
  </si>
  <si>
    <t>袁书玉</t>
  </si>
  <si>
    <t>B014883</t>
  </si>
  <si>
    <t>10.187.20.201</t>
  </si>
  <si>
    <t>FE:FC:FA:99:be:c5</t>
  </si>
  <si>
    <t>B024457</t>
  </si>
  <si>
    <t>W014884</t>
  </si>
  <si>
    <t>160.18.22.8</t>
  </si>
  <si>
    <t>014884</t>
  </si>
  <si>
    <t>王雪君</t>
  </si>
  <si>
    <t>B014884</t>
  </si>
  <si>
    <t>10.187.20.202</t>
  </si>
  <si>
    <t>FE:FC:FA:53:81:4e</t>
  </si>
  <si>
    <t>B024465</t>
  </si>
  <si>
    <t>W014887</t>
  </si>
  <si>
    <t>160.18.22.33</t>
  </si>
  <si>
    <t>014887</t>
  </si>
  <si>
    <t>练海昊</t>
  </si>
  <si>
    <t>B014887</t>
  </si>
  <si>
    <t>10.187.20.203</t>
  </si>
  <si>
    <t>FE:FC:FA:22:76:46</t>
  </si>
  <si>
    <t>B024503</t>
  </si>
  <si>
    <t>W014944</t>
  </si>
  <si>
    <t>160.18.21.204</t>
  </si>
  <si>
    <t>014944</t>
  </si>
  <si>
    <t>李文娟</t>
  </si>
  <si>
    <t>B014944</t>
  </si>
  <si>
    <t>10.187.20.204</t>
  </si>
  <si>
    <t>FE:FC:FA:ba:a2:c3</t>
  </si>
  <si>
    <t>B024824</t>
  </si>
  <si>
    <t>W015505</t>
  </si>
  <si>
    <t>160.18.21.180</t>
  </si>
  <si>
    <t>015505</t>
  </si>
  <si>
    <t>夏爱莉</t>
  </si>
  <si>
    <t>B015505</t>
  </si>
  <si>
    <t>10.187.20.205</t>
  </si>
  <si>
    <t>FE:FC:FA:40:6e:5a</t>
  </si>
  <si>
    <t>B024831</t>
  </si>
  <si>
    <t>W015782</t>
  </si>
  <si>
    <t>160.18.21.158</t>
  </si>
  <si>
    <t>015782</t>
  </si>
  <si>
    <t>杨明慧</t>
  </si>
  <si>
    <t>B015782</t>
  </si>
  <si>
    <t>10.187.20.206</t>
  </si>
  <si>
    <t>FE:FC:FA:a7:20:ea</t>
  </si>
  <si>
    <t>BZYVDDT01-821Q</t>
  </si>
  <si>
    <t>W015783</t>
  </si>
  <si>
    <t>160.18.22.2</t>
  </si>
  <si>
    <t>015783</t>
  </si>
  <si>
    <t>万冬雷</t>
  </si>
  <si>
    <t>B015783</t>
  </si>
  <si>
    <t>10.187.20.207</t>
  </si>
  <si>
    <t>FE:FC:FA:77:9c:8f</t>
  </si>
  <si>
    <t>W015784</t>
  </si>
  <si>
    <t>160.18.22.150</t>
  </si>
  <si>
    <t>015784</t>
  </si>
  <si>
    <t>柳温馨</t>
  </si>
  <si>
    <t>B015784</t>
  </si>
  <si>
    <t>10.187.20.208</t>
  </si>
  <si>
    <t>FE:FC:FA:a2:9c:b1</t>
  </si>
  <si>
    <t>B001838</t>
  </si>
  <si>
    <t>W015837</t>
  </si>
  <si>
    <t>160.18.21.207</t>
  </si>
  <si>
    <t>015837</t>
  </si>
  <si>
    <t>曾炜茹</t>
  </si>
  <si>
    <t>B015837</t>
  </si>
  <si>
    <t>10.187.20.209</t>
  </si>
  <si>
    <t>FE:FC:FA:64:69:4c</t>
  </si>
  <si>
    <t>B001912</t>
  </si>
  <si>
    <t>W015839</t>
  </si>
  <si>
    <t>160.18.21.240</t>
  </si>
  <si>
    <t>015839</t>
  </si>
  <si>
    <t>吴曹蕾</t>
  </si>
  <si>
    <t>B015839</t>
  </si>
  <si>
    <t>10.187.20.210</t>
  </si>
  <si>
    <t>FE:FC:FA:f0:c9:a7</t>
  </si>
  <si>
    <t>B003897</t>
  </si>
  <si>
    <t>W015841</t>
  </si>
  <si>
    <t>160.18.22.72</t>
  </si>
  <si>
    <t>015841</t>
  </si>
  <si>
    <t>刘璐</t>
  </si>
  <si>
    <t>B015841</t>
  </si>
  <si>
    <t>10.187.20.211</t>
  </si>
  <si>
    <t>FE:FC:FA:4d:1b:b0</t>
  </si>
  <si>
    <t>B004189</t>
  </si>
  <si>
    <t>W015842</t>
  </si>
  <si>
    <t>160.18.22.22</t>
  </si>
  <si>
    <t>015842</t>
  </si>
  <si>
    <t>陈露</t>
  </si>
  <si>
    <t>B015842</t>
  </si>
  <si>
    <t>10.187.20.212</t>
  </si>
  <si>
    <t>FE:FC:FA:2d:a4:5f</t>
  </si>
  <si>
    <t>W015912</t>
  </si>
  <si>
    <t>160.18.21.159</t>
  </si>
  <si>
    <t>015912</t>
  </si>
  <si>
    <t>戴欣怡</t>
  </si>
  <si>
    <t>B015912</t>
  </si>
  <si>
    <t>10.187.20.213</t>
  </si>
  <si>
    <t>FE:FC:FA:f5:c5:e4</t>
  </si>
  <si>
    <t>B004599</t>
  </si>
  <si>
    <t>W015913</t>
  </si>
  <si>
    <t>160.18.22.31</t>
  </si>
  <si>
    <t>015913</t>
  </si>
  <si>
    <t>柏青芸</t>
  </si>
  <si>
    <t>B015913</t>
  </si>
  <si>
    <t>10.187.20.214</t>
  </si>
  <si>
    <t>FE:FC:FA:48:f1:4c</t>
  </si>
  <si>
    <t>B004603</t>
  </si>
  <si>
    <t>W015917</t>
  </si>
  <si>
    <t>160.18.22.107</t>
  </si>
  <si>
    <t>015917</t>
  </si>
  <si>
    <t>赵九七</t>
  </si>
  <si>
    <t>B015917</t>
  </si>
  <si>
    <t>10.187.20.215</t>
  </si>
  <si>
    <t>FE:FC:FA:74:00:f5</t>
  </si>
  <si>
    <t>W016706</t>
  </si>
  <si>
    <t>160.18.22.32</t>
  </si>
  <si>
    <t>016706</t>
  </si>
  <si>
    <t>田野</t>
  </si>
  <si>
    <t>B016706</t>
  </si>
  <si>
    <t>10.187.20.216</t>
  </si>
  <si>
    <t>FE:FC:FA:65:b0:01</t>
  </si>
  <si>
    <t>W016707</t>
  </si>
  <si>
    <t>160.18.22.162</t>
  </si>
  <si>
    <t>016707</t>
  </si>
  <si>
    <t>赵扬</t>
  </si>
  <si>
    <t>B016707</t>
  </si>
  <si>
    <t>10.187.20.217</t>
  </si>
  <si>
    <t>FE:FC:FA:1c:d0:48</t>
  </si>
  <si>
    <t>W018310</t>
  </si>
  <si>
    <t>160.18.20.62</t>
  </si>
  <si>
    <t>018310</t>
  </si>
  <si>
    <t>虞舒涵</t>
  </si>
  <si>
    <t>B018310</t>
  </si>
  <si>
    <t>10.187.20.218</t>
  </si>
  <si>
    <t>FE:FC:FA:c1:f5:09</t>
  </si>
  <si>
    <t>W018337</t>
  </si>
  <si>
    <t>160.18.20.60</t>
  </si>
  <si>
    <t>018337</t>
  </si>
  <si>
    <t>王敏之</t>
  </si>
  <si>
    <t>B018337</t>
  </si>
  <si>
    <t>10.187.20.219</t>
  </si>
  <si>
    <t>FE:FC:FA:86:eb:c8</t>
  </si>
  <si>
    <t>W018689-1</t>
  </si>
  <si>
    <t>160.18.20.58</t>
  </si>
  <si>
    <t>018689</t>
  </si>
  <si>
    <t>姚瑶</t>
  </si>
  <si>
    <t>B018689</t>
  </si>
  <si>
    <t>10.187.20.220</t>
  </si>
  <si>
    <t>FE:FC:FA:47:5f:f9</t>
  </si>
  <si>
    <t>W018990</t>
  </si>
  <si>
    <t>160.18.20.61</t>
  </si>
  <si>
    <t>018990</t>
  </si>
  <si>
    <t>陈上</t>
  </si>
  <si>
    <t>B018990</t>
  </si>
  <si>
    <t>10.187.20.221</t>
  </si>
  <si>
    <t>FE:FC:FA:b3:05:00</t>
  </si>
  <si>
    <t>W018991</t>
  </si>
  <si>
    <t>160.18.20.64</t>
  </si>
  <si>
    <t>018991</t>
  </si>
  <si>
    <t>孙沉凡</t>
  </si>
  <si>
    <t>B018991</t>
  </si>
  <si>
    <t>10.187.20.222</t>
  </si>
  <si>
    <t>FE:FC:FA:24:04:b3</t>
  </si>
  <si>
    <t>W019382</t>
  </si>
  <si>
    <t>160.18.20.53</t>
  </si>
  <si>
    <t>019382</t>
  </si>
  <si>
    <t>B019382</t>
  </si>
  <si>
    <t>10.187.20.223</t>
  </si>
  <si>
    <t>FE:FC:FA:5e:67:c6</t>
  </si>
  <si>
    <t>伟 已卸载2</t>
  </si>
  <si>
    <t>W019463</t>
  </si>
  <si>
    <t>160.18.20.48</t>
  </si>
  <si>
    <t>019463</t>
  </si>
  <si>
    <t>梁雨</t>
  </si>
  <si>
    <t>B019463</t>
  </si>
  <si>
    <t>10.187.20.224</t>
  </si>
  <si>
    <t>FE:FC:FA:b9:e9:27</t>
  </si>
  <si>
    <t>B020763</t>
  </si>
  <si>
    <t>W019998</t>
  </si>
  <si>
    <t>160.18.20.59</t>
  </si>
  <si>
    <t>019998</t>
  </si>
  <si>
    <t>许雨晴</t>
  </si>
  <si>
    <t>B019998</t>
  </si>
  <si>
    <t>10.187.20.225</t>
  </si>
  <si>
    <t>FE:FC:FA:8f:b6:4e</t>
  </si>
  <si>
    <t>B021297</t>
  </si>
  <si>
    <t>W021292</t>
  </si>
  <si>
    <t>160.18.20.69</t>
  </si>
  <si>
    <t>021292</t>
  </si>
  <si>
    <t>朱思颖</t>
  </si>
  <si>
    <t>B021292</t>
  </si>
  <si>
    <t>10.187.20.226</t>
  </si>
  <si>
    <t>FE:FC:FA:a3:0c:7b</t>
  </si>
  <si>
    <t>W021293</t>
  </si>
  <si>
    <t>160.18.20.75</t>
  </si>
  <si>
    <t>021293</t>
  </si>
  <si>
    <t>周钰佳</t>
  </si>
  <si>
    <t>B021293</t>
  </si>
  <si>
    <t>10.187.20.227</t>
  </si>
  <si>
    <t>FE:FC:FA:1d:96:4b</t>
  </si>
  <si>
    <t>无消息，会重启，自动关机</t>
  </si>
  <si>
    <t>B024399</t>
  </si>
  <si>
    <t>W001201</t>
  </si>
  <si>
    <t>160.18.106.3</t>
  </si>
  <si>
    <t>001201</t>
  </si>
  <si>
    <t>余海蓉</t>
  </si>
  <si>
    <t>10.187.104.12</t>
  </si>
  <si>
    <t>FE:FC:FA:2b:2a:50</t>
  </si>
  <si>
    <t>B024404</t>
  </si>
  <si>
    <t>W001317</t>
  </si>
  <si>
    <t>160.18.106.4</t>
  </si>
  <si>
    <t>001317</t>
  </si>
  <si>
    <t>陈刚</t>
  </si>
  <si>
    <t>B001317</t>
  </si>
  <si>
    <t>10.187.104.13</t>
  </si>
  <si>
    <t>FE:FC:FA:65:cd:64</t>
  </si>
  <si>
    <t>B024456</t>
  </si>
  <si>
    <t>W001428</t>
  </si>
  <si>
    <t>160.18.106.5</t>
  </si>
  <si>
    <t>001428</t>
  </si>
  <si>
    <t>陶轶君</t>
  </si>
  <si>
    <t>B001428</t>
  </si>
  <si>
    <t>10.187.104.14</t>
  </si>
  <si>
    <t>FE:FC:FA:69:81:4a</t>
  </si>
  <si>
    <t>B024544</t>
  </si>
  <si>
    <t>W001705</t>
  </si>
  <si>
    <t>160.18.106.7</t>
  </si>
  <si>
    <t>001705</t>
  </si>
  <si>
    <t>江海沨</t>
  </si>
  <si>
    <t>B001705</t>
  </si>
  <si>
    <t>10.187.104.15</t>
  </si>
  <si>
    <t>FE:FC:FA:13:91:14</t>
  </si>
  <si>
    <t>B024754</t>
  </si>
  <si>
    <t>W001713</t>
  </si>
  <si>
    <t>160.18.106.8</t>
  </si>
  <si>
    <t>001713</t>
  </si>
  <si>
    <t>许明</t>
  </si>
  <si>
    <t>B001713</t>
  </si>
  <si>
    <t>10.187.104.16</t>
  </si>
  <si>
    <t>FE:FC:FA:f3:a1:8f</t>
  </si>
  <si>
    <t>B024765</t>
  </si>
  <si>
    <t>W001717</t>
  </si>
  <si>
    <t>160.18.106.10</t>
  </si>
  <si>
    <t>001717</t>
  </si>
  <si>
    <t>朱学礼</t>
  </si>
  <si>
    <t>B001717</t>
  </si>
  <si>
    <t>10.187.104.17</t>
  </si>
  <si>
    <t>FE:FC:FA:7f:10:f6</t>
  </si>
  <si>
    <t>B024976</t>
  </si>
  <si>
    <t>W001838</t>
  </si>
  <si>
    <t>160.18.106.11</t>
  </si>
  <si>
    <t>001838</t>
  </si>
  <si>
    <t>丁志强</t>
  </si>
  <si>
    <t>10.187.104.18</t>
  </si>
  <si>
    <t>FE:FC:FA:e8:a8:4e</t>
  </si>
  <si>
    <t>W001912</t>
  </si>
  <si>
    <t>160.18.106.13</t>
  </si>
  <si>
    <t>001912</t>
  </si>
  <si>
    <t>孙建</t>
  </si>
  <si>
    <t>10.187.104.19</t>
  </si>
  <si>
    <t>FE:FC:FA:cd:a2:1e</t>
  </si>
  <si>
    <t>W001981</t>
  </si>
  <si>
    <t>160.18.106.14</t>
  </si>
  <si>
    <t>001981</t>
  </si>
  <si>
    <t>金品忠</t>
  </si>
  <si>
    <t>10.187.104.20</t>
  </si>
  <si>
    <t>FE:FC:FA:ff:63:c2</t>
  </si>
  <si>
    <t>W002550</t>
  </si>
  <si>
    <t>160.18.106.39</t>
  </si>
  <si>
    <t>002550</t>
  </si>
  <si>
    <t>宋艳锴</t>
  </si>
  <si>
    <t>B002550</t>
  </si>
  <si>
    <t>10.187.104.22</t>
  </si>
  <si>
    <t>FE:FC:FA:a4:60:8e</t>
  </si>
  <si>
    <t>W002591</t>
  </si>
  <si>
    <t>160.18.106.16</t>
  </si>
  <si>
    <t>002591</t>
  </si>
  <si>
    <t>林华良</t>
  </si>
  <si>
    <t>B002591</t>
  </si>
  <si>
    <t>10.187.104.23</t>
  </si>
  <si>
    <t>FE:FC:FA:3a:f7:0e</t>
  </si>
  <si>
    <t>W002662</t>
  </si>
  <si>
    <t>160.18.106.17</t>
  </si>
  <si>
    <t>002662</t>
  </si>
  <si>
    <t>谢绚丽</t>
  </si>
  <si>
    <t>B002662</t>
  </si>
  <si>
    <t>10.187.104.24</t>
  </si>
  <si>
    <t>FE:FC:FA:ac:41:3c</t>
  </si>
  <si>
    <t>W002676</t>
  </si>
  <si>
    <t>160.18.106.18</t>
  </si>
  <si>
    <t>002676</t>
  </si>
  <si>
    <t>曹文</t>
  </si>
  <si>
    <t>10.187.104.25</t>
  </si>
  <si>
    <t>FE:FC:FA:fd:50:99</t>
  </si>
  <si>
    <t>W003315</t>
  </si>
  <si>
    <t>160.18.106.19</t>
  </si>
  <si>
    <t>003315</t>
  </si>
  <si>
    <t>王铁状</t>
  </si>
  <si>
    <t>B003315</t>
  </si>
  <si>
    <t>10.187.104.26</t>
  </si>
  <si>
    <t>FE:FC:FA:0f:db:22</t>
  </si>
  <si>
    <t>W003867</t>
  </si>
  <si>
    <t>160.28.106.7</t>
  </si>
  <si>
    <t>003867</t>
  </si>
  <si>
    <t>10.187.104.27</t>
  </si>
  <si>
    <t>FE:FC:FA:f5:5e:df</t>
  </si>
  <si>
    <t>W003897</t>
  </si>
  <si>
    <t>160.18.106.20</t>
  </si>
  <si>
    <t>003897</t>
  </si>
  <si>
    <t>王忠杰</t>
  </si>
  <si>
    <t>10.187.104.28</t>
  </si>
  <si>
    <t>FE:FC:FA:9a:07:b7</t>
  </si>
  <si>
    <t>B004709</t>
  </si>
  <si>
    <t>W004189</t>
  </si>
  <si>
    <t>160.18.104.43</t>
  </si>
  <si>
    <t>004189</t>
  </si>
  <si>
    <t>张娇龙</t>
  </si>
  <si>
    <t>10.187.104.29</t>
  </si>
  <si>
    <t>FE:FC:FA:fd:6e:62</t>
  </si>
  <si>
    <t>无消息，5次自动关机</t>
  </si>
  <si>
    <t>B004717</t>
  </si>
  <si>
    <t>W004595</t>
  </si>
  <si>
    <t>160.18.106.22</t>
  </si>
  <si>
    <t>004595</t>
  </si>
  <si>
    <t>史天新</t>
  </si>
  <si>
    <t>10.187.104.31</t>
  </si>
  <si>
    <t>FE:FC:FA:60:13:74</t>
  </si>
  <si>
    <t>B006022</t>
  </si>
  <si>
    <t>W004599</t>
  </si>
  <si>
    <t>160.18.104.12</t>
  </si>
  <si>
    <t>004599</t>
  </si>
  <si>
    <t>王夫祥</t>
  </si>
  <si>
    <t>10.187.104.32</t>
  </si>
  <si>
    <t>FE:FC:FA:9f:f8:7b</t>
  </si>
  <si>
    <t>B006065</t>
  </si>
  <si>
    <t>W004603</t>
  </si>
  <si>
    <t>160.18.106.21</t>
  </si>
  <si>
    <t>004603</t>
  </si>
  <si>
    <t>祝祖源</t>
  </si>
  <si>
    <t>10.187.104.33</t>
  </si>
  <si>
    <t>FE:FC:FA:88:10:ab</t>
  </si>
  <si>
    <t>B007665</t>
  </si>
  <si>
    <t>W004709</t>
  </si>
  <si>
    <t>160.18.104.42</t>
  </si>
  <si>
    <t>004709</t>
  </si>
  <si>
    <t>李中一</t>
  </si>
  <si>
    <t>10.187.104.34</t>
  </si>
  <si>
    <t>FE:FC:FA:5c:e3:96</t>
  </si>
  <si>
    <t>B010798</t>
  </si>
  <si>
    <t>W004717</t>
  </si>
  <si>
    <t>160.18.106.23</t>
  </si>
  <si>
    <t>004717</t>
  </si>
  <si>
    <t>吕莹</t>
  </si>
  <si>
    <t>10.187.104.35</t>
  </si>
  <si>
    <t>FE:FC:FA:54:58:a4</t>
  </si>
  <si>
    <t>B012781</t>
  </si>
  <si>
    <t>W006022</t>
  </si>
  <si>
    <t>160.18.106.24</t>
  </si>
  <si>
    <t>006022</t>
  </si>
  <si>
    <t>王峰</t>
  </si>
  <si>
    <t>10.187.104.36</t>
  </si>
  <si>
    <t>FE:FC:FA:ac:ed:3b</t>
  </si>
  <si>
    <t>B013249</t>
  </si>
  <si>
    <t>W006065</t>
  </si>
  <si>
    <t>160.18.106.25</t>
  </si>
  <si>
    <t>006065</t>
  </si>
  <si>
    <t>赵容</t>
  </si>
  <si>
    <t>10.187.104.37</t>
  </si>
  <si>
    <t>FE:FC:FA:19:e4:e5</t>
  </si>
  <si>
    <t>B013292</t>
  </si>
  <si>
    <t>W007665</t>
  </si>
  <si>
    <t>160.18.106.26</t>
  </si>
  <si>
    <t>007665</t>
  </si>
  <si>
    <t>高波</t>
  </si>
  <si>
    <t>10.187.104.38</t>
  </si>
  <si>
    <t>FE:FC:FA:96:d4:24</t>
  </si>
  <si>
    <t>B013512</t>
  </si>
  <si>
    <t>W010644</t>
  </si>
  <si>
    <t>160.18.104.25</t>
  </si>
  <si>
    <t>010644</t>
  </si>
  <si>
    <t>B010644</t>
  </si>
  <si>
    <t>10.187.104.39</t>
  </si>
  <si>
    <t>FE:FC:FA:13:c4:a5</t>
  </si>
  <si>
    <t>W010798</t>
  </si>
  <si>
    <t>160.18.106.27</t>
  </si>
  <si>
    <t>010798</t>
  </si>
  <si>
    <t>朱凯晔</t>
  </si>
  <si>
    <t>10.187.104.40</t>
  </si>
  <si>
    <t>FE:FC:FA:fa:34:62</t>
  </si>
  <si>
    <t>加域失败,在修</t>
  </si>
  <si>
    <t>B013513</t>
  </si>
  <si>
    <t>W012151</t>
  </si>
  <si>
    <t>160.18.104.14</t>
  </si>
  <si>
    <t>012151</t>
  </si>
  <si>
    <t>刘兆远</t>
  </si>
  <si>
    <t>10.187.104.41</t>
  </si>
  <si>
    <t>FE:FC:FA:94:c9:86</t>
  </si>
  <si>
    <t>W012781</t>
  </si>
  <si>
    <t>160.18.106.28</t>
  </si>
  <si>
    <t>012781</t>
  </si>
  <si>
    <t>邵卡</t>
  </si>
  <si>
    <t>10.187.104.42</t>
  </si>
  <si>
    <t>FE:FC:FA:6c:e4:d6</t>
  </si>
  <si>
    <t>W013292</t>
  </si>
  <si>
    <t>160.18.106.29</t>
  </si>
  <si>
    <t>013292</t>
  </si>
  <si>
    <t>傅佳颖</t>
  </si>
  <si>
    <t>10.187.104.43</t>
  </si>
  <si>
    <t>FE:FC:FA:4e:be:d6</t>
  </si>
  <si>
    <t>W013512</t>
  </si>
  <si>
    <t>160.18.106.31</t>
  </si>
  <si>
    <t>013512</t>
  </si>
  <si>
    <t>楼吉</t>
  </si>
  <si>
    <t>10.187.104.44</t>
  </si>
  <si>
    <t>FE:FC:FA:2f:d5:67</t>
  </si>
  <si>
    <t>W013513</t>
  </si>
  <si>
    <t>160.18.106.30</t>
  </si>
  <si>
    <t>013513</t>
  </si>
  <si>
    <t>李国祥</t>
  </si>
  <si>
    <t>10.187.104.45</t>
  </si>
  <si>
    <t>FE:FC:FA:9a:13:1a</t>
  </si>
  <si>
    <t>W014427</t>
  </si>
  <si>
    <t>160.18.106.32</t>
  </si>
  <si>
    <t>014427</t>
  </si>
  <si>
    <t>牟迎修</t>
  </si>
  <si>
    <t>B014427</t>
  </si>
  <si>
    <t>10.187.104.46</t>
  </si>
  <si>
    <t>FE:FC:FA:e7:8b:8d</t>
  </si>
  <si>
    <t>W015570</t>
  </si>
  <si>
    <t>160.18.104.22</t>
  </si>
  <si>
    <t>015570</t>
  </si>
  <si>
    <t>桂凌成</t>
  </si>
  <si>
    <t>B015570</t>
  </si>
  <si>
    <t>10.187.104.47</t>
  </si>
  <si>
    <t>FE:FC:FA:2c:d9:bb</t>
  </si>
  <si>
    <t>W015640</t>
  </si>
  <si>
    <t>160.18.106.33</t>
  </si>
  <si>
    <t>015640</t>
  </si>
  <si>
    <t>郭逸凡</t>
  </si>
  <si>
    <t>10.187.104.48</t>
  </si>
  <si>
    <t>FE:FC:FA:7e:ea:00</t>
  </si>
  <si>
    <t>W011531</t>
  </si>
  <si>
    <t>160.18.68.39</t>
  </si>
  <si>
    <t>011531</t>
  </si>
  <si>
    <t>周如彦</t>
  </si>
  <si>
    <t>10.187.68.59</t>
  </si>
  <si>
    <t>FE:FC:FA:01:78:01</t>
  </si>
  <si>
    <t>W011535</t>
  </si>
  <si>
    <t>160.18.68.52</t>
  </si>
  <si>
    <t>011535</t>
  </si>
  <si>
    <t>张斯敏</t>
  </si>
  <si>
    <t>10.187.68.60</t>
  </si>
  <si>
    <t>FE:FC:FA:70:7a:61</t>
  </si>
  <si>
    <t>W013249</t>
  </si>
  <si>
    <t>160.18.68.47</t>
  </si>
  <si>
    <t>013249</t>
  </si>
  <si>
    <t>袁婷婷</t>
  </si>
  <si>
    <t>10.187.68.61</t>
  </si>
  <si>
    <t>FE:FC:FA:b8:55:b3</t>
  </si>
  <si>
    <t>W013251</t>
  </si>
  <si>
    <t>160.18.68.28</t>
  </si>
  <si>
    <t>013251</t>
  </si>
  <si>
    <t>吴悦</t>
  </si>
  <si>
    <t>10.187.68.62</t>
  </si>
  <si>
    <t>FE:FC:FA:7b:ce:7a</t>
  </si>
  <si>
    <t>W013253</t>
  </si>
  <si>
    <t>160.18.68.15</t>
  </si>
  <si>
    <t>013253</t>
  </si>
  <si>
    <t>B013253</t>
  </si>
  <si>
    <t>10.187.68.63</t>
  </si>
  <si>
    <t>FE:FC:FA:19:01:99</t>
  </si>
  <si>
    <t>W015463</t>
  </si>
  <si>
    <t>160.18.68.25</t>
  </si>
  <si>
    <t>015463</t>
  </si>
  <si>
    <t>马玉珍</t>
  </si>
  <si>
    <t>10.187.68.64</t>
  </si>
  <si>
    <t>FE:FC:FA:89:7c:28</t>
  </si>
  <si>
    <t>W015464</t>
  </si>
  <si>
    <t>160.18.68.11</t>
  </si>
  <si>
    <t>015464</t>
  </si>
  <si>
    <t>陈航</t>
  </si>
  <si>
    <t>B015464</t>
  </si>
  <si>
    <t>10.187.68.65</t>
  </si>
  <si>
    <t>FE:FC:FA:d8:fa:03</t>
  </si>
  <si>
    <t>W020763</t>
  </si>
  <si>
    <t>160.18.70.63</t>
  </si>
  <si>
    <t>020763</t>
  </si>
  <si>
    <t>丁林莉</t>
  </si>
  <si>
    <t>10.187.68.66</t>
  </si>
  <si>
    <t>FE:FC:FA:79:c6:71</t>
  </si>
  <si>
    <t>W020853</t>
  </si>
  <si>
    <t>160.18.70.66</t>
  </si>
  <si>
    <t>020853</t>
  </si>
  <si>
    <t>吕名彦</t>
  </si>
  <si>
    <t>10.187.68.67</t>
  </si>
  <si>
    <t>FE:FC:FA:b6:b9:6b</t>
  </si>
  <si>
    <t>W021297</t>
  </si>
  <si>
    <t>160.18.68.145</t>
  </si>
  <si>
    <t>021297</t>
  </si>
  <si>
    <t>谷雨</t>
  </si>
  <si>
    <t>10.187.68.68</t>
  </si>
  <si>
    <t>FE:FC:FA:16:89:d5</t>
  </si>
  <si>
    <t>W021852</t>
  </si>
  <si>
    <t>160.18.68.146</t>
  </si>
  <si>
    <t>021852</t>
  </si>
  <si>
    <t>颜丁丁</t>
  </si>
  <si>
    <t>10.187.68.69</t>
  </si>
  <si>
    <t>FE:FC:FA:f1:09:4b</t>
  </si>
  <si>
    <t>W022075</t>
  </si>
  <si>
    <t>160.18.70.74</t>
  </si>
  <si>
    <t>022075</t>
  </si>
  <si>
    <t>朱雨婷</t>
  </si>
  <si>
    <t>10.187.68.70</t>
  </si>
  <si>
    <t>FE:FC:FA:f3:7e:dc</t>
  </si>
  <si>
    <t>W022076</t>
  </si>
  <si>
    <t>160.18.68.142</t>
  </si>
  <si>
    <t>022076</t>
  </si>
  <si>
    <t>石玉崟</t>
  </si>
  <si>
    <t>10.187.68.71</t>
  </si>
  <si>
    <t>FE:FC:FA:e1:be:80</t>
  </si>
  <si>
    <t>Z021956</t>
  </si>
  <si>
    <t>160.28.70.4</t>
  </si>
  <si>
    <t>021956</t>
  </si>
  <si>
    <t>倪晟尧</t>
  </si>
  <si>
    <t>10.187.68.72</t>
  </si>
  <si>
    <t>FE:FC:FA:51:ca:af</t>
  </si>
  <si>
    <t>Z023138</t>
  </si>
  <si>
    <t>160.28.70.5</t>
  </si>
  <si>
    <t>023138</t>
  </si>
  <si>
    <t>成天舒</t>
  </si>
  <si>
    <t>B023138</t>
  </si>
  <si>
    <t>10.187.68.73</t>
  </si>
  <si>
    <t>FE:FC:FA:4c:b5:3b</t>
  </si>
  <si>
    <t>Z023146</t>
  </si>
  <si>
    <t>160.28.70.6</t>
  </si>
  <si>
    <t>023146</t>
  </si>
  <si>
    <t>肖煜同</t>
  </si>
  <si>
    <t>B023146</t>
  </si>
  <si>
    <t>10.187.68.74</t>
  </si>
  <si>
    <t>FE:FC:FA:b6:96:78</t>
  </si>
  <si>
    <t>275.16 GB</t>
  </si>
  <si>
    <t>Z023294</t>
  </si>
  <si>
    <t>160.28.70.7</t>
  </si>
  <si>
    <t>023294</t>
  </si>
  <si>
    <t>龙秋熹</t>
  </si>
  <si>
    <t>10.187.68.75</t>
  </si>
  <si>
    <t>FE:FC:FA:15:48:a8</t>
  </si>
  <si>
    <t>302.73 GB</t>
  </si>
  <si>
    <t>Z023795</t>
  </si>
  <si>
    <t>160.28.68.10</t>
  </si>
  <si>
    <t>023795</t>
  </si>
  <si>
    <t>韦子轩</t>
  </si>
  <si>
    <t>B023795</t>
  </si>
  <si>
    <t>10.187.68.76</t>
  </si>
  <si>
    <t>FE:FC:FA:6c:52:aa</t>
  </si>
  <si>
    <t>275.71 GB</t>
  </si>
  <si>
    <t>Z023962</t>
  </si>
  <si>
    <t>160.28.68.16</t>
  </si>
  <si>
    <t>023962</t>
  </si>
  <si>
    <t>马铭洋</t>
  </si>
  <si>
    <t>10.187.68.77</t>
  </si>
  <si>
    <t>FE:FC:FA:1f:a6:d7</t>
  </si>
  <si>
    <t>266.57 GB</t>
  </si>
  <si>
    <t>Z023977</t>
  </si>
  <si>
    <t>160.28.70.8</t>
  </si>
  <si>
    <t>023977</t>
  </si>
  <si>
    <t>盛蕾</t>
  </si>
  <si>
    <t>10.187.68.78</t>
  </si>
  <si>
    <t>FE:FC:FA:3e:8a:44</t>
  </si>
  <si>
    <t>Z024085</t>
  </si>
  <si>
    <t>160.28.68.18</t>
  </si>
  <si>
    <t>024085</t>
  </si>
  <si>
    <t>黄天健</t>
  </si>
  <si>
    <t>10.187.68.79</t>
  </si>
  <si>
    <t>FE:FC:FA:f8:41:b7</t>
  </si>
  <si>
    <t>270.96 GB</t>
  </si>
  <si>
    <t>Z024135</t>
  </si>
  <si>
    <t>160.28.68.62</t>
  </si>
  <si>
    <t>024135</t>
  </si>
  <si>
    <t>徐一放</t>
  </si>
  <si>
    <t>B024135</t>
  </si>
  <si>
    <t>10.187.68.80</t>
  </si>
  <si>
    <t>FE:FC:FA:b3:32:4c</t>
  </si>
  <si>
    <t>286.27 GB</t>
  </si>
  <si>
    <t>Z024408</t>
  </si>
  <si>
    <t>160.28.68.61</t>
  </si>
  <si>
    <t>024408</t>
  </si>
  <si>
    <t>宁静</t>
  </si>
  <si>
    <t>B024408</t>
  </si>
  <si>
    <t>10.187.68.81</t>
  </si>
  <si>
    <t>FE:FC:FA:8d:1f:a0</t>
  </si>
  <si>
    <t>284.02 GB</t>
  </si>
  <si>
    <t>Z024503</t>
  </si>
  <si>
    <t>160.28.70.34</t>
  </si>
  <si>
    <t>024503</t>
  </si>
  <si>
    <t>陆蕴杰</t>
  </si>
  <si>
    <t>10.187.68.82</t>
  </si>
  <si>
    <t>FE:FC:FA:15:c3:23</t>
  </si>
  <si>
    <t>Z024542</t>
  </si>
  <si>
    <t>160.28.68.60</t>
  </si>
  <si>
    <t>024542</t>
  </si>
  <si>
    <t>朱李昊文</t>
  </si>
  <si>
    <t>B024542</t>
  </si>
  <si>
    <t>10.187.68.83</t>
  </si>
  <si>
    <t>FE:FC:FA:b8:b8:eb</t>
  </si>
  <si>
    <t>286.97 GB</t>
  </si>
  <si>
    <t>Z024544</t>
  </si>
  <si>
    <t>160.28.68.39</t>
  </si>
  <si>
    <t>024544</t>
  </si>
  <si>
    <t>李昭民</t>
  </si>
  <si>
    <t>10.187.68.84</t>
  </si>
  <si>
    <t>FE:FC:FA:08:9a:4e</t>
  </si>
  <si>
    <t>269 GB</t>
  </si>
  <si>
    <t>Z024765</t>
  </si>
  <si>
    <t>160.28.70.35</t>
  </si>
  <si>
    <t>024765</t>
  </si>
  <si>
    <t>马欣怡</t>
  </si>
  <si>
    <t>10.187.68.85</t>
  </si>
  <si>
    <t>FE:FC:FA:f1:fe:fc</t>
  </si>
  <si>
    <t>Z024766</t>
  </si>
  <si>
    <t>160.28.68.41</t>
  </si>
  <si>
    <t>024766</t>
  </si>
  <si>
    <t>戴文婷</t>
  </si>
  <si>
    <t>10.187.68.86</t>
  </si>
  <si>
    <t>FE:FC:FA:42:80:03</t>
  </si>
  <si>
    <t>266.5 GB</t>
  </si>
  <si>
    <t>Z024824</t>
  </si>
  <si>
    <t>160.28.68.40</t>
  </si>
  <si>
    <t>024824</t>
  </si>
  <si>
    <t>陆晨晨</t>
  </si>
  <si>
    <t>10.187.68.87</t>
  </si>
  <si>
    <t>FE:FC:FA:77:30:2a</t>
  </si>
  <si>
    <t>266.76 GB</t>
  </si>
  <si>
    <t>Z024831</t>
  </si>
  <si>
    <t>160.28.70.37</t>
  </si>
  <si>
    <t>024831</t>
  </si>
  <si>
    <t>吴雅玲</t>
  </si>
  <si>
    <t>10.187.68.88</t>
  </si>
  <si>
    <t>FE:FC:FA:77:ec:7c</t>
  </si>
  <si>
    <t>266.82 GB</t>
  </si>
  <si>
    <t>Z024976</t>
  </si>
  <si>
    <t>160.28.68.42</t>
  </si>
  <si>
    <t>024976</t>
  </si>
  <si>
    <t>姚泽林</t>
  </si>
  <si>
    <t>10.187.68.89</t>
  </si>
  <si>
    <t>FE:FC:FA:e9:66:1c</t>
  </si>
  <si>
    <t>269.7 GB</t>
  </si>
  <si>
    <t>Z024265</t>
  </si>
  <si>
    <t>160.28.72.61</t>
  </si>
  <si>
    <t>024265</t>
  </si>
  <si>
    <t>傅寰宇</t>
  </si>
  <si>
    <t>B024265</t>
  </si>
  <si>
    <t>10.187.72.44</t>
  </si>
  <si>
    <t>FE:FC:FA:c8:ed:34</t>
  </si>
  <si>
    <t>285.68 GB</t>
  </si>
  <si>
    <t>Z024399</t>
  </si>
  <si>
    <t>160.28.72.24</t>
  </si>
  <si>
    <t>024399</t>
  </si>
  <si>
    <t>马浩原</t>
  </si>
  <si>
    <t>10.187.72.45</t>
  </si>
  <si>
    <t>FE:FC:FA:e3:2e:77</t>
  </si>
  <si>
    <t>267 GB</t>
  </si>
  <si>
    <t>Z024404-1</t>
  </si>
  <si>
    <t>160.28.72.27</t>
  </si>
  <si>
    <t>024404</t>
  </si>
  <si>
    <t>沈楠</t>
  </si>
  <si>
    <t>10.187.72.46</t>
  </si>
  <si>
    <t>FE:FC:FA:2f:8b:6e</t>
  </si>
  <si>
    <t>Z024456</t>
  </si>
  <si>
    <t>160.28.74.13</t>
  </si>
  <si>
    <t>024456</t>
  </si>
  <si>
    <t>徐子淇</t>
  </si>
  <si>
    <t>10.187.72.47</t>
  </si>
  <si>
    <t>FE:FC:FA:7f:7c:46</t>
  </si>
  <si>
    <t>271.8 GB</t>
  </si>
  <si>
    <t>Z024457</t>
  </si>
  <si>
    <t>160.28.74.14</t>
  </si>
  <si>
    <t>024457</t>
  </si>
  <si>
    <t>胡凡非</t>
  </si>
  <si>
    <t>10.187.72.48</t>
  </si>
  <si>
    <t>FE:FC:FA:f2:21:f2</t>
  </si>
  <si>
    <t>271.77 GB</t>
  </si>
  <si>
    <t>Z024465</t>
  </si>
  <si>
    <t>160.28.74.15</t>
  </si>
  <si>
    <t>024465</t>
  </si>
  <si>
    <t>俞奕彤</t>
  </si>
  <si>
    <t>10.187.72.49</t>
  </si>
  <si>
    <t>FE:FC:FA:62:d5:4d</t>
  </si>
  <si>
    <t>272.05 GB</t>
  </si>
  <si>
    <t>Z024475</t>
  </si>
  <si>
    <t>160.28.72.28</t>
  </si>
  <si>
    <t>024475</t>
  </si>
  <si>
    <t>王知博</t>
  </si>
  <si>
    <t>B024475</t>
  </si>
  <si>
    <t>10.187.72.50</t>
  </si>
  <si>
    <t>FE:FC:FA:46:68:81</t>
  </si>
  <si>
    <t>271.61 GB</t>
  </si>
  <si>
    <t>Z024507</t>
  </si>
  <si>
    <t>160.28.74.16</t>
  </si>
  <si>
    <t>024507</t>
  </si>
  <si>
    <t>王艺澄</t>
  </si>
  <si>
    <t>B024507</t>
  </si>
  <si>
    <t>10.187.72.51</t>
  </si>
  <si>
    <t>FE:FC:FA:33:9b:51</t>
  </si>
  <si>
    <t>Z024752</t>
  </si>
  <si>
    <t>160.28.74.17</t>
  </si>
  <si>
    <t>024752</t>
  </si>
  <si>
    <t>刘源一</t>
  </si>
  <si>
    <t>B024752</t>
  </si>
  <si>
    <t>10.187.72.52</t>
  </si>
  <si>
    <t>FE:FC:FA:4b:47:e3</t>
  </si>
  <si>
    <t>270.44 GB</t>
  </si>
  <si>
    <t>Z024754</t>
  </si>
  <si>
    <t>160.28.72.29</t>
  </si>
  <si>
    <t>024754</t>
  </si>
  <si>
    <t>许旋</t>
  </si>
  <si>
    <t>10.187.72.53</t>
  </si>
  <si>
    <t>FE:FC:FA:f2:e2:b5</t>
  </si>
  <si>
    <t>Z024764</t>
  </si>
  <si>
    <t>160.28.72.31</t>
  </si>
  <si>
    <t>024764</t>
  </si>
  <si>
    <t>崔昂</t>
  </si>
  <si>
    <t>B024764</t>
  </si>
  <si>
    <t>10.187.72.54</t>
  </si>
  <si>
    <t>FE:FC:FA:ea:bc:27</t>
  </si>
  <si>
    <t>Z024775</t>
  </si>
  <si>
    <t>160.28.72.32</t>
  </si>
  <si>
    <t>024775</t>
  </si>
  <si>
    <t>马世俊</t>
  </si>
  <si>
    <t>10.187.72.55</t>
  </si>
  <si>
    <t>FE:FC:FA:db:f1:23</t>
  </si>
  <si>
    <t>Z024918</t>
  </si>
  <si>
    <t>160.28.72.60</t>
  </si>
  <si>
    <t>024918</t>
  </si>
  <si>
    <t>王瀚</t>
  </si>
  <si>
    <t>10.187.72.56</t>
  </si>
  <si>
    <t>FE:FC:FA:36:81:33</t>
  </si>
  <si>
    <t>286.09 GB</t>
  </si>
  <si>
    <t>Z025001</t>
  </si>
  <si>
    <t>160.28.72.62</t>
  </si>
  <si>
    <t>025001</t>
  </si>
  <si>
    <t>王天虹</t>
  </si>
  <si>
    <t>10.187.72.57</t>
  </si>
  <si>
    <t>FE:FC:FA:65:7d:90</t>
  </si>
  <si>
    <t>269.26 GB</t>
  </si>
  <si>
    <t>10.187.72.8</t>
  </si>
  <si>
    <t>10.187.72.9</t>
  </si>
  <si>
    <t>W003069</t>
  </si>
  <si>
    <t>160.18.21.246</t>
  </si>
  <si>
    <t>003069</t>
  </si>
  <si>
    <t>陈雪姣</t>
  </si>
  <si>
    <t>2026.9.W1</t>
  </si>
  <si>
    <t>B003069</t>
  </si>
  <si>
    <t>10.187.20.21</t>
  </si>
  <si>
    <t>FE:FC:FA:61:de:c3</t>
  </si>
  <si>
    <t>W003071</t>
  </si>
  <si>
    <t>160.18.20.35</t>
  </si>
  <si>
    <t>003071</t>
  </si>
  <si>
    <t>杨莉</t>
  </si>
  <si>
    <t>10.187.20.22</t>
  </si>
  <si>
    <t>FE:FC:FA:a5:7b:58</t>
  </si>
  <si>
    <t>W003073</t>
  </si>
  <si>
    <t>160.18.20.3</t>
  </si>
  <si>
    <t>003073</t>
  </si>
  <si>
    <t>朱婵娟</t>
  </si>
  <si>
    <t>10.187.20.23</t>
  </si>
  <si>
    <t>FE:FC:FA:7a:03:da</t>
  </si>
  <si>
    <t>W003340</t>
  </si>
  <si>
    <t>160.18.20.34</t>
  </si>
  <si>
    <t>003340</t>
  </si>
  <si>
    <t>黄艺</t>
  </si>
  <si>
    <t>10.187.20.24</t>
  </si>
  <si>
    <t>FE:FC:FA:c1:40:6b</t>
  </si>
  <si>
    <t>W003342</t>
  </si>
  <si>
    <t>160.18.20.40</t>
  </si>
  <si>
    <t>003342</t>
  </si>
  <si>
    <t>徐泠璐</t>
  </si>
  <si>
    <t>10.187.20.25</t>
  </si>
  <si>
    <t>FE:FC:FA:5d:92:d0</t>
  </si>
  <si>
    <t>W003351</t>
  </si>
  <si>
    <t>160.18.22.46</t>
  </si>
  <si>
    <t>003351</t>
  </si>
  <si>
    <t>曹贞贞</t>
  </si>
  <si>
    <t>B003351</t>
  </si>
  <si>
    <t>10.187.20.26</t>
  </si>
  <si>
    <t>FE:FC:FA:10:f1:c2</t>
  </si>
  <si>
    <t>W003724</t>
  </si>
  <si>
    <t>160.18.20.29</t>
  </si>
  <si>
    <t>003724</t>
  </si>
  <si>
    <t>B003724</t>
  </si>
  <si>
    <t>10.187.20.27</t>
  </si>
  <si>
    <t>FE:FC:FA:b2:75:6b</t>
  </si>
  <si>
    <t>W003726</t>
  </si>
  <si>
    <t>160.18.21.223</t>
  </si>
  <si>
    <t>003726</t>
  </si>
  <si>
    <t>冷眉</t>
  </si>
  <si>
    <t>B003726</t>
  </si>
  <si>
    <t>10.187.20.28</t>
  </si>
  <si>
    <t>FE:FC:FA:e8:4a:5d</t>
  </si>
  <si>
    <t>W003727</t>
  </si>
  <si>
    <t>160.18.21.218</t>
  </si>
  <si>
    <t>003727</t>
  </si>
  <si>
    <t>庞科佳</t>
  </si>
  <si>
    <t>B003727</t>
  </si>
  <si>
    <t>10.187.20.29</t>
  </si>
  <si>
    <t>FE:FC:FA:81:e1:ed</t>
  </si>
  <si>
    <t>W003729</t>
  </si>
  <si>
    <t>160.18.20.27</t>
  </si>
  <si>
    <t>003729</t>
  </si>
  <si>
    <t>B003729</t>
  </si>
  <si>
    <t>10.187.20.30</t>
  </si>
  <si>
    <t>FE:FC:FA:84:fe:4a</t>
  </si>
  <si>
    <t>W003733</t>
  </si>
  <si>
    <t>160.18.20.33</t>
  </si>
  <si>
    <t>003733</t>
  </si>
  <si>
    <t>黄苏丹</t>
  </si>
  <si>
    <t>B003733</t>
  </si>
  <si>
    <t>10.187.20.31</t>
  </si>
  <si>
    <t>FE:FC:FA:4f:2e:f9</t>
  </si>
  <si>
    <t>W004041</t>
  </si>
  <si>
    <t>160.18.21.221</t>
  </si>
  <si>
    <t>004041</t>
  </si>
  <si>
    <t>于漪云</t>
  </si>
  <si>
    <t>B004041</t>
  </si>
  <si>
    <t>10.187.20.32</t>
  </si>
  <si>
    <t>FE:FC:FA:ca:91:85</t>
  </si>
  <si>
    <t>W004154</t>
  </si>
  <si>
    <t>160.18.20.28</t>
  </si>
  <si>
    <t>004154</t>
  </si>
  <si>
    <t>梅琳</t>
  </si>
  <si>
    <t>B004154</t>
  </si>
  <si>
    <t>10.187.20.33</t>
  </si>
  <si>
    <t>FE:FC:FA:a1:50:f0</t>
  </si>
  <si>
    <t>W004656</t>
  </si>
  <si>
    <t>160.18.22.71</t>
  </si>
  <si>
    <t>004656</t>
  </si>
  <si>
    <t>朱宏艳</t>
  </si>
  <si>
    <t>B004656</t>
  </si>
  <si>
    <t>10.187.20.34</t>
  </si>
  <si>
    <t>FE:FC:FA:dc:7b:88</t>
  </si>
  <si>
    <t>W004660</t>
  </si>
  <si>
    <t>160.18.20.6</t>
  </si>
  <si>
    <t>004660</t>
  </si>
  <si>
    <t>孟娜</t>
  </si>
  <si>
    <t>B004660</t>
  </si>
  <si>
    <t>10.187.20.35</t>
  </si>
  <si>
    <t>FE:FC:FA:81:1d:7f</t>
  </si>
  <si>
    <t>W004761</t>
  </si>
  <si>
    <t>160.18.22.13</t>
  </si>
  <si>
    <t>004761</t>
  </si>
  <si>
    <t>高静</t>
  </si>
  <si>
    <t>B004761</t>
  </si>
  <si>
    <t>10.187.20.36</t>
  </si>
  <si>
    <t>FE:FC:FA:d8:ee:06</t>
  </si>
  <si>
    <t>W004763</t>
  </si>
  <si>
    <t>160.18.22.144</t>
  </si>
  <si>
    <t>004763</t>
  </si>
  <si>
    <t>韩月蓓</t>
  </si>
  <si>
    <t>B004763</t>
  </si>
  <si>
    <t>10.187.20.37</t>
  </si>
  <si>
    <t>FE:FC:FA:9c:ad:72</t>
  </si>
  <si>
    <t>W004775</t>
  </si>
  <si>
    <t>160.18.20.21</t>
  </si>
  <si>
    <t>004775</t>
  </si>
  <si>
    <t>郁文娟</t>
  </si>
  <si>
    <t>B004775</t>
  </si>
  <si>
    <t>10.187.20.38</t>
  </si>
  <si>
    <t>FE:FC:FA:14:24:df</t>
  </si>
  <si>
    <t>W004778</t>
  </si>
  <si>
    <t>160.18.20.11</t>
  </si>
  <si>
    <t>004778</t>
  </si>
  <si>
    <t>施进进</t>
  </si>
  <si>
    <t>B004778</t>
  </si>
  <si>
    <t>10.187.20.39</t>
  </si>
  <si>
    <t>FE:FC:FA:f8:2f:a3</t>
  </si>
  <si>
    <t>W004783</t>
  </si>
  <si>
    <t>160.18.21.236</t>
  </si>
  <si>
    <t>004783</t>
  </si>
  <si>
    <t>吴健</t>
  </si>
  <si>
    <t>B004783</t>
  </si>
  <si>
    <t>10.187.20.40</t>
  </si>
  <si>
    <t>FE:FC:FA:e6:a1:7a</t>
  </si>
  <si>
    <t>W004784</t>
  </si>
  <si>
    <t>160.18.22.99</t>
  </si>
  <si>
    <t>004784</t>
  </si>
  <si>
    <t>夏宇斌</t>
  </si>
  <si>
    <t>B004784</t>
  </si>
  <si>
    <t>10.187.20.41</t>
  </si>
  <si>
    <t>FE:FC:FA:fb:82:53</t>
  </si>
  <si>
    <t>W004793-1</t>
  </si>
  <si>
    <t>160.18.22.142</t>
  </si>
  <si>
    <t>004793</t>
  </si>
  <si>
    <t>刘宏</t>
  </si>
  <si>
    <t>B004793</t>
  </si>
  <si>
    <t>10.187.20.42</t>
  </si>
  <si>
    <t>FE:FC:FA:c1:3b:bc</t>
  </si>
  <si>
    <t>W004800</t>
  </si>
  <si>
    <t>160.18.22.43</t>
  </si>
  <si>
    <t>004800</t>
  </si>
  <si>
    <t>王瑶</t>
  </si>
  <si>
    <t>B004800</t>
  </si>
  <si>
    <t>10.187.20.43</t>
  </si>
  <si>
    <t>FE:FC:FA:16:d4:ee</t>
  </si>
  <si>
    <t>W004810</t>
  </si>
  <si>
    <t>160.18.20.24</t>
  </si>
  <si>
    <t>004810</t>
  </si>
  <si>
    <t>石久霞</t>
  </si>
  <si>
    <t>B004810</t>
  </si>
  <si>
    <t>10.187.20.44</t>
  </si>
  <si>
    <t>FE:FC:FA:99:75:4c</t>
  </si>
  <si>
    <t>W004829</t>
  </si>
  <si>
    <t>160.18.20.26</t>
  </si>
  <si>
    <t>004829</t>
  </si>
  <si>
    <t>赵美</t>
  </si>
  <si>
    <t>B004829</t>
  </si>
  <si>
    <t>10.187.20.45</t>
  </si>
  <si>
    <t>FE:FC:FA:aa:bb:0b</t>
  </si>
  <si>
    <t>W004831</t>
  </si>
  <si>
    <t>160.18.22.158</t>
  </si>
  <si>
    <t>004831</t>
  </si>
  <si>
    <t>林琳</t>
  </si>
  <si>
    <t>B004831</t>
  </si>
  <si>
    <t>10.187.20.46</t>
  </si>
  <si>
    <t>FE:FC:FA:db:67:9c</t>
  </si>
  <si>
    <t>W004838</t>
  </si>
  <si>
    <t>160.18.22.76</t>
  </si>
  <si>
    <t>004838</t>
  </si>
  <si>
    <t>冯炜炜</t>
  </si>
  <si>
    <t>B004838</t>
  </si>
  <si>
    <t>10.187.20.47</t>
  </si>
  <si>
    <t>FE:FC:FA:9f:8a:db</t>
  </si>
  <si>
    <t>W004944</t>
  </si>
  <si>
    <t>160.18.22.23</t>
  </si>
  <si>
    <t>004944</t>
  </si>
  <si>
    <t>罗国帼</t>
  </si>
  <si>
    <t>B004944</t>
  </si>
  <si>
    <t>10.187.20.48</t>
  </si>
  <si>
    <t>FE:FC:FA:73:c1:e3</t>
  </si>
  <si>
    <t>W004945</t>
  </si>
  <si>
    <t>160.18.22.61</t>
  </si>
  <si>
    <t>004945</t>
  </si>
  <si>
    <t>徐敏</t>
  </si>
  <si>
    <t>B004945</t>
  </si>
  <si>
    <t>10.187.20.49</t>
  </si>
  <si>
    <t>FE:FC:FA:39:8c:52</t>
  </si>
  <si>
    <t>W004976</t>
  </si>
  <si>
    <t>160.18.22.95</t>
  </si>
  <si>
    <t>004976</t>
  </si>
  <si>
    <t>季冰倩</t>
  </si>
  <si>
    <t>B004976</t>
  </si>
  <si>
    <t>10.187.20.50</t>
  </si>
  <si>
    <t>FE:FC:FA:1d:68:20</t>
  </si>
  <si>
    <t>W004979</t>
  </si>
  <si>
    <t>160.18.21.200</t>
  </si>
  <si>
    <t>004979</t>
  </si>
  <si>
    <t>陈雪</t>
  </si>
  <si>
    <t>B004979</t>
  </si>
  <si>
    <t>10.187.20.51</t>
  </si>
  <si>
    <t>FE:FC:FA:1e:c0:22</t>
  </si>
  <si>
    <t>W005932</t>
  </si>
  <si>
    <t>160.18.22.39</t>
  </si>
  <si>
    <t>005932</t>
  </si>
  <si>
    <t>B005932</t>
  </si>
  <si>
    <t>10.187.20.52</t>
  </si>
  <si>
    <t>FE:FC:FA:54:f9:3d</t>
  </si>
  <si>
    <t>W005933</t>
  </si>
  <si>
    <t>160.18.21.222</t>
  </si>
  <si>
    <t>005933</t>
  </si>
  <si>
    <t>李静</t>
  </si>
  <si>
    <t>B005933</t>
  </si>
  <si>
    <t>10.187.20.53</t>
  </si>
  <si>
    <t>FE:FC:FA:fd:c4:4d</t>
  </si>
  <si>
    <t>W005950</t>
  </si>
  <si>
    <t>160.18.22.156</t>
  </si>
  <si>
    <t>005950</t>
  </si>
  <si>
    <t>陈云云</t>
  </si>
  <si>
    <t>B005950</t>
  </si>
  <si>
    <t>10.187.20.54</t>
  </si>
  <si>
    <t>FE:FC:FA:78:16:7f</t>
  </si>
  <si>
    <t>W005963</t>
  </si>
  <si>
    <t>160.18.20.4</t>
  </si>
  <si>
    <t>005963</t>
  </si>
  <si>
    <t>苏丽</t>
  </si>
  <si>
    <t>B005963</t>
  </si>
  <si>
    <t>10.187.20.55</t>
  </si>
  <si>
    <t>FE:FC:FA:59:1b:4c</t>
  </si>
  <si>
    <t>W005965</t>
  </si>
  <si>
    <t>160.18.22.37</t>
  </si>
  <si>
    <t>005965</t>
  </si>
  <si>
    <t>B005965</t>
  </si>
  <si>
    <t>10.187.20.56</t>
  </si>
  <si>
    <t>FE:FC:FA:f2:e7:69</t>
  </si>
  <si>
    <t>W005966</t>
  </si>
  <si>
    <t>160.18.21.242</t>
  </si>
  <si>
    <t>005966</t>
  </si>
  <si>
    <t>魏卉</t>
  </si>
  <si>
    <t>B005966</t>
  </si>
  <si>
    <t>10.187.20.57</t>
  </si>
  <si>
    <t>FE:FC:FA:2f:3b:55</t>
  </si>
  <si>
    <t>W005967</t>
  </si>
  <si>
    <t>160.18.21.192</t>
  </si>
  <si>
    <t>005967</t>
  </si>
  <si>
    <t>朱静波</t>
  </si>
  <si>
    <t>B005967</t>
  </si>
  <si>
    <t>10.187.20.58</t>
  </si>
  <si>
    <t>FE:FC:FA:9e:66:3e</t>
  </si>
  <si>
    <t>W005971</t>
  </si>
  <si>
    <t>160.18.22.108</t>
  </si>
  <si>
    <t>005971</t>
  </si>
  <si>
    <t>薛文玉</t>
  </si>
  <si>
    <t>B005971</t>
  </si>
  <si>
    <t>10.187.20.59</t>
  </si>
  <si>
    <t>FE:FC:FA:96:48:66</t>
  </si>
  <si>
    <t>W006815</t>
  </si>
  <si>
    <t>160.18.21.243</t>
  </si>
  <si>
    <t>006815</t>
  </si>
  <si>
    <t>张思凡</t>
  </si>
  <si>
    <t>B006815</t>
  </si>
  <si>
    <t>10.187.20.60</t>
  </si>
  <si>
    <t>FE:FC:FA:cd:24:89</t>
  </si>
  <si>
    <t>W006818</t>
  </si>
  <si>
    <t>160.18.22.74</t>
  </si>
  <si>
    <t>006818</t>
  </si>
  <si>
    <t>刘星雨</t>
  </si>
  <si>
    <t>B006818</t>
  </si>
  <si>
    <t>10.187.20.61</t>
  </si>
  <si>
    <t>FE:FC:FA:f7:49:1a</t>
  </si>
  <si>
    <t>W006819</t>
  </si>
  <si>
    <t>160.18.21.226</t>
  </si>
  <si>
    <t>006819</t>
  </si>
  <si>
    <t>曹贵萍</t>
  </si>
  <si>
    <t>B006819</t>
  </si>
  <si>
    <t>10.187.20.62</t>
  </si>
  <si>
    <t>FE:FC:FA:9c:50:b7</t>
  </si>
  <si>
    <t>W006823</t>
  </si>
  <si>
    <t>160.18.22.40</t>
  </si>
  <si>
    <t>006823</t>
  </si>
  <si>
    <t>陈白杨</t>
  </si>
  <si>
    <t>B006823</t>
  </si>
  <si>
    <t>10.187.20.63</t>
  </si>
  <si>
    <t>FE:FC:FA:d0:21:ef</t>
  </si>
  <si>
    <t>W006826</t>
  </si>
  <si>
    <t>160.18.22.55</t>
  </si>
  <si>
    <t>006826</t>
  </si>
  <si>
    <t>李琪</t>
  </si>
  <si>
    <t>B006826</t>
  </si>
  <si>
    <t>10.187.20.64</t>
  </si>
  <si>
    <t>FE:FC:FA:05:e6:63</t>
  </si>
  <si>
    <t>W006880</t>
  </si>
  <si>
    <t>160.18.22.157</t>
  </si>
  <si>
    <t>006880</t>
  </si>
  <si>
    <t>王若琪</t>
  </si>
  <si>
    <t>B006880</t>
  </si>
  <si>
    <t>10.187.20.65</t>
  </si>
  <si>
    <t>FE:FC:FA:60:5b:26</t>
  </si>
  <si>
    <t>W006965</t>
  </si>
  <si>
    <t>160.18.22.50</t>
  </si>
  <si>
    <t>006965</t>
  </si>
  <si>
    <t>王玲</t>
  </si>
  <si>
    <t>B006965</t>
  </si>
  <si>
    <t>10.187.20.66</t>
  </si>
  <si>
    <t>FE:FC:FA:9f:47:df</t>
  </si>
  <si>
    <t>W006966</t>
  </si>
  <si>
    <t>160.18.22.125</t>
  </si>
  <si>
    <t>006966</t>
  </si>
  <si>
    <t>施秋艳</t>
  </si>
  <si>
    <t>B006966</t>
  </si>
  <si>
    <t>10.187.20.67</t>
  </si>
  <si>
    <t>FE:FC:FA:95:96:af</t>
  </si>
  <si>
    <t>W006967</t>
  </si>
  <si>
    <t>160.18.22.113</t>
  </si>
  <si>
    <t>006967</t>
  </si>
  <si>
    <t>王倩倩</t>
  </si>
  <si>
    <t>B006967</t>
  </si>
  <si>
    <t>10.187.20.68</t>
  </si>
  <si>
    <t>FE:FC:FA:48:94:1f</t>
  </si>
  <si>
    <t>W010226</t>
  </si>
  <si>
    <t>160.18.21.211</t>
  </si>
  <si>
    <t>010226</t>
  </si>
  <si>
    <t>焦丹</t>
  </si>
  <si>
    <t>B010226</t>
  </si>
  <si>
    <t>10.187.20.69</t>
  </si>
  <si>
    <t>FE:FC:FA:e6:14:38</t>
  </si>
  <si>
    <t>W010229</t>
  </si>
  <si>
    <t>160.18.22.20</t>
  </si>
  <si>
    <t>010229</t>
  </si>
  <si>
    <t>鲍婷</t>
  </si>
  <si>
    <t>B010229</t>
  </si>
  <si>
    <t>10.187.20.70</t>
  </si>
  <si>
    <t>FE:FC:FA:78:c0:78</t>
  </si>
  <si>
    <t>W010230</t>
  </si>
  <si>
    <t>160.18.20.39</t>
  </si>
  <si>
    <t>010230</t>
  </si>
  <si>
    <t>蔡燕</t>
  </si>
  <si>
    <t>B010230</t>
  </si>
  <si>
    <t>10.187.20.71</t>
  </si>
  <si>
    <t>FE:FC:FA:c4:10:88</t>
  </si>
  <si>
    <t>W010233</t>
  </si>
  <si>
    <t>160.18.22.151</t>
  </si>
  <si>
    <t>010233</t>
  </si>
  <si>
    <t>贾淼杰</t>
  </si>
  <si>
    <t>B010233</t>
  </si>
  <si>
    <t>10.187.20.72</t>
  </si>
  <si>
    <t>FE:FC:FA:dc:c7:09</t>
  </si>
  <si>
    <t>W010234</t>
  </si>
  <si>
    <t>160.18.21.224</t>
  </si>
  <si>
    <t>010234</t>
  </si>
  <si>
    <t>王莹</t>
  </si>
  <si>
    <t>B010234</t>
  </si>
  <si>
    <t>10.187.20.73</t>
  </si>
  <si>
    <t>FE:FC:FA:77:f2:f1</t>
  </si>
  <si>
    <t>W010239</t>
  </si>
  <si>
    <t>160.18.21.199</t>
  </si>
  <si>
    <t>010239</t>
  </si>
  <si>
    <t>汪蕾</t>
  </si>
  <si>
    <t>B010239</t>
  </si>
  <si>
    <t>10.187.20.74</t>
  </si>
  <si>
    <t>FE:FC:FA:c9:5e:da</t>
  </si>
  <si>
    <t>W010266</t>
  </si>
  <si>
    <t>160.18.22.78</t>
  </si>
  <si>
    <t>010266</t>
  </si>
  <si>
    <t>贾若</t>
  </si>
  <si>
    <t>B010266</t>
  </si>
  <si>
    <t>10.187.20.75</t>
  </si>
  <si>
    <t>FE:FC:FA:23:09:5b</t>
  </si>
  <si>
    <t>W010275</t>
  </si>
  <si>
    <t>160.18.20.22</t>
  </si>
  <si>
    <t>010275</t>
  </si>
  <si>
    <t>朱文君</t>
  </si>
  <si>
    <t>B010275</t>
  </si>
  <si>
    <t>10.187.20.76</t>
  </si>
  <si>
    <t>FE:FC:FA:20:30:2d</t>
  </si>
  <si>
    <t>W010285</t>
  </si>
  <si>
    <t>160.18.21.253</t>
  </si>
  <si>
    <t>010285</t>
  </si>
  <si>
    <t>朱健</t>
  </si>
  <si>
    <t>B010285</t>
  </si>
  <si>
    <t>10.187.20.77</t>
  </si>
  <si>
    <t>FE:FC:FA:f8:53:2c</t>
  </si>
  <si>
    <t>W010286</t>
  </si>
  <si>
    <t>160.18.20.23</t>
  </si>
  <si>
    <t>010286</t>
  </si>
  <si>
    <t>吕品</t>
  </si>
  <si>
    <t>B010286</t>
  </si>
  <si>
    <t>10.187.20.78</t>
  </si>
  <si>
    <t>FE:FC:FA:f3:42:68</t>
  </si>
  <si>
    <t>W010317</t>
  </si>
  <si>
    <t>160.18.20.13</t>
  </si>
  <si>
    <t>010317</t>
  </si>
  <si>
    <t>孙楚楚</t>
  </si>
  <si>
    <t>B010317</t>
  </si>
  <si>
    <t>10.187.20.79</t>
  </si>
  <si>
    <t>FE:FC:FA:cd:3a:b3</t>
  </si>
  <si>
    <t>W010552</t>
  </si>
  <si>
    <t>160.18.21.232</t>
  </si>
  <si>
    <t>010552</t>
  </si>
  <si>
    <t>王珏</t>
  </si>
  <si>
    <t>B010552</t>
  </si>
  <si>
    <t>10.187.20.80</t>
  </si>
  <si>
    <t>FE:FC:FA:cb:d5:07</t>
  </si>
  <si>
    <t>W010904</t>
  </si>
  <si>
    <t>160.18.20.19</t>
  </si>
  <si>
    <t>010904</t>
  </si>
  <si>
    <t>王艳妮</t>
  </si>
  <si>
    <t>B010904</t>
  </si>
  <si>
    <t>10.187.20.81</t>
  </si>
  <si>
    <t>FE:FC:FA:04:af:b2</t>
  </si>
  <si>
    <t>W010905</t>
  </si>
  <si>
    <t>160.18.20.7</t>
  </si>
  <si>
    <t>010905</t>
  </si>
  <si>
    <t>江天琦</t>
  </si>
  <si>
    <t>B010905</t>
  </si>
  <si>
    <t>10.187.20.82</t>
  </si>
  <si>
    <t>FE:FC:FA:18:f1:99</t>
  </si>
  <si>
    <t>W010908</t>
  </si>
  <si>
    <t>160.18.22.18</t>
  </si>
  <si>
    <t>010908</t>
  </si>
  <si>
    <t>邱子菡</t>
  </si>
  <si>
    <t>B010908</t>
  </si>
  <si>
    <t>10.187.20.83</t>
  </si>
  <si>
    <t>FE:FC:FA:57:55:a7</t>
  </si>
  <si>
    <t>W010909</t>
  </si>
  <si>
    <t>160.18.21.208</t>
  </si>
  <si>
    <t>010909</t>
  </si>
  <si>
    <t>何松青</t>
  </si>
  <si>
    <t>B010909</t>
  </si>
  <si>
    <t>10.187.20.84</t>
  </si>
  <si>
    <t>FE:FC:FA:0d:ba:03</t>
  </si>
  <si>
    <t>W010914</t>
  </si>
  <si>
    <t>160.18.22.93</t>
  </si>
  <si>
    <t>010914</t>
  </si>
  <si>
    <t>焦丽琴</t>
  </si>
  <si>
    <t>B010914</t>
  </si>
  <si>
    <t>10.187.20.85</t>
  </si>
  <si>
    <t>FE:FC:FA:94:ae:9f</t>
  </si>
  <si>
    <t>W010916</t>
  </si>
  <si>
    <t>160.18.20.12</t>
  </si>
  <si>
    <t>010916</t>
  </si>
  <si>
    <t>潘聪芳</t>
  </si>
  <si>
    <t>B010916</t>
  </si>
  <si>
    <t>10.187.20.86</t>
  </si>
  <si>
    <t>FE:FC:FA:03:35:dd</t>
  </si>
  <si>
    <t>W010917</t>
  </si>
  <si>
    <t>160.18.22.110</t>
  </si>
  <si>
    <t>010917</t>
  </si>
  <si>
    <t>宫玉蓉</t>
  </si>
  <si>
    <t>B010917</t>
  </si>
  <si>
    <t>10.187.20.87</t>
  </si>
  <si>
    <t>FE:FC:FA:3d:59:51</t>
  </si>
  <si>
    <t>W010918</t>
  </si>
  <si>
    <t>160.18.20.30</t>
  </si>
  <si>
    <t>010918</t>
  </si>
  <si>
    <t>张辉</t>
  </si>
  <si>
    <t>B010918</t>
  </si>
  <si>
    <t>10.187.20.88</t>
  </si>
  <si>
    <t>FE:FC:FA:d4:2d:f3</t>
  </si>
  <si>
    <t>W010919</t>
  </si>
  <si>
    <t>160.18.21.187</t>
  </si>
  <si>
    <t>010919</t>
  </si>
  <si>
    <t>王晓红</t>
  </si>
  <si>
    <t>B010919</t>
  </si>
  <si>
    <t>10.187.20.89</t>
  </si>
  <si>
    <t>FE:FC:FA:62:39:4f</t>
  </si>
  <si>
    <t>W010930</t>
  </si>
  <si>
    <t>160.18.20.15</t>
  </si>
  <si>
    <t>010930</t>
  </si>
  <si>
    <t>蒋元梦</t>
  </si>
  <si>
    <t>B010930</t>
  </si>
  <si>
    <t>10.187.20.90</t>
  </si>
  <si>
    <t>FE:FC:FA:52:3b:ec</t>
  </si>
  <si>
    <t>W010941</t>
  </si>
  <si>
    <t>160.18.21.254</t>
  </si>
  <si>
    <t>010941</t>
  </si>
  <si>
    <t>陈楠</t>
  </si>
  <si>
    <t>B010941</t>
  </si>
  <si>
    <t>10.187.20.91</t>
  </si>
  <si>
    <t>FE:FC:FA:25:c5:fc</t>
  </si>
  <si>
    <t>W010942</t>
  </si>
  <si>
    <t>160.18.22.63</t>
  </si>
  <si>
    <t>010942</t>
  </si>
  <si>
    <t>崔雯燕</t>
  </si>
  <si>
    <t>B010942</t>
  </si>
  <si>
    <t>10.187.20.92</t>
  </si>
  <si>
    <t>FE:FC:FA:86:c8:d1</t>
  </si>
  <si>
    <t>W010943</t>
  </si>
  <si>
    <t>160.18.21.194</t>
  </si>
  <si>
    <t>010943</t>
  </si>
  <si>
    <t>笪红</t>
  </si>
  <si>
    <t>B010943</t>
  </si>
  <si>
    <t>10.187.20.93</t>
  </si>
  <si>
    <t>FE:FC:FA:e6:c0:37</t>
  </si>
  <si>
    <t>W010944</t>
  </si>
  <si>
    <t>160.18.21.216</t>
  </si>
  <si>
    <t>010944</t>
  </si>
  <si>
    <t>聂颖</t>
  </si>
  <si>
    <t>B010944</t>
  </si>
  <si>
    <t>10.187.20.94</t>
  </si>
  <si>
    <t>FE:FC:FA:de:22:34</t>
  </si>
  <si>
    <t>W010949</t>
  </si>
  <si>
    <t>160.18.21.225</t>
  </si>
  <si>
    <t>010949</t>
  </si>
  <si>
    <t>郭丽雅</t>
  </si>
  <si>
    <t>B010949</t>
  </si>
  <si>
    <t>10.187.20.95</t>
  </si>
  <si>
    <t>FE:FC:FA:8a:9e:b2</t>
  </si>
  <si>
    <t>W010957-1</t>
  </si>
  <si>
    <t>160.18.22.11</t>
  </si>
  <si>
    <t>010957</t>
  </si>
  <si>
    <t>田雨蓓</t>
  </si>
  <si>
    <t>B010957</t>
  </si>
  <si>
    <t>10.187.20.96</t>
  </si>
  <si>
    <t>FE:FC:FA:04:85:dd</t>
  </si>
  <si>
    <t>W010960</t>
  </si>
  <si>
    <t>160.18.22.3</t>
  </si>
  <si>
    <t>010960</t>
  </si>
  <si>
    <t>李怡琴</t>
  </si>
  <si>
    <t>B010960</t>
  </si>
  <si>
    <t>10.187.20.97</t>
  </si>
  <si>
    <t>FE:FC:FA:44:de:4c</t>
  </si>
  <si>
    <t>W010969</t>
  </si>
  <si>
    <t>160.18.22.111</t>
  </si>
  <si>
    <t>010969</t>
  </si>
  <si>
    <t>李凌晨</t>
  </si>
  <si>
    <t>B010969</t>
  </si>
  <si>
    <t>10.187.20.98</t>
  </si>
  <si>
    <t>FE:FC:FA:1a:17:04</t>
  </si>
  <si>
    <t>W010978</t>
  </si>
  <si>
    <t>160.18.21.255</t>
  </si>
  <si>
    <t>010978</t>
  </si>
  <si>
    <t>黄宸婕</t>
  </si>
  <si>
    <t>B010978</t>
  </si>
  <si>
    <t>10.187.20.99</t>
  </si>
  <si>
    <t>FE:FC:FA:71:78:dd</t>
  </si>
  <si>
    <t>W010979</t>
  </si>
  <si>
    <t>160.18.22.17</t>
  </si>
  <si>
    <t>010979</t>
  </si>
  <si>
    <t>陈泽娅</t>
  </si>
  <si>
    <t>B010979</t>
  </si>
  <si>
    <t>10.187.20.100</t>
  </si>
  <si>
    <t>FE:FC:FA:2b:f6:ce</t>
  </si>
  <si>
    <t>W011213</t>
  </si>
  <si>
    <t>160.18.20.25</t>
  </si>
  <si>
    <t>011213</t>
  </si>
  <si>
    <t>赵月</t>
  </si>
  <si>
    <t>B011213</t>
  </si>
  <si>
    <t>10.187.20.101</t>
  </si>
  <si>
    <t>FE:FC:FA:1e:01:9d</t>
  </si>
  <si>
    <t>W011215</t>
  </si>
  <si>
    <t>160.18.21.239</t>
  </si>
  <si>
    <t>011215</t>
  </si>
  <si>
    <t>唐瑜</t>
  </si>
  <si>
    <t>B011215</t>
  </si>
  <si>
    <t>10.187.20.102</t>
  </si>
  <si>
    <t>FE:FC:FA:66:c7:26</t>
  </si>
  <si>
    <t>W011217</t>
  </si>
  <si>
    <t>160.18.22.148</t>
  </si>
  <si>
    <t>011217</t>
  </si>
  <si>
    <t>项洋</t>
  </si>
  <si>
    <t>B011217</t>
  </si>
  <si>
    <t>10.187.20.103</t>
  </si>
  <si>
    <t>FE:FC:FA:33:6e:9d</t>
  </si>
  <si>
    <t>W011218</t>
  </si>
  <si>
    <t>160.18.20.43</t>
  </si>
  <si>
    <t>011218</t>
  </si>
  <si>
    <t>赵蒙蒙</t>
  </si>
  <si>
    <t>B011218</t>
  </si>
  <si>
    <t>10.187.20.104</t>
  </si>
  <si>
    <t>FE:FC:FA:49:46:3d</t>
  </si>
  <si>
    <t>W011219</t>
  </si>
  <si>
    <t>160.18.21.193</t>
  </si>
  <si>
    <t>011219</t>
  </si>
  <si>
    <t>安莉</t>
  </si>
  <si>
    <t>B011219</t>
  </si>
  <si>
    <t>10.187.20.105</t>
  </si>
  <si>
    <t>FE:FC:FA:49:ed:55</t>
  </si>
  <si>
    <t>W011223</t>
  </si>
  <si>
    <t>160.18.20.10</t>
  </si>
  <si>
    <t>011223</t>
  </si>
  <si>
    <t>B011223</t>
  </si>
  <si>
    <t>10.187.20.106</t>
  </si>
  <si>
    <t>FE:FC:FA:6b:e6:f4</t>
  </si>
  <si>
    <t>W011225</t>
  </si>
  <si>
    <t>160.18.22.36</t>
  </si>
  <si>
    <t>011225</t>
  </si>
  <si>
    <t>霍小六</t>
  </si>
  <si>
    <t>B011225</t>
  </si>
  <si>
    <t>10.187.20.107</t>
  </si>
  <si>
    <t>FE:FC:FA:b8:04:64</t>
  </si>
  <si>
    <t>W011232</t>
  </si>
  <si>
    <t>160.18.22.112</t>
  </si>
  <si>
    <t>011232</t>
  </si>
  <si>
    <t>陶悦</t>
  </si>
  <si>
    <t>B011232</t>
  </si>
  <si>
    <t>10.187.20.108</t>
  </si>
  <si>
    <t>FE:FC:FA:63:9b:fa</t>
  </si>
  <si>
    <t>W011233</t>
  </si>
  <si>
    <t>160.18.22.159</t>
  </si>
  <si>
    <t>011233</t>
  </si>
  <si>
    <t>王盈心</t>
  </si>
  <si>
    <t>B011233</t>
  </si>
  <si>
    <t>10.187.20.109</t>
  </si>
  <si>
    <t>FE:FC:FA:36:05:6b</t>
  </si>
  <si>
    <t>W011234</t>
  </si>
  <si>
    <t>160.18.22.51</t>
  </si>
  <si>
    <t>011234</t>
  </si>
  <si>
    <t>刘佳</t>
  </si>
  <si>
    <t>B011234</t>
  </si>
  <si>
    <t>10.187.20.110</t>
  </si>
  <si>
    <t>FE:FC:FA:03:df:b1</t>
  </si>
  <si>
    <t>W011236</t>
  </si>
  <si>
    <t>160.18.22.134</t>
  </si>
  <si>
    <t>011236</t>
  </si>
  <si>
    <t>贾明惠</t>
  </si>
  <si>
    <t>B011236</t>
  </si>
  <si>
    <t>10.187.20.111</t>
  </si>
  <si>
    <t>FE:FC:FA:86:d6:15</t>
  </si>
  <si>
    <t>W011238</t>
  </si>
  <si>
    <t>160.18.22.137</t>
  </si>
  <si>
    <t>011238</t>
  </si>
  <si>
    <t>马琳花</t>
  </si>
  <si>
    <t>B011238</t>
  </si>
  <si>
    <t>10.187.20.112</t>
  </si>
  <si>
    <t>FE:FC:FA:d9:d5:85</t>
  </si>
  <si>
    <t>W011590</t>
  </si>
  <si>
    <t>160.18.22.30</t>
  </si>
  <si>
    <t>011590</t>
  </si>
  <si>
    <t>余磊</t>
  </si>
  <si>
    <t>B011590</t>
  </si>
  <si>
    <t>10.187.20.113</t>
  </si>
  <si>
    <t>FE:FC:FA:ca:5f:55</t>
  </si>
  <si>
    <t>W011593</t>
  </si>
  <si>
    <t>160.18.21.184</t>
  </si>
  <si>
    <t>011593</t>
  </si>
  <si>
    <t>马嵘</t>
  </si>
  <si>
    <t>B011593</t>
  </si>
  <si>
    <t>10.187.20.114</t>
  </si>
  <si>
    <t>FE:FC:FA:83:41:c9</t>
  </si>
  <si>
    <t>W011594</t>
  </si>
  <si>
    <t>160.18.22.91</t>
  </si>
  <si>
    <t>011594</t>
  </si>
  <si>
    <t>冯晨</t>
  </si>
  <si>
    <t>B011594</t>
  </si>
  <si>
    <t>10.187.20.115</t>
  </si>
  <si>
    <t>FE:FC:FA:33:0b:cf</t>
  </si>
  <si>
    <t>W011803</t>
  </si>
  <si>
    <t>160.18.21.252</t>
  </si>
  <si>
    <t>011803</t>
  </si>
  <si>
    <t>强薇</t>
  </si>
  <si>
    <t>B011803</t>
  </si>
  <si>
    <t>10.187.20.116</t>
  </si>
  <si>
    <t>FE:FC:FA:ff:4e:84</t>
  </si>
  <si>
    <t>W011804</t>
  </si>
  <si>
    <t>160.18.22.14</t>
  </si>
  <si>
    <t>011804</t>
  </si>
  <si>
    <t>李琳</t>
  </si>
  <si>
    <t>B011804</t>
  </si>
  <si>
    <t>10.187.20.117</t>
  </si>
  <si>
    <t>FE:FC:FA:05:28:7f</t>
  </si>
  <si>
    <t>W011805</t>
  </si>
  <si>
    <t>160.18.22.65</t>
  </si>
  <si>
    <t>011805</t>
  </si>
  <si>
    <t>顾亚洁</t>
  </si>
  <si>
    <t>B011805</t>
  </si>
  <si>
    <t>10.187.20.118</t>
  </si>
  <si>
    <t>FE:FC:FA:8b:7f:76</t>
  </si>
  <si>
    <t>W011831-1</t>
  </si>
  <si>
    <t>160.18.22.68</t>
  </si>
  <si>
    <t>011831</t>
  </si>
  <si>
    <t>纪哲康</t>
  </si>
  <si>
    <t>B011831</t>
  </si>
  <si>
    <t>10.187.20.119</t>
  </si>
  <si>
    <t>FE:FC:FA:4b:84:83</t>
  </si>
  <si>
    <t>W011834</t>
  </si>
  <si>
    <t>160.18.22.42</t>
  </si>
  <si>
    <t>011834</t>
  </si>
  <si>
    <t>王曼</t>
  </si>
  <si>
    <t>B011834</t>
  </si>
  <si>
    <t>10.187.20.120</t>
  </si>
  <si>
    <t>FE:FC:FA:0d:f4:1b</t>
  </si>
  <si>
    <t>W011835</t>
  </si>
  <si>
    <t>160.18.22.139</t>
  </si>
  <si>
    <t>011835</t>
  </si>
  <si>
    <t>姚润东</t>
  </si>
  <si>
    <t>B011835</t>
  </si>
  <si>
    <t>10.187.20.121</t>
  </si>
  <si>
    <t>FE:FC:FA:d0:02:11</t>
  </si>
  <si>
    <t>W011837</t>
  </si>
  <si>
    <t>160.18.20.16</t>
  </si>
  <si>
    <t>011837</t>
  </si>
  <si>
    <t>钟城运</t>
  </si>
  <si>
    <t>B011837</t>
  </si>
  <si>
    <t>10.187.20.122</t>
  </si>
  <si>
    <t>FE:FC:FA:58:79:7c</t>
  </si>
  <si>
    <t>W011838</t>
  </si>
  <si>
    <t>160.18.22.106</t>
  </si>
  <si>
    <t>011838</t>
  </si>
  <si>
    <t>朱豆豆</t>
  </si>
  <si>
    <t>B011838</t>
  </si>
  <si>
    <t>10.187.20.123</t>
  </si>
  <si>
    <t>FE:FC:FA:08:b6:50</t>
  </si>
  <si>
    <t>W011839</t>
  </si>
  <si>
    <t>160.18.21.251</t>
  </si>
  <si>
    <t>011839</t>
  </si>
  <si>
    <t>张钰晨</t>
  </si>
  <si>
    <t>B011839</t>
  </si>
  <si>
    <t>10.187.20.124</t>
  </si>
  <si>
    <t>FE:FC:FA:ff:72:6e</t>
  </si>
  <si>
    <t>W011841</t>
  </si>
  <si>
    <t>160.18.21.249</t>
  </si>
  <si>
    <t>011841</t>
  </si>
  <si>
    <t>冀青峰</t>
  </si>
  <si>
    <t>B011841</t>
  </si>
  <si>
    <t>10.187.20.125</t>
  </si>
  <si>
    <t>FE:FC:FA:59:d7:79</t>
  </si>
  <si>
    <t>W011842</t>
  </si>
  <si>
    <t>160.18.22.88</t>
  </si>
  <si>
    <t>011842</t>
  </si>
  <si>
    <t>乔丽云</t>
  </si>
  <si>
    <t>B011842</t>
  </si>
  <si>
    <t>10.187.20.126</t>
  </si>
  <si>
    <t>FE:FC:FA:17:df:e4</t>
  </si>
  <si>
    <t>W011843</t>
  </si>
  <si>
    <t>160.18.22.127</t>
  </si>
  <si>
    <t>011843</t>
  </si>
  <si>
    <t>B011843</t>
  </si>
  <si>
    <t>10.187.20.127</t>
  </si>
  <si>
    <t>FE:FC:FA:16:07:fb</t>
  </si>
  <si>
    <t>W011845</t>
  </si>
  <si>
    <t>160.18.22.87</t>
  </si>
  <si>
    <t>011845</t>
  </si>
  <si>
    <t>吴彩梅</t>
  </si>
  <si>
    <t>B011845</t>
  </si>
  <si>
    <t>10.187.20.128</t>
  </si>
  <si>
    <t>FE:FC:FA:04:47:cb</t>
  </si>
  <si>
    <t>W011846</t>
  </si>
  <si>
    <t>160.18.22.129</t>
  </si>
  <si>
    <t>011846</t>
  </si>
  <si>
    <t>张晓彤</t>
  </si>
  <si>
    <t>B011846</t>
  </si>
  <si>
    <t>10.187.20.129</t>
  </si>
  <si>
    <t>FE:FC:FA:2d:e5:f2</t>
  </si>
  <si>
    <t>W011848</t>
  </si>
  <si>
    <t>160.18.21.197</t>
  </si>
  <si>
    <t>011848</t>
  </si>
  <si>
    <t>徐文甜</t>
  </si>
  <si>
    <t>B011848</t>
  </si>
  <si>
    <t>10.187.20.130</t>
  </si>
  <si>
    <t>FE:FC:FA:e3:12:e0</t>
  </si>
  <si>
    <t>W011850</t>
  </si>
  <si>
    <t>160.18.21.241</t>
  </si>
  <si>
    <t>011850</t>
  </si>
  <si>
    <t>B011850</t>
  </si>
  <si>
    <t>10.187.20.131</t>
  </si>
  <si>
    <t>FE:FC:FA:89:b4:0e</t>
  </si>
  <si>
    <t>W011986</t>
  </si>
  <si>
    <t>160.18.22.45</t>
  </si>
  <si>
    <t>011986</t>
  </si>
  <si>
    <t>武丹阳</t>
  </si>
  <si>
    <t>B011986</t>
  </si>
  <si>
    <t>10.187.20.132</t>
  </si>
  <si>
    <t>FE:FC:FA:94:5d:00</t>
  </si>
  <si>
    <t>W011987</t>
  </si>
  <si>
    <t>160.18.22.118</t>
  </si>
  <si>
    <t>011987</t>
  </si>
  <si>
    <t>瞿一凡</t>
  </si>
  <si>
    <t>B011987</t>
  </si>
  <si>
    <t>10.187.20.133</t>
  </si>
  <si>
    <t>FE:FC:FA:2d:cf:1d</t>
  </si>
  <si>
    <t>W011988</t>
  </si>
  <si>
    <t>160.18.22.97</t>
  </si>
  <si>
    <t>011988</t>
  </si>
  <si>
    <t>王子薇</t>
  </si>
  <si>
    <t>B011988</t>
  </si>
  <si>
    <t>10.187.20.134</t>
  </si>
  <si>
    <t>FE:FC:FA:c9:fe:02</t>
  </si>
  <si>
    <t>W012292</t>
  </si>
  <si>
    <t>160.18.21.188</t>
  </si>
  <si>
    <t>012292</t>
  </si>
  <si>
    <t>周小昕</t>
  </si>
  <si>
    <t>B012292</t>
  </si>
  <si>
    <t>10.187.20.135</t>
  </si>
  <si>
    <t>FE:FC:FA:a8:b6:b5</t>
  </si>
  <si>
    <t>W012293</t>
  </si>
  <si>
    <t>160.18.21.217</t>
  </si>
  <si>
    <t>012293</t>
  </si>
  <si>
    <t>李洁</t>
  </si>
  <si>
    <t>B012293</t>
  </si>
  <si>
    <t>10.187.20.136</t>
  </si>
  <si>
    <t>FE:FC:FA:f6:d9:f7</t>
  </si>
  <si>
    <t>W012294</t>
  </si>
  <si>
    <t>160.18.22.145</t>
  </si>
  <si>
    <t>012294</t>
  </si>
  <si>
    <t>孟京男</t>
  </si>
  <si>
    <t>B012294</t>
  </si>
  <si>
    <t>10.187.20.137</t>
  </si>
  <si>
    <t>FE:FC:FA:34:6f:15</t>
  </si>
  <si>
    <t>W012413</t>
  </si>
  <si>
    <t>160.18.22.92</t>
  </si>
  <si>
    <t>012413</t>
  </si>
  <si>
    <t>丁琳</t>
  </si>
  <si>
    <t>B012413</t>
  </si>
  <si>
    <t>10.187.20.138</t>
  </si>
  <si>
    <t>FE:FC:FA:ce:fa:aa</t>
  </si>
  <si>
    <t>W012415</t>
  </si>
  <si>
    <t>160.18.21.196</t>
  </si>
  <si>
    <t>012415</t>
  </si>
  <si>
    <t>叶青</t>
  </si>
  <si>
    <t>B012415</t>
  </si>
  <si>
    <t>10.187.20.139</t>
  </si>
  <si>
    <t>FE:FC:FA:c9:bc:7d</t>
  </si>
  <si>
    <t>W012464</t>
  </si>
  <si>
    <t>160.18.22.147</t>
  </si>
  <si>
    <t>012464</t>
  </si>
  <si>
    <t>程兰岚</t>
  </si>
  <si>
    <t>B012464</t>
  </si>
  <si>
    <t>10.187.20.140</t>
  </si>
  <si>
    <t>FE:FC:FA:2e:92:58</t>
  </si>
  <si>
    <t>W012465</t>
  </si>
  <si>
    <t>160.18.22.128</t>
  </si>
  <si>
    <t>012465</t>
  </si>
  <si>
    <t>张家琪</t>
  </si>
  <si>
    <t>B012465</t>
  </si>
  <si>
    <t>10.187.20.141</t>
  </si>
  <si>
    <t>FE:FC:FA:ec:96:03</t>
  </si>
  <si>
    <t>W012553</t>
  </si>
  <si>
    <t>160.18.22.44</t>
  </si>
  <si>
    <t>012553</t>
  </si>
  <si>
    <t>孟思岐</t>
  </si>
  <si>
    <t>B012553</t>
  </si>
  <si>
    <t>10.187.20.142</t>
  </si>
  <si>
    <t>FE:FC:FA:bb:ee:65</t>
  </si>
  <si>
    <t>W012558</t>
  </si>
  <si>
    <t>160.18.22.160</t>
  </si>
  <si>
    <t>012558</t>
  </si>
  <si>
    <t>查亚娟</t>
  </si>
  <si>
    <t>B012558</t>
  </si>
  <si>
    <t>10.187.20.143</t>
  </si>
  <si>
    <t>FE:FC:FA:16:9f:1c</t>
  </si>
  <si>
    <t>W012560</t>
  </si>
  <si>
    <t>160.18.21.206</t>
  </si>
  <si>
    <t>012560</t>
  </si>
  <si>
    <t>黄诚</t>
  </si>
  <si>
    <t>B012560</t>
  </si>
  <si>
    <t>10.187.20.144</t>
  </si>
  <si>
    <t>FE:FC:FA:b5:07:39</t>
  </si>
  <si>
    <t>W012561</t>
  </si>
  <si>
    <t>160.18.22.47</t>
  </si>
  <si>
    <t>012561</t>
  </si>
  <si>
    <t>王雪辰</t>
  </si>
  <si>
    <t>B012561</t>
  </si>
  <si>
    <t>10.187.20.145</t>
  </si>
  <si>
    <t>FE:FC:FA:5f:f0:ca</t>
  </si>
  <si>
    <t>W012562</t>
  </si>
  <si>
    <t>160.18.22.101</t>
  </si>
  <si>
    <t>012562</t>
  </si>
  <si>
    <t>王雨娇</t>
  </si>
  <si>
    <t>B012562</t>
  </si>
  <si>
    <t>10.187.20.146</t>
  </si>
  <si>
    <t>FE:FC:FA:4d:f6:fd</t>
  </si>
  <si>
    <t>W012563</t>
  </si>
  <si>
    <t>160.18.22.132</t>
  </si>
  <si>
    <t>012563</t>
  </si>
  <si>
    <t>谢谨羽</t>
  </si>
  <si>
    <t>B012563</t>
  </si>
  <si>
    <t>10.187.20.147</t>
  </si>
  <si>
    <t>FE:FC:FA:43:86:56</t>
  </si>
  <si>
    <t>W012565</t>
  </si>
  <si>
    <t>160.18.21.190</t>
  </si>
  <si>
    <t>012565</t>
  </si>
  <si>
    <t>邓书霖云</t>
  </si>
  <si>
    <t>B012565</t>
  </si>
  <si>
    <t>10.187.20.148</t>
  </si>
  <si>
    <t>FE:FC:FA:b8:48:7d</t>
  </si>
  <si>
    <t>W012569</t>
  </si>
  <si>
    <t>160.18.22.161</t>
  </si>
  <si>
    <t>012569</t>
  </si>
  <si>
    <t>张译文</t>
  </si>
  <si>
    <t>B012569</t>
  </si>
  <si>
    <t>10.187.20.149</t>
  </si>
  <si>
    <t>FE:FC:FA:3d:47:bf</t>
  </si>
  <si>
    <t>W012761</t>
  </si>
  <si>
    <t>160.18.22.28</t>
  </si>
  <si>
    <t>012761</t>
  </si>
  <si>
    <t>陈爱娜</t>
  </si>
  <si>
    <t>B012761</t>
  </si>
  <si>
    <t>10.187.20.150</t>
  </si>
  <si>
    <t>FE:FC:FA:4c:a6:d0</t>
  </si>
  <si>
    <t>W012857</t>
  </si>
  <si>
    <t>160.18.21.160</t>
  </si>
  <si>
    <t>012857</t>
  </si>
  <si>
    <t>时华欣</t>
  </si>
  <si>
    <t>B012857</t>
  </si>
  <si>
    <t>10.187.20.151</t>
  </si>
  <si>
    <t>FE:FC:FA:d8:f2:75</t>
  </si>
  <si>
    <t>W012858</t>
  </si>
  <si>
    <t>160.18.21.212</t>
  </si>
  <si>
    <t>012858</t>
  </si>
  <si>
    <t>章蒙蒙</t>
  </si>
  <si>
    <t>B012858</t>
  </si>
  <si>
    <t>10.187.20.152</t>
  </si>
  <si>
    <t>FE:FC:FA:c3:fc:51</t>
  </si>
  <si>
    <t>W012945</t>
  </si>
  <si>
    <t>160.18.22.67</t>
  </si>
  <si>
    <t>012945</t>
  </si>
  <si>
    <t>黄虹</t>
  </si>
  <si>
    <t>B012945</t>
  </si>
  <si>
    <t>10.187.20.153</t>
  </si>
  <si>
    <t>FE:FC:FA:ca:50:fe</t>
  </si>
  <si>
    <t>W012946</t>
  </si>
  <si>
    <t>160.18.22.81</t>
  </si>
  <si>
    <t>012946</t>
  </si>
  <si>
    <t>徐艳红</t>
  </si>
  <si>
    <t>B012946</t>
  </si>
  <si>
    <t>10.187.20.154</t>
  </si>
  <si>
    <t>FE:FC:FA:87:c7:6b</t>
  </si>
  <si>
    <t>W013110</t>
  </si>
  <si>
    <t>160.18.22.140</t>
  </si>
  <si>
    <t>013110</t>
  </si>
  <si>
    <t>焦韵</t>
  </si>
  <si>
    <t>B013110</t>
  </si>
  <si>
    <t>10.187.20.155</t>
  </si>
  <si>
    <t>FE:FC:FA:17:ac:cc</t>
  </si>
  <si>
    <t>W013112</t>
  </si>
  <si>
    <t>160.18.21.189</t>
  </si>
  <si>
    <t>013112</t>
  </si>
  <si>
    <t>张辰</t>
  </si>
  <si>
    <t>B013112</t>
  </si>
  <si>
    <t>10.187.20.156</t>
  </si>
  <si>
    <t>FE:FC:FA:31:fa:be</t>
  </si>
  <si>
    <t>W013114</t>
  </si>
  <si>
    <t>160.18.22.59</t>
  </si>
  <si>
    <t>013114</t>
  </si>
  <si>
    <t>马佳</t>
  </si>
  <si>
    <t>B013114</t>
  </si>
  <si>
    <t>10.187.20.157</t>
  </si>
  <si>
    <t>FE:FC:FA:6a:a9:35</t>
  </si>
  <si>
    <t>W013436</t>
  </si>
  <si>
    <t>160.18.22.24</t>
  </si>
  <si>
    <t>013436</t>
  </si>
  <si>
    <t>李燕霏儿</t>
  </si>
  <si>
    <t>B013436</t>
  </si>
  <si>
    <t>10.187.20.158</t>
  </si>
  <si>
    <t>FE:FC:FA:0b:8d:15</t>
  </si>
  <si>
    <t>W013444</t>
  </si>
  <si>
    <t>160.18.22.115</t>
  </si>
  <si>
    <t>013444</t>
  </si>
  <si>
    <t>董思群</t>
  </si>
  <si>
    <t>B013444</t>
  </si>
  <si>
    <t>10.187.20.159</t>
  </si>
  <si>
    <t>FE:FC:FA:77:3d:a6</t>
  </si>
  <si>
    <t>W013445</t>
  </si>
  <si>
    <t>160.18.22.153</t>
  </si>
  <si>
    <t>013445</t>
  </si>
  <si>
    <t>张其娇</t>
  </si>
  <si>
    <t>B013445</t>
  </si>
  <si>
    <t>10.187.20.160</t>
  </si>
  <si>
    <t>FE:FC:FA:c2:50:8d</t>
  </si>
  <si>
    <t>W013627</t>
  </si>
  <si>
    <t>160.18.21.201</t>
  </si>
  <si>
    <t>013627</t>
  </si>
  <si>
    <t>王思佳</t>
  </si>
  <si>
    <t>B013627</t>
  </si>
  <si>
    <t>10.187.20.161</t>
  </si>
  <si>
    <t>FE:FC:FA:f3:e0:9e</t>
  </si>
  <si>
    <t>W013628</t>
  </si>
  <si>
    <t>160.18.21.210</t>
  </si>
  <si>
    <t>013628</t>
  </si>
  <si>
    <t>邵巧</t>
  </si>
  <si>
    <t>B013628</t>
  </si>
  <si>
    <t>10.187.20.162</t>
  </si>
  <si>
    <t>FE:FC:FA:7c:e8:13</t>
  </si>
  <si>
    <t>FE:FC:FA:e2:9b:1c</t>
  </si>
  <si>
    <t>FE:FC:FA:df:15:0c</t>
  </si>
  <si>
    <t>BZYVDDT01-903Q</t>
  </si>
  <si>
    <t>10.187.21.21</t>
  </si>
  <si>
    <t>FE:FC:FA:37:16:5c</t>
  </si>
  <si>
    <t>160.18.10.32</t>
  </si>
  <si>
    <t>BZYVDDT02-903Q</t>
  </si>
  <si>
    <t>10.187.21.22</t>
  </si>
  <si>
    <t>FE:FC:FA:c7:bf:3b</t>
  </si>
  <si>
    <t>新agent测试</t>
  </si>
  <si>
    <t>KFSVDIDT02</t>
  </si>
  <si>
    <t>zyvdidt03</t>
  </si>
  <si>
    <t>BZYVDDT03-903Q</t>
  </si>
  <si>
    <t>10.187.21.23</t>
  </si>
  <si>
    <t>FE:FC:FA:00:a2:fc</t>
  </si>
  <si>
    <t>B003342</t>
    <phoneticPr fontId="67" type="noConversion"/>
  </si>
  <si>
    <t>B003340</t>
    <phoneticPr fontId="67" type="noConversion"/>
  </si>
  <si>
    <t>B003073</t>
    <phoneticPr fontId="67" type="noConversion"/>
  </si>
  <si>
    <t>B003071</t>
    <phoneticPr fontId="67" type="noConversion"/>
  </si>
  <si>
    <t>新发</t>
    <phoneticPr fontId="6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</si>
</sst>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9">
    <font>
      <sz val="11"/>
      <color theme="1"/>
      <name val="宋体"/>
      <charset val="134"/>
      <scheme val="minor"/>
    </font>
    <font>
      <b/>
      <sz val="10"/>
      <color theme="1"/>
      <name val="微软雅黑"/>
      <charset val="134"/>
    </font>
    <font>
      <sz val="10"/>
      <color theme="1"/>
      <name val="微软雅黑"/>
      <charset val="134"/>
    </font>
    <font>
      <sz val="9"/>
      <color theme="1"/>
      <name val="微软雅黑"/>
      <charset val="134"/>
    </font>
    <font>
      <b/>
      <sz val="10"/>
      <color rgb="FF000080"/>
      <name val="微软雅黑"/>
      <charset val="134"/>
    </font>
    <font>
      <b/>
      <sz val="9"/>
      <color rgb="FF000080"/>
      <name val="微软雅黑"/>
      <charset val="134"/>
    </font>
    <font>
      <b/>
      <sz val="10"/>
      <color rgb="FFFF0000"/>
      <name val="微软雅黑"/>
      <charset val="134"/>
    </font>
    <font>
      <b/>
      <sz val="10"/>
      <color rgb="FF000000"/>
      <name val="微软雅黑"/>
      <charset val="134"/>
    </font>
    <font>
      <b/>
      <sz val="10"/>
      <color rgb="FFFFFFFF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宋体"/>
      <charset val="134"/>
      <scheme val="minor"/>
    </font>
    <font>
      <sz val="11"/>
      <color rgb="FF000000"/>
      <name val="等线"/>
      <charset val="134"/>
    </font>
    <font>
      <b/>
      <sz val="10"/>
      <color rgb="FF417FF9"/>
      <name val="微软雅黑"/>
      <charset val="134"/>
    </font>
    <font>
      <sz val="10"/>
      <color rgb="FFFF0000"/>
      <name val="微软雅黑"/>
      <charset val="134"/>
    </font>
    <font>
      <sz val="11"/>
      <color rgb="FF000000"/>
      <name val="宋体"/>
      <charset val="134"/>
      <scheme val="minor"/>
    </font>
    <font>
      <sz val="10"/>
      <color rgb="FF000000"/>
      <name val="宋体"/>
      <charset val="134"/>
      <scheme val="minor"/>
    </font>
    <font>
      <sz val="12"/>
      <color rgb="FF404040"/>
      <name val="微软雅黑"/>
      <charset val="134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b/>
      <sz val="11"/>
      <color rgb="FFFFFFFF"/>
      <name val="微软雅黑"/>
      <charset val="134"/>
    </font>
    <font>
      <b/>
      <sz val="11"/>
      <color rgb="FF000000"/>
      <name val="微软雅黑"/>
      <charset val="134"/>
    </font>
    <font>
      <sz val="11"/>
      <color rgb="FF000000"/>
      <name val="微软雅黑"/>
      <charset val="134"/>
    </font>
    <font>
      <sz val="10"/>
      <color theme="1"/>
      <name val="宋体"/>
      <charset val="134"/>
    </font>
    <font>
      <sz val="11"/>
      <color rgb="FF000000"/>
      <name val="宋体"/>
      <charset val="134"/>
    </font>
    <font>
      <sz val="6"/>
      <color rgb="FF000000"/>
      <name val="微软雅黑"/>
      <charset val="134"/>
    </font>
    <font>
      <sz val="10"/>
      <color rgb="FF4472C4"/>
      <name val="微软雅黑"/>
      <charset val="134"/>
    </font>
    <font>
      <sz val="10"/>
      <color rgb="FF404040"/>
      <name val="微软雅黑"/>
      <charset val="134"/>
    </font>
    <font>
      <sz val="10"/>
      <color rgb="FFFF0000"/>
      <name val="宋体"/>
      <charset val="134"/>
    </font>
    <font>
      <sz val="8"/>
      <color rgb="FF000000"/>
      <name val="微软雅黑"/>
      <charset val="134"/>
    </font>
    <font>
      <sz val="10"/>
      <color rgb="FF000080"/>
      <name val="微软雅黑"/>
      <charset val="134"/>
    </font>
    <font>
      <strike/>
      <sz val="10"/>
      <color rgb="FF000000"/>
      <name val="微软雅黑"/>
      <charset val="134"/>
    </font>
    <font>
      <strike/>
      <sz val="10"/>
      <color theme="1"/>
      <name val="宋体"/>
      <charset val="134"/>
      <scheme val="minor"/>
    </font>
    <font>
      <b/>
      <sz val="11"/>
      <color rgb="FFFF0000"/>
      <name val="微软雅黑"/>
      <charset val="134"/>
    </font>
    <font>
      <sz val="11"/>
      <color rgb="FF000080"/>
      <name val="微软雅黑"/>
      <charset val="134"/>
    </font>
    <font>
      <strike/>
      <sz val="11"/>
      <color rgb="FF000080"/>
      <name val="微软雅黑"/>
      <charset val="134"/>
    </font>
    <font>
      <sz val="11"/>
      <color rgb="FFFFFFFF"/>
      <name val="微软雅黑"/>
      <charset val="134"/>
    </font>
    <font>
      <sz val="11"/>
      <color rgb="FFFF0000"/>
      <name val="微软雅黑"/>
      <charset val="134"/>
    </font>
    <font>
      <strike/>
      <sz val="11"/>
      <color rgb="FF000000"/>
      <name val="微软雅黑"/>
      <charset val="134"/>
    </font>
    <font>
      <strike/>
      <sz val="11"/>
      <color theme="1"/>
      <name val="微软雅黑"/>
      <charset val="134"/>
    </font>
    <font>
      <strike/>
      <sz val="11"/>
      <color rgb="FFFF0000"/>
      <name val="微软雅黑"/>
      <charset val="134"/>
    </font>
    <font>
      <b/>
      <sz val="11"/>
      <color rgb="FF000080"/>
      <name val="微软雅黑"/>
      <charset val="134"/>
    </font>
    <font>
      <sz val="12"/>
      <color rgb="FF9C0006"/>
      <name val="微软雅黑 Light"/>
      <charset val="134"/>
    </font>
    <font>
      <strike/>
      <sz val="10"/>
      <color theme="1"/>
      <name val="微软雅黑"/>
      <charset val="134"/>
    </font>
    <font>
      <b/>
      <strike/>
      <sz val="10"/>
      <color rgb="FF000000"/>
      <name val="微软雅黑"/>
      <charset val="134"/>
    </font>
    <font>
      <strike/>
      <sz val="11"/>
      <color theme="1"/>
      <name val="宋体"/>
      <charset val="134"/>
      <scheme val="minor"/>
    </font>
    <font>
      <strike/>
      <sz val="10"/>
      <color rgb="FF000080"/>
      <name val="微软雅黑"/>
      <charset val="134"/>
    </font>
    <font>
      <sz val="10"/>
      <color rgb="FFFFFFFF"/>
      <name val="微软雅黑"/>
      <charset val="134"/>
    </font>
    <font>
      <sz val="11"/>
      <color rgb="FF4472C4"/>
      <name val="宋体"/>
      <charset val="134"/>
      <scheme val="minor"/>
    </font>
    <font>
      <sz val="14"/>
      <color theme="1"/>
      <name val="宋体"/>
      <charset val="134"/>
      <scheme val="minor"/>
    </font>
    <font>
      <b/>
      <sz val="14"/>
      <color rgb="FF417FF9"/>
      <name val="等线"/>
      <charset val="134"/>
    </font>
    <font>
      <b/>
      <sz val="14"/>
      <color rgb="FF417FF9"/>
      <name val="宋体"/>
      <charset val="134"/>
      <scheme val="minor"/>
    </font>
    <font>
      <sz val="14"/>
      <color rgb="FFFFFFFF"/>
      <name val="等线"/>
      <charset val="134"/>
    </font>
    <font>
      <sz val="14"/>
      <name val="等线"/>
      <charset val="134"/>
    </font>
    <font>
      <b/>
      <sz val="14"/>
      <color theme="1"/>
      <name val="宋体"/>
      <charset val="134"/>
      <scheme val="minor"/>
    </font>
    <font>
      <sz val="14"/>
      <color rgb="FF000000"/>
      <name val="等线"/>
      <charset val="134"/>
    </font>
    <font>
      <b/>
      <sz val="14"/>
      <color rgb="FF000000"/>
      <name val="等线"/>
      <charset val="134"/>
    </font>
    <font>
      <sz val="10"/>
      <color rgb="FF4472C4"/>
      <name val="宋体"/>
      <charset val="134"/>
      <scheme val="minor"/>
    </font>
    <font>
      <sz val="10"/>
      <color rgb="FF4472C4"/>
      <name val="等线"/>
      <charset val="134"/>
    </font>
    <font>
      <sz val="10"/>
      <color rgb="FF4472C4"/>
      <name val="汉仪书宋二KW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10"/>
      <color rgb="FF4472C4"/>
      <name val="等线"/>
      <family val="3"/>
      <charset val="134"/>
    </font>
    <font>
      <b/>
      <sz val="11"/>
      <color rgb="FF000000"/>
      <name val="微软雅黑"/>
      <family val="2"/>
      <charset val="134"/>
    </font>
    <font>
      <b/>
      <sz val="11"/>
      <color rgb="FFFF0000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b/>
      <sz val="10"/>
      <color rgb="FF000000"/>
      <name val="微软雅黑"/>
      <family val="2"/>
      <charset val="134"/>
    </font>
    <font>
      <b/>
      <sz val="10"/>
      <color rgb="FFFF0000"/>
      <name val="微软雅黑"/>
      <family val="2"/>
      <charset val="134"/>
    </font>
    <font>
      <sz val="9"/>
      <name val="宋体"/>
      <family val="3"/>
      <charset val="134"/>
      <scheme val="minor"/>
    </font>
    <font>
      <sz val="10"/>
      <color rgb="FF000000"/>
      <name val="微软雅黑"/>
      <family val="2"/>
      <charset val="134"/>
    </font>
  </fonts>
  <fills count="16">
    <fill>
      <patternFill patternType="none"/>
    </fill>
    <fill>
      <patternFill patternType="gray125"/>
    </fill>
    <fill>
      <patternFill patternType="solid">
        <fgColor rgb="FF99CC0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EF949F"/>
        <bgColor indexed="64"/>
      </patternFill>
    </fill>
    <fill>
      <patternFill patternType="solid">
        <fgColor rgb="FFC91D32"/>
        <bgColor indexed="64"/>
      </patternFill>
    </fill>
    <fill>
      <patternFill patternType="solid">
        <fgColor rgb="FF4874CB"/>
        <bgColor indexed="64"/>
      </patternFill>
    </fill>
    <fill>
      <patternFill patternType="solid">
        <fgColor rgb="FF30C0B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996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5B9BD5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71">
    <xf numFmtId="0" fontId="0" fillId="0" borderId="0" xfId="0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8" fillId="7" borderId="4" xfId="0" applyFont="1" applyFill="1" applyBorder="1" applyAlignment="1">
      <alignment horizontal="center" vertical="center" wrapText="1"/>
    </xf>
    <xf numFmtId="0" fontId="8" fillId="8" borderId="4" xfId="0" applyFont="1" applyFill="1" applyBorder="1" applyAlignment="1">
      <alignment horizontal="center" vertical="center" wrapText="1"/>
    </xf>
    <xf numFmtId="0" fontId="8" fillId="9" borderId="4" xfId="0" applyFont="1" applyFill="1" applyBorder="1" applyAlignment="1">
      <alignment horizontal="center" vertical="center" wrapText="1"/>
    </xf>
    <xf numFmtId="0" fontId="7" fillId="10" borderId="4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8" fillId="7" borderId="5" xfId="0" applyFont="1" applyFill="1" applyBorder="1" applyAlignment="1">
      <alignment horizontal="center" vertical="center" wrapText="1"/>
    </xf>
    <xf numFmtId="0" fontId="7" fillId="6" borderId="5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>
      <alignment vertical="center"/>
    </xf>
    <xf numFmtId="0" fontId="10" fillId="0" borderId="1" xfId="0" applyFont="1" applyBorder="1">
      <alignment vertical="center"/>
    </xf>
    <xf numFmtId="0" fontId="2" fillId="0" borderId="2" xfId="0" applyFont="1" applyBorder="1">
      <alignment vertical="center"/>
    </xf>
    <xf numFmtId="0" fontId="11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1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0" fillId="0" borderId="0" xfId="0" applyFont="1">
      <alignment vertical="center"/>
    </xf>
    <xf numFmtId="0" fontId="13" fillId="0" borderId="1" xfId="0" applyFont="1" applyBorder="1" applyAlignment="1">
      <alignment horizontal="center" vertical="center"/>
    </xf>
    <xf numFmtId="0" fontId="2" fillId="0" borderId="0" xfId="0" applyFont="1" applyAlignment="1" applyProtection="1">
      <alignment horizontal="center" vertical="center"/>
      <protection locked="0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9" fillId="0" borderId="1" xfId="0" applyFont="1" applyBorder="1" applyProtection="1">
      <alignment vertical="center"/>
      <protection locked="0"/>
    </xf>
    <xf numFmtId="0" fontId="13" fillId="0" borderId="1" xfId="0" applyFont="1" applyBorder="1">
      <alignment vertical="center"/>
    </xf>
    <xf numFmtId="0" fontId="9" fillId="0" borderId="4" xfId="0" applyFont="1" applyBorder="1" applyAlignment="1">
      <alignment horizontal="center" vertical="center"/>
    </xf>
    <xf numFmtId="0" fontId="9" fillId="0" borderId="4" xfId="0" applyFont="1" applyBorder="1">
      <alignment vertical="center"/>
    </xf>
    <xf numFmtId="0" fontId="2" fillId="0" borderId="6" xfId="0" applyFont="1" applyBorder="1">
      <alignment vertical="center"/>
    </xf>
    <xf numFmtId="0" fontId="2" fillId="0" borderId="4" xfId="0" applyFont="1" applyBorder="1" applyAlignment="1">
      <alignment horizontal="center" vertical="center"/>
    </xf>
    <xf numFmtId="0" fontId="2" fillId="0" borderId="4" xfId="0" applyFont="1" applyBorder="1">
      <alignment vertical="center"/>
    </xf>
    <xf numFmtId="0" fontId="2" fillId="0" borderId="2" xfId="0" applyFont="1" applyBorder="1" applyProtection="1">
      <alignment vertical="center"/>
      <protection locked="0"/>
    </xf>
    <xf numFmtId="0" fontId="11" fillId="0" borderId="4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9" fillId="11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2" fillId="11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2" fillId="0" borderId="1" xfId="0" applyFont="1" applyBorder="1" applyAlignment="1" applyProtection="1">
      <alignment horizontal="center" vertical="center"/>
      <protection locked="0"/>
    </xf>
    <xf numFmtId="0" fontId="14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" xfId="0" applyFont="1" applyBorder="1">
      <alignment vertical="center"/>
    </xf>
    <xf numFmtId="22" fontId="2" fillId="0" borderId="1" xfId="0" applyNumberFormat="1" applyFont="1" applyBorder="1">
      <alignment vertical="center"/>
    </xf>
    <xf numFmtId="22" fontId="2" fillId="0" borderId="1" xfId="0" applyNumberFormat="1" applyFont="1" applyBorder="1" applyProtection="1">
      <alignment vertical="center"/>
      <protection locked="0"/>
    </xf>
    <xf numFmtId="0" fontId="2" fillId="11" borderId="2" xfId="0" applyFont="1" applyFill="1" applyBorder="1">
      <alignment vertical="center"/>
    </xf>
    <xf numFmtId="0" fontId="9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6" fillId="2" borderId="1" xfId="0" applyFont="1" applyFill="1" applyBorder="1" applyAlignment="1">
      <alignment horizontal="left" vertical="center" wrapText="1"/>
    </xf>
    <xf numFmtId="49" fontId="9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49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/>
    </xf>
    <xf numFmtId="0" fontId="9" fillId="0" borderId="0" xfId="0" applyFont="1" applyAlignment="1" applyProtection="1">
      <alignment horizontal="center" vertical="center"/>
      <protection locked="0"/>
    </xf>
    <xf numFmtId="22" fontId="2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0" fontId="9" fillId="11" borderId="1" xfId="0" applyFont="1" applyFill="1" applyBorder="1">
      <alignment vertical="center"/>
    </xf>
    <xf numFmtId="22" fontId="9" fillId="0" borderId="1" xfId="0" applyNumberFormat="1" applyFont="1" applyBorder="1" applyAlignment="1">
      <alignment horizontal="center" vertical="center"/>
    </xf>
    <xf numFmtId="0" fontId="7" fillId="5" borderId="5" xfId="0" applyFont="1" applyFill="1" applyBorder="1" applyAlignment="1">
      <alignment horizontal="center" vertical="center" wrapText="1"/>
    </xf>
    <xf numFmtId="49" fontId="16" fillId="0" borderId="7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7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2" fillId="0" borderId="1" xfId="0" applyFont="1" applyBorder="1">
      <alignment vertical="center"/>
    </xf>
    <xf numFmtId="49" fontId="16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15" fillId="0" borderId="1" xfId="0" applyFont="1" applyBorder="1">
      <alignment vertical="center"/>
    </xf>
    <xf numFmtId="0" fontId="17" fillId="0" borderId="0" xfId="0" applyFont="1" applyAlignment="1">
      <alignment vertical="center" wrapText="1"/>
    </xf>
    <xf numFmtId="0" fontId="18" fillId="0" borderId="0" xfId="0" applyFont="1">
      <alignment vertical="center"/>
    </xf>
    <xf numFmtId="0" fontId="18" fillId="0" borderId="0" xfId="0" applyFont="1" applyAlignment="1">
      <alignment horizontal="center" vertical="center"/>
    </xf>
    <xf numFmtId="0" fontId="19" fillId="7" borderId="5" xfId="0" applyFont="1" applyFill="1" applyBorder="1" applyAlignment="1">
      <alignment horizontal="center" vertical="center" wrapText="1"/>
    </xf>
    <xf numFmtId="0" fontId="20" fillId="6" borderId="5" xfId="0" applyFont="1" applyFill="1" applyBorder="1" applyAlignment="1">
      <alignment horizontal="center" vertical="center" wrapText="1"/>
    </xf>
    <xf numFmtId="0" fontId="20" fillId="5" borderId="5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21" fillId="0" borderId="1" xfId="0" applyFont="1" applyBorder="1">
      <alignment vertical="center"/>
    </xf>
    <xf numFmtId="0" fontId="18" fillId="0" borderId="1" xfId="0" applyFont="1" applyBorder="1">
      <alignment vertical="center"/>
    </xf>
    <xf numFmtId="0" fontId="21" fillId="0" borderId="1" xfId="0" applyFont="1" applyBorder="1" applyAlignment="1">
      <alignment horizontal="center" vertical="center"/>
    </xf>
    <xf numFmtId="0" fontId="21" fillId="12" borderId="1" xfId="0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/>
    </xf>
    <xf numFmtId="0" fontId="21" fillId="0" borderId="0" xfId="0" applyFont="1" applyAlignment="1">
      <alignment horizontal="center"/>
    </xf>
    <xf numFmtId="0" fontId="9" fillId="12" borderId="1" xfId="0" applyFont="1" applyFill="1" applyBorder="1" applyAlignment="1">
      <alignment horizontal="center" vertical="center"/>
    </xf>
    <xf numFmtId="49" fontId="9" fillId="12" borderId="1" xfId="0" applyNumberFormat="1" applyFont="1" applyFill="1" applyBorder="1" applyAlignment="1">
      <alignment horizontal="center" vertical="center"/>
    </xf>
    <xf numFmtId="0" fontId="2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23" fillId="0" borderId="1" xfId="0" applyFont="1" applyBorder="1">
      <alignment vertical="center"/>
    </xf>
    <xf numFmtId="0" fontId="0" fillId="0" borderId="1" xfId="0" applyBorder="1">
      <alignment vertical="center"/>
    </xf>
    <xf numFmtId="0" fontId="23" fillId="0" borderId="1" xfId="0" applyFont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9" fillId="11" borderId="1" xfId="0" applyFont="1" applyFill="1" applyBorder="1" applyProtection="1">
      <alignment vertical="center"/>
      <protection locked="0"/>
    </xf>
    <xf numFmtId="0" fontId="9" fillId="0" borderId="1" xfId="0" applyFont="1" applyBorder="1" applyAlignment="1" applyProtection="1">
      <alignment horizontal="center" vertical="center"/>
      <protection locked="0"/>
    </xf>
    <xf numFmtId="0" fontId="2" fillId="0" borderId="1" xfId="0" applyFont="1" applyBorder="1" applyProtection="1">
      <alignment vertical="center"/>
      <protection locked="0"/>
    </xf>
    <xf numFmtId="0" fontId="9" fillId="0" borderId="1" xfId="0" applyFont="1" applyBorder="1" applyAlignment="1" applyProtection="1">
      <alignment horizontal="left" vertical="center"/>
      <protection locked="0"/>
    </xf>
    <xf numFmtId="0" fontId="24" fillId="0" borderId="1" xfId="0" applyFont="1" applyBorder="1" applyAlignment="1">
      <alignment horizontal="left" vertical="center"/>
    </xf>
    <xf numFmtId="0" fontId="25" fillId="0" borderId="1" xfId="0" applyFont="1" applyBorder="1">
      <alignment vertical="center"/>
    </xf>
    <xf numFmtId="49" fontId="26" fillId="0" borderId="7" xfId="0" applyNumberFormat="1" applyFont="1" applyBorder="1" applyAlignment="1">
      <alignment horizontal="center" vertical="center"/>
    </xf>
    <xf numFmtId="21" fontId="2" fillId="0" borderId="1" xfId="0" applyNumberFormat="1" applyFont="1" applyBorder="1">
      <alignment vertical="center"/>
    </xf>
    <xf numFmtId="49" fontId="26" fillId="0" borderId="7" xfId="0" applyNumberFormat="1" applyFont="1" applyBorder="1" applyAlignment="1" applyProtection="1">
      <alignment horizontal="center" vertical="center"/>
      <protection locked="0"/>
    </xf>
    <xf numFmtId="21" fontId="2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vertical="center" wrapText="1"/>
    </xf>
    <xf numFmtId="0" fontId="24" fillId="0" borderId="1" xfId="0" applyFont="1" applyBorder="1" applyAlignment="1" applyProtection="1">
      <alignment horizontal="left" vertical="center"/>
      <protection locked="0"/>
    </xf>
    <xf numFmtId="0" fontId="10" fillId="0" borderId="1" xfId="0" applyFont="1" applyBorder="1" applyProtection="1">
      <alignment vertical="center"/>
      <protection locked="0"/>
    </xf>
    <xf numFmtId="0" fontId="9" fillId="0" borderId="0" xfId="0" applyFont="1" applyAlignment="1">
      <alignment horizontal="center" vertical="center"/>
    </xf>
    <xf numFmtId="0" fontId="2" fillId="0" borderId="0" xfId="0" applyFont="1" applyProtection="1">
      <alignment vertical="center"/>
      <protection locked="0"/>
    </xf>
    <xf numFmtId="0" fontId="2" fillId="0" borderId="0" xfId="0" applyFont="1" applyAlignment="1">
      <alignment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9" fillId="11" borderId="1" xfId="0" applyFont="1" applyFill="1" applyBorder="1" applyAlignment="1">
      <alignment horizontal="left" vertical="center"/>
    </xf>
    <xf numFmtId="0" fontId="24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left" vertical="center"/>
    </xf>
    <xf numFmtId="0" fontId="24" fillId="0" borderId="1" xfId="0" applyFont="1" applyBorder="1">
      <alignment vertical="center"/>
    </xf>
    <xf numFmtId="0" fontId="24" fillId="0" borderId="1" xfId="0" applyFont="1" applyBorder="1" applyAlignment="1" applyProtection="1">
      <alignment horizontal="center" vertical="center"/>
      <protection locked="0"/>
    </xf>
    <xf numFmtId="20" fontId="9" fillId="0" borderId="1" xfId="0" applyNumberFormat="1" applyFont="1" applyBorder="1">
      <alignment vertical="center"/>
    </xf>
    <xf numFmtId="0" fontId="13" fillId="0" borderId="1" xfId="0" applyFont="1" applyBorder="1" applyAlignment="1" applyProtection="1">
      <alignment horizontal="center" vertical="center"/>
      <protection locked="0"/>
    </xf>
    <xf numFmtId="0" fontId="28" fillId="0" borderId="1" xfId="0" applyFont="1" applyBorder="1">
      <alignment vertical="center"/>
    </xf>
    <xf numFmtId="49" fontId="26" fillId="0" borderId="8" xfId="0" applyNumberFormat="1" applyFont="1" applyBorder="1" applyAlignment="1">
      <alignment horizontal="center" vertical="center"/>
    </xf>
    <xf numFmtId="0" fontId="29" fillId="2" borderId="1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30" fillId="0" borderId="1" xfId="0" applyFont="1" applyBorder="1">
      <alignment vertical="center"/>
    </xf>
    <xf numFmtId="0" fontId="30" fillId="0" borderId="1" xfId="0" applyFont="1" applyBorder="1" applyAlignment="1">
      <alignment horizontal="left" vertical="center"/>
    </xf>
    <xf numFmtId="0" fontId="30" fillId="0" borderId="1" xfId="0" applyFont="1" applyBorder="1" applyAlignment="1">
      <alignment horizontal="center" vertical="center"/>
    </xf>
    <xf numFmtId="0" fontId="31" fillId="0" borderId="1" xfId="0" applyFont="1" applyBorder="1">
      <alignment vertical="center"/>
    </xf>
    <xf numFmtId="0" fontId="1" fillId="0" borderId="0" xfId="0" applyFont="1">
      <alignment vertical="center"/>
    </xf>
    <xf numFmtId="0" fontId="4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0" fontId="32" fillId="2" borderId="1" xfId="0" applyFont="1" applyFill="1" applyBorder="1" applyAlignment="1">
      <alignment horizontal="center" vertical="center" wrapText="1"/>
    </xf>
    <xf numFmtId="49" fontId="9" fillId="0" borderId="1" xfId="0" applyNumberFormat="1" applyFont="1" applyBorder="1" applyAlignment="1" applyProtection="1">
      <alignment horizontal="center" vertical="center"/>
      <protection locked="0"/>
    </xf>
    <xf numFmtId="0" fontId="13" fillId="0" borderId="0" xfId="0" applyFont="1" applyAlignment="1">
      <alignment horizontal="center" vertical="center"/>
    </xf>
    <xf numFmtId="0" fontId="18" fillId="0" borderId="0" xfId="0" applyFont="1" applyAlignment="1">
      <alignment vertical="center" wrapText="1"/>
    </xf>
    <xf numFmtId="0" fontId="33" fillId="2" borderId="1" xfId="0" applyFont="1" applyFill="1" applyBorder="1" applyAlignment="1">
      <alignment horizontal="center" vertical="center" wrapText="1"/>
    </xf>
    <xf numFmtId="0" fontId="34" fillId="2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5" fillId="3" borderId="1" xfId="0" applyFont="1" applyFill="1" applyBorder="1" applyAlignment="1">
      <alignment horizontal="center" vertical="center" wrapText="1"/>
    </xf>
    <xf numFmtId="0" fontId="20" fillId="4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9" fillId="7" borderId="1" xfId="0" applyFont="1" applyFill="1" applyBorder="1" applyAlignment="1">
      <alignment horizontal="center" vertical="center" wrapText="1"/>
    </xf>
    <xf numFmtId="0" fontId="19" fillId="8" borderId="1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center" vertical="center" wrapText="1"/>
    </xf>
    <xf numFmtId="0" fontId="9" fillId="0" borderId="11" xfId="0" applyFont="1" applyBorder="1">
      <alignment vertical="center"/>
    </xf>
    <xf numFmtId="0" fontId="7" fillId="0" borderId="11" xfId="0" applyFont="1" applyBorder="1" applyAlignment="1">
      <alignment horizontal="center" vertical="center"/>
    </xf>
    <xf numFmtId="0" fontId="36" fillId="0" borderId="1" xfId="0" applyFont="1" applyBorder="1">
      <alignment vertical="center"/>
    </xf>
    <xf numFmtId="0" fontId="7" fillId="0" borderId="11" xfId="0" applyFont="1" applyBorder="1" applyAlignment="1" applyProtection="1">
      <alignment horizontal="center" vertical="center"/>
      <protection locked="0"/>
    </xf>
    <xf numFmtId="0" fontId="36" fillId="0" borderId="1" xfId="0" applyFont="1" applyBorder="1" applyAlignment="1">
      <alignment horizontal="center" vertical="center"/>
    </xf>
    <xf numFmtId="0" fontId="21" fillId="0" borderId="1" xfId="0" applyFont="1" applyBorder="1" applyProtection="1">
      <alignment vertical="center"/>
      <protection locked="0"/>
    </xf>
    <xf numFmtId="0" fontId="9" fillId="0" borderId="11" xfId="0" applyFont="1" applyBorder="1" applyProtection="1">
      <alignment vertical="center"/>
      <protection locked="0"/>
    </xf>
    <xf numFmtId="0" fontId="36" fillId="0" borderId="1" xfId="0" applyFont="1" applyBorder="1" applyProtection="1">
      <alignment vertical="center"/>
      <protection locked="0"/>
    </xf>
    <xf numFmtId="0" fontId="37" fillId="0" borderId="1" xfId="0" applyFont="1" applyBorder="1" applyAlignment="1">
      <alignment horizontal="center" vertical="center"/>
    </xf>
    <xf numFmtId="0" fontId="37" fillId="12" borderId="1" xfId="0" applyFont="1" applyFill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0" fontId="13" fillId="0" borderId="11" xfId="0" applyFont="1" applyBorder="1" applyProtection="1">
      <alignment vertical="center"/>
      <protection locked="0"/>
    </xf>
    <xf numFmtId="0" fontId="6" fillId="0" borderId="11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1" xfId="0" applyFont="1" applyBorder="1" applyAlignment="1" applyProtection="1">
      <alignment horizontal="center" vertical="center"/>
      <protection locked="0"/>
    </xf>
    <xf numFmtId="0" fontId="18" fillId="0" borderId="0" xfId="0" applyFont="1" applyProtection="1">
      <alignment vertical="center"/>
      <protection locked="0"/>
    </xf>
    <xf numFmtId="49" fontId="16" fillId="0" borderId="8" xfId="0" applyNumberFormat="1" applyFont="1" applyBorder="1" applyAlignment="1" applyProtection="1">
      <alignment horizontal="center" vertical="center"/>
      <protection locked="0"/>
    </xf>
    <xf numFmtId="49" fontId="16" fillId="0" borderId="7" xfId="0" applyNumberFormat="1" applyFont="1" applyBorder="1" applyAlignment="1" applyProtection="1">
      <alignment horizontal="center" vertical="center"/>
      <protection locked="0"/>
    </xf>
    <xf numFmtId="0" fontId="40" fillId="2" borderId="1" xfId="0" applyFont="1" applyFill="1" applyBorder="1" applyAlignment="1">
      <alignment horizontal="center" vertical="center" wrapText="1"/>
    </xf>
    <xf numFmtId="0" fontId="7" fillId="0" borderId="11" xfId="0" applyFont="1" applyBorder="1">
      <alignment vertical="center"/>
    </xf>
    <xf numFmtId="20" fontId="2" fillId="0" borderId="1" xfId="0" applyNumberFormat="1" applyFont="1" applyBorder="1" applyAlignment="1">
      <alignment horizontal="center" vertical="center"/>
    </xf>
    <xf numFmtId="0" fontId="6" fillId="0" borderId="11" xfId="0" applyFont="1" applyBorder="1">
      <alignment vertical="center"/>
    </xf>
    <xf numFmtId="0" fontId="21" fillId="12" borderId="1" xfId="0" applyFont="1" applyFill="1" applyBorder="1">
      <alignment vertical="center"/>
    </xf>
    <xf numFmtId="49" fontId="16" fillId="13" borderId="7" xfId="0" applyNumberFormat="1" applyFont="1" applyFill="1" applyBorder="1" applyAlignment="1">
      <alignment horizontal="center" vertical="center"/>
    </xf>
    <xf numFmtId="0" fontId="0" fillId="11" borderId="0" xfId="0" applyFill="1">
      <alignment vertical="center"/>
    </xf>
    <xf numFmtId="0" fontId="21" fillId="12" borderId="1" xfId="0" applyFont="1" applyFill="1" applyBorder="1" applyAlignment="1">
      <alignment horizontal="center" vertical="center"/>
    </xf>
    <xf numFmtId="49" fontId="41" fillId="14" borderId="7" xfId="0" applyNumberFormat="1" applyFont="1" applyFill="1" applyBorder="1" applyAlignment="1">
      <alignment horizontal="center" vertical="center"/>
    </xf>
    <xf numFmtId="0" fontId="42" fillId="0" borderId="0" xfId="0" applyFont="1">
      <alignment vertical="center"/>
    </xf>
    <xf numFmtId="0" fontId="2" fillId="0" borderId="0" xfId="0" applyFont="1" applyAlignment="1">
      <alignment horizontal="right" vertical="center"/>
    </xf>
    <xf numFmtId="0" fontId="4" fillId="2" borderId="11" xfId="0" applyFont="1" applyFill="1" applyBorder="1" applyAlignment="1">
      <alignment horizontal="center" vertical="center"/>
    </xf>
    <xf numFmtId="0" fontId="4" fillId="2" borderId="11" xfId="0" applyFont="1" applyFill="1" applyBorder="1">
      <alignment vertical="center"/>
    </xf>
    <xf numFmtId="0" fontId="40" fillId="2" borderId="11" xfId="0" applyFont="1" applyFill="1" applyBorder="1" applyAlignment="1">
      <alignment horizontal="center" vertical="center"/>
    </xf>
    <xf numFmtId="0" fontId="20" fillId="0" borderId="11" xfId="0" applyFont="1" applyBorder="1" applyAlignment="1">
      <alignment horizontal="center" vertical="center" wrapText="1"/>
    </xf>
    <xf numFmtId="0" fontId="19" fillId="3" borderId="11" xfId="0" applyFont="1" applyFill="1" applyBorder="1" applyAlignment="1">
      <alignment horizontal="center" vertical="center" wrapText="1"/>
    </xf>
    <xf numFmtId="0" fontId="20" fillId="4" borderId="11" xfId="0" applyFont="1" applyFill="1" applyBorder="1" applyAlignment="1">
      <alignment horizontal="center" vertical="center" wrapText="1"/>
    </xf>
    <xf numFmtId="0" fontId="20" fillId="5" borderId="11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9" fillId="7" borderId="11" xfId="0" applyFont="1" applyFill="1" applyBorder="1" applyAlignment="1">
      <alignment horizontal="center" vertical="center" wrapText="1"/>
    </xf>
    <xf numFmtId="0" fontId="19" fillId="8" borderId="11" xfId="0" applyFont="1" applyFill="1" applyBorder="1" applyAlignment="1">
      <alignment horizontal="center" vertical="center" wrapText="1"/>
    </xf>
    <xf numFmtId="0" fontId="19" fillId="9" borderId="1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right" vertical="center"/>
    </xf>
    <xf numFmtId="0" fontId="30" fillId="0" borderId="11" xfId="0" applyFont="1" applyBorder="1">
      <alignment vertical="center"/>
    </xf>
    <xf numFmtId="0" fontId="30" fillId="12" borderId="11" xfId="0" applyFont="1" applyFill="1" applyBorder="1" applyAlignment="1">
      <alignment horizontal="center" vertical="center"/>
    </xf>
    <xf numFmtId="0" fontId="42" fillId="0" borderId="11" xfId="0" applyFont="1" applyBorder="1">
      <alignment vertical="center"/>
    </xf>
    <xf numFmtId="0" fontId="43" fillId="0" borderId="11" xfId="0" applyFont="1" applyBorder="1">
      <alignment vertical="center"/>
    </xf>
    <xf numFmtId="0" fontId="2" fillId="0" borderId="11" xfId="0" applyFont="1" applyBorder="1">
      <alignment vertical="center"/>
    </xf>
    <xf numFmtId="0" fontId="42" fillId="0" borderId="11" xfId="0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44" fillId="0" borderId="0" xfId="0" applyFont="1" applyAlignment="1">
      <alignment vertical="center" wrapText="1"/>
    </xf>
    <xf numFmtId="0" fontId="9" fillId="0" borderId="1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5" xfId="0" applyFont="1" applyBorder="1">
      <alignment vertical="center"/>
    </xf>
    <xf numFmtId="0" fontId="2" fillId="0" borderId="12" xfId="0" applyFont="1" applyBorder="1">
      <alignment vertical="center"/>
    </xf>
    <xf numFmtId="0" fontId="2" fillId="0" borderId="13" xfId="0" applyFont="1" applyBorder="1">
      <alignment vertical="center"/>
    </xf>
    <xf numFmtId="0" fontId="9" fillId="12" borderId="11" xfId="0" applyFont="1" applyFill="1" applyBorder="1" applyAlignment="1">
      <alignment horizontal="center" vertical="center"/>
    </xf>
    <xf numFmtId="0" fontId="7" fillId="11" borderId="11" xfId="0" applyFont="1" applyFill="1" applyBorder="1">
      <alignment vertical="center"/>
    </xf>
    <xf numFmtId="0" fontId="13" fillId="0" borderId="11" xfId="0" applyFont="1" applyBorder="1">
      <alignment vertical="center"/>
    </xf>
    <xf numFmtId="21" fontId="9" fillId="0" borderId="11" xfId="0" applyNumberFormat="1" applyFont="1" applyBorder="1" applyAlignment="1">
      <alignment horizontal="center" vertical="center" wrapText="1"/>
    </xf>
    <xf numFmtId="0" fontId="7" fillId="12" borderId="11" xfId="0" applyFont="1" applyFill="1" applyBorder="1">
      <alignment vertical="center"/>
    </xf>
    <xf numFmtId="0" fontId="2" fillId="11" borderId="11" xfId="0" applyFont="1" applyFill="1" applyBorder="1">
      <alignment vertical="center"/>
    </xf>
    <xf numFmtId="20" fontId="2" fillId="0" borderId="11" xfId="0" applyNumberFormat="1" applyFont="1" applyBorder="1">
      <alignment vertical="center"/>
    </xf>
    <xf numFmtId="0" fontId="9" fillId="4" borderId="11" xfId="0" applyFont="1" applyFill="1" applyBorder="1" applyAlignment="1">
      <alignment horizontal="right" vertical="center"/>
    </xf>
    <xf numFmtId="0" fontId="23" fillId="0" borderId="0" xfId="0" applyFont="1" applyAlignment="1">
      <alignment vertical="center" wrapText="1"/>
    </xf>
    <xf numFmtId="0" fontId="16" fillId="13" borderId="7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0" fontId="45" fillId="2" borderId="1" xfId="0" applyFont="1" applyFill="1" applyBorder="1" applyAlignment="1">
      <alignment horizontal="center" vertical="center" wrapText="1"/>
    </xf>
    <xf numFmtId="0" fontId="46" fillId="3" borderId="1" xfId="0" applyFont="1" applyFill="1" applyBorder="1" applyAlignment="1">
      <alignment horizontal="center" vertical="center" wrapText="1"/>
    </xf>
    <xf numFmtId="0" fontId="21" fillId="0" borderId="0" xfId="0" applyFont="1">
      <alignment vertical="center"/>
    </xf>
    <xf numFmtId="0" fontId="0" fillId="11" borderId="1" xfId="0" applyFill="1" applyBorder="1">
      <alignment vertical="center"/>
    </xf>
    <xf numFmtId="0" fontId="10" fillId="11" borderId="2" xfId="0" applyFont="1" applyFill="1" applyBorder="1">
      <alignment vertical="center"/>
    </xf>
    <xf numFmtId="0" fontId="47" fillId="0" borderId="0" xfId="0" applyFont="1">
      <alignment vertical="center"/>
    </xf>
    <xf numFmtId="0" fontId="0" fillId="0" borderId="0" xfId="0" applyAlignment="1">
      <alignment horizontal="center" vertical="center"/>
    </xf>
    <xf numFmtId="0" fontId="48" fillId="0" borderId="0" xfId="0" applyFont="1">
      <alignment vertical="center"/>
    </xf>
    <xf numFmtId="0" fontId="48" fillId="0" borderId="1" xfId="0" applyFont="1" applyBorder="1">
      <alignment vertical="center"/>
    </xf>
    <xf numFmtId="0" fontId="51" fillId="15" borderId="1" xfId="0" applyFont="1" applyFill="1" applyBorder="1" applyAlignment="1"/>
    <xf numFmtId="0" fontId="51" fillId="15" borderId="1" xfId="0" applyFont="1" applyFill="1" applyBorder="1">
      <alignment vertical="center"/>
    </xf>
    <xf numFmtId="0" fontId="52" fillId="0" borderId="1" xfId="0" applyFont="1" applyBorder="1" applyAlignment="1"/>
    <xf numFmtId="0" fontId="48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center" vertical="center"/>
    </xf>
    <xf numFmtId="0" fontId="54" fillId="0" borderId="1" xfId="0" applyFont="1" applyBorder="1" applyAlignment="1"/>
    <xf numFmtId="0" fontId="55" fillId="0" borderId="1" xfId="0" applyFont="1" applyBorder="1" applyAlignment="1">
      <alignment horizontal="right" vertical="center"/>
    </xf>
    <xf numFmtId="58" fontId="56" fillId="0" borderId="0" xfId="0" applyNumberFormat="1" applyFont="1">
      <alignment vertical="center"/>
    </xf>
    <xf numFmtId="0" fontId="57" fillId="0" borderId="0" xfId="0" applyFont="1">
      <alignment vertical="center"/>
    </xf>
    <xf numFmtId="0" fontId="56" fillId="0" borderId="0" xfId="0" applyFont="1">
      <alignment vertical="center"/>
    </xf>
    <xf numFmtId="0" fontId="47" fillId="0" borderId="0" xfId="0" applyFont="1" applyAlignment="1">
      <alignment horizontal="center" vertical="center"/>
    </xf>
    <xf numFmtId="0" fontId="9" fillId="0" borderId="1" xfId="0" quotePrefix="1" applyFont="1" applyBorder="1" applyAlignment="1">
      <alignment horizontal="center" vertical="center"/>
    </xf>
    <xf numFmtId="0" fontId="9" fillId="11" borderId="1" xfId="0" quotePrefix="1" applyFont="1" applyFill="1" applyBorder="1" applyAlignment="1">
      <alignment horizontal="center" vertical="center"/>
    </xf>
    <xf numFmtId="0" fontId="2" fillId="0" borderId="1" xfId="0" quotePrefix="1" applyFont="1" applyBorder="1">
      <alignment vertical="center"/>
    </xf>
    <xf numFmtId="0" fontId="9" fillId="0" borderId="4" xfId="0" quotePrefix="1" applyFont="1" applyBorder="1" applyAlignment="1">
      <alignment horizontal="center" vertical="center"/>
    </xf>
    <xf numFmtId="0" fontId="49" fillId="0" borderId="0" xfId="0" applyFont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52" fillId="0" borderId="1" xfId="0" applyFont="1" applyBorder="1" applyAlignment="1">
      <alignment horizontal="center" vertical="center"/>
    </xf>
    <xf numFmtId="0" fontId="48" fillId="0" borderId="1" xfId="0" applyFont="1" applyBorder="1">
      <alignment vertical="center"/>
    </xf>
    <xf numFmtId="0" fontId="13" fillId="0" borderId="2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68" fillId="0" borderId="1" xfId="0" applyFont="1" applyBorder="1">
      <alignment vertical="center"/>
    </xf>
    <xf numFmtId="0" fontId="68" fillId="0" borderId="1" xfId="0" applyFont="1" applyBorder="1" applyAlignment="1">
      <alignment horizontal="center" vertical="center"/>
    </xf>
  </cellXfs>
  <cellStyles count="1">
    <cellStyle name="常规" xfId="0" builtinId="0"/>
  </cellStyles>
  <dxfs count="6">
    <dxf>
      <fill>
        <patternFill patternType="solid">
          <bgColor rgb="FFFFFC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FC00"/>
        </patternFill>
      </fill>
    </dxf>
    <dxf>
      <fill>
        <patternFill patternType="solid">
          <bgColor rgb="FFFFFC00"/>
        </patternFill>
      </fill>
    </dxf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15"/>
  <sheetViews>
    <sheetView workbookViewId="0">
      <selection activeCell="F11" sqref="A1:XFD1048576"/>
    </sheetView>
  </sheetViews>
  <sheetFormatPr defaultColWidth="9" defaultRowHeight="14"/>
  <cols>
    <col min="1" max="1" width="6.08984375" customWidth="1"/>
    <col min="3" max="3" width="16.26953125" customWidth="1"/>
    <col min="4" max="4" width="26.26953125" customWidth="1"/>
    <col min="5" max="5" width="16.90625" customWidth="1"/>
    <col min="6" max="6" width="13.90625" customWidth="1"/>
    <col min="7" max="7" width="11.26953125" customWidth="1"/>
    <col min="8" max="8" width="9" style="243"/>
  </cols>
  <sheetData>
    <row r="2" spans="2:8" ht="17.5">
      <c r="B2" s="244"/>
      <c r="C2" s="244"/>
      <c r="D2" s="244"/>
      <c r="E2" s="262" t="s">
        <v>0</v>
      </c>
      <c r="F2" s="263"/>
      <c r="G2" s="263"/>
    </row>
    <row r="3" spans="2:8" ht="17.5">
      <c r="B3" s="245"/>
      <c r="C3" s="246" t="s">
        <v>1</v>
      </c>
      <c r="D3" s="246" t="s">
        <v>2</v>
      </c>
      <c r="E3" s="247" t="s">
        <v>3</v>
      </c>
      <c r="F3" s="247" t="s">
        <v>4</v>
      </c>
      <c r="G3" s="247" t="s">
        <v>5</v>
      </c>
    </row>
    <row r="4" spans="2:8" ht="17.5">
      <c r="B4" s="264" t="s">
        <v>6</v>
      </c>
      <c r="C4" s="248" t="s">
        <v>7</v>
      </c>
      <c r="D4" s="248" t="s">
        <v>8</v>
      </c>
      <c r="E4" s="249">
        <v>581</v>
      </c>
      <c r="F4" s="250">
        <v>396</v>
      </c>
      <c r="G4" s="251">
        <f t="shared" ref="G4:G11" si="0">E4-F4</f>
        <v>185</v>
      </c>
    </row>
    <row r="5" spans="2:8" ht="17.5">
      <c r="B5" s="265"/>
      <c r="C5" s="248" t="s">
        <v>9</v>
      </c>
      <c r="D5" s="248" t="s">
        <v>10</v>
      </c>
      <c r="E5" s="249">
        <v>606</v>
      </c>
      <c r="F5" s="250">
        <v>435</v>
      </c>
      <c r="G5" s="251">
        <f t="shared" si="0"/>
        <v>171</v>
      </c>
    </row>
    <row r="6" spans="2:8" ht="17.5">
      <c r="B6" s="265"/>
      <c r="C6" s="248" t="s">
        <v>11</v>
      </c>
      <c r="D6" s="248" t="s">
        <v>12</v>
      </c>
      <c r="E6" s="249">
        <v>605</v>
      </c>
      <c r="F6" s="250">
        <v>441</v>
      </c>
      <c r="G6" s="251">
        <f t="shared" si="0"/>
        <v>164</v>
      </c>
    </row>
    <row r="7" spans="2:8" ht="17.5">
      <c r="B7" s="265"/>
      <c r="C7" s="248" t="s">
        <v>13</v>
      </c>
      <c r="D7" s="248" t="s">
        <v>14</v>
      </c>
      <c r="E7" s="249">
        <v>615</v>
      </c>
      <c r="F7" s="250">
        <v>451</v>
      </c>
      <c r="G7" s="251">
        <f t="shared" si="0"/>
        <v>164</v>
      </c>
    </row>
    <row r="8" spans="2:8" ht="17.5">
      <c r="B8" s="265"/>
      <c r="C8" s="248" t="s">
        <v>15</v>
      </c>
      <c r="D8" s="248" t="s">
        <v>16</v>
      </c>
      <c r="E8" s="249">
        <v>593</v>
      </c>
      <c r="F8" s="250">
        <v>432</v>
      </c>
      <c r="G8" s="251">
        <f t="shared" si="0"/>
        <v>161</v>
      </c>
    </row>
    <row r="9" spans="2:8" ht="17.5">
      <c r="B9" s="265"/>
      <c r="C9" s="252" t="s">
        <v>17</v>
      </c>
      <c r="D9" s="252" t="s">
        <v>18</v>
      </c>
      <c r="E9" s="249">
        <v>593</v>
      </c>
      <c r="F9" s="250">
        <v>407</v>
      </c>
      <c r="G9" s="251">
        <f t="shared" si="0"/>
        <v>186</v>
      </c>
    </row>
    <row r="10" spans="2:8" ht="17.5">
      <c r="B10" s="265"/>
      <c r="C10" s="248" t="s">
        <v>19</v>
      </c>
      <c r="D10" s="248" t="s">
        <v>20</v>
      </c>
      <c r="E10" s="249">
        <v>581</v>
      </c>
      <c r="F10" s="250">
        <v>410</v>
      </c>
      <c r="G10" s="251">
        <f t="shared" si="0"/>
        <v>171</v>
      </c>
    </row>
    <row r="11" spans="2:8" ht="17.5">
      <c r="B11" s="265"/>
      <c r="C11" s="248" t="s">
        <v>21</v>
      </c>
      <c r="D11" s="248" t="s">
        <v>22</v>
      </c>
      <c r="E11" s="249">
        <v>609</v>
      </c>
      <c r="F11" s="250">
        <v>378</v>
      </c>
      <c r="G11" s="251">
        <f t="shared" si="0"/>
        <v>231</v>
      </c>
    </row>
    <row r="12" spans="2:8" ht="17.5">
      <c r="B12" s="244"/>
      <c r="C12" s="244"/>
      <c r="D12" s="253" t="s">
        <v>23</v>
      </c>
      <c r="E12" s="250">
        <f t="shared" ref="E12:G12" si="1">SUM(E4:E11)</f>
        <v>4783</v>
      </c>
      <c r="F12" s="250">
        <f t="shared" si="1"/>
        <v>3350</v>
      </c>
      <c r="G12" s="251">
        <f t="shared" si="1"/>
        <v>1433</v>
      </c>
    </row>
    <row r="15" spans="2:8" s="242" customFormat="1" ht="21.5" customHeight="1">
      <c r="B15" s="254">
        <v>46155</v>
      </c>
      <c r="C15" s="255" t="s">
        <v>24</v>
      </c>
      <c r="D15" s="256"/>
      <c r="H15" s="257"/>
    </row>
  </sheetData>
  <sheetProtection formatCells="0" formatColumns="0" formatRows="0" insertColumns="0" insertRows="0" insertHyperlinks="0" deleteColumns="0" deleteRows="0" sort="0" autoFilter="0" pivotTables="0"/>
  <mergeCells count="2">
    <mergeCell ref="E2:G2"/>
    <mergeCell ref="B4:B11"/>
  </mergeCells>
  <phoneticPr fontId="67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P21"/>
  <sheetViews>
    <sheetView topLeftCell="N6" workbookViewId="0">
      <selection activeCell="N6" sqref="N6"/>
    </sheetView>
  </sheetViews>
  <sheetFormatPr defaultColWidth="9" defaultRowHeight="16.5"/>
  <cols>
    <col min="1" max="1" width="14.08984375" style="99" customWidth="1"/>
    <col min="2" max="2" width="7.26953125" style="99" customWidth="1"/>
    <col min="3" max="3" width="6.453125" style="99" customWidth="1"/>
    <col min="4" max="4" width="15.36328125" style="99" customWidth="1"/>
    <col min="5" max="5" width="10.26953125" style="99" customWidth="1"/>
    <col min="6" max="6" width="13" style="99" customWidth="1"/>
    <col min="7" max="7" width="13.26953125" style="99" customWidth="1"/>
    <col min="8" max="8" width="10.36328125" style="99" hidden="1" customWidth="1"/>
    <col min="9" max="9" width="7" style="99" customWidth="1"/>
    <col min="10" max="10" width="7.453125" style="99" customWidth="1"/>
    <col min="11" max="11" width="17.7265625" style="99" customWidth="1"/>
    <col min="12" max="12" width="14.6328125" style="99" customWidth="1"/>
    <col min="13" max="13" width="19.26953125" style="99" customWidth="1"/>
    <col min="14" max="14" width="17.90625" style="99" customWidth="1"/>
    <col min="15" max="15" width="14.6328125" style="99" customWidth="1"/>
    <col min="16" max="16" width="14.90625" style="99" customWidth="1"/>
    <col min="17" max="17" width="19" style="99" customWidth="1"/>
    <col min="18" max="18" width="20.08984375" style="99" customWidth="1"/>
    <col min="19" max="19" width="11.26953125" style="99" customWidth="1"/>
    <col min="20" max="20" width="26.6328125" style="99" customWidth="1"/>
    <col min="21" max="21" width="22.90625" style="99" customWidth="1"/>
    <col min="22" max="22" width="14.08984375" style="99" customWidth="1"/>
    <col min="23" max="25" width="9" style="99"/>
    <col min="26" max="26" width="9" style="100"/>
    <col min="27" max="16384" width="9" style="99"/>
  </cols>
  <sheetData>
    <row r="1" spans="1:42" ht="66">
      <c r="A1" s="236" t="s">
        <v>25</v>
      </c>
      <c r="B1" s="236" t="s">
        <v>26</v>
      </c>
      <c r="C1" s="236" t="s">
        <v>27</v>
      </c>
      <c r="D1" s="236" t="s">
        <v>28</v>
      </c>
      <c r="E1" s="236" t="s">
        <v>29</v>
      </c>
      <c r="F1" s="236" t="s">
        <v>30</v>
      </c>
      <c r="G1" s="236" t="s">
        <v>31</v>
      </c>
      <c r="H1" s="237" t="s">
        <v>32</v>
      </c>
      <c r="I1" s="236" t="s">
        <v>33</v>
      </c>
      <c r="J1" s="236" t="s">
        <v>34</v>
      </c>
      <c r="K1" s="236" t="s">
        <v>35</v>
      </c>
      <c r="L1" s="236" t="s">
        <v>36</v>
      </c>
      <c r="M1" s="8" t="s">
        <v>37</v>
      </c>
      <c r="N1" s="236" t="s">
        <v>38</v>
      </c>
      <c r="O1" s="81" t="s">
        <v>39</v>
      </c>
      <c r="P1" s="81" t="s">
        <v>40</v>
      </c>
      <c r="Q1" s="81" t="s">
        <v>41</v>
      </c>
      <c r="R1" s="81" t="s">
        <v>42</v>
      </c>
      <c r="S1" s="81" t="s">
        <v>43</v>
      </c>
      <c r="T1" s="81" t="s">
        <v>44</v>
      </c>
      <c r="U1" s="81" t="s">
        <v>45</v>
      </c>
      <c r="V1" s="238" t="s">
        <v>46</v>
      </c>
      <c r="W1" s="165" t="s">
        <v>47</v>
      </c>
      <c r="X1" s="165" t="s">
        <v>48</v>
      </c>
      <c r="Y1" s="165" t="s">
        <v>49</v>
      </c>
      <c r="Z1" s="165" t="s">
        <v>50</v>
      </c>
      <c r="AA1" s="166" t="s">
        <v>51</v>
      </c>
      <c r="AB1" s="166" t="s">
        <v>52</v>
      </c>
      <c r="AC1" s="166" t="s">
        <v>53</v>
      </c>
      <c r="AD1" s="167" t="s">
        <v>54</v>
      </c>
      <c r="AE1" s="166" t="s">
        <v>55</v>
      </c>
      <c r="AF1" s="166" t="s">
        <v>56</v>
      </c>
      <c r="AG1" s="168" t="s">
        <v>57</v>
      </c>
      <c r="AH1" s="169" t="s">
        <v>58</v>
      </c>
      <c r="AI1" s="169" t="s">
        <v>59</v>
      </c>
      <c r="AJ1" s="170" t="s">
        <v>60</v>
      </c>
      <c r="AK1" s="170" t="s">
        <v>61</v>
      </c>
      <c r="AL1" s="167" t="s">
        <v>62</v>
      </c>
      <c r="AM1" s="167" t="s">
        <v>63</v>
      </c>
      <c r="AN1" s="167" t="s">
        <v>64</v>
      </c>
      <c r="AO1" s="167" t="s">
        <v>65</v>
      </c>
      <c r="AP1" s="167" t="s">
        <v>66</v>
      </c>
    </row>
    <row r="2" spans="1:42" s="2" customFormat="1" ht="40.9" customHeight="1">
      <c r="A2" s="26" t="s">
        <v>67</v>
      </c>
      <c r="B2" s="25"/>
      <c r="C2" s="25" t="s">
        <v>68</v>
      </c>
      <c r="D2" s="26" t="s">
        <v>69</v>
      </c>
      <c r="E2" s="25" t="s">
        <v>70</v>
      </c>
      <c r="F2" s="25" t="s">
        <v>70</v>
      </c>
      <c r="G2" s="25" t="s">
        <v>71</v>
      </c>
      <c r="H2" s="25" t="s">
        <v>72</v>
      </c>
      <c r="I2" s="25">
        <v>6.2</v>
      </c>
      <c r="J2" s="25" t="s">
        <v>73</v>
      </c>
      <c r="K2" s="25" t="s">
        <v>74</v>
      </c>
      <c r="L2" s="25" t="s">
        <v>75</v>
      </c>
      <c r="M2" s="2" t="s">
        <v>76</v>
      </c>
      <c r="N2" s="26"/>
      <c r="O2" s="30" t="s">
        <v>77</v>
      </c>
      <c r="P2" s="30" t="s">
        <v>78</v>
      </c>
      <c r="Q2" s="30" t="s">
        <v>79</v>
      </c>
      <c r="R2" s="30" t="s">
        <v>80</v>
      </c>
      <c r="S2" s="32">
        <v>1053</v>
      </c>
      <c r="T2" s="30" t="s">
        <v>81</v>
      </c>
      <c r="U2" s="30" t="s">
        <v>81</v>
      </c>
      <c r="V2" s="172" t="s">
        <v>7</v>
      </c>
      <c r="W2" s="30"/>
      <c r="X2" s="26"/>
      <c r="Y2" s="26"/>
      <c r="Z2" s="25">
        <v>1</v>
      </c>
      <c r="AA2" s="32"/>
      <c r="AB2" s="32"/>
      <c r="AC2" s="32"/>
      <c r="AD2" s="32"/>
      <c r="AE2" s="30"/>
      <c r="AF2" s="30"/>
      <c r="AG2" s="32"/>
      <c r="AH2" s="30"/>
      <c r="AI2" s="32"/>
      <c r="AJ2" s="32"/>
      <c r="AK2" s="32"/>
      <c r="AL2" s="32"/>
      <c r="AM2" s="32"/>
      <c r="AN2" s="32"/>
      <c r="AO2" s="32"/>
      <c r="AP2" s="32"/>
    </row>
    <row r="3" spans="1:42" s="2" customFormat="1" ht="31.5" customHeight="1">
      <c r="A3" s="30" t="s">
        <v>82</v>
      </c>
      <c r="B3" s="30"/>
      <c r="C3" s="25" t="s">
        <v>68</v>
      </c>
      <c r="D3" s="30" t="s">
        <v>83</v>
      </c>
      <c r="E3" s="25" t="s">
        <v>70</v>
      </c>
      <c r="F3" s="25" t="s">
        <v>70</v>
      </c>
      <c r="G3" s="26" t="s">
        <v>84</v>
      </c>
      <c r="H3" s="25" t="s">
        <v>72</v>
      </c>
      <c r="I3" s="25">
        <v>6.2</v>
      </c>
      <c r="J3" s="25" t="s">
        <v>73</v>
      </c>
      <c r="K3" s="25" t="s">
        <v>85</v>
      </c>
      <c r="L3" s="25" t="s">
        <v>86</v>
      </c>
      <c r="M3" s="30" t="s">
        <v>87</v>
      </c>
      <c r="N3" s="30"/>
      <c r="O3" s="30" t="s">
        <v>88</v>
      </c>
      <c r="P3" s="30" t="s">
        <v>78</v>
      </c>
      <c r="Q3" s="30" t="s">
        <v>89</v>
      </c>
      <c r="R3" s="30" t="s">
        <v>90</v>
      </c>
      <c r="S3" s="32">
        <v>1003</v>
      </c>
      <c r="T3" s="30" t="s">
        <v>91</v>
      </c>
      <c r="U3" s="30" t="s">
        <v>91</v>
      </c>
      <c r="V3" s="172" t="s">
        <v>7</v>
      </c>
      <c r="W3" s="30"/>
      <c r="X3" s="30"/>
      <c r="Y3" s="30"/>
      <c r="Z3" s="32">
        <v>1</v>
      </c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 s="2" customFormat="1" ht="14.5">
      <c r="Z4" s="4"/>
    </row>
    <row r="5" spans="1:42" s="2" customFormat="1" ht="14.5">
      <c r="A5" s="26" t="s">
        <v>92</v>
      </c>
      <c r="B5" s="30"/>
      <c r="C5" s="25" t="s">
        <v>73</v>
      </c>
      <c r="D5" s="26" t="s">
        <v>93</v>
      </c>
      <c r="E5" s="30" t="s">
        <v>94</v>
      </c>
      <c r="F5" s="30" t="s">
        <v>94</v>
      </c>
      <c r="G5" s="26" t="s">
        <v>95</v>
      </c>
      <c r="H5" s="25" t="s">
        <v>72</v>
      </c>
      <c r="I5" s="32">
        <v>6.14</v>
      </c>
      <c r="J5" s="25" t="s">
        <v>73</v>
      </c>
      <c r="K5" s="26" t="s">
        <v>96</v>
      </c>
      <c r="L5" s="26" t="s">
        <v>97</v>
      </c>
      <c r="M5" s="30" t="s">
        <v>98</v>
      </c>
      <c r="N5" s="30"/>
      <c r="O5" s="26" t="s">
        <v>99</v>
      </c>
      <c r="P5" s="26" t="s">
        <v>100</v>
      </c>
      <c r="Q5" s="30" t="s">
        <v>101</v>
      </c>
      <c r="R5" s="26" t="s">
        <v>102</v>
      </c>
      <c r="S5" s="26" t="s">
        <v>103</v>
      </c>
      <c r="T5" s="30" t="s">
        <v>104</v>
      </c>
      <c r="U5" s="30" t="s">
        <v>104</v>
      </c>
      <c r="V5" s="37" t="s">
        <v>7</v>
      </c>
      <c r="W5" s="30"/>
      <c r="X5" s="30"/>
      <c r="Y5" s="30"/>
      <c r="Z5" s="32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 s="2" customFormat="1" ht="14.5">
      <c r="A6" s="41"/>
      <c r="C6" s="40"/>
      <c r="D6" s="41"/>
      <c r="E6" s="44"/>
      <c r="F6" s="44"/>
      <c r="G6" s="59"/>
      <c r="H6" s="40"/>
      <c r="I6" s="4"/>
      <c r="J6" s="40"/>
      <c r="K6" s="41"/>
      <c r="L6" s="59"/>
      <c r="O6" s="41"/>
      <c r="P6" s="41"/>
      <c r="Q6" s="44"/>
      <c r="R6" s="41"/>
      <c r="S6" s="41"/>
      <c r="T6" s="44"/>
      <c r="U6" s="30"/>
      <c r="V6" s="37"/>
      <c r="Z6" s="4"/>
    </row>
    <row r="7" spans="1:42" s="2" customFormat="1">
      <c r="A7" s="130" t="s">
        <v>105</v>
      </c>
      <c r="B7" s="30"/>
      <c r="C7" s="25" t="s">
        <v>73</v>
      </c>
      <c r="D7" s="26" t="s">
        <v>106</v>
      </c>
      <c r="E7" s="26" t="s">
        <v>105</v>
      </c>
      <c r="F7" s="26" t="s">
        <v>105</v>
      </c>
      <c r="G7" s="26" t="s">
        <v>107</v>
      </c>
      <c r="H7" s="25" t="s">
        <v>72</v>
      </c>
      <c r="I7" s="32">
        <v>6.21</v>
      </c>
      <c r="J7" s="25" t="s">
        <v>73</v>
      </c>
      <c r="K7" s="26" t="s">
        <v>108</v>
      </c>
      <c r="L7" s="26" t="s">
        <v>109</v>
      </c>
      <c r="M7" s="30" t="s">
        <v>110</v>
      </c>
      <c r="N7" s="26" t="s">
        <v>111</v>
      </c>
      <c r="O7" s="26" t="s">
        <v>99</v>
      </c>
      <c r="P7" s="26" t="s">
        <v>100</v>
      </c>
      <c r="Q7" s="30" t="s">
        <v>101</v>
      </c>
      <c r="R7" s="26" t="s">
        <v>102</v>
      </c>
      <c r="S7" s="26" t="s">
        <v>112</v>
      </c>
      <c r="T7" s="30" t="s">
        <v>113</v>
      </c>
      <c r="U7" s="30" t="s">
        <v>113</v>
      </c>
      <c r="V7" s="37" t="s">
        <v>7</v>
      </c>
      <c r="Z7" s="100"/>
    </row>
    <row r="8" spans="1:42" s="2" customFormat="1">
      <c r="A8" s="130"/>
      <c r="B8" s="30"/>
      <c r="C8" s="25"/>
      <c r="D8" s="26"/>
      <c r="E8" s="26"/>
      <c r="F8" s="26"/>
      <c r="G8" s="26"/>
      <c r="H8" s="25"/>
      <c r="I8" s="32"/>
      <c r="J8" s="25"/>
      <c r="K8" s="26"/>
      <c r="L8" s="26"/>
      <c r="M8" s="30"/>
      <c r="N8" s="26"/>
      <c r="O8" s="26"/>
      <c r="P8" s="26"/>
      <c r="Q8" s="30"/>
      <c r="R8" s="26"/>
      <c r="S8" s="26"/>
      <c r="T8" s="30"/>
      <c r="U8" s="30"/>
      <c r="V8" s="37"/>
      <c r="Z8" s="100"/>
    </row>
    <row r="9" spans="1:42">
      <c r="A9" s="130" t="s">
        <v>105</v>
      </c>
      <c r="B9" s="30"/>
      <c r="C9" s="25" t="s">
        <v>73</v>
      </c>
      <c r="D9" s="26" t="s">
        <v>106</v>
      </c>
      <c r="E9" s="26" t="s">
        <v>105</v>
      </c>
      <c r="F9" s="26" t="s">
        <v>105</v>
      </c>
      <c r="G9" s="26" t="s">
        <v>107</v>
      </c>
      <c r="H9" s="25" t="s">
        <v>72</v>
      </c>
      <c r="I9" s="32">
        <v>6.22</v>
      </c>
      <c r="J9" s="25" t="s">
        <v>73</v>
      </c>
      <c r="K9" s="26" t="s">
        <v>108</v>
      </c>
      <c r="L9" s="26" t="s">
        <v>114</v>
      </c>
      <c r="M9" s="30" t="s">
        <v>110</v>
      </c>
      <c r="N9" s="26" t="s">
        <v>111</v>
      </c>
      <c r="O9" s="26" t="s">
        <v>99</v>
      </c>
      <c r="P9" s="26" t="s">
        <v>100</v>
      </c>
      <c r="Q9" s="26" t="s">
        <v>115</v>
      </c>
      <c r="R9" s="26" t="s">
        <v>102</v>
      </c>
      <c r="S9" s="26" t="s">
        <v>112</v>
      </c>
      <c r="T9" s="30" t="s">
        <v>113</v>
      </c>
      <c r="U9" s="30" t="s">
        <v>113</v>
      </c>
      <c r="V9" s="37" t="s">
        <v>7</v>
      </c>
    </row>
    <row r="10" spans="1:42">
      <c r="A10" s="130" t="s">
        <v>116</v>
      </c>
      <c r="B10" s="30"/>
      <c r="C10" s="25" t="s">
        <v>73</v>
      </c>
      <c r="D10" s="26" t="s">
        <v>117</v>
      </c>
      <c r="E10" s="26" t="s">
        <v>105</v>
      </c>
      <c r="F10" s="26" t="s">
        <v>105</v>
      </c>
      <c r="G10" s="26" t="s">
        <v>118</v>
      </c>
      <c r="H10" s="25" t="s">
        <v>72</v>
      </c>
      <c r="I10" s="32">
        <v>6.22</v>
      </c>
      <c r="J10" s="25" t="s">
        <v>73</v>
      </c>
      <c r="K10" s="26" t="s">
        <v>119</v>
      </c>
      <c r="L10" s="26" t="s">
        <v>120</v>
      </c>
      <c r="M10" s="30" t="s">
        <v>121</v>
      </c>
      <c r="N10" s="26" t="s">
        <v>122</v>
      </c>
      <c r="O10" s="26" t="s">
        <v>99</v>
      </c>
      <c r="P10" s="26" t="s">
        <v>100</v>
      </c>
      <c r="Q10" s="30" t="s">
        <v>101</v>
      </c>
      <c r="R10" s="26" t="s">
        <v>102</v>
      </c>
      <c r="S10" s="26" t="s">
        <v>103</v>
      </c>
      <c r="T10" s="122" t="s">
        <v>123</v>
      </c>
      <c r="U10" s="122" t="s">
        <v>123</v>
      </c>
      <c r="V10" s="37" t="s">
        <v>7</v>
      </c>
    </row>
    <row r="11" spans="1:42">
      <c r="L11" s="239"/>
    </row>
    <row r="12" spans="1:42" s="100" customFormat="1">
      <c r="A12" s="25" t="s">
        <v>124</v>
      </c>
      <c r="B12" s="48" t="s">
        <v>125</v>
      </c>
      <c r="C12" s="25" t="s">
        <v>68</v>
      </c>
      <c r="D12" s="25" t="s">
        <v>83</v>
      </c>
      <c r="E12" s="48" t="s">
        <v>70</v>
      </c>
      <c r="F12" s="48" t="s">
        <v>70</v>
      </c>
      <c r="G12" s="104"/>
      <c r="H12" s="104"/>
      <c r="I12" s="104">
        <v>8.1</v>
      </c>
      <c r="J12" s="107" t="s">
        <v>73</v>
      </c>
      <c r="K12" s="25" t="s">
        <v>85</v>
      </c>
      <c r="L12" s="25" t="s">
        <v>126</v>
      </c>
      <c r="M12" s="116" t="s">
        <v>127</v>
      </c>
      <c r="N12" s="104"/>
      <c r="O12" s="26" t="s">
        <v>128</v>
      </c>
      <c r="P12" s="30" t="s">
        <v>78</v>
      </c>
      <c r="Q12" s="30" t="s">
        <v>129</v>
      </c>
      <c r="R12" s="38" t="s">
        <v>130</v>
      </c>
      <c r="S12" s="26" t="s">
        <v>131</v>
      </c>
      <c r="T12" s="38" t="s">
        <v>132</v>
      </c>
      <c r="U12" s="26" t="s">
        <v>132</v>
      </c>
      <c r="V12" s="26"/>
      <c r="W12" s="31"/>
      <c r="X12" s="30"/>
      <c r="Y12" s="25"/>
      <c r="Z12" s="25"/>
    </row>
    <row r="13" spans="1:42" s="100" customFormat="1">
      <c r="A13" s="25" t="s">
        <v>133</v>
      </c>
      <c r="B13" s="48" t="s">
        <v>125</v>
      </c>
      <c r="C13" s="25" t="s">
        <v>73</v>
      </c>
      <c r="D13" s="25" t="s">
        <v>117</v>
      </c>
      <c r="E13" s="48" t="s">
        <v>134</v>
      </c>
      <c r="F13" s="48" t="s">
        <v>134</v>
      </c>
      <c r="G13" s="104"/>
      <c r="H13" s="104"/>
      <c r="I13" s="104">
        <v>8.1</v>
      </c>
      <c r="J13" s="107" t="s">
        <v>73</v>
      </c>
      <c r="K13" s="25" t="s">
        <v>119</v>
      </c>
      <c r="L13" s="25" t="s">
        <v>135</v>
      </c>
      <c r="M13" s="116" t="s">
        <v>136</v>
      </c>
      <c r="N13" s="104"/>
      <c r="O13" s="26" t="s">
        <v>128</v>
      </c>
      <c r="P13" s="30" t="s">
        <v>78</v>
      </c>
      <c r="Q13" s="30" t="s">
        <v>129</v>
      </c>
      <c r="R13" s="38" t="s">
        <v>130</v>
      </c>
      <c r="S13" s="26" t="s">
        <v>131</v>
      </c>
      <c r="T13" s="38" t="s">
        <v>132</v>
      </c>
      <c r="U13" s="26" t="s">
        <v>132</v>
      </c>
      <c r="V13" s="26"/>
      <c r="W13" s="31"/>
      <c r="X13" s="30"/>
      <c r="Y13" s="25"/>
      <c r="Z13" s="25"/>
    </row>
    <row r="15" spans="1:42">
      <c r="A15" s="25" t="s">
        <v>124</v>
      </c>
      <c r="B15" s="25" t="s">
        <v>125</v>
      </c>
      <c r="C15" s="25" t="s">
        <v>68</v>
      </c>
      <c r="D15" s="25" t="s">
        <v>83</v>
      </c>
      <c r="E15" s="25" t="s">
        <v>70</v>
      </c>
      <c r="F15" s="25" t="s">
        <v>70</v>
      </c>
      <c r="G15" s="104"/>
      <c r="H15" s="104"/>
      <c r="I15" s="104">
        <v>8.15</v>
      </c>
      <c r="J15" s="107" t="s">
        <v>73</v>
      </c>
      <c r="K15" s="25" t="s">
        <v>137</v>
      </c>
      <c r="L15" s="48" t="s">
        <v>126</v>
      </c>
      <c r="M15" s="240" t="s">
        <v>127</v>
      </c>
      <c r="N15" s="104"/>
      <c r="O15" s="26" t="s">
        <v>138</v>
      </c>
      <c r="P15" s="30" t="s">
        <v>78</v>
      </c>
      <c r="Q15" s="26" t="s">
        <v>139</v>
      </c>
      <c r="R15" s="38" t="s">
        <v>140</v>
      </c>
      <c r="S15" s="72" t="s">
        <v>131</v>
      </c>
      <c r="T15" s="38" t="s">
        <v>141</v>
      </c>
      <c r="U15" s="26" t="s">
        <v>142</v>
      </c>
      <c r="V15" s="26"/>
    </row>
    <row r="16" spans="1:42">
      <c r="A16" s="25" t="s">
        <v>133</v>
      </c>
      <c r="B16" s="25" t="s">
        <v>125</v>
      </c>
      <c r="C16" s="25" t="s">
        <v>73</v>
      </c>
      <c r="D16" s="25" t="s">
        <v>117</v>
      </c>
      <c r="E16" s="25" t="s">
        <v>134</v>
      </c>
      <c r="F16" s="25" t="s">
        <v>134</v>
      </c>
      <c r="G16" s="104"/>
      <c r="H16" s="104"/>
      <c r="I16" s="104">
        <v>8.15</v>
      </c>
      <c r="J16" s="107" t="s">
        <v>73</v>
      </c>
      <c r="K16" s="25" t="s">
        <v>143</v>
      </c>
      <c r="L16" s="48" t="s">
        <v>135</v>
      </c>
      <c r="M16" s="240" t="s">
        <v>136</v>
      </c>
      <c r="N16" s="104"/>
      <c r="O16" s="26" t="s">
        <v>138</v>
      </c>
      <c r="P16" s="30" t="s">
        <v>78</v>
      </c>
      <c r="Q16" s="26" t="s">
        <v>139</v>
      </c>
      <c r="R16" s="38" t="s">
        <v>140</v>
      </c>
      <c r="S16" s="72" t="s">
        <v>131</v>
      </c>
      <c r="T16" s="38" t="s">
        <v>141</v>
      </c>
      <c r="U16" s="26" t="s">
        <v>142</v>
      </c>
      <c r="V16" s="26"/>
    </row>
    <row r="18" spans="1:26" s="2" customFormat="1" ht="14.5">
      <c r="A18" s="25" t="s">
        <v>124</v>
      </c>
      <c r="B18" s="25" t="s">
        <v>125</v>
      </c>
      <c r="C18" s="25" t="s">
        <v>68</v>
      </c>
      <c r="D18" s="25" t="s">
        <v>83</v>
      </c>
      <c r="E18" s="25" t="s">
        <v>70</v>
      </c>
      <c r="F18" s="25" t="s">
        <v>70</v>
      </c>
      <c r="G18" s="32"/>
      <c r="H18" s="32"/>
      <c r="I18" s="32">
        <v>8.23</v>
      </c>
      <c r="J18" s="25" t="s">
        <v>73</v>
      </c>
      <c r="K18" s="25" t="s">
        <v>144</v>
      </c>
      <c r="L18" s="48" t="s">
        <v>145</v>
      </c>
      <c r="M18" s="241" t="s">
        <v>127</v>
      </c>
      <c r="N18" s="30"/>
      <c r="O18" s="26" t="s">
        <v>146</v>
      </c>
      <c r="P18" s="30" t="s">
        <v>78</v>
      </c>
      <c r="Q18" s="26" t="s">
        <v>129</v>
      </c>
      <c r="R18" s="38" t="s">
        <v>147</v>
      </c>
      <c r="S18" s="72" t="s">
        <v>131</v>
      </c>
      <c r="T18" s="38" t="s">
        <v>91</v>
      </c>
      <c r="U18" s="26" t="s">
        <v>91</v>
      </c>
      <c r="V18" s="30"/>
      <c r="Z18" s="4"/>
    </row>
    <row r="19" spans="1:26" s="2" customFormat="1" ht="14.5">
      <c r="A19" s="25" t="s">
        <v>133</v>
      </c>
      <c r="B19" s="25" t="s">
        <v>125</v>
      </c>
      <c r="C19" s="25" t="s">
        <v>73</v>
      </c>
      <c r="D19" s="25" t="s">
        <v>117</v>
      </c>
      <c r="E19" s="25" t="s">
        <v>134</v>
      </c>
      <c r="F19" s="25" t="s">
        <v>134</v>
      </c>
      <c r="G19" s="32"/>
      <c r="H19" s="32"/>
      <c r="I19" s="32">
        <v>8.23</v>
      </c>
      <c r="J19" s="25" t="s">
        <v>73</v>
      </c>
      <c r="K19" s="25" t="s">
        <v>148</v>
      </c>
      <c r="L19" s="48" t="s">
        <v>149</v>
      </c>
      <c r="M19" s="241" t="s">
        <v>136</v>
      </c>
      <c r="N19" s="30"/>
      <c r="O19" s="26" t="s">
        <v>146</v>
      </c>
      <c r="P19" s="30" t="s">
        <v>78</v>
      </c>
      <c r="Q19" s="26" t="s">
        <v>129</v>
      </c>
      <c r="R19" s="38" t="s">
        <v>147</v>
      </c>
      <c r="S19" s="72" t="s">
        <v>131</v>
      </c>
      <c r="T19" s="38" t="s">
        <v>91</v>
      </c>
      <c r="U19" s="26" t="s">
        <v>91</v>
      </c>
      <c r="V19" s="30"/>
      <c r="Z19" s="4"/>
    </row>
    <row r="21" spans="1:26">
      <c r="K21" s="239"/>
    </row>
  </sheetData>
  <sheetProtection formatCells="0" formatColumns="0" formatRows="0" insertColumns="0" insertRows="0" insertHyperlinks="0" deleteColumns="0" deleteRows="0" sort="0" autoFilter="0" pivotTables="0"/>
  <phoneticPr fontId="67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AU384"/>
  <sheetViews>
    <sheetView workbookViewId="0">
      <pane xSplit="7" ySplit="1" topLeftCell="AR15" activePane="bottomRight" state="frozen"/>
      <selection pane="topRight"/>
      <selection pane="bottomLeft"/>
      <selection pane="bottomRight" activeCell="AP91" sqref="A1:XFD1048576"/>
    </sheetView>
  </sheetViews>
  <sheetFormatPr defaultColWidth="9" defaultRowHeight="14.5"/>
  <cols>
    <col min="1" max="1" width="14" style="2" customWidth="1"/>
    <col min="2" max="2" width="15.453125" style="2" hidden="1" customWidth="1"/>
    <col min="3" max="3" width="5.08984375" style="2" hidden="1" customWidth="1"/>
    <col min="4" max="4" width="14.90625" style="2" customWidth="1"/>
    <col min="5" max="5" width="15.7265625" style="2" customWidth="1"/>
    <col min="6" max="6" width="10.90625" style="2" customWidth="1"/>
    <col min="7" max="7" width="8.7265625" style="2" customWidth="1"/>
    <col min="8" max="8" width="11.6328125" style="2" customWidth="1"/>
    <col min="9" max="9" width="9.90625" style="2" customWidth="1"/>
    <col min="10" max="10" width="7.1796875" style="4" customWidth="1"/>
    <col min="11" max="11" width="5.90625" style="2" customWidth="1"/>
    <col min="12" max="12" width="12.36328125" style="2" customWidth="1"/>
    <col min="13" max="13" width="12.90625" style="2" customWidth="1"/>
    <col min="14" max="14" width="15.6328125" style="2" customWidth="1"/>
    <col min="15" max="15" width="5.26953125" style="2" customWidth="1"/>
    <col min="16" max="17" width="12.7265625" style="2" customWidth="1"/>
    <col min="18" max="18" width="17.90625" style="2" customWidth="1"/>
    <col min="19" max="19" width="19.6328125" style="2" customWidth="1"/>
    <col min="20" max="20" width="9.90625" style="2" customWidth="1"/>
    <col min="21" max="21" width="21.453125" style="2" customWidth="1"/>
    <col min="22" max="22" width="22.08984375" style="2" customWidth="1"/>
    <col min="23" max="23" width="14.453125" style="154" customWidth="1"/>
    <col min="24" max="27" width="9" style="2" hidden="1" customWidth="1"/>
    <col min="28" max="28" width="9" style="4"/>
    <col min="29" max="31" width="9" style="4" customWidth="1"/>
    <col min="32" max="32" width="7.6328125" style="4" customWidth="1"/>
    <col min="33" max="33" width="9" style="4" customWidth="1"/>
    <col min="34" max="35" width="9" style="2" customWidth="1"/>
    <col min="36" max="38" width="9" style="4" customWidth="1"/>
    <col min="39" max="39" width="15" style="4" customWidth="1"/>
    <col min="40" max="42" width="9" style="4" customWidth="1"/>
    <col min="43" max="43" width="9" style="2" customWidth="1"/>
    <col min="44" max="44" width="9" style="200" customWidth="1"/>
    <col min="45" max="45" width="12.7265625" style="2" customWidth="1"/>
    <col min="46" max="46" width="11.7265625" style="2" customWidth="1"/>
    <col min="47" max="47" width="17.1796875" style="2" customWidth="1"/>
    <col min="48" max="16384" width="9" style="2"/>
  </cols>
  <sheetData>
    <row r="1" spans="1:47" s="154" customFormat="1" ht="73" customHeight="1">
      <c r="A1" s="201" t="s">
        <v>25</v>
      </c>
      <c r="B1" s="201" t="s">
        <v>26</v>
      </c>
      <c r="C1" s="201" t="s">
        <v>27</v>
      </c>
      <c r="D1" s="201" t="s">
        <v>28</v>
      </c>
      <c r="E1" s="201" t="s">
        <v>150</v>
      </c>
      <c r="F1" s="201" t="s">
        <v>29</v>
      </c>
      <c r="G1" s="201" t="s">
        <v>30</v>
      </c>
      <c r="H1" s="201" t="s">
        <v>31</v>
      </c>
      <c r="I1" s="201" t="s">
        <v>32</v>
      </c>
      <c r="J1" s="201" t="s">
        <v>33</v>
      </c>
      <c r="K1" s="201" t="s">
        <v>34</v>
      </c>
      <c r="L1" s="201" t="s">
        <v>35</v>
      </c>
      <c r="M1" s="202" t="s">
        <v>36</v>
      </c>
      <c r="N1" s="203" t="s">
        <v>37</v>
      </c>
      <c r="O1" s="201" t="s">
        <v>38</v>
      </c>
      <c r="P1" s="204" t="s">
        <v>39</v>
      </c>
      <c r="Q1" s="204" t="s">
        <v>40</v>
      </c>
      <c r="R1" s="204" t="s">
        <v>41</v>
      </c>
      <c r="S1" s="204" t="s">
        <v>42</v>
      </c>
      <c r="T1" s="204" t="s">
        <v>43</v>
      </c>
      <c r="U1" s="204" t="s">
        <v>44</v>
      </c>
      <c r="V1" s="204" t="s">
        <v>45</v>
      </c>
      <c r="W1" s="205" t="s">
        <v>46</v>
      </c>
      <c r="X1" s="206" t="s">
        <v>47</v>
      </c>
      <c r="Y1" s="206" t="s">
        <v>48</v>
      </c>
      <c r="Z1" s="206" t="s">
        <v>49</v>
      </c>
      <c r="AA1" s="206" t="s">
        <v>50</v>
      </c>
      <c r="AB1" s="207" t="s">
        <v>51</v>
      </c>
      <c r="AC1" s="207" t="s">
        <v>52</v>
      </c>
      <c r="AD1" s="207" t="s">
        <v>151</v>
      </c>
      <c r="AE1" s="208" t="s">
        <v>152</v>
      </c>
      <c r="AF1" s="207" t="s">
        <v>55</v>
      </c>
      <c r="AG1" s="207" t="s">
        <v>56</v>
      </c>
      <c r="AH1" s="209" t="s">
        <v>57</v>
      </c>
      <c r="AI1" s="210" t="s">
        <v>58</v>
      </c>
      <c r="AJ1" s="210" t="s">
        <v>59</v>
      </c>
      <c r="AK1" s="211" t="s">
        <v>153</v>
      </c>
      <c r="AL1" s="211" t="s">
        <v>61</v>
      </c>
      <c r="AM1" s="208" t="s">
        <v>62</v>
      </c>
      <c r="AN1" s="208" t="s">
        <v>63</v>
      </c>
      <c r="AO1" s="208" t="s">
        <v>64</v>
      </c>
      <c r="AP1" s="208" t="s">
        <v>65</v>
      </c>
      <c r="AQ1" s="208" t="s">
        <v>154</v>
      </c>
      <c r="AR1" s="212" t="s">
        <v>155</v>
      </c>
      <c r="AS1" s="209" t="s">
        <v>156</v>
      </c>
      <c r="AT1" s="208" t="s">
        <v>157</v>
      </c>
      <c r="AU1" s="207" t="s">
        <v>158</v>
      </c>
    </row>
    <row r="2" spans="1:47" s="199" customFormat="1" hidden="1">
      <c r="A2" s="213" t="s">
        <v>159</v>
      </c>
      <c r="B2" s="171" t="s">
        <v>160</v>
      </c>
      <c r="C2" s="171" t="s">
        <v>73</v>
      </c>
      <c r="D2" s="213" t="s">
        <v>161</v>
      </c>
      <c r="E2" s="213" t="s">
        <v>162</v>
      </c>
      <c r="F2" s="213" t="s">
        <v>163</v>
      </c>
      <c r="G2" s="213" t="s">
        <v>164</v>
      </c>
      <c r="H2" s="213" t="s">
        <v>165</v>
      </c>
      <c r="I2" s="213">
        <v>202605.5</v>
      </c>
      <c r="J2" s="214" t="s">
        <v>166</v>
      </c>
      <c r="K2" s="213" t="s">
        <v>73</v>
      </c>
      <c r="L2" s="213" t="s">
        <v>167</v>
      </c>
      <c r="M2" s="213" t="s">
        <v>168</v>
      </c>
      <c r="N2" s="213" t="s">
        <v>169</v>
      </c>
      <c r="O2" s="215"/>
      <c r="P2" s="213" t="s">
        <v>146</v>
      </c>
      <c r="Q2" s="213" t="s">
        <v>100</v>
      </c>
      <c r="R2" s="213" t="s">
        <v>170</v>
      </c>
      <c r="S2" s="213" t="s">
        <v>147</v>
      </c>
      <c r="T2" s="213" t="s">
        <v>103</v>
      </c>
      <c r="U2" s="213" t="s">
        <v>171</v>
      </c>
      <c r="V2" s="213" t="s">
        <v>171</v>
      </c>
      <c r="W2" s="216" t="s">
        <v>7</v>
      </c>
      <c r="X2" s="217" t="s">
        <v>172</v>
      </c>
      <c r="Y2" s="171" t="s">
        <v>173</v>
      </c>
      <c r="Z2" s="171" t="s">
        <v>174</v>
      </c>
      <c r="AA2" s="171" t="s">
        <v>175</v>
      </c>
      <c r="AB2" s="218">
        <f>IF(COUNTIF(AU:AU,"*"&amp;D2&amp;"*")&gt;0,1,0)</f>
        <v>1</v>
      </c>
      <c r="AC2" s="219">
        <v>1</v>
      </c>
      <c r="AD2" s="218"/>
      <c r="AE2" s="215"/>
      <c r="AF2" s="215"/>
      <c r="AG2" s="215"/>
      <c r="AH2" s="215"/>
      <c r="AI2" s="215"/>
      <c r="AJ2" s="215"/>
      <c r="AK2" s="215"/>
      <c r="AL2" s="215"/>
      <c r="AM2" s="215"/>
      <c r="AN2" s="215"/>
      <c r="AO2" s="215"/>
      <c r="AP2" s="215"/>
      <c r="AQ2" s="215"/>
      <c r="AS2" s="215"/>
      <c r="AT2" s="215"/>
      <c r="AU2" s="220" t="s">
        <v>176</v>
      </c>
    </row>
    <row r="3" spans="1:47">
      <c r="A3" s="171" t="s">
        <v>177</v>
      </c>
      <c r="B3" s="171" t="s">
        <v>160</v>
      </c>
      <c r="C3" s="171" t="s">
        <v>73</v>
      </c>
      <c r="D3" s="171" t="s">
        <v>178</v>
      </c>
      <c r="E3" s="171" t="s">
        <v>162</v>
      </c>
      <c r="F3" s="171" t="s">
        <v>179</v>
      </c>
      <c r="G3" s="171" t="s">
        <v>180</v>
      </c>
      <c r="H3" s="171" t="s">
        <v>165</v>
      </c>
      <c r="I3" s="171">
        <v>202605.5</v>
      </c>
      <c r="J3" s="221">
        <v>5.25</v>
      </c>
      <c r="K3" s="171" t="s">
        <v>73</v>
      </c>
      <c r="L3" s="171" t="s">
        <v>181</v>
      </c>
      <c r="M3" s="171" t="s">
        <v>182</v>
      </c>
      <c r="N3" s="171" t="s">
        <v>183</v>
      </c>
      <c r="O3" s="217"/>
      <c r="P3" s="171" t="s">
        <v>146</v>
      </c>
      <c r="Q3" s="171" t="s">
        <v>100</v>
      </c>
      <c r="R3" s="171" t="s">
        <v>170</v>
      </c>
      <c r="S3" s="171" t="s">
        <v>147</v>
      </c>
      <c r="T3" s="171" t="s">
        <v>103</v>
      </c>
      <c r="U3" s="171" t="s">
        <v>171</v>
      </c>
      <c r="V3" s="171" t="s">
        <v>171</v>
      </c>
      <c r="W3" s="191" t="s">
        <v>7</v>
      </c>
      <c r="X3" s="217" t="s">
        <v>172</v>
      </c>
      <c r="Y3" s="171" t="s">
        <v>173</v>
      </c>
      <c r="Z3" s="171" t="s">
        <v>174</v>
      </c>
      <c r="AA3" s="171" t="s">
        <v>175</v>
      </c>
      <c r="AB3" s="222">
        <f t="shared" ref="AB3:AB16" si="0">IF(COUNTIF(AU:AU,"*"&amp;D3&amp;"*")&gt;0,1,0)</f>
        <v>1</v>
      </c>
      <c r="AC3" s="221">
        <v>1</v>
      </c>
      <c r="AD3" s="222">
        <v>1</v>
      </c>
      <c r="AE3" s="222">
        <v>1</v>
      </c>
      <c r="AF3" s="217"/>
      <c r="AG3" s="217"/>
      <c r="AH3" s="222">
        <v>1</v>
      </c>
      <c r="AI3" s="217"/>
      <c r="AJ3" s="222">
        <v>1</v>
      </c>
      <c r="AK3" s="222">
        <v>1</v>
      </c>
      <c r="AL3" s="222"/>
      <c r="AM3" s="222">
        <v>1</v>
      </c>
      <c r="AN3" s="222">
        <v>1</v>
      </c>
      <c r="AO3" s="222">
        <v>1</v>
      </c>
      <c r="AP3" s="222">
        <v>1</v>
      </c>
      <c r="AQ3" s="217"/>
      <c r="AR3" s="4"/>
      <c r="AS3" s="223" t="s">
        <v>184</v>
      </c>
      <c r="AT3" s="217"/>
      <c r="AU3" s="96" t="s">
        <v>185</v>
      </c>
    </row>
    <row r="4" spans="1:47">
      <c r="A4" s="171" t="s">
        <v>186</v>
      </c>
      <c r="B4" s="171" t="s">
        <v>160</v>
      </c>
      <c r="C4" s="171" t="s">
        <v>73</v>
      </c>
      <c r="D4" s="171" t="s">
        <v>187</v>
      </c>
      <c r="E4" s="171" t="s">
        <v>188</v>
      </c>
      <c r="F4" s="171" t="s">
        <v>189</v>
      </c>
      <c r="G4" s="171" t="s">
        <v>190</v>
      </c>
      <c r="H4" s="171" t="s">
        <v>165</v>
      </c>
      <c r="I4" s="171">
        <v>202605.5</v>
      </c>
      <c r="J4" s="221">
        <v>5.25</v>
      </c>
      <c r="K4" s="171" t="s">
        <v>73</v>
      </c>
      <c r="L4" s="171" t="s">
        <v>191</v>
      </c>
      <c r="M4" s="171" t="s">
        <v>192</v>
      </c>
      <c r="N4" s="171" t="s">
        <v>193</v>
      </c>
      <c r="O4" s="217"/>
      <c r="P4" s="171" t="s">
        <v>146</v>
      </c>
      <c r="Q4" s="171" t="s">
        <v>100</v>
      </c>
      <c r="R4" s="171" t="s">
        <v>170</v>
      </c>
      <c r="S4" s="171" t="s">
        <v>147</v>
      </c>
      <c r="T4" s="171" t="s">
        <v>103</v>
      </c>
      <c r="U4" s="171" t="s">
        <v>171</v>
      </c>
      <c r="V4" s="171" t="s">
        <v>171</v>
      </c>
      <c r="W4" s="191" t="s">
        <v>7</v>
      </c>
      <c r="X4" s="217" t="s">
        <v>172</v>
      </c>
      <c r="Y4" s="171" t="s">
        <v>173</v>
      </c>
      <c r="Z4" s="171" t="s">
        <v>174</v>
      </c>
      <c r="AA4" s="171" t="s">
        <v>175</v>
      </c>
      <c r="AB4" s="222">
        <f t="shared" si="0"/>
        <v>1</v>
      </c>
      <c r="AC4" s="221">
        <v>1</v>
      </c>
      <c r="AD4" s="222">
        <v>1</v>
      </c>
      <c r="AE4" s="222">
        <v>1</v>
      </c>
      <c r="AF4" s="217"/>
      <c r="AG4" s="217"/>
      <c r="AH4" s="222">
        <v>1</v>
      </c>
      <c r="AI4" s="217"/>
      <c r="AJ4" s="222">
        <v>1</v>
      </c>
      <c r="AK4" s="222">
        <v>1</v>
      </c>
      <c r="AL4" s="222"/>
      <c r="AM4" s="222">
        <v>1</v>
      </c>
      <c r="AN4" s="222">
        <v>1</v>
      </c>
      <c r="AO4" s="222">
        <v>1</v>
      </c>
      <c r="AP4" s="222">
        <v>1</v>
      </c>
      <c r="AQ4" s="217"/>
      <c r="AR4" s="133" t="s">
        <v>194</v>
      </c>
      <c r="AS4" s="122" t="s">
        <v>195</v>
      </c>
      <c r="AT4" s="224"/>
      <c r="AU4" s="96" t="s">
        <v>196</v>
      </c>
    </row>
    <row r="5" spans="1:47">
      <c r="A5" s="171" t="s">
        <v>197</v>
      </c>
      <c r="B5" s="171" t="s">
        <v>160</v>
      </c>
      <c r="C5" s="171" t="s">
        <v>73</v>
      </c>
      <c r="D5" s="171" t="s">
        <v>198</v>
      </c>
      <c r="E5" s="171" t="s">
        <v>188</v>
      </c>
      <c r="F5" s="171" t="s">
        <v>199</v>
      </c>
      <c r="G5" s="171" t="s">
        <v>200</v>
      </c>
      <c r="H5" s="171" t="s">
        <v>165</v>
      </c>
      <c r="I5" s="171">
        <v>202605.5</v>
      </c>
      <c r="J5" s="221">
        <v>5.25</v>
      </c>
      <c r="K5" s="171" t="s">
        <v>73</v>
      </c>
      <c r="L5" s="171" t="s">
        <v>201</v>
      </c>
      <c r="M5" s="171" t="s">
        <v>202</v>
      </c>
      <c r="N5" s="171" t="s">
        <v>203</v>
      </c>
      <c r="O5" s="217"/>
      <c r="P5" s="171" t="s">
        <v>146</v>
      </c>
      <c r="Q5" s="171" t="s">
        <v>100</v>
      </c>
      <c r="R5" s="171" t="s">
        <v>170</v>
      </c>
      <c r="S5" s="171" t="s">
        <v>147</v>
      </c>
      <c r="T5" s="171" t="s">
        <v>103</v>
      </c>
      <c r="U5" s="171" t="s">
        <v>171</v>
      </c>
      <c r="V5" s="171" t="s">
        <v>171</v>
      </c>
      <c r="W5" s="191" t="s">
        <v>7</v>
      </c>
      <c r="X5" s="217" t="s">
        <v>172</v>
      </c>
      <c r="Y5" s="171" t="s">
        <v>173</v>
      </c>
      <c r="Z5" s="171" t="s">
        <v>174</v>
      </c>
      <c r="AA5" s="171" t="s">
        <v>175</v>
      </c>
      <c r="AB5" s="222">
        <f t="shared" si="0"/>
        <v>1</v>
      </c>
      <c r="AC5" s="221">
        <v>1</v>
      </c>
      <c r="AD5" s="222">
        <v>1</v>
      </c>
      <c r="AE5" s="222">
        <v>1</v>
      </c>
      <c r="AF5" s="217"/>
      <c r="AG5" s="217"/>
      <c r="AH5" s="222">
        <v>1</v>
      </c>
      <c r="AI5" s="217"/>
      <c r="AJ5" s="222">
        <v>1</v>
      </c>
      <c r="AK5" s="222">
        <v>1</v>
      </c>
      <c r="AL5" s="222"/>
      <c r="AM5" s="222">
        <v>1</v>
      </c>
      <c r="AN5" s="222">
        <v>1</v>
      </c>
      <c r="AO5" s="222">
        <v>1</v>
      </c>
      <c r="AP5" s="222">
        <v>1</v>
      </c>
      <c r="AQ5" s="217"/>
      <c r="AR5" s="4"/>
      <c r="AS5" s="225" t="s">
        <v>204</v>
      </c>
      <c r="AT5" s="217"/>
      <c r="AU5" s="96" t="s">
        <v>205</v>
      </c>
    </row>
    <row r="6" spans="1:47">
      <c r="A6" s="171" t="s">
        <v>206</v>
      </c>
      <c r="B6" s="171" t="s">
        <v>160</v>
      </c>
      <c r="C6" s="171" t="s">
        <v>73</v>
      </c>
      <c r="D6" s="171" t="s">
        <v>207</v>
      </c>
      <c r="E6" s="171" t="s">
        <v>188</v>
      </c>
      <c r="F6" s="171" t="s">
        <v>208</v>
      </c>
      <c r="G6" s="171" t="s">
        <v>209</v>
      </c>
      <c r="H6" s="171" t="s">
        <v>165</v>
      </c>
      <c r="I6" s="171">
        <v>202605.5</v>
      </c>
      <c r="J6" s="221">
        <v>5.25</v>
      </c>
      <c r="K6" s="171" t="s">
        <v>73</v>
      </c>
      <c r="L6" s="171" t="s">
        <v>210</v>
      </c>
      <c r="M6" s="171" t="s">
        <v>211</v>
      </c>
      <c r="N6" s="171" t="s">
        <v>212</v>
      </c>
      <c r="O6" s="217"/>
      <c r="P6" s="171" t="s">
        <v>146</v>
      </c>
      <c r="Q6" s="171" t="s">
        <v>100</v>
      </c>
      <c r="R6" s="171" t="s">
        <v>170</v>
      </c>
      <c r="S6" s="171" t="s">
        <v>147</v>
      </c>
      <c r="T6" s="171" t="s">
        <v>103</v>
      </c>
      <c r="U6" s="171" t="s">
        <v>171</v>
      </c>
      <c r="V6" s="171" t="s">
        <v>171</v>
      </c>
      <c r="W6" s="191" t="s">
        <v>7</v>
      </c>
      <c r="X6" s="217" t="s">
        <v>172</v>
      </c>
      <c r="Y6" s="171" t="s">
        <v>173</v>
      </c>
      <c r="Z6" s="171" t="s">
        <v>174</v>
      </c>
      <c r="AA6" s="171" t="s">
        <v>175</v>
      </c>
      <c r="AB6" s="222">
        <f t="shared" si="0"/>
        <v>1</v>
      </c>
      <c r="AC6" s="221">
        <v>1</v>
      </c>
      <c r="AD6" s="222">
        <v>1</v>
      </c>
      <c r="AE6" s="222">
        <v>1</v>
      </c>
      <c r="AF6" s="217"/>
      <c r="AG6" s="217"/>
      <c r="AH6" s="222">
        <v>1</v>
      </c>
      <c r="AI6" s="217"/>
      <c r="AJ6" s="222">
        <v>1</v>
      </c>
      <c r="AK6" s="222">
        <v>1</v>
      </c>
      <c r="AL6" s="222"/>
      <c r="AM6" s="222">
        <v>1</v>
      </c>
      <c r="AN6" s="222">
        <v>1</v>
      </c>
      <c r="AO6" s="222">
        <v>1</v>
      </c>
      <c r="AP6" s="222">
        <v>1</v>
      </c>
      <c r="AQ6" s="217"/>
      <c r="AR6" s="133" t="s">
        <v>194</v>
      </c>
      <c r="AS6" s="217" t="s">
        <v>213</v>
      </c>
      <c r="AT6" s="171"/>
      <c r="AU6" s="96" t="s">
        <v>207</v>
      </c>
    </row>
    <row r="7" spans="1:47">
      <c r="A7" s="171" t="s">
        <v>214</v>
      </c>
      <c r="B7" s="171" t="s">
        <v>160</v>
      </c>
      <c r="C7" s="171" t="s">
        <v>73</v>
      </c>
      <c r="D7" s="171" t="s">
        <v>215</v>
      </c>
      <c r="E7" s="171" t="s">
        <v>188</v>
      </c>
      <c r="F7" s="171" t="s">
        <v>216</v>
      </c>
      <c r="G7" s="171" t="s">
        <v>217</v>
      </c>
      <c r="H7" s="171" t="s">
        <v>165</v>
      </c>
      <c r="I7" s="171">
        <v>202605.5</v>
      </c>
      <c r="J7" s="221">
        <v>5.25</v>
      </c>
      <c r="K7" s="171" t="s">
        <v>73</v>
      </c>
      <c r="L7" s="171" t="s">
        <v>218</v>
      </c>
      <c r="M7" s="171" t="s">
        <v>219</v>
      </c>
      <c r="N7" s="171" t="s">
        <v>220</v>
      </c>
      <c r="O7" s="217"/>
      <c r="P7" s="171" t="s">
        <v>146</v>
      </c>
      <c r="Q7" s="171" t="s">
        <v>100</v>
      </c>
      <c r="R7" s="171" t="s">
        <v>170</v>
      </c>
      <c r="S7" s="171" t="s">
        <v>147</v>
      </c>
      <c r="T7" s="171" t="s">
        <v>103</v>
      </c>
      <c r="U7" s="171" t="s">
        <v>171</v>
      </c>
      <c r="V7" s="171" t="s">
        <v>171</v>
      </c>
      <c r="W7" s="191" t="s">
        <v>7</v>
      </c>
      <c r="X7" s="217" t="s">
        <v>172</v>
      </c>
      <c r="Y7" s="171" t="s">
        <v>173</v>
      </c>
      <c r="Z7" s="171" t="s">
        <v>174</v>
      </c>
      <c r="AA7" s="171" t="s">
        <v>175</v>
      </c>
      <c r="AB7" s="222">
        <f t="shared" si="0"/>
        <v>1</v>
      </c>
      <c r="AC7" s="221">
        <v>1</v>
      </c>
      <c r="AD7" s="222">
        <v>1</v>
      </c>
      <c r="AE7" s="222">
        <v>1</v>
      </c>
      <c r="AF7" s="217"/>
      <c r="AG7" s="217"/>
      <c r="AH7" s="222">
        <v>1</v>
      </c>
      <c r="AI7" s="217"/>
      <c r="AJ7" s="222">
        <v>1</v>
      </c>
      <c r="AK7" s="222">
        <v>1</v>
      </c>
      <c r="AL7" s="222"/>
      <c r="AM7" s="222">
        <v>1</v>
      </c>
      <c r="AN7" s="222">
        <v>1</v>
      </c>
      <c r="AO7" s="222">
        <v>1</v>
      </c>
      <c r="AP7" s="222">
        <v>1</v>
      </c>
      <c r="AQ7" s="217"/>
      <c r="AR7" s="4"/>
      <c r="AS7" s="217" t="s">
        <v>221</v>
      </c>
      <c r="AT7" s="217"/>
      <c r="AU7" s="96" t="s">
        <v>222</v>
      </c>
    </row>
    <row r="8" spans="1:47">
      <c r="A8" s="171" t="s">
        <v>223</v>
      </c>
      <c r="B8" s="171" t="s">
        <v>160</v>
      </c>
      <c r="C8" s="171" t="s">
        <v>73</v>
      </c>
      <c r="D8" s="171" t="s">
        <v>205</v>
      </c>
      <c r="E8" s="171" t="s">
        <v>188</v>
      </c>
      <c r="F8" s="171" t="s">
        <v>224</v>
      </c>
      <c r="G8" s="171" t="s">
        <v>225</v>
      </c>
      <c r="H8" s="171" t="s">
        <v>165</v>
      </c>
      <c r="I8" s="171">
        <v>202605.5</v>
      </c>
      <c r="J8" s="221">
        <v>5.25</v>
      </c>
      <c r="K8" s="171" t="s">
        <v>73</v>
      </c>
      <c r="L8" s="171" t="s">
        <v>226</v>
      </c>
      <c r="M8" s="171" t="s">
        <v>227</v>
      </c>
      <c r="N8" s="171" t="s">
        <v>228</v>
      </c>
      <c r="O8" s="217"/>
      <c r="P8" s="171" t="s">
        <v>146</v>
      </c>
      <c r="Q8" s="171" t="s">
        <v>100</v>
      </c>
      <c r="R8" s="171" t="s">
        <v>170</v>
      </c>
      <c r="S8" s="171" t="s">
        <v>147</v>
      </c>
      <c r="T8" s="171" t="s">
        <v>103</v>
      </c>
      <c r="U8" s="171" t="s">
        <v>171</v>
      </c>
      <c r="V8" s="171" t="s">
        <v>171</v>
      </c>
      <c r="W8" s="191" t="s">
        <v>7</v>
      </c>
      <c r="X8" s="217" t="s">
        <v>172</v>
      </c>
      <c r="Y8" s="171" t="s">
        <v>173</v>
      </c>
      <c r="Z8" s="171" t="s">
        <v>174</v>
      </c>
      <c r="AA8" s="171" t="s">
        <v>175</v>
      </c>
      <c r="AB8" s="222">
        <f t="shared" si="0"/>
        <v>1</v>
      </c>
      <c r="AC8" s="221">
        <v>1</v>
      </c>
      <c r="AD8" s="222">
        <v>1</v>
      </c>
      <c r="AE8" s="222">
        <v>1</v>
      </c>
      <c r="AF8" s="217"/>
      <c r="AG8" s="217"/>
      <c r="AH8" s="222">
        <v>1</v>
      </c>
      <c r="AI8" s="217"/>
      <c r="AJ8" s="222">
        <v>1</v>
      </c>
      <c r="AK8" s="222">
        <v>1</v>
      </c>
      <c r="AL8" s="222"/>
      <c r="AM8" s="222">
        <v>1</v>
      </c>
      <c r="AN8" s="222">
        <v>1</v>
      </c>
      <c r="AO8" s="222">
        <v>1</v>
      </c>
      <c r="AP8" s="222">
        <v>1</v>
      </c>
      <c r="AQ8" s="217"/>
      <c r="AR8" s="4"/>
      <c r="AS8" s="217" t="s">
        <v>229</v>
      </c>
      <c r="AT8" s="217"/>
      <c r="AU8" s="96" t="s">
        <v>230</v>
      </c>
    </row>
    <row r="9" spans="1:47">
      <c r="A9" s="171" t="s">
        <v>231</v>
      </c>
      <c r="B9" s="171" t="s">
        <v>160</v>
      </c>
      <c r="C9" s="171" t="s">
        <v>73</v>
      </c>
      <c r="D9" s="171" t="s">
        <v>230</v>
      </c>
      <c r="E9" s="171" t="s">
        <v>188</v>
      </c>
      <c r="F9" s="171" t="s">
        <v>232</v>
      </c>
      <c r="G9" s="171" t="s">
        <v>233</v>
      </c>
      <c r="H9" s="171" t="s">
        <v>165</v>
      </c>
      <c r="I9" s="171">
        <v>202605.5</v>
      </c>
      <c r="J9" s="221">
        <v>5.25</v>
      </c>
      <c r="K9" s="171" t="s">
        <v>73</v>
      </c>
      <c r="L9" s="171" t="s">
        <v>234</v>
      </c>
      <c r="M9" s="171" t="s">
        <v>235</v>
      </c>
      <c r="N9" s="171" t="s">
        <v>236</v>
      </c>
      <c r="O9" s="217"/>
      <c r="P9" s="171" t="s">
        <v>146</v>
      </c>
      <c r="Q9" s="171" t="s">
        <v>100</v>
      </c>
      <c r="R9" s="171" t="s">
        <v>170</v>
      </c>
      <c r="S9" s="171" t="s">
        <v>147</v>
      </c>
      <c r="T9" s="171" t="s">
        <v>103</v>
      </c>
      <c r="U9" s="171" t="s">
        <v>171</v>
      </c>
      <c r="V9" s="171" t="s">
        <v>171</v>
      </c>
      <c r="W9" s="191" t="s">
        <v>7</v>
      </c>
      <c r="X9" s="217" t="s">
        <v>172</v>
      </c>
      <c r="Y9" s="171" t="s">
        <v>173</v>
      </c>
      <c r="Z9" s="171" t="s">
        <v>174</v>
      </c>
      <c r="AA9" s="171" t="s">
        <v>175</v>
      </c>
      <c r="AB9" s="222">
        <f t="shared" si="0"/>
        <v>1</v>
      </c>
      <c r="AC9" s="221">
        <v>1</v>
      </c>
      <c r="AD9" s="222">
        <v>1</v>
      </c>
      <c r="AE9" s="222">
        <v>1</v>
      </c>
      <c r="AF9" s="217"/>
      <c r="AG9" s="217"/>
      <c r="AH9" s="222">
        <v>1</v>
      </c>
      <c r="AI9" s="217"/>
      <c r="AJ9" s="222">
        <v>1</v>
      </c>
      <c r="AK9" s="222">
        <v>1</v>
      </c>
      <c r="AL9" s="222"/>
      <c r="AM9" s="222">
        <v>1</v>
      </c>
      <c r="AN9" s="222">
        <v>1</v>
      </c>
      <c r="AO9" s="222">
        <v>1</v>
      </c>
      <c r="AP9" s="222">
        <v>1</v>
      </c>
      <c r="AQ9" s="217"/>
      <c r="AR9" s="4"/>
      <c r="AS9" s="217" t="s">
        <v>237</v>
      </c>
      <c r="AT9" s="217"/>
      <c r="AU9" s="96" t="s">
        <v>238</v>
      </c>
    </row>
    <row r="10" spans="1:47">
      <c r="A10" s="171" t="s">
        <v>239</v>
      </c>
      <c r="B10" s="171" t="s">
        <v>160</v>
      </c>
      <c r="C10" s="171" t="s">
        <v>73</v>
      </c>
      <c r="D10" s="171" t="s">
        <v>222</v>
      </c>
      <c r="E10" s="171" t="s">
        <v>188</v>
      </c>
      <c r="F10" s="171" t="s">
        <v>240</v>
      </c>
      <c r="G10" s="171" t="s">
        <v>241</v>
      </c>
      <c r="H10" s="171" t="s">
        <v>165</v>
      </c>
      <c r="I10" s="171">
        <v>202605.5</v>
      </c>
      <c r="J10" s="221">
        <v>5.25</v>
      </c>
      <c r="K10" s="171" t="s">
        <v>73</v>
      </c>
      <c r="L10" s="171" t="s">
        <v>242</v>
      </c>
      <c r="M10" s="171" t="s">
        <v>243</v>
      </c>
      <c r="N10" s="171" t="s">
        <v>244</v>
      </c>
      <c r="O10" s="217"/>
      <c r="P10" s="171" t="s">
        <v>146</v>
      </c>
      <c r="Q10" s="171" t="s">
        <v>100</v>
      </c>
      <c r="R10" s="171" t="s">
        <v>170</v>
      </c>
      <c r="S10" s="171" t="s">
        <v>147</v>
      </c>
      <c r="T10" s="171" t="s">
        <v>103</v>
      </c>
      <c r="U10" s="171" t="s">
        <v>171</v>
      </c>
      <c r="V10" s="171" t="s">
        <v>171</v>
      </c>
      <c r="W10" s="191" t="s">
        <v>7</v>
      </c>
      <c r="X10" s="217" t="s">
        <v>172</v>
      </c>
      <c r="Y10" s="171" t="s">
        <v>173</v>
      </c>
      <c r="Z10" s="171" t="s">
        <v>174</v>
      </c>
      <c r="AA10" s="171" t="s">
        <v>175</v>
      </c>
      <c r="AB10" s="222">
        <f t="shared" si="0"/>
        <v>1</v>
      </c>
      <c r="AC10" s="221">
        <v>1</v>
      </c>
      <c r="AD10" s="222">
        <v>1</v>
      </c>
      <c r="AE10" s="222">
        <v>1</v>
      </c>
      <c r="AF10" s="217"/>
      <c r="AG10" s="217"/>
      <c r="AH10" s="222">
        <v>1</v>
      </c>
      <c r="AI10" s="217"/>
      <c r="AJ10" s="222">
        <v>1</v>
      </c>
      <c r="AK10" s="222">
        <v>1</v>
      </c>
      <c r="AL10" s="222"/>
      <c r="AM10" s="222">
        <v>1</v>
      </c>
      <c r="AN10" s="222">
        <v>1</v>
      </c>
      <c r="AO10" s="222">
        <v>1</v>
      </c>
      <c r="AP10" s="222">
        <v>1</v>
      </c>
      <c r="AQ10" s="217"/>
      <c r="AR10" s="4"/>
      <c r="AS10" s="217" t="s">
        <v>245</v>
      </c>
      <c r="AT10" s="217"/>
      <c r="AU10" s="96" t="s">
        <v>246</v>
      </c>
    </row>
    <row r="11" spans="1:47">
      <c r="A11" s="171" t="s">
        <v>247</v>
      </c>
      <c r="B11" s="171" t="s">
        <v>160</v>
      </c>
      <c r="C11" s="171" t="s">
        <v>73</v>
      </c>
      <c r="D11" s="171" t="s">
        <v>248</v>
      </c>
      <c r="E11" s="171" t="s">
        <v>188</v>
      </c>
      <c r="F11" s="171" t="s">
        <v>249</v>
      </c>
      <c r="G11" s="171" t="s">
        <v>250</v>
      </c>
      <c r="H11" s="171" t="s">
        <v>165</v>
      </c>
      <c r="I11" s="171">
        <v>202605.5</v>
      </c>
      <c r="J11" s="221">
        <v>5.25</v>
      </c>
      <c r="K11" s="171" t="s">
        <v>73</v>
      </c>
      <c r="L11" s="171" t="s">
        <v>251</v>
      </c>
      <c r="M11" s="171" t="s">
        <v>252</v>
      </c>
      <c r="N11" s="171" t="s">
        <v>253</v>
      </c>
      <c r="O11" s="217"/>
      <c r="P11" s="171" t="s">
        <v>146</v>
      </c>
      <c r="Q11" s="171" t="s">
        <v>100</v>
      </c>
      <c r="R11" s="171" t="s">
        <v>170</v>
      </c>
      <c r="S11" s="171" t="s">
        <v>147</v>
      </c>
      <c r="T11" s="171" t="s">
        <v>103</v>
      </c>
      <c r="U11" s="171" t="s">
        <v>171</v>
      </c>
      <c r="V11" s="171" t="s">
        <v>171</v>
      </c>
      <c r="W11" s="191" t="s">
        <v>7</v>
      </c>
      <c r="X11" s="217" t="s">
        <v>172</v>
      </c>
      <c r="Y11" s="171" t="s">
        <v>173</v>
      </c>
      <c r="Z11" s="171" t="s">
        <v>174</v>
      </c>
      <c r="AA11" s="171" t="s">
        <v>175</v>
      </c>
      <c r="AB11" s="222">
        <f t="shared" si="0"/>
        <v>1</v>
      </c>
      <c r="AC11" s="221">
        <v>1</v>
      </c>
      <c r="AD11" s="222">
        <v>1</v>
      </c>
      <c r="AE11" s="222">
        <v>1</v>
      </c>
      <c r="AF11" s="217"/>
      <c r="AG11" s="217"/>
      <c r="AH11" s="222">
        <v>1</v>
      </c>
      <c r="AI11" s="217"/>
      <c r="AJ11" s="222">
        <v>1</v>
      </c>
      <c r="AK11" s="222">
        <v>1</v>
      </c>
      <c r="AL11" s="222"/>
      <c r="AM11" s="222">
        <v>1</v>
      </c>
      <c r="AN11" s="222">
        <v>1</v>
      </c>
      <c r="AO11" s="222">
        <v>1</v>
      </c>
      <c r="AP11" s="222">
        <v>1</v>
      </c>
      <c r="AQ11" s="217"/>
      <c r="AR11" s="4"/>
      <c r="AS11" s="217" t="s">
        <v>254</v>
      </c>
      <c r="AT11" s="217"/>
      <c r="AU11" s="96" t="s">
        <v>187</v>
      </c>
    </row>
    <row r="12" spans="1:47">
      <c r="A12" s="171" t="s">
        <v>255</v>
      </c>
      <c r="B12" s="171" t="s">
        <v>160</v>
      </c>
      <c r="C12" s="171" t="s">
        <v>73</v>
      </c>
      <c r="D12" s="171" t="s">
        <v>256</v>
      </c>
      <c r="E12" s="171" t="s">
        <v>188</v>
      </c>
      <c r="F12" s="171" t="s">
        <v>257</v>
      </c>
      <c r="G12" s="171" t="s">
        <v>258</v>
      </c>
      <c r="H12" s="171" t="s">
        <v>165</v>
      </c>
      <c r="I12" s="171">
        <v>202605.5</v>
      </c>
      <c r="J12" s="221">
        <v>5.25</v>
      </c>
      <c r="K12" s="171" t="s">
        <v>73</v>
      </c>
      <c r="L12" s="171" t="s">
        <v>259</v>
      </c>
      <c r="M12" s="171" t="s">
        <v>260</v>
      </c>
      <c r="N12" s="171" t="s">
        <v>261</v>
      </c>
      <c r="O12" s="217"/>
      <c r="P12" s="171" t="s">
        <v>138</v>
      </c>
      <c r="Q12" s="177" t="s">
        <v>100</v>
      </c>
      <c r="R12" s="171" t="s">
        <v>262</v>
      </c>
      <c r="S12" s="171" t="s">
        <v>263</v>
      </c>
      <c r="T12" s="171" t="s">
        <v>103</v>
      </c>
      <c r="U12" s="171" t="s">
        <v>264</v>
      </c>
      <c r="V12" s="171" t="s">
        <v>264</v>
      </c>
      <c r="W12" s="191" t="s">
        <v>7</v>
      </c>
      <c r="X12" s="217" t="s">
        <v>172</v>
      </c>
      <c r="Y12" s="171" t="s">
        <v>173</v>
      </c>
      <c r="Z12" s="171" t="s">
        <v>174</v>
      </c>
      <c r="AA12" s="171" t="s">
        <v>175</v>
      </c>
      <c r="AB12" s="222">
        <f t="shared" si="0"/>
        <v>1</v>
      </c>
      <c r="AC12" s="221">
        <v>1</v>
      </c>
      <c r="AD12" s="222">
        <v>1</v>
      </c>
      <c r="AE12" s="222">
        <v>1</v>
      </c>
      <c r="AF12" s="217"/>
      <c r="AG12" s="217"/>
      <c r="AH12" s="222">
        <v>1</v>
      </c>
      <c r="AI12" s="217"/>
      <c r="AJ12" s="222">
        <v>1</v>
      </c>
      <c r="AK12" s="222">
        <v>1</v>
      </c>
      <c r="AL12" s="222"/>
      <c r="AM12" s="222">
        <v>1</v>
      </c>
      <c r="AN12" s="222">
        <v>1</v>
      </c>
      <c r="AO12" s="222">
        <v>1</v>
      </c>
      <c r="AP12" s="222">
        <v>1</v>
      </c>
      <c r="AQ12" s="217"/>
      <c r="AR12" s="4"/>
      <c r="AS12" s="217" t="s">
        <v>265</v>
      </c>
      <c r="AT12" s="217"/>
      <c r="AU12" s="96" t="s">
        <v>256</v>
      </c>
    </row>
    <row r="13" spans="1:47">
      <c r="A13" s="171" t="s">
        <v>266</v>
      </c>
      <c r="B13" s="171" t="s">
        <v>160</v>
      </c>
      <c r="C13" s="171" t="s">
        <v>73</v>
      </c>
      <c r="D13" s="171" t="s">
        <v>246</v>
      </c>
      <c r="E13" s="171" t="s">
        <v>188</v>
      </c>
      <c r="F13" s="171" t="s">
        <v>267</v>
      </c>
      <c r="G13" s="171" t="s">
        <v>268</v>
      </c>
      <c r="H13" s="171" t="s">
        <v>165</v>
      </c>
      <c r="I13" s="171">
        <v>202605.5</v>
      </c>
      <c r="J13" s="221">
        <v>5.25</v>
      </c>
      <c r="K13" s="171" t="s">
        <v>73</v>
      </c>
      <c r="L13" s="171" t="s">
        <v>269</v>
      </c>
      <c r="M13" s="171" t="s">
        <v>270</v>
      </c>
      <c r="N13" s="171" t="s">
        <v>271</v>
      </c>
      <c r="O13" s="217"/>
      <c r="P13" s="171" t="s">
        <v>138</v>
      </c>
      <c r="Q13" s="171" t="s">
        <v>100</v>
      </c>
      <c r="R13" s="171" t="s">
        <v>262</v>
      </c>
      <c r="S13" s="171" t="s">
        <v>263</v>
      </c>
      <c r="T13" s="171" t="s">
        <v>103</v>
      </c>
      <c r="U13" s="171" t="s">
        <v>264</v>
      </c>
      <c r="V13" s="171" t="s">
        <v>264</v>
      </c>
      <c r="W13" s="191" t="s">
        <v>7</v>
      </c>
      <c r="X13" s="217" t="s">
        <v>172</v>
      </c>
      <c r="Y13" s="171" t="s">
        <v>173</v>
      </c>
      <c r="Z13" s="171" t="s">
        <v>174</v>
      </c>
      <c r="AA13" s="171" t="s">
        <v>175</v>
      </c>
      <c r="AB13" s="222">
        <f t="shared" si="0"/>
        <v>1</v>
      </c>
      <c r="AC13" s="221">
        <v>1</v>
      </c>
      <c r="AD13" s="222">
        <v>1</v>
      </c>
      <c r="AE13" s="222">
        <v>1</v>
      </c>
      <c r="AF13" s="217"/>
      <c r="AG13" s="217"/>
      <c r="AH13" s="222">
        <v>1</v>
      </c>
      <c r="AI13" s="217"/>
      <c r="AJ13" s="222">
        <v>1</v>
      </c>
      <c r="AK13" s="222">
        <v>1</v>
      </c>
      <c r="AL13" s="222"/>
      <c r="AM13" s="222">
        <v>1</v>
      </c>
      <c r="AN13" s="222">
        <v>1</v>
      </c>
      <c r="AO13" s="222">
        <v>1</v>
      </c>
      <c r="AP13" s="222">
        <v>1</v>
      </c>
      <c r="AQ13" s="217"/>
      <c r="AR13" s="4"/>
      <c r="AS13" s="217" t="s">
        <v>272</v>
      </c>
      <c r="AT13" s="217"/>
      <c r="AU13" s="96" t="s">
        <v>248</v>
      </c>
    </row>
    <row r="14" spans="1:47">
      <c r="A14" s="171" t="s">
        <v>273</v>
      </c>
      <c r="B14" s="171" t="s">
        <v>160</v>
      </c>
      <c r="C14" s="171" t="s">
        <v>73</v>
      </c>
      <c r="D14" s="171" t="s">
        <v>238</v>
      </c>
      <c r="E14" s="171" t="s">
        <v>188</v>
      </c>
      <c r="F14" s="171" t="s">
        <v>274</v>
      </c>
      <c r="G14" s="171" t="s">
        <v>275</v>
      </c>
      <c r="H14" s="171" t="s">
        <v>165</v>
      </c>
      <c r="I14" s="171">
        <v>202605.5</v>
      </c>
      <c r="J14" s="221">
        <v>5.25</v>
      </c>
      <c r="K14" s="171" t="s">
        <v>73</v>
      </c>
      <c r="L14" s="171" t="s">
        <v>276</v>
      </c>
      <c r="M14" s="171" t="s">
        <v>277</v>
      </c>
      <c r="N14" s="171" t="s">
        <v>278</v>
      </c>
      <c r="O14" s="217"/>
      <c r="P14" s="171" t="s">
        <v>138</v>
      </c>
      <c r="Q14" s="171" t="s">
        <v>100</v>
      </c>
      <c r="R14" s="171" t="s">
        <v>262</v>
      </c>
      <c r="S14" s="171" t="s">
        <v>263</v>
      </c>
      <c r="T14" s="171" t="s">
        <v>103</v>
      </c>
      <c r="U14" s="171" t="s">
        <v>264</v>
      </c>
      <c r="V14" s="171" t="s">
        <v>264</v>
      </c>
      <c r="W14" s="191" t="s">
        <v>7</v>
      </c>
      <c r="X14" s="217" t="s">
        <v>172</v>
      </c>
      <c r="Y14" s="171" t="s">
        <v>173</v>
      </c>
      <c r="Z14" s="171" t="s">
        <v>174</v>
      </c>
      <c r="AA14" s="171" t="s">
        <v>175</v>
      </c>
      <c r="AB14" s="222">
        <f t="shared" si="0"/>
        <v>1</v>
      </c>
      <c r="AC14" s="221">
        <v>1</v>
      </c>
      <c r="AD14" s="222">
        <v>1</v>
      </c>
      <c r="AE14" s="222">
        <v>1</v>
      </c>
      <c r="AF14" s="217"/>
      <c r="AG14" s="217"/>
      <c r="AH14" s="222">
        <v>1</v>
      </c>
      <c r="AI14" s="217"/>
      <c r="AJ14" s="222">
        <v>1</v>
      </c>
      <c r="AK14" s="222">
        <v>1</v>
      </c>
      <c r="AL14" s="222"/>
      <c r="AM14" s="222">
        <v>1</v>
      </c>
      <c r="AN14" s="222">
        <v>1</v>
      </c>
      <c r="AO14" s="222">
        <v>1</v>
      </c>
      <c r="AP14" s="222">
        <v>1</v>
      </c>
      <c r="AQ14" s="217"/>
      <c r="AR14" s="4"/>
      <c r="AS14" s="217" t="s">
        <v>279</v>
      </c>
      <c r="AT14" s="217"/>
      <c r="AU14" s="96" t="s">
        <v>280</v>
      </c>
    </row>
    <row r="15" spans="1:47">
      <c r="A15" s="171" t="s">
        <v>281</v>
      </c>
      <c r="B15" s="171" t="s">
        <v>160</v>
      </c>
      <c r="C15" s="171" t="s">
        <v>73</v>
      </c>
      <c r="D15" s="171" t="s">
        <v>282</v>
      </c>
      <c r="E15" s="171" t="s">
        <v>162</v>
      </c>
      <c r="F15" s="171" t="s">
        <v>283</v>
      </c>
      <c r="G15" s="171" t="s">
        <v>284</v>
      </c>
      <c r="H15" s="171" t="s">
        <v>165</v>
      </c>
      <c r="I15" s="171">
        <v>202605.5</v>
      </c>
      <c r="J15" s="221">
        <v>5.25</v>
      </c>
      <c r="K15" s="171" t="s">
        <v>73</v>
      </c>
      <c r="L15" s="171" t="s">
        <v>285</v>
      </c>
      <c r="M15" s="171" t="s">
        <v>286</v>
      </c>
      <c r="N15" s="171" t="s">
        <v>287</v>
      </c>
      <c r="O15" s="217"/>
      <c r="P15" s="171" t="s">
        <v>138</v>
      </c>
      <c r="Q15" s="171" t="s">
        <v>100</v>
      </c>
      <c r="R15" s="171" t="s">
        <v>262</v>
      </c>
      <c r="S15" s="171" t="s">
        <v>263</v>
      </c>
      <c r="T15" s="171" t="s">
        <v>103</v>
      </c>
      <c r="U15" s="171" t="s">
        <v>264</v>
      </c>
      <c r="V15" s="171" t="s">
        <v>264</v>
      </c>
      <c r="W15" s="191" t="s">
        <v>7</v>
      </c>
      <c r="X15" s="217" t="s">
        <v>172</v>
      </c>
      <c r="Y15" s="171" t="s">
        <v>173</v>
      </c>
      <c r="Z15" s="171" t="s">
        <v>174</v>
      </c>
      <c r="AA15" s="171" t="s">
        <v>175</v>
      </c>
      <c r="AB15" s="222">
        <f t="shared" si="0"/>
        <v>1</v>
      </c>
      <c r="AC15" s="221">
        <v>1</v>
      </c>
      <c r="AD15" s="222">
        <v>1</v>
      </c>
      <c r="AE15" s="222">
        <v>1</v>
      </c>
      <c r="AF15" s="217"/>
      <c r="AG15" s="217"/>
      <c r="AH15" s="222">
        <v>1</v>
      </c>
      <c r="AI15" s="217"/>
      <c r="AJ15" s="222">
        <v>1</v>
      </c>
      <c r="AK15" s="222">
        <v>1</v>
      </c>
      <c r="AL15" s="222"/>
      <c r="AM15" s="222">
        <v>1</v>
      </c>
      <c r="AN15" s="222">
        <v>1</v>
      </c>
      <c r="AO15" s="222">
        <v>1</v>
      </c>
      <c r="AP15" s="222">
        <v>1</v>
      </c>
      <c r="AQ15" s="217"/>
      <c r="AR15" s="4"/>
      <c r="AS15" s="217" t="s">
        <v>288</v>
      </c>
      <c r="AT15" s="217"/>
      <c r="AU15" s="96" t="s">
        <v>289</v>
      </c>
    </row>
    <row r="16" spans="1:47">
      <c r="A16" s="171" t="s">
        <v>290</v>
      </c>
      <c r="B16" s="171" t="s">
        <v>160</v>
      </c>
      <c r="C16" s="171" t="s">
        <v>73</v>
      </c>
      <c r="D16" s="171" t="s">
        <v>291</v>
      </c>
      <c r="E16" s="171" t="s">
        <v>162</v>
      </c>
      <c r="F16" s="171" t="s">
        <v>292</v>
      </c>
      <c r="G16" s="171" t="s">
        <v>293</v>
      </c>
      <c r="H16" s="171" t="s">
        <v>165</v>
      </c>
      <c r="I16" s="171">
        <v>202605.5</v>
      </c>
      <c r="J16" s="221">
        <v>5.25</v>
      </c>
      <c r="K16" s="171" t="s">
        <v>73</v>
      </c>
      <c r="L16" s="171" t="s">
        <v>294</v>
      </c>
      <c r="M16" s="171" t="s">
        <v>295</v>
      </c>
      <c r="N16" s="171" t="s">
        <v>296</v>
      </c>
      <c r="O16" s="217"/>
      <c r="P16" s="171" t="s">
        <v>138</v>
      </c>
      <c r="Q16" s="171" t="s">
        <v>100</v>
      </c>
      <c r="R16" s="171" t="s">
        <v>262</v>
      </c>
      <c r="S16" s="171" t="s">
        <v>263</v>
      </c>
      <c r="T16" s="171" t="s">
        <v>103</v>
      </c>
      <c r="U16" s="171" t="s">
        <v>264</v>
      </c>
      <c r="V16" s="171" t="s">
        <v>264</v>
      </c>
      <c r="W16" s="191" t="s">
        <v>7</v>
      </c>
      <c r="X16" s="217" t="s">
        <v>172</v>
      </c>
      <c r="Y16" s="171" t="s">
        <v>173</v>
      </c>
      <c r="Z16" s="171" t="s">
        <v>174</v>
      </c>
      <c r="AA16" s="171" t="s">
        <v>175</v>
      </c>
      <c r="AB16" s="222">
        <f t="shared" si="0"/>
        <v>1</v>
      </c>
      <c r="AC16" s="221">
        <v>1</v>
      </c>
      <c r="AD16" s="222">
        <v>1</v>
      </c>
      <c r="AE16" s="222">
        <v>1</v>
      </c>
      <c r="AF16" s="217"/>
      <c r="AG16" s="217"/>
      <c r="AH16" s="222">
        <v>1</v>
      </c>
      <c r="AI16" s="217"/>
      <c r="AJ16" s="222">
        <v>1</v>
      </c>
      <c r="AK16" s="222">
        <v>1</v>
      </c>
      <c r="AL16" s="222"/>
      <c r="AM16" s="222">
        <v>1</v>
      </c>
      <c r="AN16" s="222">
        <v>1</v>
      </c>
      <c r="AO16" s="222">
        <v>1</v>
      </c>
      <c r="AP16" s="222">
        <v>1</v>
      </c>
      <c r="AQ16" s="217"/>
      <c r="AR16" s="4"/>
      <c r="AS16" s="217" t="s">
        <v>297</v>
      </c>
      <c r="AT16" s="217"/>
      <c r="AU16" s="96" t="s">
        <v>298</v>
      </c>
    </row>
    <row r="17" spans="1:47">
      <c r="A17" s="171" t="s">
        <v>299</v>
      </c>
      <c r="B17" s="171" t="s">
        <v>160</v>
      </c>
      <c r="C17" s="171" t="s">
        <v>73</v>
      </c>
      <c r="D17" s="171" t="s">
        <v>300</v>
      </c>
      <c r="E17" s="171" t="s">
        <v>162</v>
      </c>
      <c r="F17" s="171" t="s">
        <v>301</v>
      </c>
      <c r="G17" s="171" t="s">
        <v>302</v>
      </c>
      <c r="H17" s="171" t="s">
        <v>165</v>
      </c>
      <c r="I17" s="171">
        <v>202605.5</v>
      </c>
      <c r="J17" s="221">
        <v>5.25</v>
      </c>
      <c r="K17" s="171" t="s">
        <v>73</v>
      </c>
      <c r="L17" s="171" t="s">
        <v>303</v>
      </c>
      <c r="M17" s="171" t="s">
        <v>304</v>
      </c>
      <c r="N17" s="171" t="s">
        <v>305</v>
      </c>
      <c r="O17" s="217"/>
      <c r="P17" s="171" t="s">
        <v>138</v>
      </c>
      <c r="Q17" s="171" t="s">
        <v>100</v>
      </c>
      <c r="R17" s="171" t="s">
        <v>262</v>
      </c>
      <c r="S17" s="171" t="s">
        <v>263</v>
      </c>
      <c r="T17" s="171" t="s">
        <v>103</v>
      </c>
      <c r="U17" s="171" t="s">
        <v>264</v>
      </c>
      <c r="V17" s="171" t="s">
        <v>264</v>
      </c>
      <c r="W17" s="191" t="s">
        <v>7</v>
      </c>
      <c r="X17" s="217" t="s">
        <v>172</v>
      </c>
      <c r="Y17" s="171" t="s">
        <v>173</v>
      </c>
      <c r="Z17" s="171" t="s">
        <v>174</v>
      </c>
      <c r="AA17" s="171" t="s">
        <v>175</v>
      </c>
      <c r="AB17" s="222">
        <f t="shared" ref="AB17:AB23" si="1">IF(COUNTIF(AU:AU,"*"&amp;D17&amp;"*")&gt;0,1,0)</f>
        <v>1</v>
      </c>
      <c r="AC17" s="221">
        <v>1</v>
      </c>
      <c r="AD17" s="222">
        <v>1</v>
      </c>
      <c r="AE17" s="222">
        <v>1</v>
      </c>
      <c r="AF17" s="217"/>
      <c r="AG17" s="217"/>
      <c r="AH17" s="222">
        <v>1</v>
      </c>
      <c r="AI17" s="217"/>
      <c r="AJ17" s="222">
        <v>1</v>
      </c>
      <c r="AK17" s="222">
        <v>1</v>
      </c>
      <c r="AL17" s="222"/>
      <c r="AM17" s="222">
        <v>1</v>
      </c>
      <c r="AN17" s="222">
        <v>1</v>
      </c>
      <c r="AO17" s="222">
        <v>1</v>
      </c>
      <c r="AP17" s="222">
        <v>1</v>
      </c>
      <c r="AQ17" s="217"/>
      <c r="AR17" s="4"/>
      <c r="AS17" s="217" t="s">
        <v>306</v>
      </c>
      <c r="AT17" s="217"/>
      <c r="AU17" s="96" t="s">
        <v>307</v>
      </c>
    </row>
    <row r="18" spans="1:47">
      <c r="A18" s="171" t="s">
        <v>308</v>
      </c>
      <c r="B18" s="171" t="s">
        <v>160</v>
      </c>
      <c r="C18" s="171" t="s">
        <v>73</v>
      </c>
      <c r="D18" s="171" t="s">
        <v>307</v>
      </c>
      <c r="E18" s="171" t="s">
        <v>162</v>
      </c>
      <c r="F18" s="171" t="s">
        <v>309</v>
      </c>
      <c r="G18" s="171" t="s">
        <v>310</v>
      </c>
      <c r="H18" s="171" t="s">
        <v>165</v>
      </c>
      <c r="I18" s="171">
        <v>202605.5</v>
      </c>
      <c r="J18" s="221">
        <v>5.25</v>
      </c>
      <c r="K18" s="171" t="s">
        <v>73</v>
      </c>
      <c r="L18" s="171" t="s">
        <v>311</v>
      </c>
      <c r="M18" s="171" t="s">
        <v>312</v>
      </c>
      <c r="N18" s="171" t="s">
        <v>313</v>
      </c>
      <c r="O18" s="217"/>
      <c r="P18" s="171" t="s">
        <v>138</v>
      </c>
      <c r="Q18" s="171" t="s">
        <v>100</v>
      </c>
      <c r="R18" s="171" t="s">
        <v>262</v>
      </c>
      <c r="S18" s="171" t="s">
        <v>263</v>
      </c>
      <c r="T18" s="171" t="s">
        <v>103</v>
      </c>
      <c r="U18" s="171" t="s">
        <v>264</v>
      </c>
      <c r="V18" s="171" t="s">
        <v>264</v>
      </c>
      <c r="W18" s="191" t="s">
        <v>7</v>
      </c>
      <c r="X18" s="217" t="s">
        <v>172</v>
      </c>
      <c r="Y18" s="171" t="s">
        <v>173</v>
      </c>
      <c r="Z18" s="171" t="s">
        <v>174</v>
      </c>
      <c r="AA18" s="171" t="s">
        <v>175</v>
      </c>
      <c r="AB18" s="222">
        <f t="shared" si="1"/>
        <v>1</v>
      </c>
      <c r="AC18" s="221">
        <v>1</v>
      </c>
      <c r="AD18" s="222">
        <v>1</v>
      </c>
      <c r="AE18" s="222">
        <v>1</v>
      </c>
      <c r="AF18" s="217"/>
      <c r="AG18" s="217"/>
      <c r="AH18" s="222">
        <v>1</v>
      </c>
      <c r="AI18" s="217"/>
      <c r="AJ18" s="222">
        <v>1</v>
      </c>
      <c r="AK18" s="222">
        <v>1</v>
      </c>
      <c r="AL18" s="222"/>
      <c r="AM18" s="222">
        <v>1</v>
      </c>
      <c r="AN18" s="222">
        <v>1</v>
      </c>
      <c r="AO18" s="222">
        <v>1</v>
      </c>
      <c r="AP18" s="222">
        <v>1</v>
      </c>
      <c r="AQ18" s="217"/>
      <c r="AR18" s="4"/>
      <c r="AS18" s="217" t="s">
        <v>314</v>
      </c>
      <c r="AT18" s="217"/>
      <c r="AU18" s="96" t="s">
        <v>300</v>
      </c>
    </row>
    <row r="19" spans="1:47">
      <c r="A19" s="171" t="s">
        <v>315</v>
      </c>
      <c r="B19" s="171" t="s">
        <v>160</v>
      </c>
      <c r="C19" s="171" t="s">
        <v>73</v>
      </c>
      <c r="D19" s="171" t="s">
        <v>316</v>
      </c>
      <c r="E19" s="171" t="s">
        <v>162</v>
      </c>
      <c r="F19" s="171" t="s">
        <v>317</v>
      </c>
      <c r="G19" s="171" t="s">
        <v>318</v>
      </c>
      <c r="H19" s="171" t="s">
        <v>165</v>
      </c>
      <c r="I19" s="171">
        <v>202605.5</v>
      </c>
      <c r="J19" s="221">
        <v>5.25</v>
      </c>
      <c r="K19" s="171" t="s">
        <v>73</v>
      </c>
      <c r="L19" s="171" t="s">
        <v>319</v>
      </c>
      <c r="M19" s="171" t="s">
        <v>320</v>
      </c>
      <c r="N19" s="171" t="s">
        <v>321</v>
      </c>
      <c r="O19" s="217"/>
      <c r="P19" s="171" t="s">
        <v>138</v>
      </c>
      <c r="Q19" s="171" t="s">
        <v>100</v>
      </c>
      <c r="R19" s="171" t="s">
        <v>262</v>
      </c>
      <c r="S19" s="171" t="s">
        <v>263</v>
      </c>
      <c r="T19" s="171" t="s">
        <v>103</v>
      </c>
      <c r="U19" s="171" t="s">
        <v>264</v>
      </c>
      <c r="V19" s="171" t="s">
        <v>264</v>
      </c>
      <c r="W19" s="191" t="s">
        <v>7</v>
      </c>
      <c r="X19" s="217" t="s">
        <v>172</v>
      </c>
      <c r="Y19" s="171" t="s">
        <v>173</v>
      </c>
      <c r="Z19" s="171" t="s">
        <v>174</v>
      </c>
      <c r="AA19" s="171" t="s">
        <v>175</v>
      </c>
      <c r="AB19" s="222">
        <f t="shared" si="1"/>
        <v>1</v>
      </c>
      <c r="AC19" s="221">
        <v>1</v>
      </c>
      <c r="AD19" s="222">
        <v>1</v>
      </c>
      <c r="AE19" s="222">
        <v>1</v>
      </c>
      <c r="AF19" s="217"/>
      <c r="AG19" s="217"/>
      <c r="AH19" s="222">
        <v>1</v>
      </c>
      <c r="AI19" s="217"/>
      <c r="AJ19" s="222">
        <v>1</v>
      </c>
      <c r="AK19" s="222">
        <v>1</v>
      </c>
      <c r="AL19" s="222"/>
      <c r="AM19" s="222">
        <v>1</v>
      </c>
      <c r="AN19" s="222">
        <v>1</v>
      </c>
      <c r="AO19" s="222">
        <v>1</v>
      </c>
      <c r="AP19" s="222">
        <v>1</v>
      </c>
      <c r="AQ19" s="217"/>
      <c r="AR19" s="4"/>
      <c r="AS19" s="217" t="s">
        <v>322</v>
      </c>
      <c r="AT19" s="217"/>
      <c r="AU19" s="96" t="s">
        <v>282</v>
      </c>
    </row>
    <row r="20" spans="1:47">
      <c r="A20" s="171" t="s">
        <v>323</v>
      </c>
      <c r="B20" s="171" t="s">
        <v>160</v>
      </c>
      <c r="C20" s="171" t="s">
        <v>73</v>
      </c>
      <c r="D20" s="171" t="s">
        <v>280</v>
      </c>
      <c r="E20" s="171" t="s">
        <v>162</v>
      </c>
      <c r="F20" s="171" t="s">
        <v>324</v>
      </c>
      <c r="G20" s="171" t="s">
        <v>325</v>
      </c>
      <c r="H20" s="171" t="s">
        <v>165</v>
      </c>
      <c r="I20" s="171">
        <v>202605.5</v>
      </c>
      <c r="J20" s="221">
        <v>5.25</v>
      </c>
      <c r="K20" s="171" t="s">
        <v>73</v>
      </c>
      <c r="L20" s="171" t="s">
        <v>326</v>
      </c>
      <c r="M20" s="171" t="s">
        <v>327</v>
      </c>
      <c r="N20" s="171" t="s">
        <v>328</v>
      </c>
      <c r="O20" s="217"/>
      <c r="P20" s="171" t="s">
        <v>138</v>
      </c>
      <c r="Q20" s="171" t="s">
        <v>100</v>
      </c>
      <c r="R20" s="171" t="s">
        <v>262</v>
      </c>
      <c r="S20" s="171" t="s">
        <v>263</v>
      </c>
      <c r="T20" s="171" t="s">
        <v>103</v>
      </c>
      <c r="U20" s="171" t="s">
        <v>264</v>
      </c>
      <c r="V20" s="171" t="s">
        <v>264</v>
      </c>
      <c r="W20" s="191" t="s">
        <v>7</v>
      </c>
      <c r="X20" s="217" t="s">
        <v>172</v>
      </c>
      <c r="Y20" s="171" t="s">
        <v>173</v>
      </c>
      <c r="Z20" s="171" t="s">
        <v>174</v>
      </c>
      <c r="AA20" s="171" t="s">
        <v>175</v>
      </c>
      <c r="AB20" s="222">
        <f t="shared" si="1"/>
        <v>1</v>
      </c>
      <c r="AC20" s="221">
        <v>1</v>
      </c>
      <c r="AD20" s="222">
        <v>1</v>
      </c>
      <c r="AE20" s="222">
        <v>1</v>
      </c>
      <c r="AF20" s="217"/>
      <c r="AG20" s="217"/>
      <c r="AH20" s="222">
        <v>1</v>
      </c>
      <c r="AI20" s="217"/>
      <c r="AJ20" s="222">
        <v>1</v>
      </c>
      <c r="AK20" s="222">
        <v>1</v>
      </c>
      <c r="AL20" s="222"/>
      <c r="AM20" s="222">
        <v>1</v>
      </c>
      <c r="AN20" s="222">
        <v>1</v>
      </c>
      <c r="AO20" s="222">
        <v>1</v>
      </c>
      <c r="AP20" s="222">
        <v>1</v>
      </c>
      <c r="AQ20" s="217"/>
      <c r="AR20" s="4"/>
      <c r="AS20" s="217" t="s">
        <v>329</v>
      </c>
      <c r="AT20" s="217"/>
      <c r="AU20" s="96" t="s">
        <v>178</v>
      </c>
    </row>
    <row r="21" spans="1:47">
      <c r="A21" s="171" t="s">
        <v>330</v>
      </c>
      <c r="B21" s="171" t="s">
        <v>160</v>
      </c>
      <c r="C21" s="171" t="s">
        <v>73</v>
      </c>
      <c r="D21" s="171" t="s">
        <v>331</v>
      </c>
      <c r="E21" s="171" t="s">
        <v>162</v>
      </c>
      <c r="F21" s="171" t="s">
        <v>332</v>
      </c>
      <c r="G21" s="171" t="s">
        <v>333</v>
      </c>
      <c r="H21" s="171" t="s">
        <v>165</v>
      </c>
      <c r="I21" s="171">
        <v>202605.5</v>
      </c>
      <c r="J21" s="221">
        <v>5.25</v>
      </c>
      <c r="K21" s="171" t="s">
        <v>73</v>
      </c>
      <c r="L21" s="171" t="s">
        <v>334</v>
      </c>
      <c r="M21" s="171" t="s">
        <v>335</v>
      </c>
      <c r="N21" s="171" t="s">
        <v>336</v>
      </c>
      <c r="O21" s="217"/>
      <c r="P21" s="171" t="s">
        <v>138</v>
      </c>
      <c r="Q21" s="171" t="s">
        <v>100</v>
      </c>
      <c r="R21" s="171" t="s">
        <v>262</v>
      </c>
      <c r="S21" s="171" t="s">
        <v>263</v>
      </c>
      <c r="T21" s="171" t="s">
        <v>103</v>
      </c>
      <c r="U21" s="171" t="s">
        <v>264</v>
      </c>
      <c r="V21" s="171" t="s">
        <v>264</v>
      </c>
      <c r="W21" s="191" t="s">
        <v>7</v>
      </c>
      <c r="X21" s="217" t="s">
        <v>172</v>
      </c>
      <c r="Y21" s="171" t="s">
        <v>173</v>
      </c>
      <c r="Z21" s="171" t="s">
        <v>174</v>
      </c>
      <c r="AA21" s="171" t="s">
        <v>175</v>
      </c>
      <c r="AB21" s="222">
        <f t="shared" si="1"/>
        <v>1</v>
      </c>
      <c r="AC21" s="221">
        <v>1</v>
      </c>
      <c r="AD21" s="222">
        <v>1</v>
      </c>
      <c r="AE21" s="222">
        <v>1</v>
      </c>
      <c r="AF21" s="217"/>
      <c r="AG21" s="217"/>
      <c r="AH21" s="222">
        <v>1</v>
      </c>
      <c r="AI21" s="217"/>
      <c r="AJ21" s="222">
        <v>1</v>
      </c>
      <c r="AK21" s="222">
        <v>1</v>
      </c>
      <c r="AL21" s="222"/>
      <c r="AM21" s="222">
        <v>1</v>
      </c>
      <c r="AN21" s="222">
        <v>1</v>
      </c>
      <c r="AO21" s="222">
        <v>1</v>
      </c>
      <c r="AP21" s="222">
        <v>1</v>
      </c>
      <c r="AQ21" s="217"/>
      <c r="AR21" s="4"/>
      <c r="AS21" s="217" t="s">
        <v>337</v>
      </c>
      <c r="AT21" s="217"/>
      <c r="AU21" s="96" t="s">
        <v>161</v>
      </c>
    </row>
    <row r="22" spans="1:47">
      <c r="A22" s="171" t="s">
        <v>338</v>
      </c>
      <c r="B22" s="171" t="s">
        <v>160</v>
      </c>
      <c r="C22" s="171" t="s">
        <v>73</v>
      </c>
      <c r="D22" s="171" t="s">
        <v>196</v>
      </c>
      <c r="E22" s="171" t="s">
        <v>162</v>
      </c>
      <c r="F22" s="171" t="s">
        <v>339</v>
      </c>
      <c r="G22" s="171" t="s">
        <v>340</v>
      </c>
      <c r="H22" s="171" t="s">
        <v>165</v>
      </c>
      <c r="I22" s="171">
        <v>202605.5</v>
      </c>
      <c r="J22" s="221">
        <v>5.25</v>
      </c>
      <c r="K22" s="171" t="s">
        <v>73</v>
      </c>
      <c r="L22" s="171" t="s">
        <v>341</v>
      </c>
      <c r="M22" s="171" t="s">
        <v>342</v>
      </c>
      <c r="N22" s="171" t="s">
        <v>343</v>
      </c>
      <c r="O22" s="217"/>
      <c r="P22" s="171" t="s">
        <v>138</v>
      </c>
      <c r="Q22" s="171" t="s">
        <v>100</v>
      </c>
      <c r="R22" s="171" t="s">
        <v>262</v>
      </c>
      <c r="S22" s="171" t="s">
        <v>263</v>
      </c>
      <c r="T22" s="171" t="s">
        <v>103</v>
      </c>
      <c r="U22" s="171" t="s">
        <v>264</v>
      </c>
      <c r="V22" s="171" t="s">
        <v>264</v>
      </c>
      <c r="W22" s="191" t="s">
        <v>7</v>
      </c>
      <c r="X22" s="217" t="s">
        <v>172</v>
      </c>
      <c r="Y22" s="171" t="s">
        <v>173</v>
      </c>
      <c r="Z22" s="171" t="s">
        <v>174</v>
      </c>
      <c r="AA22" s="171" t="s">
        <v>175</v>
      </c>
      <c r="AB22" s="222">
        <f t="shared" si="1"/>
        <v>1</v>
      </c>
      <c r="AC22" s="221">
        <v>1</v>
      </c>
      <c r="AD22" s="222">
        <v>1</v>
      </c>
      <c r="AE22" s="222">
        <v>1</v>
      </c>
      <c r="AF22" s="217"/>
      <c r="AG22" s="217"/>
      <c r="AH22" s="222">
        <v>1</v>
      </c>
      <c r="AI22" s="217"/>
      <c r="AJ22" s="222">
        <v>1</v>
      </c>
      <c r="AK22" s="222">
        <v>1</v>
      </c>
      <c r="AL22" s="222"/>
      <c r="AM22" s="222">
        <v>1</v>
      </c>
      <c r="AN22" s="222">
        <v>1</v>
      </c>
      <c r="AO22" s="222">
        <v>1</v>
      </c>
      <c r="AP22" s="222">
        <v>1</v>
      </c>
      <c r="AQ22" s="217"/>
      <c r="AR22" s="4"/>
      <c r="AS22" s="217" t="s">
        <v>184</v>
      </c>
      <c r="AT22" s="217"/>
      <c r="AU22" s="96" t="s">
        <v>198</v>
      </c>
    </row>
    <row r="23" spans="1:47">
      <c r="A23" s="171" t="s">
        <v>344</v>
      </c>
      <c r="B23" s="171" t="s">
        <v>160</v>
      </c>
      <c r="C23" s="171" t="s">
        <v>73</v>
      </c>
      <c r="D23" s="171" t="s">
        <v>185</v>
      </c>
      <c r="E23" s="171" t="s">
        <v>162</v>
      </c>
      <c r="F23" s="171" t="s">
        <v>345</v>
      </c>
      <c r="G23" s="171" t="s">
        <v>346</v>
      </c>
      <c r="H23" s="171" t="s">
        <v>165</v>
      </c>
      <c r="I23" s="171">
        <v>202605.5</v>
      </c>
      <c r="J23" s="221">
        <v>5.25</v>
      </c>
      <c r="K23" s="171" t="s">
        <v>73</v>
      </c>
      <c r="L23" s="171" t="s">
        <v>347</v>
      </c>
      <c r="M23" s="171" t="s">
        <v>348</v>
      </c>
      <c r="N23" s="171" t="s">
        <v>349</v>
      </c>
      <c r="O23" s="217"/>
      <c r="P23" s="171" t="s">
        <v>138</v>
      </c>
      <c r="Q23" s="171" t="s">
        <v>100</v>
      </c>
      <c r="R23" s="171" t="s">
        <v>262</v>
      </c>
      <c r="S23" s="171" t="s">
        <v>263</v>
      </c>
      <c r="T23" s="171" t="s">
        <v>103</v>
      </c>
      <c r="U23" s="171" t="s">
        <v>264</v>
      </c>
      <c r="V23" s="171" t="s">
        <v>264</v>
      </c>
      <c r="W23" s="191" t="s">
        <v>7</v>
      </c>
      <c r="X23" s="217" t="s">
        <v>172</v>
      </c>
      <c r="Y23" s="171" t="s">
        <v>173</v>
      </c>
      <c r="Z23" s="171" t="s">
        <v>174</v>
      </c>
      <c r="AA23" s="171" t="s">
        <v>175</v>
      </c>
      <c r="AB23" s="222">
        <f t="shared" si="1"/>
        <v>1</v>
      </c>
      <c r="AC23" s="221">
        <v>1</v>
      </c>
      <c r="AD23" s="222">
        <v>1</v>
      </c>
      <c r="AE23" s="222">
        <v>1</v>
      </c>
      <c r="AF23" s="217"/>
      <c r="AG23" s="217"/>
      <c r="AH23" s="222">
        <v>1</v>
      </c>
      <c r="AI23" s="217"/>
      <c r="AJ23" s="222">
        <v>1</v>
      </c>
      <c r="AK23" s="222">
        <v>1</v>
      </c>
      <c r="AL23" s="222"/>
      <c r="AM23" s="222">
        <v>1</v>
      </c>
      <c r="AN23" s="222">
        <v>1</v>
      </c>
      <c r="AO23" s="222">
        <v>1</v>
      </c>
      <c r="AP23" s="222">
        <v>1</v>
      </c>
      <c r="AQ23" s="217"/>
      <c r="AR23" s="4"/>
      <c r="AS23" s="217" t="s">
        <v>195</v>
      </c>
      <c r="AT23" s="217"/>
      <c r="AU23" s="96" t="s">
        <v>215</v>
      </c>
    </row>
    <row r="24" spans="1:47">
      <c r="A24" s="171" t="s">
        <v>350</v>
      </c>
      <c r="B24" s="171" t="s">
        <v>160</v>
      </c>
      <c r="C24" s="171" t="s">
        <v>73</v>
      </c>
      <c r="D24" s="171" t="s">
        <v>351</v>
      </c>
      <c r="E24" s="171" t="s">
        <v>162</v>
      </c>
      <c r="F24" s="171" t="s">
        <v>352</v>
      </c>
      <c r="G24" s="171" t="s">
        <v>353</v>
      </c>
      <c r="H24" s="171" t="s">
        <v>165</v>
      </c>
      <c r="I24" s="171">
        <v>202605.5</v>
      </c>
      <c r="J24" s="221">
        <v>5.25</v>
      </c>
      <c r="K24" s="171" t="s">
        <v>73</v>
      </c>
      <c r="L24" s="171" t="s">
        <v>354</v>
      </c>
      <c r="M24" s="171" t="s">
        <v>355</v>
      </c>
      <c r="N24" s="171" t="s">
        <v>356</v>
      </c>
      <c r="O24" s="217"/>
      <c r="P24" s="171" t="s">
        <v>138</v>
      </c>
      <c r="Q24" s="171" t="s">
        <v>100</v>
      </c>
      <c r="R24" s="171" t="s">
        <v>262</v>
      </c>
      <c r="S24" s="171" t="s">
        <v>263</v>
      </c>
      <c r="T24" s="171" t="s">
        <v>103</v>
      </c>
      <c r="U24" s="171" t="s">
        <v>264</v>
      </c>
      <c r="V24" s="171" t="s">
        <v>264</v>
      </c>
      <c r="W24" s="191" t="s">
        <v>7</v>
      </c>
      <c r="X24" s="217" t="s">
        <v>172</v>
      </c>
      <c r="Y24" s="171" t="s">
        <v>173</v>
      </c>
      <c r="Z24" s="171" t="s">
        <v>174</v>
      </c>
      <c r="AA24" s="171" t="s">
        <v>175</v>
      </c>
      <c r="AB24" s="222">
        <f t="shared" ref="AB24:AB29" si="2">IF(COUNTIF(AU:AU,"*"&amp;D24&amp;"*")&gt;0,1,0)</f>
        <v>1</v>
      </c>
      <c r="AC24" s="221">
        <v>1</v>
      </c>
      <c r="AD24" s="222">
        <v>1</v>
      </c>
      <c r="AE24" s="222">
        <v>1</v>
      </c>
      <c r="AF24" s="217"/>
      <c r="AG24" s="217"/>
      <c r="AH24" s="222">
        <v>1</v>
      </c>
      <c r="AI24" s="217"/>
      <c r="AJ24" s="222">
        <v>1</v>
      </c>
      <c r="AK24" s="222">
        <v>1</v>
      </c>
      <c r="AL24" s="222"/>
      <c r="AM24" s="222">
        <v>1</v>
      </c>
      <c r="AN24" s="222">
        <v>1</v>
      </c>
      <c r="AO24" s="222">
        <v>1</v>
      </c>
      <c r="AP24" s="222">
        <v>1</v>
      </c>
      <c r="AQ24" s="217"/>
      <c r="AR24" s="4"/>
      <c r="AS24" s="217" t="s">
        <v>204</v>
      </c>
      <c r="AT24" s="217"/>
      <c r="AU24" s="96" t="s">
        <v>357</v>
      </c>
    </row>
    <row r="25" spans="1:47">
      <c r="A25" s="171" t="s">
        <v>358</v>
      </c>
      <c r="B25" s="171" t="s">
        <v>160</v>
      </c>
      <c r="C25" s="171" t="s">
        <v>73</v>
      </c>
      <c r="D25" s="171" t="s">
        <v>359</v>
      </c>
      <c r="E25" s="171" t="s">
        <v>162</v>
      </c>
      <c r="F25" s="171" t="s">
        <v>360</v>
      </c>
      <c r="G25" s="171" t="s">
        <v>361</v>
      </c>
      <c r="H25" s="171" t="s">
        <v>165</v>
      </c>
      <c r="I25" s="171">
        <v>202605.5</v>
      </c>
      <c r="J25" s="221">
        <v>5.25</v>
      </c>
      <c r="K25" s="171" t="s">
        <v>73</v>
      </c>
      <c r="L25" s="171" t="s">
        <v>362</v>
      </c>
      <c r="M25" s="171" t="s">
        <v>363</v>
      </c>
      <c r="N25" s="171" t="s">
        <v>364</v>
      </c>
      <c r="O25" s="217"/>
      <c r="P25" s="171" t="s">
        <v>138</v>
      </c>
      <c r="Q25" s="171" t="s">
        <v>100</v>
      </c>
      <c r="R25" s="171" t="s">
        <v>262</v>
      </c>
      <c r="S25" s="171" t="s">
        <v>263</v>
      </c>
      <c r="T25" s="171" t="s">
        <v>103</v>
      </c>
      <c r="U25" s="171" t="s">
        <v>264</v>
      </c>
      <c r="V25" s="171" t="s">
        <v>264</v>
      </c>
      <c r="W25" s="191" t="s">
        <v>7</v>
      </c>
      <c r="X25" s="217" t="s">
        <v>172</v>
      </c>
      <c r="Y25" s="171" t="s">
        <v>173</v>
      </c>
      <c r="Z25" s="171" t="s">
        <v>174</v>
      </c>
      <c r="AA25" s="171" t="s">
        <v>175</v>
      </c>
      <c r="AB25" s="222">
        <f t="shared" si="2"/>
        <v>1</v>
      </c>
      <c r="AC25" s="221">
        <v>1</v>
      </c>
      <c r="AD25" s="222">
        <v>1</v>
      </c>
      <c r="AE25" s="222">
        <v>1</v>
      </c>
      <c r="AF25" s="217"/>
      <c r="AG25" s="217"/>
      <c r="AH25" s="222">
        <v>1</v>
      </c>
      <c r="AI25" s="217"/>
      <c r="AJ25" s="222">
        <v>1</v>
      </c>
      <c r="AK25" s="222">
        <v>1</v>
      </c>
      <c r="AL25" s="222"/>
      <c r="AM25" s="222">
        <v>1</v>
      </c>
      <c r="AN25" s="222">
        <v>1</v>
      </c>
      <c r="AO25" s="222">
        <v>1</v>
      </c>
      <c r="AP25" s="222">
        <v>1</v>
      </c>
      <c r="AQ25" s="217"/>
      <c r="AR25" s="4"/>
      <c r="AS25" s="217" t="s">
        <v>213</v>
      </c>
      <c r="AT25" s="217"/>
      <c r="AU25" s="96" t="s">
        <v>359</v>
      </c>
    </row>
    <row r="26" spans="1:47">
      <c r="A26" s="171" t="s">
        <v>365</v>
      </c>
      <c r="B26" s="171" t="s">
        <v>160</v>
      </c>
      <c r="C26" s="171" t="s">
        <v>73</v>
      </c>
      <c r="D26" s="171" t="s">
        <v>366</v>
      </c>
      <c r="E26" s="171" t="s">
        <v>162</v>
      </c>
      <c r="F26" s="171" t="s">
        <v>367</v>
      </c>
      <c r="G26" s="171" t="s">
        <v>368</v>
      </c>
      <c r="H26" s="171" t="s">
        <v>165</v>
      </c>
      <c r="I26" s="171">
        <v>202605.5</v>
      </c>
      <c r="J26" s="221">
        <v>5.25</v>
      </c>
      <c r="K26" s="171" t="s">
        <v>73</v>
      </c>
      <c r="L26" s="171" t="s">
        <v>369</v>
      </c>
      <c r="M26" s="171" t="s">
        <v>370</v>
      </c>
      <c r="N26" s="171" t="s">
        <v>371</v>
      </c>
      <c r="O26" s="217"/>
      <c r="P26" s="171" t="s">
        <v>138</v>
      </c>
      <c r="Q26" s="171" t="s">
        <v>100</v>
      </c>
      <c r="R26" s="171" t="s">
        <v>262</v>
      </c>
      <c r="S26" s="171" t="s">
        <v>263</v>
      </c>
      <c r="T26" s="171" t="s">
        <v>103</v>
      </c>
      <c r="U26" s="171" t="s">
        <v>264</v>
      </c>
      <c r="V26" s="171" t="s">
        <v>264</v>
      </c>
      <c r="W26" s="191" t="s">
        <v>7</v>
      </c>
      <c r="X26" s="217" t="s">
        <v>172</v>
      </c>
      <c r="Y26" s="171" t="s">
        <v>173</v>
      </c>
      <c r="Z26" s="171" t="s">
        <v>174</v>
      </c>
      <c r="AA26" s="171" t="s">
        <v>175</v>
      </c>
      <c r="AB26" s="222">
        <f t="shared" si="2"/>
        <v>1</v>
      </c>
      <c r="AC26" s="221">
        <v>1</v>
      </c>
      <c r="AD26" s="222">
        <v>1</v>
      </c>
      <c r="AE26" s="222">
        <v>1</v>
      </c>
      <c r="AF26" s="217"/>
      <c r="AG26" s="217"/>
      <c r="AH26" s="222">
        <v>1</v>
      </c>
      <c r="AI26" s="217"/>
      <c r="AJ26" s="222">
        <v>1</v>
      </c>
      <c r="AK26" s="222">
        <v>1</v>
      </c>
      <c r="AL26" s="222"/>
      <c r="AM26" s="222">
        <v>1</v>
      </c>
      <c r="AN26" s="222">
        <v>1</v>
      </c>
      <c r="AO26" s="222">
        <v>1</v>
      </c>
      <c r="AP26" s="222">
        <v>1</v>
      </c>
      <c r="AQ26" s="217"/>
      <c r="AR26" s="4"/>
      <c r="AS26" s="217" t="s">
        <v>221</v>
      </c>
      <c r="AT26" s="217"/>
      <c r="AU26" s="96" t="s">
        <v>331</v>
      </c>
    </row>
    <row r="27" spans="1:47">
      <c r="A27" s="171" t="s">
        <v>372</v>
      </c>
      <c r="B27" s="171" t="s">
        <v>160</v>
      </c>
      <c r="C27" s="171" t="s">
        <v>73</v>
      </c>
      <c r="D27" s="171" t="s">
        <v>298</v>
      </c>
      <c r="E27" s="171" t="s">
        <v>162</v>
      </c>
      <c r="F27" s="171" t="s">
        <v>373</v>
      </c>
      <c r="G27" s="171" t="s">
        <v>374</v>
      </c>
      <c r="H27" s="171" t="s">
        <v>165</v>
      </c>
      <c r="I27" s="171">
        <v>202605.5</v>
      </c>
      <c r="J27" s="221">
        <v>5.25</v>
      </c>
      <c r="K27" s="171" t="s">
        <v>73</v>
      </c>
      <c r="L27" s="171" t="s">
        <v>375</v>
      </c>
      <c r="M27" s="171" t="s">
        <v>376</v>
      </c>
      <c r="N27" s="171" t="s">
        <v>377</v>
      </c>
      <c r="O27" s="217"/>
      <c r="P27" s="171" t="s">
        <v>138</v>
      </c>
      <c r="Q27" s="171" t="s">
        <v>100</v>
      </c>
      <c r="R27" s="171" t="s">
        <v>262</v>
      </c>
      <c r="S27" s="171" t="s">
        <v>263</v>
      </c>
      <c r="T27" s="171" t="s">
        <v>103</v>
      </c>
      <c r="U27" s="171" t="s">
        <v>264</v>
      </c>
      <c r="V27" s="171" t="s">
        <v>264</v>
      </c>
      <c r="W27" s="191" t="s">
        <v>7</v>
      </c>
      <c r="X27" s="217" t="s">
        <v>172</v>
      </c>
      <c r="Y27" s="171" t="s">
        <v>173</v>
      </c>
      <c r="Z27" s="171" t="s">
        <v>174</v>
      </c>
      <c r="AA27" s="171" t="s">
        <v>175</v>
      </c>
      <c r="AB27" s="222">
        <f t="shared" si="2"/>
        <v>1</v>
      </c>
      <c r="AC27" s="221">
        <v>1</v>
      </c>
      <c r="AD27" s="222">
        <v>1</v>
      </c>
      <c r="AE27" s="222">
        <v>1</v>
      </c>
      <c r="AF27" s="217"/>
      <c r="AG27" s="217"/>
      <c r="AH27" s="222">
        <v>1</v>
      </c>
      <c r="AI27" s="217"/>
      <c r="AJ27" s="222">
        <v>1</v>
      </c>
      <c r="AK27" s="222">
        <v>1</v>
      </c>
      <c r="AL27" s="222"/>
      <c r="AM27" s="222">
        <v>1</v>
      </c>
      <c r="AN27" s="222">
        <v>1</v>
      </c>
      <c r="AO27" s="222">
        <v>1</v>
      </c>
      <c r="AP27" s="222">
        <v>1</v>
      </c>
      <c r="AQ27" s="217"/>
      <c r="AR27" s="4"/>
      <c r="AS27" s="217" t="s">
        <v>229</v>
      </c>
      <c r="AT27" s="217"/>
      <c r="AU27" s="96" t="s">
        <v>378</v>
      </c>
    </row>
    <row r="28" spans="1:47">
      <c r="A28" s="171" t="s">
        <v>379</v>
      </c>
      <c r="B28" s="171" t="s">
        <v>160</v>
      </c>
      <c r="C28" s="171" t="s">
        <v>73</v>
      </c>
      <c r="D28" s="171" t="s">
        <v>357</v>
      </c>
      <c r="E28" s="171" t="s">
        <v>162</v>
      </c>
      <c r="F28" s="171" t="s">
        <v>380</v>
      </c>
      <c r="G28" s="171" t="s">
        <v>381</v>
      </c>
      <c r="H28" s="171" t="s">
        <v>165</v>
      </c>
      <c r="I28" s="171">
        <v>202605.5</v>
      </c>
      <c r="J28" s="221">
        <v>5.25</v>
      </c>
      <c r="K28" s="171" t="s">
        <v>73</v>
      </c>
      <c r="L28" s="171" t="s">
        <v>382</v>
      </c>
      <c r="M28" s="171" t="s">
        <v>383</v>
      </c>
      <c r="N28" s="171" t="s">
        <v>384</v>
      </c>
      <c r="O28" s="217"/>
      <c r="P28" s="171" t="s">
        <v>138</v>
      </c>
      <c r="Q28" s="171" t="s">
        <v>100</v>
      </c>
      <c r="R28" s="171" t="s">
        <v>262</v>
      </c>
      <c r="S28" s="171" t="s">
        <v>263</v>
      </c>
      <c r="T28" s="171" t="s">
        <v>103</v>
      </c>
      <c r="U28" s="171" t="s">
        <v>264</v>
      </c>
      <c r="V28" s="171" t="s">
        <v>264</v>
      </c>
      <c r="W28" s="191" t="s">
        <v>7</v>
      </c>
      <c r="X28" s="217" t="s">
        <v>172</v>
      </c>
      <c r="Y28" s="171" t="s">
        <v>173</v>
      </c>
      <c r="Z28" s="171" t="s">
        <v>174</v>
      </c>
      <c r="AA28" s="171" t="s">
        <v>175</v>
      </c>
      <c r="AB28" s="222">
        <f t="shared" si="2"/>
        <v>1</v>
      </c>
      <c r="AC28" s="221">
        <v>1</v>
      </c>
      <c r="AD28" s="222">
        <v>1</v>
      </c>
      <c r="AE28" s="222">
        <v>1</v>
      </c>
      <c r="AF28" s="217"/>
      <c r="AG28" s="217"/>
      <c r="AH28" s="222">
        <v>1</v>
      </c>
      <c r="AI28" s="217"/>
      <c r="AJ28" s="222">
        <v>1</v>
      </c>
      <c r="AK28" s="222">
        <v>1</v>
      </c>
      <c r="AL28" s="222"/>
      <c r="AM28" s="222">
        <v>1</v>
      </c>
      <c r="AN28" s="222">
        <v>1</v>
      </c>
      <c r="AO28" s="222">
        <v>1</v>
      </c>
      <c r="AP28" s="222">
        <v>1</v>
      </c>
      <c r="AQ28" s="217"/>
      <c r="AR28" s="4"/>
      <c r="AS28" s="217" t="s">
        <v>237</v>
      </c>
      <c r="AT28" s="217"/>
      <c r="AU28" s="96" t="s">
        <v>385</v>
      </c>
    </row>
    <row r="29" spans="1:47">
      <c r="A29" s="171" t="s">
        <v>386</v>
      </c>
      <c r="B29" s="171" t="s">
        <v>160</v>
      </c>
      <c r="C29" s="171" t="s">
        <v>73</v>
      </c>
      <c r="D29" s="171" t="s">
        <v>387</v>
      </c>
      <c r="E29" s="171" t="s">
        <v>162</v>
      </c>
      <c r="F29" s="171" t="s">
        <v>388</v>
      </c>
      <c r="G29" s="171" t="s">
        <v>389</v>
      </c>
      <c r="H29" s="171" t="s">
        <v>165</v>
      </c>
      <c r="I29" s="171">
        <v>202605.5</v>
      </c>
      <c r="J29" s="221">
        <v>5.25</v>
      </c>
      <c r="K29" s="171" t="s">
        <v>73</v>
      </c>
      <c r="L29" s="171" t="s">
        <v>390</v>
      </c>
      <c r="M29" s="171" t="s">
        <v>391</v>
      </c>
      <c r="N29" s="171" t="s">
        <v>392</v>
      </c>
      <c r="O29" s="217"/>
      <c r="P29" s="171" t="s">
        <v>138</v>
      </c>
      <c r="Q29" s="171" t="s">
        <v>100</v>
      </c>
      <c r="R29" s="171" t="s">
        <v>262</v>
      </c>
      <c r="S29" s="171" t="s">
        <v>263</v>
      </c>
      <c r="T29" s="171" t="s">
        <v>103</v>
      </c>
      <c r="U29" s="171" t="s">
        <v>264</v>
      </c>
      <c r="V29" s="171" t="s">
        <v>264</v>
      </c>
      <c r="W29" s="191" t="s">
        <v>7</v>
      </c>
      <c r="X29" s="217" t="s">
        <v>172</v>
      </c>
      <c r="Y29" s="171" t="s">
        <v>173</v>
      </c>
      <c r="Z29" s="171" t="s">
        <v>174</v>
      </c>
      <c r="AA29" s="171" t="s">
        <v>175</v>
      </c>
      <c r="AB29" s="222">
        <f t="shared" si="2"/>
        <v>1</v>
      </c>
      <c r="AC29" s="221">
        <v>1</v>
      </c>
      <c r="AD29" s="222">
        <v>1</v>
      </c>
      <c r="AE29" s="222">
        <v>1</v>
      </c>
      <c r="AF29" s="217"/>
      <c r="AG29" s="217"/>
      <c r="AH29" s="222">
        <v>1</v>
      </c>
      <c r="AI29" s="217"/>
      <c r="AJ29" s="222">
        <v>1</v>
      </c>
      <c r="AK29" s="222">
        <v>1</v>
      </c>
      <c r="AL29" s="222"/>
      <c r="AM29" s="222">
        <v>1</v>
      </c>
      <c r="AN29" s="222">
        <v>1</v>
      </c>
      <c r="AO29" s="222">
        <v>1</v>
      </c>
      <c r="AP29" s="222">
        <v>1</v>
      </c>
      <c r="AQ29" s="217"/>
      <c r="AR29" s="4"/>
      <c r="AS29" s="217" t="s">
        <v>245</v>
      </c>
      <c r="AT29" s="217"/>
      <c r="AU29" s="96" t="s">
        <v>387</v>
      </c>
    </row>
    <row r="30" spans="1:47">
      <c r="A30" s="171" t="s">
        <v>393</v>
      </c>
      <c r="B30" s="171" t="s">
        <v>160</v>
      </c>
      <c r="C30" s="171" t="s">
        <v>73</v>
      </c>
      <c r="D30" s="171" t="s">
        <v>385</v>
      </c>
      <c r="E30" s="171" t="s">
        <v>162</v>
      </c>
      <c r="F30" s="171" t="s">
        <v>394</v>
      </c>
      <c r="G30" s="171" t="s">
        <v>395</v>
      </c>
      <c r="H30" s="171" t="s">
        <v>165</v>
      </c>
      <c r="I30" s="171">
        <v>202605.5</v>
      </c>
      <c r="J30" s="221">
        <v>5.25</v>
      </c>
      <c r="K30" s="171" t="s">
        <v>73</v>
      </c>
      <c r="L30" s="171" t="s">
        <v>396</v>
      </c>
      <c r="M30" s="171" t="s">
        <v>397</v>
      </c>
      <c r="N30" s="171" t="s">
        <v>398</v>
      </c>
      <c r="O30" s="217"/>
      <c r="P30" s="171" t="s">
        <v>138</v>
      </c>
      <c r="Q30" s="171" t="s">
        <v>100</v>
      </c>
      <c r="R30" s="171" t="s">
        <v>262</v>
      </c>
      <c r="S30" s="171" t="s">
        <v>263</v>
      </c>
      <c r="T30" s="171" t="s">
        <v>103</v>
      </c>
      <c r="U30" s="171" t="s">
        <v>264</v>
      </c>
      <c r="V30" s="171" t="s">
        <v>264</v>
      </c>
      <c r="W30" s="191" t="s">
        <v>7</v>
      </c>
      <c r="X30" s="217" t="s">
        <v>172</v>
      </c>
      <c r="Y30" s="171" t="s">
        <v>173</v>
      </c>
      <c r="Z30" s="171" t="s">
        <v>174</v>
      </c>
      <c r="AA30" s="171" t="s">
        <v>175</v>
      </c>
      <c r="AB30" s="222">
        <f t="shared" ref="AB30:AB35" si="3">IF(COUNTIF(AU:AU,"*"&amp;D30&amp;"*")&gt;0,1,0)</f>
        <v>1</v>
      </c>
      <c r="AC30" s="221">
        <v>1</v>
      </c>
      <c r="AD30" s="222">
        <v>1</v>
      </c>
      <c r="AE30" s="222">
        <v>1</v>
      </c>
      <c r="AF30" s="217"/>
      <c r="AG30" s="217"/>
      <c r="AH30" s="222">
        <v>1</v>
      </c>
      <c r="AI30" s="217"/>
      <c r="AJ30" s="222">
        <v>1</v>
      </c>
      <c r="AK30" s="222">
        <v>1</v>
      </c>
      <c r="AL30" s="222"/>
      <c r="AM30" s="222">
        <v>1</v>
      </c>
      <c r="AN30" s="222">
        <v>1</v>
      </c>
      <c r="AO30" s="222">
        <v>1</v>
      </c>
      <c r="AP30" s="222">
        <v>1</v>
      </c>
      <c r="AQ30" s="217"/>
      <c r="AR30" s="4"/>
      <c r="AS30" s="217" t="s">
        <v>254</v>
      </c>
      <c r="AT30" s="217"/>
      <c r="AU30" s="96" t="s">
        <v>291</v>
      </c>
    </row>
    <row r="31" spans="1:47">
      <c r="A31" s="171" t="s">
        <v>399</v>
      </c>
      <c r="B31" s="171" t="s">
        <v>160</v>
      </c>
      <c r="C31" s="171" t="s">
        <v>73</v>
      </c>
      <c r="D31" s="171" t="s">
        <v>378</v>
      </c>
      <c r="E31" s="171" t="s">
        <v>162</v>
      </c>
      <c r="F31" s="171" t="s">
        <v>400</v>
      </c>
      <c r="G31" s="171" t="s">
        <v>401</v>
      </c>
      <c r="H31" s="171" t="s">
        <v>165</v>
      </c>
      <c r="I31" s="171">
        <v>202605.5</v>
      </c>
      <c r="J31" s="221">
        <v>5.25</v>
      </c>
      <c r="K31" s="171" t="s">
        <v>73</v>
      </c>
      <c r="L31" s="171" t="s">
        <v>402</v>
      </c>
      <c r="M31" s="171" t="s">
        <v>403</v>
      </c>
      <c r="N31" s="171" t="s">
        <v>404</v>
      </c>
      <c r="O31" s="217"/>
      <c r="P31" s="171" t="s">
        <v>138</v>
      </c>
      <c r="Q31" s="171" t="s">
        <v>100</v>
      </c>
      <c r="R31" s="171" t="s">
        <v>262</v>
      </c>
      <c r="S31" s="171" t="s">
        <v>263</v>
      </c>
      <c r="T31" s="171" t="s">
        <v>103</v>
      </c>
      <c r="U31" s="171" t="s">
        <v>264</v>
      </c>
      <c r="V31" s="171" t="s">
        <v>264</v>
      </c>
      <c r="W31" s="191" t="s">
        <v>7</v>
      </c>
      <c r="X31" s="217" t="s">
        <v>172</v>
      </c>
      <c r="Y31" s="171" t="s">
        <v>173</v>
      </c>
      <c r="Z31" s="171" t="s">
        <v>174</v>
      </c>
      <c r="AA31" s="171" t="s">
        <v>175</v>
      </c>
      <c r="AB31" s="222">
        <f t="shared" si="3"/>
        <v>1</v>
      </c>
      <c r="AC31" s="221">
        <v>1</v>
      </c>
      <c r="AD31" s="222">
        <v>1</v>
      </c>
      <c r="AE31" s="222">
        <v>1</v>
      </c>
      <c r="AF31" s="217"/>
      <c r="AG31" s="217"/>
      <c r="AH31" s="222">
        <v>1</v>
      </c>
      <c r="AI31" s="217"/>
      <c r="AJ31" s="222">
        <v>1</v>
      </c>
      <c r="AK31" s="222">
        <v>1</v>
      </c>
      <c r="AL31" s="222"/>
      <c r="AM31" s="222"/>
      <c r="AN31" s="217"/>
      <c r="AO31" s="217"/>
      <c r="AP31" s="226" t="s">
        <v>405</v>
      </c>
      <c r="AQ31" s="222">
        <v>1</v>
      </c>
      <c r="AR31" s="133" t="s">
        <v>194</v>
      </c>
      <c r="AS31" s="217" t="s">
        <v>265</v>
      </c>
      <c r="AT31" s="217"/>
      <c r="AU31" s="96" t="s">
        <v>366</v>
      </c>
    </row>
    <row r="32" spans="1:47">
      <c r="A32" s="171" t="s">
        <v>406</v>
      </c>
      <c r="B32" s="171" t="s">
        <v>160</v>
      </c>
      <c r="C32" s="171" t="s">
        <v>73</v>
      </c>
      <c r="D32" s="171" t="s">
        <v>407</v>
      </c>
      <c r="E32" s="171" t="s">
        <v>162</v>
      </c>
      <c r="F32" s="171" t="s">
        <v>408</v>
      </c>
      <c r="G32" s="171" t="s">
        <v>409</v>
      </c>
      <c r="H32" s="171" t="s">
        <v>165</v>
      </c>
      <c r="I32" s="171">
        <v>202605.5</v>
      </c>
      <c r="J32" s="221">
        <v>5.25</v>
      </c>
      <c r="K32" s="171" t="s">
        <v>73</v>
      </c>
      <c r="L32" s="171" t="s">
        <v>410</v>
      </c>
      <c r="M32" s="171" t="s">
        <v>411</v>
      </c>
      <c r="N32" s="171" t="s">
        <v>412</v>
      </c>
      <c r="O32" s="217"/>
      <c r="P32" s="171" t="s">
        <v>138</v>
      </c>
      <c r="Q32" s="171" t="s">
        <v>100</v>
      </c>
      <c r="R32" s="171" t="s">
        <v>262</v>
      </c>
      <c r="S32" s="171" t="s">
        <v>263</v>
      </c>
      <c r="T32" s="171" t="s">
        <v>103</v>
      </c>
      <c r="U32" s="171" t="s">
        <v>264</v>
      </c>
      <c r="V32" s="171" t="s">
        <v>264</v>
      </c>
      <c r="W32" s="227" t="s">
        <v>17</v>
      </c>
      <c r="X32" s="217" t="s">
        <v>172</v>
      </c>
      <c r="Y32" s="171" t="s">
        <v>173</v>
      </c>
      <c r="Z32" s="171" t="s">
        <v>174</v>
      </c>
      <c r="AA32" s="171" t="s">
        <v>175</v>
      </c>
      <c r="AB32" s="222">
        <f t="shared" si="3"/>
        <v>1</v>
      </c>
      <c r="AC32" s="221">
        <v>1</v>
      </c>
      <c r="AD32" s="222"/>
      <c r="AE32" s="222">
        <v>1</v>
      </c>
      <c r="AF32" s="217"/>
      <c r="AG32" s="217"/>
      <c r="AH32" s="222">
        <v>1</v>
      </c>
      <c r="AI32" s="217"/>
      <c r="AJ32" s="222">
        <v>1</v>
      </c>
      <c r="AK32" s="222">
        <v>1</v>
      </c>
      <c r="AL32" s="222"/>
      <c r="AM32" s="222">
        <v>1</v>
      </c>
      <c r="AN32" s="222">
        <v>1</v>
      </c>
      <c r="AO32" s="222">
        <v>1</v>
      </c>
      <c r="AP32" s="222">
        <v>1</v>
      </c>
      <c r="AQ32" s="217"/>
      <c r="AR32" s="4"/>
      <c r="AS32" s="217" t="s">
        <v>272</v>
      </c>
      <c r="AT32" s="217"/>
      <c r="AU32" s="96" t="s">
        <v>351</v>
      </c>
    </row>
    <row r="33" spans="1:47">
      <c r="A33" s="171" t="s">
        <v>413</v>
      </c>
      <c r="B33" s="171" t="s">
        <v>160</v>
      </c>
      <c r="C33" s="171" t="s">
        <v>73</v>
      </c>
      <c r="D33" s="171" t="s">
        <v>289</v>
      </c>
      <c r="E33" s="171" t="s">
        <v>162</v>
      </c>
      <c r="F33" s="171" t="s">
        <v>414</v>
      </c>
      <c r="G33" s="171" t="s">
        <v>415</v>
      </c>
      <c r="H33" s="171" t="s">
        <v>165</v>
      </c>
      <c r="I33" s="171">
        <v>202605.5</v>
      </c>
      <c r="J33" s="221">
        <v>5.25</v>
      </c>
      <c r="K33" s="171" t="s">
        <v>73</v>
      </c>
      <c r="L33" s="171" t="s">
        <v>416</v>
      </c>
      <c r="M33" s="171" t="s">
        <v>417</v>
      </c>
      <c r="N33" s="171" t="s">
        <v>418</v>
      </c>
      <c r="O33" s="217"/>
      <c r="P33" s="171" t="s">
        <v>138</v>
      </c>
      <c r="Q33" s="171" t="s">
        <v>100</v>
      </c>
      <c r="R33" s="171" t="s">
        <v>262</v>
      </c>
      <c r="S33" s="171" t="s">
        <v>263</v>
      </c>
      <c r="T33" s="171" t="s">
        <v>103</v>
      </c>
      <c r="U33" s="171" t="s">
        <v>264</v>
      </c>
      <c r="V33" s="171" t="s">
        <v>264</v>
      </c>
      <c r="W33" s="191" t="s">
        <v>7</v>
      </c>
      <c r="X33" s="217" t="s">
        <v>172</v>
      </c>
      <c r="Y33" s="171" t="s">
        <v>173</v>
      </c>
      <c r="Z33" s="171" t="s">
        <v>174</v>
      </c>
      <c r="AA33" s="171" t="s">
        <v>175</v>
      </c>
      <c r="AB33" s="222">
        <f t="shared" si="3"/>
        <v>1</v>
      </c>
      <c r="AC33" s="221">
        <v>1</v>
      </c>
      <c r="AD33" s="222">
        <v>1</v>
      </c>
      <c r="AE33" s="222">
        <v>1</v>
      </c>
      <c r="AF33" s="217"/>
      <c r="AG33" s="217"/>
      <c r="AH33" s="222">
        <v>1</v>
      </c>
      <c r="AI33" s="217"/>
      <c r="AJ33" s="222">
        <v>1</v>
      </c>
      <c r="AK33" s="222">
        <v>1</v>
      </c>
      <c r="AL33" s="222"/>
      <c r="AM33" s="222">
        <v>1</v>
      </c>
      <c r="AN33" s="222">
        <v>1</v>
      </c>
      <c r="AO33" s="222">
        <v>1</v>
      </c>
      <c r="AP33" s="222">
        <v>1</v>
      </c>
      <c r="AQ33" s="217"/>
      <c r="AR33" s="4"/>
      <c r="AS33" s="217" t="s">
        <v>279</v>
      </c>
      <c r="AT33" s="217"/>
      <c r="AU33" s="96" t="s">
        <v>316</v>
      </c>
    </row>
    <row r="34" spans="1:47">
      <c r="A34" s="171" t="s">
        <v>419</v>
      </c>
      <c r="B34" s="171" t="s">
        <v>160</v>
      </c>
      <c r="C34" s="171" t="s">
        <v>73</v>
      </c>
      <c r="D34" s="171" t="s">
        <v>420</v>
      </c>
      <c r="E34" s="171" t="s">
        <v>162</v>
      </c>
      <c r="F34" s="171" t="s">
        <v>421</v>
      </c>
      <c r="G34" s="171" t="s">
        <v>422</v>
      </c>
      <c r="H34" s="171" t="s">
        <v>165</v>
      </c>
      <c r="I34" s="171">
        <v>202605.5</v>
      </c>
      <c r="J34" s="221">
        <v>5.25</v>
      </c>
      <c r="K34" s="171" t="s">
        <v>73</v>
      </c>
      <c r="L34" s="171" t="s">
        <v>423</v>
      </c>
      <c r="M34" s="171" t="s">
        <v>424</v>
      </c>
      <c r="N34" s="171" t="s">
        <v>425</v>
      </c>
      <c r="O34" s="217"/>
      <c r="P34" s="171" t="s">
        <v>138</v>
      </c>
      <c r="Q34" s="171" t="s">
        <v>100</v>
      </c>
      <c r="R34" s="171" t="s">
        <v>262</v>
      </c>
      <c r="S34" s="171" t="s">
        <v>263</v>
      </c>
      <c r="T34" s="171" t="s">
        <v>103</v>
      </c>
      <c r="U34" s="171" t="s">
        <v>264</v>
      </c>
      <c r="V34" s="171" t="s">
        <v>264</v>
      </c>
      <c r="W34" s="191" t="s">
        <v>7</v>
      </c>
      <c r="X34" s="217" t="s">
        <v>172</v>
      </c>
      <c r="Y34" s="171" t="s">
        <v>173</v>
      </c>
      <c r="Z34" s="171" t="s">
        <v>174</v>
      </c>
      <c r="AA34" s="171" t="s">
        <v>175</v>
      </c>
      <c r="AB34" s="222">
        <f t="shared" si="3"/>
        <v>1</v>
      </c>
      <c r="AC34" s="221">
        <v>1</v>
      </c>
      <c r="AD34" s="222">
        <v>1</v>
      </c>
      <c r="AE34" s="222">
        <v>1</v>
      </c>
      <c r="AF34" s="217"/>
      <c r="AG34" s="217"/>
      <c r="AH34" s="222">
        <v>1</v>
      </c>
      <c r="AI34" s="217"/>
      <c r="AJ34" s="222">
        <v>1</v>
      </c>
      <c r="AK34" s="222">
        <v>1</v>
      </c>
      <c r="AL34" s="222"/>
      <c r="AM34" s="222">
        <v>1</v>
      </c>
      <c r="AN34" s="222">
        <v>1</v>
      </c>
      <c r="AO34" s="222">
        <v>1</v>
      </c>
      <c r="AP34" s="222">
        <v>1</v>
      </c>
      <c r="AQ34" s="217"/>
      <c r="AR34" s="4"/>
      <c r="AS34" s="217" t="s">
        <v>288</v>
      </c>
      <c r="AT34" s="217"/>
      <c r="AU34" s="96" t="s">
        <v>426</v>
      </c>
    </row>
    <row r="35" spans="1:47">
      <c r="A35" s="171" t="s">
        <v>427</v>
      </c>
      <c r="B35" s="171" t="s">
        <v>160</v>
      </c>
      <c r="C35" s="171" t="s">
        <v>73</v>
      </c>
      <c r="D35" s="171" t="s">
        <v>426</v>
      </c>
      <c r="E35" s="171" t="s">
        <v>162</v>
      </c>
      <c r="F35" s="171" t="s">
        <v>428</v>
      </c>
      <c r="G35" s="171" t="s">
        <v>429</v>
      </c>
      <c r="H35" s="171" t="s">
        <v>165</v>
      </c>
      <c r="I35" s="171">
        <v>202605.5</v>
      </c>
      <c r="J35" s="221">
        <v>5.25</v>
      </c>
      <c r="K35" s="171" t="s">
        <v>73</v>
      </c>
      <c r="L35" s="171" t="s">
        <v>430</v>
      </c>
      <c r="M35" s="171" t="s">
        <v>431</v>
      </c>
      <c r="N35" s="171" t="s">
        <v>432</v>
      </c>
      <c r="O35" s="217"/>
      <c r="P35" s="171" t="s">
        <v>138</v>
      </c>
      <c r="Q35" s="171" t="s">
        <v>100</v>
      </c>
      <c r="R35" s="171" t="s">
        <v>262</v>
      </c>
      <c r="S35" s="171" t="s">
        <v>263</v>
      </c>
      <c r="T35" s="171" t="s">
        <v>103</v>
      </c>
      <c r="U35" s="171" t="s">
        <v>264</v>
      </c>
      <c r="V35" s="171" t="s">
        <v>264</v>
      </c>
      <c r="W35" s="191" t="s">
        <v>7</v>
      </c>
      <c r="X35" s="217" t="s">
        <v>172</v>
      </c>
      <c r="Y35" s="171" t="s">
        <v>173</v>
      </c>
      <c r="Z35" s="171" t="s">
        <v>174</v>
      </c>
      <c r="AA35" s="171" t="s">
        <v>175</v>
      </c>
      <c r="AB35" s="222">
        <f t="shared" si="3"/>
        <v>1</v>
      </c>
      <c r="AC35" s="221">
        <v>1</v>
      </c>
      <c r="AD35" s="222">
        <v>1</v>
      </c>
      <c r="AE35" s="222">
        <v>1</v>
      </c>
      <c r="AF35" s="217"/>
      <c r="AG35" s="217"/>
      <c r="AH35" s="222">
        <v>1</v>
      </c>
      <c r="AI35" s="217"/>
      <c r="AJ35" s="222">
        <v>1</v>
      </c>
      <c r="AK35" s="222">
        <v>1</v>
      </c>
      <c r="AL35" s="222"/>
      <c r="AM35" s="222">
        <v>1</v>
      </c>
      <c r="AN35" s="222">
        <v>1</v>
      </c>
      <c r="AO35" s="222">
        <v>1</v>
      </c>
      <c r="AP35" s="222">
        <v>1</v>
      </c>
      <c r="AQ35" s="217"/>
      <c r="AR35" s="4"/>
      <c r="AS35" s="217" t="s">
        <v>297</v>
      </c>
      <c r="AT35" s="217"/>
      <c r="AU35" s="96" t="s">
        <v>420</v>
      </c>
    </row>
    <row r="36" spans="1:47">
      <c r="A36" s="171" t="s">
        <v>433</v>
      </c>
      <c r="B36" s="171" t="s">
        <v>160</v>
      </c>
      <c r="C36" s="171" t="s">
        <v>73</v>
      </c>
      <c r="D36" s="171" t="s">
        <v>434</v>
      </c>
      <c r="E36" s="171" t="s">
        <v>162</v>
      </c>
      <c r="F36" s="171" t="s">
        <v>435</v>
      </c>
      <c r="G36" s="171" t="s">
        <v>436</v>
      </c>
      <c r="H36" s="171" t="s">
        <v>165</v>
      </c>
      <c r="I36" s="171">
        <v>202605.5</v>
      </c>
      <c r="J36" s="221">
        <v>5.25</v>
      </c>
      <c r="K36" s="171" t="s">
        <v>73</v>
      </c>
      <c r="L36" s="171" t="s">
        <v>337</v>
      </c>
      <c r="M36" s="171" t="s">
        <v>437</v>
      </c>
      <c r="N36" s="171" t="s">
        <v>438</v>
      </c>
      <c r="O36" s="217"/>
      <c r="P36" s="171" t="s">
        <v>138</v>
      </c>
      <c r="Q36" s="171" t="s">
        <v>100</v>
      </c>
      <c r="R36" s="171" t="s">
        <v>262</v>
      </c>
      <c r="S36" s="171" t="s">
        <v>439</v>
      </c>
      <c r="T36" s="171" t="s">
        <v>103</v>
      </c>
      <c r="U36" s="171" t="s">
        <v>264</v>
      </c>
      <c r="V36" s="171" t="s">
        <v>264</v>
      </c>
      <c r="W36" s="191" t="s">
        <v>9</v>
      </c>
      <c r="X36" s="217" t="s">
        <v>172</v>
      </c>
      <c r="Y36" s="171" t="s">
        <v>173</v>
      </c>
      <c r="Z36" s="171" t="s">
        <v>174</v>
      </c>
      <c r="AA36" s="171" t="s">
        <v>175</v>
      </c>
      <c r="AB36" s="222">
        <f t="shared" ref="AB36:AB67" si="4">IF(COUNTIF(AU:AU,"*"&amp;D36&amp;"*")&gt;0,1,0)</f>
        <v>1</v>
      </c>
      <c r="AC36" s="221">
        <v>1</v>
      </c>
      <c r="AD36" s="222">
        <v>1</v>
      </c>
      <c r="AE36" s="222">
        <v>1</v>
      </c>
      <c r="AF36" s="217"/>
      <c r="AG36" s="217"/>
      <c r="AH36" s="222">
        <v>1</v>
      </c>
      <c r="AI36" s="217"/>
      <c r="AJ36" s="222">
        <v>1</v>
      </c>
      <c r="AK36" s="222">
        <v>1</v>
      </c>
      <c r="AL36" s="222">
        <v>1</v>
      </c>
      <c r="AM36" s="222">
        <v>1</v>
      </c>
      <c r="AN36" s="222">
        <v>1</v>
      </c>
      <c r="AO36" s="222">
        <v>1</v>
      </c>
      <c r="AP36" s="222">
        <v>1</v>
      </c>
      <c r="AQ36" s="217"/>
      <c r="AR36" s="4"/>
      <c r="AS36" s="217" t="s">
        <v>306</v>
      </c>
      <c r="AT36" s="217"/>
      <c r="AU36" s="96" t="s">
        <v>440</v>
      </c>
    </row>
    <row r="37" spans="1:47">
      <c r="A37" s="171" t="s">
        <v>441</v>
      </c>
      <c r="B37" s="171" t="s">
        <v>160</v>
      </c>
      <c r="C37" s="171" t="s">
        <v>73</v>
      </c>
      <c r="D37" s="171" t="s">
        <v>442</v>
      </c>
      <c r="E37" s="171" t="s">
        <v>162</v>
      </c>
      <c r="F37" s="171" t="s">
        <v>443</v>
      </c>
      <c r="G37" s="171" t="s">
        <v>444</v>
      </c>
      <c r="H37" s="171" t="s">
        <v>165</v>
      </c>
      <c r="I37" s="171">
        <v>202605.5</v>
      </c>
      <c r="J37" s="221">
        <v>5.25</v>
      </c>
      <c r="K37" s="171" t="s">
        <v>73</v>
      </c>
      <c r="L37" s="171" t="s">
        <v>329</v>
      </c>
      <c r="M37" s="171" t="s">
        <v>445</v>
      </c>
      <c r="N37" s="171" t="s">
        <v>446</v>
      </c>
      <c r="O37" s="217"/>
      <c r="P37" s="171" t="s">
        <v>138</v>
      </c>
      <c r="Q37" s="171" t="s">
        <v>100</v>
      </c>
      <c r="R37" s="171" t="s">
        <v>262</v>
      </c>
      <c r="S37" s="171" t="s">
        <v>439</v>
      </c>
      <c r="T37" s="171" t="s">
        <v>103</v>
      </c>
      <c r="U37" s="171" t="s">
        <v>264</v>
      </c>
      <c r="V37" s="171" t="s">
        <v>264</v>
      </c>
      <c r="W37" s="191" t="s">
        <v>9</v>
      </c>
      <c r="X37" s="217" t="s">
        <v>172</v>
      </c>
      <c r="Y37" s="171" t="s">
        <v>173</v>
      </c>
      <c r="Z37" s="171" t="s">
        <v>174</v>
      </c>
      <c r="AA37" s="171" t="s">
        <v>175</v>
      </c>
      <c r="AB37" s="222">
        <f t="shared" si="4"/>
        <v>1</v>
      </c>
      <c r="AC37" s="221">
        <v>1</v>
      </c>
      <c r="AD37" s="222">
        <v>1</v>
      </c>
      <c r="AE37" s="222">
        <v>1</v>
      </c>
      <c r="AF37" s="217"/>
      <c r="AG37" s="217"/>
      <c r="AH37" s="222">
        <v>1</v>
      </c>
      <c r="AI37" s="217"/>
      <c r="AJ37" s="222">
        <v>1</v>
      </c>
      <c r="AK37" s="222">
        <v>1</v>
      </c>
      <c r="AL37" s="222">
        <v>1</v>
      </c>
      <c r="AM37" s="222">
        <v>1</v>
      </c>
      <c r="AN37" s="222">
        <v>1</v>
      </c>
      <c r="AO37" s="222">
        <v>1</v>
      </c>
      <c r="AP37" s="222">
        <v>1</v>
      </c>
      <c r="AQ37" s="217"/>
      <c r="AR37" s="4"/>
      <c r="AS37" s="217" t="s">
        <v>314</v>
      </c>
      <c r="AT37" s="217"/>
      <c r="AU37" s="96" t="s">
        <v>447</v>
      </c>
    </row>
    <row r="38" spans="1:47">
      <c r="A38" s="171" t="s">
        <v>448</v>
      </c>
      <c r="B38" s="171" t="s">
        <v>160</v>
      </c>
      <c r="C38" s="171" t="s">
        <v>73</v>
      </c>
      <c r="D38" s="171" t="s">
        <v>449</v>
      </c>
      <c r="E38" s="171" t="s">
        <v>162</v>
      </c>
      <c r="F38" s="171" t="s">
        <v>450</v>
      </c>
      <c r="G38" s="171" t="s">
        <v>451</v>
      </c>
      <c r="H38" s="171" t="s">
        <v>165</v>
      </c>
      <c r="I38" s="171">
        <v>202605.5</v>
      </c>
      <c r="J38" s="221">
        <v>5.25</v>
      </c>
      <c r="K38" s="171" t="s">
        <v>73</v>
      </c>
      <c r="L38" s="171" t="s">
        <v>184</v>
      </c>
      <c r="M38" s="171" t="s">
        <v>452</v>
      </c>
      <c r="N38" s="171" t="s">
        <v>453</v>
      </c>
      <c r="O38" s="217"/>
      <c r="P38" s="171" t="s">
        <v>138</v>
      </c>
      <c r="Q38" s="171" t="s">
        <v>100</v>
      </c>
      <c r="R38" s="171" t="s">
        <v>262</v>
      </c>
      <c r="S38" s="171" t="s">
        <v>439</v>
      </c>
      <c r="T38" s="171" t="s">
        <v>103</v>
      </c>
      <c r="U38" s="171" t="s">
        <v>264</v>
      </c>
      <c r="V38" s="171" t="s">
        <v>264</v>
      </c>
      <c r="W38" s="191" t="s">
        <v>9</v>
      </c>
      <c r="X38" s="217" t="s">
        <v>172</v>
      </c>
      <c r="Y38" s="171" t="s">
        <v>173</v>
      </c>
      <c r="Z38" s="171" t="s">
        <v>174</v>
      </c>
      <c r="AA38" s="171" t="s">
        <v>175</v>
      </c>
      <c r="AB38" s="222">
        <f t="shared" si="4"/>
        <v>1</v>
      </c>
      <c r="AC38" s="221">
        <v>1</v>
      </c>
      <c r="AD38" s="222">
        <v>1</v>
      </c>
      <c r="AE38" s="222">
        <v>1</v>
      </c>
      <c r="AF38" s="217"/>
      <c r="AG38" s="217"/>
      <c r="AH38" s="222">
        <v>1</v>
      </c>
      <c r="AI38" s="217"/>
      <c r="AJ38" s="222">
        <v>1</v>
      </c>
      <c r="AK38" s="222">
        <v>1</v>
      </c>
      <c r="AL38" s="222">
        <v>1</v>
      </c>
      <c r="AM38" s="222">
        <v>1</v>
      </c>
      <c r="AN38" s="222">
        <v>1</v>
      </c>
      <c r="AO38" s="222">
        <v>1</v>
      </c>
      <c r="AP38" s="222">
        <v>1</v>
      </c>
      <c r="AQ38" s="217"/>
      <c r="AR38" s="4"/>
      <c r="AS38" s="217" t="s">
        <v>322</v>
      </c>
      <c r="AT38" s="217"/>
      <c r="AU38" s="96" t="s">
        <v>454</v>
      </c>
    </row>
    <row r="39" spans="1:47">
      <c r="A39" s="171" t="s">
        <v>455</v>
      </c>
      <c r="B39" s="171" t="s">
        <v>160</v>
      </c>
      <c r="C39" s="171" t="s">
        <v>73</v>
      </c>
      <c r="D39" s="171" t="s">
        <v>456</v>
      </c>
      <c r="E39" s="171" t="s">
        <v>162</v>
      </c>
      <c r="F39" s="171" t="s">
        <v>457</v>
      </c>
      <c r="G39" s="171" t="s">
        <v>458</v>
      </c>
      <c r="H39" s="171" t="s">
        <v>165</v>
      </c>
      <c r="I39" s="171">
        <v>202605.5</v>
      </c>
      <c r="J39" s="221">
        <v>5.25</v>
      </c>
      <c r="K39" s="171" t="s">
        <v>73</v>
      </c>
      <c r="L39" s="171" t="s">
        <v>204</v>
      </c>
      <c r="M39" s="171" t="s">
        <v>459</v>
      </c>
      <c r="N39" s="171" t="s">
        <v>460</v>
      </c>
      <c r="O39" s="217"/>
      <c r="P39" s="171" t="s">
        <v>138</v>
      </c>
      <c r="Q39" s="171" t="s">
        <v>100</v>
      </c>
      <c r="R39" s="171" t="s">
        <v>262</v>
      </c>
      <c r="S39" s="171" t="s">
        <v>439</v>
      </c>
      <c r="T39" s="171" t="s">
        <v>103</v>
      </c>
      <c r="U39" s="171" t="s">
        <v>264</v>
      </c>
      <c r="V39" s="171" t="s">
        <v>264</v>
      </c>
      <c r="W39" s="191" t="s">
        <v>9</v>
      </c>
      <c r="X39" s="217" t="s">
        <v>172</v>
      </c>
      <c r="Y39" s="171" t="s">
        <v>173</v>
      </c>
      <c r="Z39" s="171" t="s">
        <v>174</v>
      </c>
      <c r="AA39" s="171" t="s">
        <v>175</v>
      </c>
      <c r="AB39" s="222">
        <f t="shared" si="4"/>
        <v>1</v>
      </c>
      <c r="AC39" s="221">
        <v>1</v>
      </c>
      <c r="AD39" s="222">
        <v>1</v>
      </c>
      <c r="AE39" s="222">
        <v>1</v>
      </c>
      <c r="AF39" s="217"/>
      <c r="AG39" s="217"/>
      <c r="AH39" s="222">
        <v>1</v>
      </c>
      <c r="AI39" s="217"/>
      <c r="AJ39" s="222">
        <v>1</v>
      </c>
      <c r="AK39" s="222">
        <v>1</v>
      </c>
      <c r="AL39" s="222">
        <v>1</v>
      </c>
      <c r="AM39" s="222">
        <v>1</v>
      </c>
      <c r="AN39" s="222">
        <v>1</v>
      </c>
      <c r="AO39" s="222">
        <v>1</v>
      </c>
      <c r="AP39" s="222">
        <v>1</v>
      </c>
      <c r="AQ39" s="217"/>
      <c r="AR39" s="4"/>
      <c r="AS39" s="217" t="s">
        <v>329</v>
      </c>
      <c r="AT39" s="217"/>
      <c r="AU39" s="96" t="s">
        <v>442</v>
      </c>
    </row>
    <row r="40" spans="1:47">
      <c r="A40" s="171" t="s">
        <v>461</v>
      </c>
      <c r="B40" s="171" t="s">
        <v>160</v>
      </c>
      <c r="C40" s="171" t="s">
        <v>73</v>
      </c>
      <c r="D40" s="171" t="s">
        <v>447</v>
      </c>
      <c r="E40" s="171" t="s">
        <v>162</v>
      </c>
      <c r="F40" s="171" t="s">
        <v>462</v>
      </c>
      <c r="G40" s="171" t="s">
        <v>463</v>
      </c>
      <c r="H40" s="171" t="s">
        <v>165</v>
      </c>
      <c r="I40" s="171">
        <v>202605.5</v>
      </c>
      <c r="J40" s="221">
        <v>5.25</v>
      </c>
      <c r="K40" s="171" t="s">
        <v>73</v>
      </c>
      <c r="L40" s="171" t="s">
        <v>254</v>
      </c>
      <c r="M40" s="171" t="s">
        <v>464</v>
      </c>
      <c r="N40" s="171" t="s">
        <v>465</v>
      </c>
      <c r="O40" s="217"/>
      <c r="P40" s="171" t="s">
        <v>138</v>
      </c>
      <c r="Q40" s="171" t="s">
        <v>100</v>
      </c>
      <c r="R40" s="171" t="s">
        <v>262</v>
      </c>
      <c r="S40" s="171" t="s">
        <v>439</v>
      </c>
      <c r="T40" s="171" t="s">
        <v>103</v>
      </c>
      <c r="U40" s="171" t="s">
        <v>264</v>
      </c>
      <c r="V40" s="171" t="s">
        <v>264</v>
      </c>
      <c r="W40" s="191" t="s">
        <v>9</v>
      </c>
      <c r="X40" s="217" t="s">
        <v>172</v>
      </c>
      <c r="Y40" s="171" t="s">
        <v>173</v>
      </c>
      <c r="Z40" s="171" t="s">
        <v>174</v>
      </c>
      <c r="AA40" s="171" t="s">
        <v>175</v>
      </c>
      <c r="AB40" s="222">
        <f t="shared" si="4"/>
        <v>1</v>
      </c>
      <c r="AC40" s="221">
        <v>1</v>
      </c>
      <c r="AD40" s="222">
        <v>1</v>
      </c>
      <c r="AE40" s="222">
        <v>1</v>
      </c>
      <c r="AF40" s="217"/>
      <c r="AG40" s="217"/>
      <c r="AH40" s="222">
        <v>1</v>
      </c>
      <c r="AI40" s="217"/>
      <c r="AJ40" s="222">
        <v>1</v>
      </c>
      <c r="AK40" s="222">
        <v>1</v>
      </c>
      <c r="AL40" s="222">
        <v>1</v>
      </c>
      <c r="AM40" s="222">
        <v>1</v>
      </c>
      <c r="AN40" s="222">
        <v>1</v>
      </c>
      <c r="AO40" s="222">
        <v>1</v>
      </c>
      <c r="AP40" s="222">
        <v>1</v>
      </c>
      <c r="AQ40" s="217"/>
      <c r="AR40" s="4"/>
      <c r="AS40" s="217" t="s">
        <v>337</v>
      </c>
      <c r="AT40" s="217"/>
      <c r="AU40" s="96" t="s">
        <v>434</v>
      </c>
    </row>
    <row r="41" spans="1:47">
      <c r="A41" s="171" t="s">
        <v>466</v>
      </c>
      <c r="B41" s="171" t="s">
        <v>160</v>
      </c>
      <c r="C41" s="171" t="s">
        <v>73</v>
      </c>
      <c r="D41" s="171" t="s">
        <v>467</v>
      </c>
      <c r="E41" s="171" t="s">
        <v>162</v>
      </c>
      <c r="F41" s="171" t="s">
        <v>468</v>
      </c>
      <c r="G41" s="171" t="s">
        <v>469</v>
      </c>
      <c r="H41" s="171" t="s">
        <v>165</v>
      </c>
      <c r="I41" s="171">
        <v>202605.5</v>
      </c>
      <c r="J41" s="221">
        <v>5.25</v>
      </c>
      <c r="K41" s="171" t="s">
        <v>73</v>
      </c>
      <c r="L41" s="171" t="s">
        <v>245</v>
      </c>
      <c r="M41" s="171" t="s">
        <v>470</v>
      </c>
      <c r="N41" s="171" t="s">
        <v>471</v>
      </c>
      <c r="O41" s="217"/>
      <c r="P41" s="171" t="s">
        <v>138</v>
      </c>
      <c r="Q41" s="171" t="s">
        <v>100</v>
      </c>
      <c r="R41" s="171" t="s">
        <v>262</v>
      </c>
      <c r="S41" s="171" t="s">
        <v>439</v>
      </c>
      <c r="T41" s="171" t="s">
        <v>103</v>
      </c>
      <c r="U41" s="171" t="s">
        <v>264</v>
      </c>
      <c r="V41" s="171" t="s">
        <v>264</v>
      </c>
      <c r="W41" s="191" t="s">
        <v>9</v>
      </c>
      <c r="X41" s="217" t="s">
        <v>172</v>
      </c>
      <c r="Y41" s="171" t="s">
        <v>173</v>
      </c>
      <c r="Z41" s="171" t="s">
        <v>174</v>
      </c>
      <c r="AA41" s="171" t="s">
        <v>175</v>
      </c>
      <c r="AB41" s="222">
        <f t="shared" si="4"/>
        <v>1</v>
      </c>
      <c r="AC41" s="221">
        <v>1</v>
      </c>
      <c r="AD41" s="222">
        <v>1</v>
      </c>
      <c r="AE41" s="222">
        <v>1</v>
      </c>
      <c r="AF41" s="217"/>
      <c r="AG41" s="217"/>
      <c r="AH41" s="222">
        <v>1</v>
      </c>
      <c r="AI41" s="217"/>
      <c r="AJ41" s="222">
        <v>1</v>
      </c>
      <c r="AK41" s="222">
        <v>1</v>
      </c>
      <c r="AL41" s="222">
        <v>1</v>
      </c>
      <c r="AM41" s="222">
        <v>1</v>
      </c>
      <c r="AN41" s="222">
        <v>1</v>
      </c>
      <c r="AO41" s="222">
        <v>1</v>
      </c>
      <c r="AP41" s="222">
        <v>1</v>
      </c>
      <c r="AQ41" s="217"/>
      <c r="AR41" s="4"/>
      <c r="AS41" s="217" t="s">
        <v>184</v>
      </c>
      <c r="AT41" s="217"/>
      <c r="AU41" s="96" t="s">
        <v>456</v>
      </c>
    </row>
    <row r="42" spans="1:47">
      <c r="A42" s="171" t="s">
        <v>472</v>
      </c>
      <c r="B42" s="171" t="s">
        <v>160</v>
      </c>
      <c r="C42" s="171" t="s">
        <v>73</v>
      </c>
      <c r="D42" s="171" t="s">
        <v>473</v>
      </c>
      <c r="E42" s="171" t="s">
        <v>162</v>
      </c>
      <c r="F42" s="171" t="s">
        <v>474</v>
      </c>
      <c r="G42" s="171" t="s">
        <v>475</v>
      </c>
      <c r="H42" s="171" t="s">
        <v>165</v>
      </c>
      <c r="I42" s="171">
        <v>202605.5</v>
      </c>
      <c r="J42" s="221">
        <v>5.25</v>
      </c>
      <c r="K42" s="171" t="s">
        <v>73</v>
      </c>
      <c r="L42" s="171" t="s">
        <v>213</v>
      </c>
      <c r="M42" s="171" t="s">
        <v>476</v>
      </c>
      <c r="N42" s="171" t="s">
        <v>477</v>
      </c>
      <c r="O42" s="217"/>
      <c r="P42" s="171" t="s">
        <v>138</v>
      </c>
      <c r="Q42" s="171" t="s">
        <v>100</v>
      </c>
      <c r="R42" s="171" t="s">
        <v>262</v>
      </c>
      <c r="S42" s="171" t="s">
        <v>439</v>
      </c>
      <c r="T42" s="171" t="s">
        <v>103</v>
      </c>
      <c r="U42" s="171" t="s">
        <v>264</v>
      </c>
      <c r="V42" s="171" t="s">
        <v>264</v>
      </c>
      <c r="W42" s="191" t="s">
        <v>9</v>
      </c>
      <c r="X42" s="217" t="s">
        <v>172</v>
      </c>
      <c r="Y42" s="171" t="s">
        <v>173</v>
      </c>
      <c r="Z42" s="171" t="s">
        <v>174</v>
      </c>
      <c r="AA42" s="171" t="s">
        <v>175</v>
      </c>
      <c r="AB42" s="222">
        <f t="shared" si="4"/>
        <v>1</v>
      </c>
      <c r="AC42" s="221">
        <v>1</v>
      </c>
      <c r="AD42" s="222">
        <v>1</v>
      </c>
      <c r="AE42" s="222">
        <v>1</v>
      </c>
      <c r="AF42" s="217"/>
      <c r="AG42" s="217"/>
      <c r="AH42" s="222">
        <v>1</v>
      </c>
      <c r="AI42" s="217"/>
      <c r="AJ42" s="222">
        <v>1</v>
      </c>
      <c r="AK42" s="222">
        <v>1</v>
      </c>
      <c r="AL42" s="222">
        <v>1</v>
      </c>
      <c r="AM42" s="222">
        <v>1</v>
      </c>
      <c r="AN42" s="222">
        <v>1</v>
      </c>
      <c r="AO42" s="222">
        <v>1</v>
      </c>
      <c r="AP42" s="222">
        <v>1</v>
      </c>
      <c r="AQ42" s="217"/>
      <c r="AR42" s="4"/>
      <c r="AS42" s="217" t="s">
        <v>195</v>
      </c>
      <c r="AT42" s="217"/>
      <c r="AU42" s="96" t="s">
        <v>478</v>
      </c>
    </row>
    <row r="43" spans="1:47">
      <c r="A43" s="171" t="s">
        <v>479</v>
      </c>
      <c r="B43" s="171" t="s">
        <v>160</v>
      </c>
      <c r="C43" s="171" t="s">
        <v>73</v>
      </c>
      <c r="D43" s="171" t="s">
        <v>480</v>
      </c>
      <c r="E43" s="171" t="s">
        <v>162</v>
      </c>
      <c r="F43" s="171" t="s">
        <v>481</v>
      </c>
      <c r="G43" s="171" t="s">
        <v>482</v>
      </c>
      <c r="H43" s="171" t="s">
        <v>165</v>
      </c>
      <c r="I43" s="171">
        <v>202605.5</v>
      </c>
      <c r="J43" s="221">
        <v>5.25</v>
      </c>
      <c r="K43" s="171" t="s">
        <v>73</v>
      </c>
      <c r="L43" s="171" t="s">
        <v>272</v>
      </c>
      <c r="M43" s="171" t="s">
        <v>483</v>
      </c>
      <c r="N43" s="171" t="s">
        <v>484</v>
      </c>
      <c r="O43" s="217"/>
      <c r="P43" s="171" t="s">
        <v>138</v>
      </c>
      <c r="Q43" s="171" t="s">
        <v>100</v>
      </c>
      <c r="R43" s="171" t="s">
        <v>262</v>
      </c>
      <c r="S43" s="171" t="s">
        <v>439</v>
      </c>
      <c r="T43" s="171" t="s">
        <v>103</v>
      </c>
      <c r="U43" s="171" t="s">
        <v>264</v>
      </c>
      <c r="V43" s="171" t="s">
        <v>264</v>
      </c>
      <c r="W43" s="191" t="s">
        <v>9</v>
      </c>
      <c r="X43" s="217" t="s">
        <v>172</v>
      </c>
      <c r="Y43" s="171" t="s">
        <v>173</v>
      </c>
      <c r="Z43" s="171" t="s">
        <v>174</v>
      </c>
      <c r="AA43" s="171" t="s">
        <v>175</v>
      </c>
      <c r="AB43" s="222">
        <f t="shared" si="4"/>
        <v>1</v>
      </c>
      <c r="AC43" s="221">
        <v>1</v>
      </c>
      <c r="AD43" s="222">
        <v>1</v>
      </c>
      <c r="AE43" s="222">
        <v>1</v>
      </c>
      <c r="AF43" s="217"/>
      <c r="AG43" s="217"/>
      <c r="AH43" s="222">
        <v>1</v>
      </c>
      <c r="AI43" s="217"/>
      <c r="AJ43" s="222">
        <v>1</v>
      </c>
      <c r="AK43" s="222">
        <v>1</v>
      </c>
      <c r="AL43" s="222">
        <v>1</v>
      </c>
      <c r="AM43" s="222">
        <v>1</v>
      </c>
      <c r="AN43" s="222">
        <v>1</v>
      </c>
      <c r="AO43" s="222">
        <v>1</v>
      </c>
      <c r="AP43" s="222">
        <v>1</v>
      </c>
      <c r="AQ43" s="217"/>
      <c r="AR43" s="4"/>
      <c r="AS43" s="217" t="s">
        <v>204</v>
      </c>
      <c r="AT43" s="217"/>
      <c r="AU43" s="96" t="s">
        <v>485</v>
      </c>
    </row>
    <row r="44" spans="1:47">
      <c r="A44" s="171" t="s">
        <v>486</v>
      </c>
      <c r="B44" s="171" t="s">
        <v>160</v>
      </c>
      <c r="C44" s="171" t="s">
        <v>73</v>
      </c>
      <c r="D44" s="171" t="s">
        <v>487</v>
      </c>
      <c r="E44" s="171" t="s">
        <v>162</v>
      </c>
      <c r="F44" s="171" t="s">
        <v>488</v>
      </c>
      <c r="G44" s="171" t="s">
        <v>489</v>
      </c>
      <c r="H44" s="171" t="s">
        <v>165</v>
      </c>
      <c r="I44" s="171">
        <v>202605.5</v>
      </c>
      <c r="J44" s="221">
        <v>5.25</v>
      </c>
      <c r="K44" s="171" t="s">
        <v>73</v>
      </c>
      <c r="L44" s="171" t="s">
        <v>265</v>
      </c>
      <c r="M44" s="171" t="s">
        <v>490</v>
      </c>
      <c r="N44" s="171" t="s">
        <v>491</v>
      </c>
      <c r="O44" s="217"/>
      <c r="P44" s="171" t="s">
        <v>138</v>
      </c>
      <c r="Q44" s="171" t="s">
        <v>100</v>
      </c>
      <c r="R44" s="171" t="s">
        <v>262</v>
      </c>
      <c r="S44" s="171" t="s">
        <v>439</v>
      </c>
      <c r="T44" s="171" t="s">
        <v>103</v>
      </c>
      <c r="U44" s="171" t="s">
        <v>264</v>
      </c>
      <c r="V44" s="171" t="s">
        <v>264</v>
      </c>
      <c r="W44" s="191" t="s">
        <v>9</v>
      </c>
      <c r="X44" s="217" t="s">
        <v>172</v>
      </c>
      <c r="Y44" s="171" t="s">
        <v>173</v>
      </c>
      <c r="Z44" s="171" t="s">
        <v>174</v>
      </c>
      <c r="AA44" s="171" t="s">
        <v>175</v>
      </c>
      <c r="AB44" s="222">
        <f t="shared" si="4"/>
        <v>1</v>
      </c>
      <c r="AC44" s="221">
        <v>1</v>
      </c>
      <c r="AD44" s="222">
        <v>1</v>
      </c>
      <c r="AE44" s="222">
        <v>1</v>
      </c>
      <c r="AF44" s="217"/>
      <c r="AG44" s="217"/>
      <c r="AH44" s="222">
        <v>1</v>
      </c>
      <c r="AI44" s="217"/>
      <c r="AJ44" s="222">
        <v>1</v>
      </c>
      <c r="AK44" s="222">
        <v>1</v>
      </c>
      <c r="AL44" s="222">
        <v>1</v>
      </c>
      <c r="AM44" s="222">
        <v>1</v>
      </c>
      <c r="AN44" s="222">
        <v>1</v>
      </c>
      <c r="AO44" s="222">
        <v>1</v>
      </c>
      <c r="AP44" s="222">
        <v>1</v>
      </c>
      <c r="AQ44" s="217"/>
      <c r="AR44" s="4"/>
      <c r="AS44" s="217" t="s">
        <v>213</v>
      </c>
      <c r="AT44" s="217"/>
      <c r="AU44" s="96" t="s">
        <v>473</v>
      </c>
    </row>
    <row r="45" spans="1:47">
      <c r="A45" s="171" t="s">
        <v>492</v>
      </c>
      <c r="B45" s="171" t="s">
        <v>160</v>
      </c>
      <c r="C45" s="171" t="s">
        <v>73</v>
      </c>
      <c r="D45" s="171" t="s">
        <v>440</v>
      </c>
      <c r="E45" s="171" t="s">
        <v>162</v>
      </c>
      <c r="F45" s="171" t="s">
        <v>493</v>
      </c>
      <c r="G45" s="171" t="s">
        <v>494</v>
      </c>
      <c r="H45" s="171" t="s">
        <v>165</v>
      </c>
      <c r="I45" s="171">
        <v>202605.5</v>
      </c>
      <c r="J45" s="221">
        <v>5.25</v>
      </c>
      <c r="K45" s="171" t="s">
        <v>73</v>
      </c>
      <c r="L45" s="171" t="s">
        <v>279</v>
      </c>
      <c r="M45" s="171" t="s">
        <v>495</v>
      </c>
      <c r="N45" s="171" t="s">
        <v>496</v>
      </c>
      <c r="O45" s="217"/>
      <c r="P45" s="171" t="s">
        <v>138</v>
      </c>
      <c r="Q45" s="171" t="s">
        <v>100</v>
      </c>
      <c r="R45" s="171" t="s">
        <v>262</v>
      </c>
      <c r="S45" s="171" t="s">
        <v>439</v>
      </c>
      <c r="T45" s="171" t="s">
        <v>103</v>
      </c>
      <c r="U45" s="171" t="s">
        <v>264</v>
      </c>
      <c r="V45" s="171" t="s">
        <v>264</v>
      </c>
      <c r="W45" s="191" t="s">
        <v>9</v>
      </c>
      <c r="X45" s="217" t="s">
        <v>172</v>
      </c>
      <c r="Y45" s="171" t="s">
        <v>173</v>
      </c>
      <c r="Z45" s="171" t="s">
        <v>174</v>
      </c>
      <c r="AA45" s="171" t="s">
        <v>175</v>
      </c>
      <c r="AB45" s="222">
        <f t="shared" si="4"/>
        <v>1</v>
      </c>
      <c r="AC45" s="221">
        <v>1</v>
      </c>
      <c r="AD45" s="222">
        <v>1</v>
      </c>
      <c r="AE45" s="222">
        <v>1</v>
      </c>
      <c r="AF45" s="217"/>
      <c r="AG45" s="217"/>
      <c r="AH45" s="222">
        <v>1</v>
      </c>
      <c r="AI45" s="217"/>
      <c r="AJ45" s="222">
        <v>1</v>
      </c>
      <c r="AK45" s="222">
        <v>1</v>
      </c>
      <c r="AL45" s="222">
        <v>1</v>
      </c>
      <c r="AM45" s="222">
        <v>1</v>
      </c>
      <c r="AN45" s="222">
        <v>1</v>
      </c>
      <c r="AO45" s="222">
        <v>1</v>
      </c>
      <c r="AP45" s="222">
        <v>1</v>
      </c>
      <c r="AQ45" s="217"/>
      <c r="AR45" s="4"/>
      <c r="AS45" s="217" t="s">
        <v>221</v>
      </c>
      <c r="AT45" s="217"/>
      <c r="AU45" s="96" t="s">
        <v>497</v>
      </c>
    </row>
    <row r="46" spans="1:47">
      <c r="A46" s="171" t="s">
        <v>498</v>
      </c>
      <c r="B46" s="171" t="s">
        <v>160</v>
      </c>
      <c r="C46" s="171" t="s">
        <v>73</v>
      </c>
      <c r="D46" s="171" t="s">
        <v>497</v>
      </c>
      <c r="E46" s="171" t="s">
        <v>499</v>
      </c>
      <c r="F46" s="171" t="s">
        <v>500</v>
      </c>
      <c r="G46" s="171" t="s">
        <v>501</v>
      </c>
      <c r="H46" s="171" t="s">
        <v>165</v>
      </c>
      <c r="I46" s="171">
        <v>202605.5</v>
      </c>
      <c r="J46" s="221">
        <v>5.25</v>
      </c>
      <c r="K46" s="171" t="s">
        <v>73</v>
      </c>
      <c r="L46" s="171" t="s">
        <v>195</v>
      </c>
      <c r="M46" s="171" t="s">
        <v>502</v>
      </c>
      <c r="N46" s="171" t="s">
        <v>503</v>
      </c>
      <c r="O46" s="217"/>
      <c r="P46" s="171" t="s">
        <v>138</v>
      </c>
      <c r="Q46" s="171" t="s">
        <v>100</v>
      </c>
      <c r="R46" s="171" t="s">
        <v>262</v>
      </c>
      <c r="S46" s="171" t="s">
        <v>439</v>
      </c>
      <c r="T46" s="171" t="s">
        <v>103</v>
      </c>
      <c r="U46" s="171" t="s">
        <v>264</v>
      </c>
      <c r="V46" s="171" t="s">
        <v>264</v>
      </c>
      <c r="W46" s="191" t="s">
        <v>9</v>
      </c>
      <c r="X46" s="217" t="s">
        <v>172</v>
      </c>
      <c r="Y46" s="171" t="s">
        <v>173</v>
      </c>
      <c r="Z46" s="171" t="s">
        <v>174</v>
      </c>
      <c r="AA46" s="171" t="s">
        <v>175</v>
      </c>
      <c r="AB46" s="222">
        <f t="shared" si="4"/>
        <v>1</v>
      </c>
      <c r="AC46" s="221">
        <v>1</v>
      </c>
      <c r="AD46" s="222">
        <v>1</v>
      </c>
      <c r="AE46" s="222">
        <v>1</v>
      </c>
      <c r="AF46" s="217"/>
      <c r="AG46" s="217"/>
      <c r="AH46" s="222">
        <v>1</v>
      </c>
      <c r="AI46" s="217"/>
      <c r="AJ46" s="222">
        <v>1</v>
      </c>
      <c r="AK46" s="222">
        <v>1</v>
      </c>
      <c r="AL46" s="222">
        <v>1</v>
      </c>
      <c r="AM46" s="222">
        <v>1</v>
      </c>
      <c r="AN46" s="222">
        <v>1</v>
      </c>
      <c r="AO46" s="222">
        <v>1</v>
      </c>
      <c r="AP46" s="222">
        <v>1</v>
      </c>
      <c r="AQ46" s="217"/>
      <c r="AR46" s="4"/>
      <c r="AS46" s="217" t="s">
        <v>229</v>
      </c>
      <c r="AT46" s="217"/>
      <c r="AU46" s="96" t="s">
        <v>504</v>
      </c>
    </row>
    <row r="47" spans="1:47">
      <c r="A47" s="171" t="s">
        <v>505</v>
      </c>
      <c r="B47" s="171" t="s">
        <v>160</v>
      </c>
      <c r="C47" s="171" t="s">
        <v>73</v>
      </c>
      <c r="D47" s="171" t="s">
        <v>485</v>
      </c>
      <c r="E47" s="171" t="s">
        <v>162</v>
      </c>
      <c r="F47" s="171" t="s">
        <v>506</v>
      </c>
      <c r="G47" s="171" t="s">
        <v>507</v>
      </c>
      <c r="H47" s="171" t="s">
        <v>165</v>
      </c>
      <c r="I47" s="171">
        <v>202605.5</v>
      </c>
      <c r="J47" s="221">
        <v>5.25</v>
      </c>
      <c r="K47" s="171" t="s">
        <v>73</v>
      </c>
      <c r="L47" s="171" t="s">
        <v>297</v>
      </c>
      <c r="M47" s="171" t="s">
        <v>508</v>
      </c>
      <c r="N47" s="171" t="s">
        <v>509</v>
      </c>
      <c r="O47" s="217"/>
      <c r="P47" s="171" t="s">
        <v>138</v>
      </c>
      <c r="Q47" s="171" t="s">
        <v>100</v>
      </c>
      <c r="R47" s="171" t="s">
        <v>262</v>
      </c>
      <c r="S47" s="171" t="s">
        <v>439</v>
      </c>
      <c r="T47" s="171" t="s">
        <v>103</v>
      </c>
      <c r="U47" s="171" t="s">
        <v>264</v>
      </c>
      <c r="V47" s="171" t="s">
        <v>264</v>
      </c>
      <c r="W47" s="191" t="s">
        <v>9</v>
      </c>
      <c r="X47" s="217" t="s">
        <v>172</v>
      </c>
      <c r="Y47" s="171" t="s">
        <v>173</v>
      </c>
      <c r="Z47" s="171" t="s">
        <v>174</v>
      </c>
      <c r="AA47" s="171" t="s">
        <v>175</v>
      </c>
      <c r="AB47" s="222">
        <f t="shared" si="4"/>
        <v>1</v>
      </c>
      <c r="AC47" s="221">
        <v>1</v>
      </c>
      <c r="AD47" s="222">
        <v>1</v>
      </c>
      <c r="AE47" s="222">
        <v>1</v>
      </c>
      <c r="AF47" s="217"/>
      <c r="AG47" s="217"/>
      <c r="AH47" s="222">
        <v>1</v>
      </c>
      <c r="AI47" s="217"/>
      <c r="AJ47" s="222">
        <v>1</v>
      </c>
      <c r="AK47" s="222">
        <v>1</v>
      </c>
      <c r="AL47" s="222">
        <v>1</v>
      </c>
      <c r="AM47" s="222">
        <v>1</v>
      </c>
      <c r="AN47" s="222">
        <v>1</v>
      </c>
      <c r="AO47" s="222">
        <v>1</v>
      </c>
      <c r="AP47" s="222">
        <v>1</v>
      </c>
      <c r="AQ47" s="217"/>
      <c r="AR47" s="4"/>
      <c r="AS47" s="217" t="s">
        <v>237</v>
      </c>
      <c r="AT47" s="217"/>
      <c r="AU47" s="96" t="s">
        <v>480</v>
      </c>
    </row>
    <row r="48" spans="1:47">
      <c r="A48" s="171" t="s">
        <v>510</v>
      </c>
      <c r="B48" s="171" t="s">
        <v>160</v>
      </c>
      <c r="C48" s="171" t="s">
        <v>73</v>
      </c>
      <c r="D48" s="171" t="s">
        <v>511</v>
      </c>
      <c r="E48" s="171" t="s">
        <v>162</v>
      </c>
      <c r="F48" s="171" t="s">
        <v>512</v>
      </c>
      <c r="G48" s="171" t="s">
        <v>513</v>
      </c>
      <c r="H48" s="171" t="s">
        <v>165</v>
      </c>
      <c r="I48" s="171">
        <v>202605.5</v>
      </c>
      <c r="J48" s="221">
        <v>5.25</v>
      </c>
      <c r="K48" s="171" t="s">
        <v>73</v>
      </c>
      <c r="L48" s="171" t="s">
        <v>221</v>
      </c>
      <c r="M48" s="171" t="s">
        <v>514</v>
      </c>
      <c r="N48" s="171" t="s">
        <v>515</v>
      </c>
      <c r="O48" s="217"/>
      <c r="P48" s="171" t="s">
        <v>138</v>
      </c>
      <c r="Q48" s="171" t="s">
        <v>100</v>
      </c>
      <c r="R48" s="171" t="s">
        <v>262</v>
      </c>
      <c r="S48" s="171" t="s">
        <v>439</v>
      </c>
      <c r="T48" s="171" t="s">
        <v>103</v>
      </c>
      <c r="U48" s="171" t="s">
        <v>264</v>
      </c>
      <c r="V48" s="171" t="s">
        <v>264</v>
      </c>
      <c r="W48" s="191" t="s">
        <v>9</v>
      </c>
      <c r="X48" s="217" t="s">
        <v>172</v>
      </c>
      <c r="Y48" s="171" t="s">
        <v>173</v>
      </c>
      <c r="Z48" s="171" t="s">
        <v>174</v>
      </c>
      <c r="AA48" s="171" t="s">
        <v>175</v>
      </c>
      <c r="AB48" s="222">
        <f t="shared" si="4"/>
        <v>1</v>
      </c>
      <c r="AC48" s="221">
        <v>1</v>
      </c>
      <c r="AD48" s="222">
        <v>1</v>
      </c>
      <c r="AE48" s="222">
        <v>1</v>
      </c>
      <c r="AF48" s="217"/>
      <c r="AG48" s="217"/>
      <c r="AH48" s="222">
        <v>1</v>
      </c>
      <c r="AI48" s="217"/>
      <c r="AJ48" s="222">
        <v>1</v>
      </c>
      <c r="AK48" s="222">
        <v>1</v>
      </c>
      <c r="AL48" s="222">
        <v>1</v>
      </c>
      <c r="AM48" s="222">
        <v>1</v>
      </c>
      <c r="AN48" s="222">
        <v>1</v>
      </c>
      <c r="AO48" s="222">
        <v>1</v>
      </c>
      <c r="AP48" s="222">
        <v>1</v>
      </c>
      <c r="AQ48" s="217"/>
      <c r="AR48" s="4"/>
      <c r="AS48" s="217" t="s">
        <v>245</v>
      </c>
      <c r="AT48" s="217"/>
      <c r="AU48" s="96" t="s">
        <v>516</v>
      </c>
    </row>
    <row r="49" spans="1:47">
      <c r="A49" s="171" t="s">
        <v>517</v>
      </c>
      <c r="B49" s="171" t="s">
        <v>160</v>
      </c>
      <c r="C49" s="171" t="s">
        <v>73</v>
      </c>
      <c r="D49" s="171" t="s">
        <v>518</v>
      </c>
      <c r="E49" s="171" t="s">
        <v>162</v>
      </c>
      <c r="F49" s="171" t="s">
        <v>519</v>
      </c>
      <c r="G49" s="171" t="s">
        <v>520</v>
      </c>
      <c r="H49" s="171" t="s">
        <v>165</v>
      </c>
      <c r="I49" s="171">
        <v>202605.5</v>
      </c>
      <c r="J49" s="221">
        <v>5.25</v>
      </c>
      <c r="K49" s="171" t="s">
        <v>73</v>
      </c>
      <c r="L49" s="171" t="s">
        <v>521</v>
      </c>
      <c r="M49" s="171" t="s">
        <v>522</v>
      </c>
      <c r="N49" s="171" t="s">
        <v>523</v>
      </c>
      <c r="O49" s="217"/>
      <c r="P49" s="171" t="s">
        <v>138</v>
      </c>
      <c r="Q49" s="171" t="s">
        <v>100</v>
      </c>
      <c r="R49" s="171" t="s">
        <v>262</v>
      </c>
      <c r="S49" s="171" t="s">
        <v>439</v>
      </c>
      <c r="T49" s="171" t="s">
        <v>103</v>
      </c>
      <c r="U49" s="171" t="s">
        <v>264</v>
      </c>
      <c r="V49" s="171" t="s">
        <v>264</v>
      </c>
      <c r="W49" s="191" t="s">
        <v>9</v>
      </c>
      <c r="X49" s="217" t="s">
        <v>172</v>
      </c>
      <c r="Y49" s="171" t="s">
        <v>173</v>
      </c>
      <c r="Z49" s="171" t="s">
        <v>174</v>
      </c>
      <c r="AA49" s="171" t="s">
        <v>175</v>
      </c>
      <c r="AB49" s="222">
        <f t="shared" si="4"/>
        <v>1</v>
      </c>
      <c r="AC49" s="221">
        <v>1</v>
      </c>
      <c r="AD49" s="222">
        <v>1</v>
      </c>
      <c r="AE49" s="222">
        <v>1</v>
      </c>
      <c r="AF49" s="217"/>
      <c r="AG49" s="217"/>
      <c r="AH49" s="222">
        <v>1</v>
      </c>
      <c r="AI49" s="217"/>
      <c r="AJ49" s="222">
        <v>1</v>
      </c>
      <c r="AK49" s="222">
        <v>1</v>
      </c>
      <c r="AL49" s="222">
        <v>1</v>
      </c>
      <c r="AM49" s="222">
        <v>1</v>
      </c>
      <c r="AN49" s="222">
        <v>1</v>
      </c>
      <c r="AO49" s="222">
        <v>1</v>
      </c>
      <c r="AP49" s="222">
        <v>1</v>
      </c>
      <c r="AQ49" s="217"/>
      <c r="AR49" s="4"/>
      <c r="AS49" s="217" t="s">
        <v>254</v>
      </c>
      <c r="AT49" s="217"/>
      <c r="AU49" s="96" t="s">
        <v>524</v>
      </c>
    </row>
    <row r="50" spans="1:47">
      <c r="A50" s="171" t="s">
        <v>525</v>
      </c>
      <c r="B50" s="171" t="s">
        <v>160</v>
      </c>
      <c r="C50" s="171" t="s">
        <v>73</v>
      </c>
      <c r="D50" s="171" t="s">
        <v>526</v>
      </c>
      <c r="E50" s="171" t="s">
        <v>162</v>
      </c>
      <c r="F50" s="171" t="s">
        <v>527</v>
      </c>
      <c r="G50" s="171" t="s">
        <v>528</v>
      </c>
      <c r="H50" s="171" t="s">
        <v>165</v>
      </c>
      <c r="I50" s="171">
        <v>202605.5</v>
      </c>
      <c r="J50" s="221">
        <v>5.25</v>
      </c>
      <c r="K50" s="171" t="s">
        <v>73</v>
      </c>
      <c r="L50" s="171" t="s">
        <v>237</v>
      </c>
      <c r="M50" s="171" t="s">
        <v>529</v>
      </c>
      <c r="N50" s="171" t="s">
        <v>530</v>
      </c>
      <c r="O50" s="217"/>
      <c r="P50" s="171" t="s">
        <v>138</v>
      </c>
      <c r="Q50" s="171" t="s">
        <v>100</v>
      </c>
      <c r="R50" s="171" t="s">
        <v>262</v>
      </c>
      <c r="S50" s="171" t="s">
        <v>439</v>
      </c>
      <c r="T50" s="171" t="s">
        <v>103</v>
      </c>
      <c r="U50" s="171" t="s">
        <v>264</v>
      </c>
      <c r="V50" s="171" t="s">
        <v>264</v>
      </c>
      <c r="W50" s="191" t="s">
        <v>9</v>
      </c>
      <c r="X50" s="217" t="s">
        <v>172</v>
      </c>
      <c r="Y50" s="171" t="s">
        <v>173</v>
      </c>
      <c r="Z50" s="171" t="s">
        <v>174</v>
      </c>
      <c r="AA50" s="171" t="s">
        <v>175</v>
      </c>
      <c r="AB50" s="222">
        <f t="shared" si="4"/>
        <v>1</v>
      </c>
      <c r="AC50" s="221">
        <v>1</v>
      </c>
      <c r="AD50" s="222">
        <v>1</v>
      </c>
      <c r="AE50" s="222">
        <v>1</v>
      </c>
      <c r="AF50" s="217"/>
      <c r="AG50" s="217"/>
      <c r="AH50" s="222">
        <v>1</v>
      </c>
      <c r="AI50" s="217"/>
      <c r="AJ50" s="222">
        <v>1</v>
      </c>
      <c r="AK50" s="222">
        <v>1</v>
      </c>
      <c r="AL50" s="222">
        <v>1</v>
      </c>
      <c r="AM50" s="222"/>
      <c r="AN50" s="217"/>
      <c r="AO50" s="217"/>
      <c r="AP50" s="226" t="s">
        <v>405</v>
      </c>
      <c r="AQ50" s="222">
        <v>1</v>
      </c>
      <c r="AR50" s="133" t="s">
        <v>194</v>
      </c>
      <c r="AS50" s="217" t="s">
        <v>265</v>
      </c>
      <c r="AT50" s="217"/>
      <c r="AU50" s="96" t="s">
        <v>487</v>
      </c>
    </row>
    <row r="51" spans="1:47">
      <c r="A51" s="171" t="s">
        <v>531</v>
      </c>
      <c r="B51" s="171" t="s">
        <v>160</v>
      </c>
      <c r="C51" s="171" t="s">
        <v>73</v>
      </c>
      <c r="D51" s="171" t="s">
        <v>524</v>
      </c>
      <c r="E51" s="171" t="s">
        <v>162</v>
      </c>
      <c r="F51" s="171" t="s">
        <v>532</v>
      </c>
      <c r="G51" s="171" t="s">
        <v>533</v>
      </c>
      <c r="H51" s="171" t="s">
        <v>165</v>
      </c>
      <c r="I51" s="171">
        <v>202605.5</v>
      </c>
      <c r="J51" s="221">
        <v>5.25</v>
      </c>
      <c r="K51" s="171" t="s">
        <v>73</v>
      </c>
      <c r="L51" s="171" t="s">
        <v>229</v>
      </c>
      <c r="M51" s="171" t="s">
        <v>534</v>
      </c>
      <c r="N51" s="171" t="s">
        <v>535</v>
      </c>
      <c r="O51" s="217"/>
      <c r="P51" s="171" t="s">
        <v>138</v>
      </c>
      <c r="Q51" s="171" t="s">
        <v>100</v>
      </c>
      <c r="R51" s="171" t="s">
        <v>262</v>
      </c>
      <c r="S51" s="171" t="s">
        <v>439</v>
      </c>
      <c r="T51" s="171" t="s">
        <v>103</v>
      </c>
      <c r="U51" s="171" t="s">
        <v>264</v>
      </c>
      <c r="V51" s="171" t="s">
        <v>264</v>
      </c>
      <c r="W51" s="191" t="s">
        <v>9</v>
      </c>
      <c r="X51" s="217" t="s">
        <v>172</v>
      </c>
      <c r="Y51" s="171" t="s">
        <v>173</v>
      </c>
      <c r="Z51" s="171" t="s">
        <v>174</v>
      </c>
      <c r="AA51" s="171" t="s">
        <v>175</v>
      </c>
      <c r="AB51" s="222">
        <f t="shared" si="4"/>
        <v>1</v>
      </c>
      <c r="AC51" s="221">
        <v>1</v>
      </c>
      <c r="AD51" s="222">
        <v>1</v>
      </c>
      <c r="AE51" s="222">
        <v>1</v>
      </c>
      <c r="AF51" s="217"/>
      <c r="AG51" s="217"/>
      <c r="AH51" s="222">
        <v>1</v>
      </c>
      <c r="AI51" s="217"/>
      <c r="AJ51" s="222">
        <v>1</v>
      </c>
      <c r="AK51" s="222">
        <v>1</v>
      </c>
      <c r="AL51" s="222">
        <v>1</v>
      </c>
      <c r="AM51" s="222">
        <v>1</v>
      </c>
      <c r="AN51" s="222">
        <v>1</v>
      </c>
      <c r="AO51" s="222">
        <v>1</v>
      </c>
      <c r="AP51" s="222">
        <v>1</v>
      </c>
      <c r="AQ51" s="217"/>
      <c r="AR51" s="4"/>
      <c r="AS51" s="217" t="s">
        <v>272</v>
      </c>
      <c r="AT51" s="217"/>
      <c r="AU51" s="96" t="s">
        <v>536</v>
      </c>
    </row>
    <row r="52" spans="1:47">
      <c r="A52" s="171" t="s">
        <v>537</v>
      </c>
      <c r="B52" s="171" t="s">
        <v>160</v>
      </c>
      <c r="C52" s="171" t="s">
        <v>73</v>
      </c>
      <c r="D52" s="171" t="s">
        <v>516</v>
      </c>
      <c r="E52" s="171" t="s">
        <v>162</v>
      </c>
      <c r="F52" s="171" t="s">
        <v>538</v>
      </c>
      <c r="G52" s="171" t="s">
        <v>539</v>
      </c>
      <c r="H52" s="171" t="s">
        <v>165</v>
      </c>
      <c r="I52" s="171">
        <v>202605.5</v>
      </c>
      <c r="J52" s="221">
        <v>5.25</v>
      </c>
      <c r="K52" s="171" t="s">
        <v>73</v>
      </c>
      <c r="L52" s="171" t="s">
        <v>540</v>
      </c>
      <c r="M52" s="171" t="s">
        <v>541</v>
      </c>
      <c r="N52" s="171" t="s">
        <v>542</v>
      </c>
      <c r="O52" s="217"/>
      <c r="P52" s="171" t="s">
        <v>138</v>
      </c>
      <c r="Q52" s="171" t="s">
        <v>100</v>
      </c>
      <c r="R52" s="171" t="s">
        <v>262</v>
      </c>
      <c r="S52" s="171" t="s">
        <v>439</v>
      </c>
      <c r="T52" s="171" t="s">
        <v>103</v>
      </c>
      <c r="U52" s="171" t="s">
        <v>264</v>
      </c>
      <c r="V52" s="171" t="s">
        <v>264</v>
      </c>
      <c r="W52" s="191" t="s">
        <v>9</v>
      </c>
      <c r="X52" s="217" t="s">
        <v>172</v>
      </c>
      <c r="Y52" s="171" t="s">
        <v>173</v>
      </c>
      <c r="Z52" s="171" t="s">
        <v>174</v>
      </c>
      <c r="AA52" s="171" t="s">
        <v>175</v>
      </c>
      <c r="AB52" s="222">
        <f t="shared" si="4"/>
        <v>1</v>
      </c>
      <c r="AC52" s="221">
        <v>1</v>
      </c>
      <c r="AD52" s="222">
        <v>1</v>
      </c>
      <c r="AE52" s="222">
        <v>1</v>
      </c>
      <c r="AF52" s="217"/>
      <c r="AG52" s="217"/>
      <c r="AH52" s="222">
        <v>1</v>
      </c>
      <c r="AI52" s="217"/>
      <c r="AJ52" s="222">
        <v>1</v>
      </c>
      <c r="AK52" s="222">
        <v>1</v>
      </c>
      <c r="AL52" s="222">
        <v>1</v>
      </c>
      <c r="AM52" s="222">
        <v>1</v>
      </c>
      <c r="AN52" s="222">
        <v>1</v>
      </c>
      <c r="AO52" s="222">
        <v>1</v>
      </c>
      <c r="AP52" s="222">
        <v>1</v>
      </c>
      <c r="AQ52" s="217"/>
      <c r="AR52" s="4"/>
      <c r="AS52" s="217" t="s">
        <v>279</v>
      </c>
      <c r="AT52" s="217"/>
      <c r="AU52" s="96" t="s">
        <v>449</v>
      </c>
    </row>
    <row r="53" spans="1:47">
      <c r="A53" s="171" t="s">
        <v>543</v>
      </c>
      <c r="B53" s="171" t="s">
        <v>160</v>
      </c>
      <c r="C53" s="171" t="s">
        <v>73</v>
      </c>
      <c r="D53" s="171" t="s">
        <v>544</v>
      </c>
      <c r="E53" s="171" t="s">
        <v>162</v>
      </c>
      <c r="F53" s="171" t="s">
        <v>545</v>
      </c>
      <c r="G53" s="171" t="s">
        <v>546</v>
      </c>
      <c r="H53" s="171" t="s">
        <v>165</v>
      </c>
      <c r="I53" s="171">
        <v>202605.5</v>
      </c>
      <c r="J53" s="221">
        <v>5.25</v>
      </c>
      <c r="K53" s="171" t="s">
        <v>73</v>
      </c>
      <c r="L53" s="171" t="s">
        <v>547</v>
      </c>
      <c r="M53" s="171" t="s">
        <v>548</v>
      </c>
      <c r="N53" s="171" t="s">
        <v>549</v>
      </c>
      <c r="O53" s="217"/>
      <c r="P53" s="171" t="s">
        <v>138</v>
      </c>
      <c r="Q53" s="171" t="s">
        <v>100</v>
      </c>
      <c r="R53" s="171" t="s">
        <v>262</v>
      </c>
      <c r="S53" s="171" t="s">
        <v>439</v>
      </c>
      <c r="T53" s="171" t="s">
        <v>103</v>
      </c>
      <c r="U53" s="171" t="s">
        <v>264</v>
      </c>
      <c r="V53" s="171" t="s">
        <v>264</v>
      </c>
      <c r="W53" s="191" t="s">
        <v>9</v>
      </c>
      <c r="X53" s="217" t="s">
        <v>172</v>
      </c>
      <c r="Y53" s="171" t="s">
        <v>173</v>
      </c>
      <c r="Z53" s="171" t="s">
        <v>174</v>
      </c>
      <c r="AA53" s="171" t="s">
        <v>175</v>
      </c>
      <c r="AB53" s="222">
        <f t="shared" si="4"/>
        <v>1</v>
      </c>
      <c r="AC53" s="221">
        <v>1</v>
      </c>
      <c r="AD53" s="222">
        <v>1</v>
      </c>
      <c r="AE53" s="222">
        <v>1</v>
      </c>
      <c r="AF53" s="217"/>
      <c r="AG53" s="217"/>
      <c r="AH53" s="222">
        <v>1</v>
      </c>
      <c r="AI53" s="217"/>
      <c r="AJ53" s="222">
        <v>1</v>
      </c>
      <c r="AK53" s="222">
        <v>1</v>
      </c>
      <c r="AL53" s="222">
        <v>1</v>
      </c>
      <c r="AM53" s="222"/>
      <c r="AN53" s="217"/>
      <c r="AO53" s="217"/>
      <c r="AP53" s="226" t="s">
        <v>405</v>
      </c>
      <c r="AQ53" s="222">
        <v>1</v>
      </c>
      <c r="AR53" s="133" t="s">
        <v>194</v>
      </c>
      <c r="AS53" s="217" t="s">
        <v>288</v>
      </c>
      <c r="AT53" s="217"/>
      <c r="AU53" s="96" t="s">
        <v>518</v>
      </c>
    </row>
    <row r="54" spans="1:47">
      <c r="A54" s="171" t="s">
        <v>550</v>
      </c>
      <c r="B54" s="171" t="s">
        <v>160</v>
      </c>
      <c r="C54" s="171" t="s">
        <v>73</v>
      </c>
      <c r="D54" s="171" t="s">
        <v>536</v>
      </c>
      <c r="E54" s="171" t="s">
        <v>162</v>
      </c>
      <c r="F54" s="171" t="s">
        <v>551</v>
      </c>
      <c r="G54" s="171" t="s">
        <v>552</v>
      </c>
      <c r="H54" s="171" t="s">
        <v>165</v>
      </c>
      <c r="I54" s="171">
        <v>202605.5</v>
      </c>
      <c r="J54" s="221">
        <v>5.25</v>
      </c>
      <c r="K54" s="171" t="s">
        <v>73</v>
      </c>
      <c r="L54" s="171" t="s">
        <v>322</v>
      </c>
      <c r="M54" s="171" t="s">
        <v>553</v>
      </c>
      <c r="N54" s="171" t="s">
        <v>554</v>
      </c>
      <c r="O54" s="217"/>
      <c r="P54" s="171" t="s">
        <v>138</v>
      </c>
      <c r="Q54" s="171" t="s">
        <v>100</v>
      </c>
      <c r="R54" s="171" t="s">
        <v>262</v>
      </c>
      <c r="S54" s="171" t="s">
        <v>439</v>
      </c>
      <c r="T54" s="171" t="s">
        <v>103</v>
      </c>
      <c r="U54" s="171" t="s">
        <v>264</v>
      </c>
      <c r="V54" s="171" t="s">
        <v>264</v>
      </c>
      <c r="W54" s="191" t="s">
        <v>9</v>
      </c>
      <c r="X54" s="217" t="s">
        <v>172</v>
      </c>
      <c r="Y54" s="171" t="s">
        <v>173</v>
      </c>
      <c r="Z54" s="171" t="s">
        <v>174</v>
      </c>
      <c r="AA54" s="171" t="s">
        <v>175</v>
      </c>
      <c r="AB54" s="222">
        <f t="shared" si="4"/>
        <v>1</v>
      </c>
      <c r="AC54" s="221">
        <v>1</v>
      </c>
      <c r="AD54" s="222">
        <v>1</v>
      </c>
      <c r="AE54" s="222">
        <v>1</v>
      </c>
      <c r="AF54" s="217"/>
      <c r="AG54" s="217"/>
      <c r="AH54" s="222">
        <v>1</v>
      </c>
      <c r="AI54" s="217"/>
      <c r="AJ54" s="222">
        <v>1</v>
      </c>
      <c r="AK54" s="222">
        <v>1</v>
      </c>
      <c r="AL54" s="222">
        <v>1</v>
      </c>
      <c r="AM54" s="222">
        <v>1</v>
      </c>
      <c r="AN54" s="222">
        <v>1</v>
      </c>
      <c r="AO54" s="222">
        <v>1</v>
      </c>
      <c r="AP54" s="222">
        <v>1</v>
      </c>
      <c r="AQ54" s="217"/>
      <c r="AR54" s="4"/>
      <c r="AS54" s="217" t="s">
        <v>297</v>
      </c>
      <c r="AT54" s="217"/>
      <c r="AU54" s="96" t="s">
        <v>511</v>
      </c>
    </row>
    <row r="55" spans="1:47">
      <c r="A55" s="171" t="s">
        <v>555</v>
      </c>
      <c r="B55" s="171" t="s">
        <v>160</v>
      </c>
      <c r="C55" s="171" t="s">
        <v>73</v>
      </c>
      <c r="D55" s="171" t="s">
        <v>478</v>
      </c>
      <c r="E55" s="171" t="s">
        <v>162</v>
      </c>
      <c r="F55" s="171" t="s">
        <v>556</v>
      </c>
      <c r="G55" s="171" t="s">
        <v>557</v>
      </c>
      <c r="H55" s="171" t="s">
        <v>165</v>
      </c>
      <c r="I55" s="171">
        <v>202605.5</v>
      </c>
      <c r="J55" s="221">
        <v>5.25</v>
      </c>
      <c r="K55" s="171" t="s">
        <v>73</v>
      </c>
      <c r="L55" s="171" t="s">
        <v>314</v>
      </c>
      <c r="M55" s="171" t="s">
        <v>558</v>
      </c>
      <c r="N55" s="171" t="s">
        <v>559</v>
      </c>
      <c r="O55" s="217"/>
      <c r="P55" s="171" t="s">
        <v>138</v>
      </c>
      <c r="Q55" s="171" t="s">
        <v>100</v>
      </c>
      <c r="R55" s="171" t="s">
        <v>262</v>
      </c>
      <c r="S55" s="171" t="s">
        <v>439</v>
      </c>
      <c r="T55" s="171" t="s">
        <v>103</v>
      </c>
      <c r="U55" s="171" t="s">
        <v>264</v>
      </c>
      <c r="V55" s="171" t="s">
        <v>264</v>
      </c>
      <c r="W55" s="191" t="s">
        <v>9</v>
      </c>
      <c r="X55" s="217" t="s">
        <v>172</v>
      </c>
      <c r="Y55" s="171" t="s">
        <v>173</v>
      </c>
      <c r="Z55" s="171" t="s">
        <v>174</v>
      </c>
      <c r="AA55" s="171" t="s">
        <v>175</v>
      </c>
      <c r="AB55" s="222">
        <f t="shared" si="4"/>
        <v>1</v>
      </c>
      <c r="AC55" s="221">
        <v>1</v>
      </c>
      <c r="AD55" s="222">
        <v>1</v>
      </c>
      <c r="AE55" s="222">
        <v>1</v>
      </c>
      <c r="AF55" s="217"/>
      <c r="AG55" s="217"/>
      <c r="AH55" s="222">
        <v>1</v>
      </c>
      <c r="AI55" s="217"/>
      <c r="AJ55" s="222">
        <v>1</v>
      </c>
      <c r="AK55" s="222">
        <v>1</v>
      </c>
      <c r="AL55" s="222">
        <v>1</v>
      </c>
      <c r="AM55" s="222">
        <v>1</v>
      </c>
      <c r="AN55" s="222">
        <v>1</v>
      </c>
      <c r="AO55" s="222">
        <v>1</v>
      </c>
      <c r="AP55" s="222">
        <v>1</v>
      </c>
      <c r="AQ55" s="217"/>
      <c r="AR55" s="4"/>
      <c r="AS55" s="217" t="s">
        <v>306</v>
      </c>
      <c r="AT55" s="217"/>
      <c r="AU55" s="96" t="s">
        <v>544</v>
      </c>
    </row>
    <row r="56" spans="1:47">
      <c r="A56" s="171" t="s">
        <v>560</v>
      </c>
      <c r="B56" s="171" t="s">
        <v>160</v>
      </c>
      <c r="C56" s="171" t="s">
        <v>73</v>
      </c>
      <c r="D56" s="171" t="s">
        <v>454</v>
      </c>
      <c r="E56" s="171" t="s">
        <v>162</v>
      </c>
      <c r="F56" s="171" t="s">
        <v>561</v>
      </c>
      <c r="G56" s="171" t="s">
        <v>562</v>
      </c>
      <c r="H56" s="171" t="s">
        <v>165</v>
      </c>
      <c r="I56" s="171">
        <v>202605.5</v>
      </c>
      <c r="J56" s="221">
        <v>5.25</v>
      </c>
      <c r="K56" s="171" t="s">
        <v>73</v>
      </c>
      <c r="L56" s="171" t="s">
        <v>306</v>
      </c>
      <c r="M56" s="171" t="s">
        <v>563</v>
      </c>
      <c r="N56" s="171" t="s">
        <v>564</v>
      </c>
      <c r="O56" s="217"/>
      <c r="P56" s="171" t="s">
        <v>138</v>
      </c>
      <c r="Q56" s="171" t="s">
        <v>100</v>
      </c>
      <c r="R56" s="171" t="s">
        <v>262</v>
      </c>
      <c r="S56" s="171" t="s">
        <v>439</v>
      </c>
      <c r="T56" s="171" t="s">
        <v>103</v>
      </c>
      <c r="U56" s="171" t="s">
        <v>264</v>
      </c>
      <c r="V56" s="171" t="s">
        <v>264</v>
      </c>
      <c r="W56" s="191" t="s">
        <v>9</v>
      </c>
      <c r="X56" s="217" t="s">
        <v>172</v>
      </c>
      <c r="Y56" s="171" t="s">
        <v>173</v>
      </c>
      <c r="Z56" s="171" t="s">
        <v>174</v>
      </c>
      <c r="AA56" s="171" t="s">
        <v>175</v>
      </c>
      <c r="AB56" s="222">
        <f t="shared" si="4"/>
        <v>1</v>
      </c>
      <c r="AC56" s="221">
        <v>1</v>
      </c>
      <c r="AD56" s="222">
        <v>1</v>
      </c>
      <c r="AE56" s="222">
        <v>1</v>
      </c>
      <c r="AF56" s="217"/>
      <c r="AG56" s="217"/>
      <c r="AH56" s="222">
        <v>1</v>
      </c>
      <c r="AI56" s="217"/>
      <c r="AJ56" s="222">
        <v>1</v>
      </c>
      <c r="AK56" s="222">
        <v>1</v>
      </c>
      <c r="AL56" s="222">
        <v>1</v>
      </c>
      <c r="AM56" s="222">
        <v>1</v>
      </c>
      <c r="AN56" s="222">
        <v>1</v>
      </c>
      <c r="AO56" s="222">
        <v>1</v>
      </c>
      <c r="AP56" s="222">
        <v>1</v>
      </c>
      <c r="AQ56" s="217"/>
      <c r="AR56" s="4"/>
      <c r="AS56" s="217" t="s">
        <v>314</v>
      </c>
      <c r="AT56" s="217"/>
      <c r="AU56" s="96" t="s">
        <v>526</v>
      </c>
    </row>
    <row r="57" spans="1:47">
      <c r="A57" s="171" t="s">
        <v>565</v>
      </c>
      <c r="B57" s="171" t="s">
        <v>160</v>
      </c>
      <c r="C57" s="171" t="s">
        <v>73</v>
      </c>
      <c r="D57" s="171" t="s">
        <v>504</v>
      </c>
      <c r="E57" s="171" t="s">
        <v>162</v>
      </c>
      <c r="F57" s="171" t="s">
        <v>566</v>
      </c>
      <c r="G57" s="171" t="s">
        <v>567</v>
      </c>
      <c r="H57" s="171" t="s">
        <v>165</v>
      </c>
      <c r="I57" s="171">
        <v>202605.5</v>
      </c>
      <c r="J57" s="221">
        <v>5.25</v>
      </c>
      <c r="K57" s="171" t="s">
        <v>73</v>
      </c>
      <c r="L57" s="171" t="s">
        <v>288</v>
      </c>
      <c r="M57" s="171" t="s">
        <v>568</v>
      </c>
      <c r="N57" s="171" t="s">
        <v>569</v>
      </c>
      <c r="O57" s="217"/>
      <c r="P57" s="171" t="s">
        <v>138</v>
      </c>
      <c r="Q57" s="171" t="s">
        <v>100</v>
      </c>
      <c r="R57" s="171" t="s">
        <v>262</v>
      </c>
      <c r="S57" s="171" t="s">
        <v>439</v>
      </c>
      <c r="T57" s="171" t="s">
        <v>103</v>
      </c>
      <c r="U57" s="171" t="s">
        <v>264</v>
      </c>
      <c r="V57" s="171" t="s">
        <v>264</v>
      </c>
      <c r="W57" s="191" t="s">
        <v>9</v>
      </c>
      <c r="X57" s="217" t="s">
        <v>172</v>
      </c>
      <c r="Y57" s="171" t="s">
        <v>173</v>
      </c>
      <c r="Z57" s="171" t="s">
        <v>174</v>
      </c>
      <c r="AA57" s="171" t="s">
        <v>175</v>
      </c>
      <c r="AB57" s="222">
        <f t="shared" si="4"/>
        <v>1</v>
      </c>
      <c r="AC57" s="221">
        <v>1</v>
      </c>
      <c r="AD57" s="222">
        <v>1</v>
      </c>
      <c r="AE57" s="222">
        <v>1</v>
      </c>
      <c r="AF57" s="217"/>
      <c r="AG57" s="217"/>
      <c r="AH57" s="222">
        <v>1</v>
      </c>
      <c r="AI57" s="217"/>
      <c r="AJ57" s="222">
        <v>1</v>
      </c>
      <c r="AK57" s="222">
        <v>1</v>
      </c>
      <c r="AL57" s="222">
        <v>1</v>
      </c>
      <c r="AM57" s="222">
        <v>1</v>
      </c>
      <c r="AN57" s="222">
        <v>1</v>
      </c>
      <c r="AO57" s="222">
        <v>1</v>
      </c>
      <c r="AP57" s="222">
        <v>1</v>
      </c>
      <c r="AQ57" s="217"/>
      <c r="AR57" s="4"/>
      <c r="AS57" s="217" t="s">
        <v>322</v>
      </c>
      <c r="AT57" s="217"/>
      <c r="AU57" s="96" t="s">
        <v>467</v>
      </c>
    </row>
    <row r="58" spans="1:47">
      <c r="A58" s="171" t="s">
        <v>570</v>
      </c>
      <c r="B58" s="171" t="s">
        <v>160</v>
      </c>
      <c r="C58" s="171" t="s">
        <v>73</v>
      </c>
      <c r="D58" s="171" t="s">
        <v>571</v>
      </c>
      <c r="E58" s="171" t="s">
        <v>162</v>
      </c>
      <c r="F58" s="171" t="s">
        <v>572</v>
      </c>
      <c r="G58" s="171" t="s">
        <v>573</v>
      </c>
      <c r="H58" s="171" t="s">
        <v>165</v>
      </c>
      <c r="I58" s="171">
        <v>202605.5</v>
      </c>
      <c r="J58" s="221">
        <v>5.25</v>
      </c>
      <c r="K58" s="171" t="s">
        <v>73</v>
      </c>
      <c r="L58" s="171" t="s">
        <v>574</v>
      </c>
      <c r="M58" s="171" t="s">
        <v>575</v>
      </c>
      <c r="N58" s="171" t="s">
        <v>576</v>
      </c>
      <c r="O58" s="217"/>
      <c r="P58" s="171" t="s">
        <v>138</v>
      </c>
      <c r="Q58" s="171" t="s">
        <v>100</v>
      </c>
      <c r="R58" s="171" t="s">
        <v>262</v>
      </c>
      <c r="S58" s="171" t="s">
        <v>439</v>
      </c>
      <c r="T58" s="171" t="s">
        <v>103</v>
      </c>
      <c r="U58" s="171" t="s">
        <v>264</v>
      </c>
      <c r="V58" s="171" t="s">
        <v>264</v>
      </c>
      <c r="W58" s="191" t="s">
        <v>9</v>
      </c>
      <c r="X58" s="217" t="s">
        <v>172</v>
      </c>
      <c r="Y58" s="171" t="s">
        <v>173</v>
      </c>
      <c r="Z58" s="171" t="s">
        <v>174</v>
      </c>
      <c r="AA58" s="171" t="s">
        <v>175</v>
      </c>
      <c r="AB58" s="222">
        <f t="shared" si="4"/>
        <v>1</v>
      </c>
      <c r="AC58" s="221">
        <v>1</v>
      </c>
      <c r="AD58" s="222">
        <v>1</v>
      </c>
      <c r="AE58" s="222">
        <v>1</v>
      </c>
      <c r="AF58" s="217"/>
      <c r="AG58" s="217"/>
      <c r="AH58" s="222">
        <v>1</v>
      </c>
      <c r="AI58" s="217"/>
      <c r="AJ58" s="222">
        <v>1</v>
      </c>
      <c r="AK58" s="222">
        <v>1</v>
      </c>
      <c r="AL58" s="222">
        <v>1</v>
      </c>
      <c r="AM58" s="222">
        <v>1</v>
      </c>
      <c r="AN58" s="222">
        <v>1</v>
      </c>
      <c r="AO58" s="222">
        <v>1</v>
      </c>
      <c r="AP58" s="222">
        <v>1</v>
      </c>
      <c r="AQ58" s="217"/>
      <c r="AR58" s="4"/>
      <c r="AS58" s="217" t="s">
        <v>329</v>
      </c>
      <c r="AT58" s="217"/>
      <c r="AU58" s="96" t="s">
        <v>571</v>
      </c>
    </row>
    <row r="59" spans="1:47">
      <c r="A59" s="228" t="s">
        <v>577</v>
      </c>
      <c r="B59" s="171" t="s">
        <v>160</v>
      </c>
      <c r="C59" s="171" t="s">
        <v>73</v>
      </c>
      <c r="D59" s="228" t="s">
        <v>578</v>
      </c>
      <c r="E59" s="171" t="s">
        <v>162</v>
      </c>
      <c r="F59" s="171" t="s">
        <v>579</v>
      </c>
      <c r="G59" s="171" t="s">
        <v>580</v>
      </c>
      <c r="H59" s="171" t="s">
        <v>165</v>
      </c>
      <c r="I59" s="171">
        <v>202605.5</v>
      </c>
      <c r="J59" s="221">
        <v>5.25</v>
      </c>
      <c r="K59" s="171" t="s">
        <v>73</v>
      </c>
      <c r="L59" s="171" t="s">
        <v>581</v>
      </c>
      <c r="M59" s="171" t="s">
        <v>582</v>
      </c>
      <c r="N59" s="171" t="s">
        <v>583</v>
      </c>
      <c r="O59" s="217"/>
      <c r="P59" s="171" t="s">
        <v>138</v>
      </c>
      <c r="Q59" s="171" t="s">
        <v>100</v>
      </c>
      <c r="R59" s="171" t="s">
        <v>262</v>
      </c>
      <c r="S59" s="171" t="s">
        <v>584</v>
      </c>
      <c r="T59" s="171" t="s">
        <v>103</v>
      </c>
      <c r="U59" s="171" t="s">
        <v>264</v>
      </c>
      <c r="V59" s="171" t="s">
        <v>264</v>
      </c>
      <c r="W59" s="227" t="s">
        <v>17</v>
      </c>
      <c r="X59" s="217" t="s">
        <v>172</v>
      </c>
      <c r="Y59" s="171" t="s">
        <v>173</v>
      </c>
      <c r="Z59" s="171" t="s">
        <v>174</v>
      </c>
      <c r="AA59" s="171" t="s">
        <v>175</v>
      </c>
      <c r="AB59" s="222">
        <f t="shared" si="4"/>
        <v>1</v>
      </c>
      <c r="AC59" s="221">
        <v>1</v>
      </c>
      <c r="AD59" s="222"/>
      <c r="AE59" s="222">
        <v>1</v>
      </c>
      <c r="AF59" s="217"/>
      <c r="AG59" s="217"/>
      <c r="AH59" s="222">
        <v>1</v>
      </c>
      <c r="AI59" s="217"/>
      <c r="AJ59" s="222">
        <v>1</v>
      </c>
      <c r="AK59" s="222">
        <v>1</v>
      </c>
      <c r="AL59" s="222"/>
      <c r="AM59" s="222">
        <v>1</v>
      </c>
      <c r="AN59" s="222">
        <v>1</v>
      </c>
      <c r="AO59" s="222">
        <v>1</v>
      </c>
      <c r="AP59" s="222">
        <v>1</v>
      </c>
      <c r="AQ59" s="217"/>
      <c r="AR59" s="4"/>
      <c r="AS59" s="217" t="s">
        <v>337</v>
      </c>
      <c r="AT59" s="217"/>
      <c r="AU59" s="96" t="s">
        <v>585</v>
      </c>
    </row>
    <row r="60" spans="1:47">
      <c r="A60" s="171" t="s">
        <v>586</v>
      </c>
      <c r="B60" s="171" t="s">
        <v>160</v>
      </c>
      <c r="C60" s="171" t="s">
        <v>73</v>
      </c>
      <c r="D60" s="171" t="s">
        <v>587</v>
      </c>
      <c r="E60" s="171" t="s">
        <v>162</v>
      </c>
      <c r="F60" s="171" t="s">
        <v>588</v>
      </c>
      <c r="G60" s="171" t="s">
        <v>589</v>
      </c>
      <c r="H60" s="171" t="s">
        <v>165</v>
      </c>
      <c r="I60" s="171">
        <v>202605.5</v>
      </c>
      <c r="J60" s="221">
        <v>5.25</v>
      </c>
      <c r="K60" s="171" t="s">
        <v>73</v>
      </c>
      <c r="L60" s="171" t="s">
        <v>590</v>
      </c>
      <c r="M60" s="171" t="s">
        <v>591</v>
      </c>
      <c r="N60" s="171" t="s">
        <v>592</v>
      </c>
      <c r="O60" s="217"/>
      <c r="P60" s="171" t="s">
        <v>138</v>
      </c>
      <c r="Q60" s="171" t="s">
        <v>100</v>
      </c>
      <c r="R60" s="171" t="s">
        <v>262</v>
      </c>
      <c r="S60" s="171" t="s">
        <v>584</v>
      </c>
      <c r="T60" s="171" t="s">
        <v>103</v>
      </c>
      <c r="U60" s="171" t="s">
        <v>264</v>
      </c>
      <c r="V60" s="171" t="s">
        <v>264</v>
      </c>
      <c r="W60" s="191" t="s">
        <v>11</v>
      </c>
      <c r="X60" s="217" t="s">
        <v>172</v>
      </c>
      <c r="Y60" s="171" t="s">
        <v>173</v>
      </c>
      <c r="Z60" s="171" t="s">
        <v>174</v>
      </c>
      <c r="AA60" s="171" t="s">
        <v>175</v>
      </c>
      <c r="AB60" s="222">
        <f t="shared" si="4"/>
        <v>1</v>
      </c>
      <c r="AC60" s="221">
        <v>1</v>
      </c>
      <c r="AD60" s="222">
        <v>1</v>
      </c>
      <c r="AE60" s="222">
        <v>1</v>
      </c>
      <c r="AF60" s="217"/>
      <c r="AG60" s="217"/>
      <c r="AH60" s="222">
        <v>1</v>
      </c>
      <c r="AI60" s="217"/>
      <c r="AJ60" s="222">
        <v>1</v>
      </c>
      <c r="AK60" s="222">
        <v>1</v>
      </c>
      <c r="AL60" s="222">
        <v>1</v>
      </c>
      <c r="AM60" s="222">
        <v>1</v>
      </c>
      <c r="AN60" s="222">
        <v>1</v>
      </c>
      <c r="AO60" s="222">
        <v>1</v>
      </c>
      <c r="AP60" s="222">
        <v>1</v>
      </c>
      <c r="AQ60" s="217"/>
      <c r="AR60" s="4"/>
      <c r="AS60" s="217" t="s">
        <v>226</v>
      </c>
      <c r="AT60" s="217"/>
      <c r="AU60" s="96" t="s">
        <v>593</v>
      </c>
    </row>
    <row r="61" spans="1:47">
      <c r="A61" s="171" t="s">
        <v>594</v>
      </c>
      <c r="B61" s="171" t="s">
        <v>160</v>
      </c>
      <c r="C61" s="171" t="s">
        <v>73</v>
      </c>
      <c r="D61" s="171" t="s">
        <v>595</v>
      </c>
      <c r="E61" s="171" t="s">
        <v>499</v>
      </c>
      <c r="F61" s="171" t="s">
        <v>596</v>
      </c>
      <c r="G61" s="171" t="s">
        <v>597</v>
      </c>
      <c r="H61" s="171" t="s">
        <v>165</v>
      </c>
      <c r="I61" s="171">
        <v>202605.5</v>
      </c>
      <c r="J61" s="221">
        <v>5.25</v>
      </c>
      <c r="K61" s="171" t="s">
        <v>73</v>
      </c>
      <c r="L61" s="171" t="s">
        <v>598</v>
      </c>
      <c r="M61" s="171" t="s">
        <v>599</v>
      </c>
      <c r="N61" s="171" t="s">
        <v>600</v>
      </c>
      <c r="O61" s="217"/>
      <c r="P61" s="171" t="s">
        <v>138</v>
      </c>
      <c r="Q61" s="171" t="s">
        <v>100</v>
      </c>
      <c r="R61" s="171" t="s">
        <v>262</v>
      </c>
      <c r="S61" s="171" t="s">
        <v>584</v>
      </c>
      <c r="T61" s="171" t="s">
        <v>103</v>
      </c>
      <c r="U61" s="171" t="s">
        <v>264</v>
      </c>
      <c r="V61" s="171" t="s">
        <v>264</v>
      </c>
      <c r="W61" s="191" t="s">
        <v>11</v>
      </c>
      <c r="X61" s="217" t="s">
        <v>172</v>
      </c>
      <c r="Y61" s="171" t="s">
        <v>173</v>
      </c>
      <c r="Z61" s="171" t="s">
        <v>174</v>
      </c>
      <c r="AA61" s="171" t="s">
        <v>175</v>
      </c>
      <c r="AB61" s="222">
        <f t="shared" si="4"/>
        <v>1</v>
      </c>
      <c r="AC61" s="221">
        <v>1</v>
      </c>
      <c r="AD61" s="222">
        <v>1</v>
      </c>
      <c r="AE61" s="222">
        <v>1</v>
      </c>
      <c r="AF61" s="217"/>
      <c r="AG61" s="217"/>
      <c r="AH61" s="222">
        <v>1</v>
      </c>
      <c r="AI61" s="217"/>
      <c r="AJ61" s="222">
        <v>1</v>
      </c>
      <c r="AK61" s="222">
        <v>1</v>
      </c>
      <c r="AL61" s="222">
        <v>1</v>
      </c>
      <c r="AM61" s="222">
        <v>1</v>
      </c>
      <c r="AN61" s="222">
        <v>1</v>
      </c>
      <c r="AO61" s="222">
        <v>1</v>
      </c>
      <c r="AP61" s="222">
        <v>1</v>
      </c>
      <c r="AQ61" s="217"/>
      <c r="AR61" s="4"/>
      <c r="AS61" s="217" t="s">
        <v>210</v>
      </c>
      <c r="AT61" s="217"/>
      <c r="AU61" s="96" t="s">
        <v>601</v>
      </c>
    </row>
    <row r="62" spans="1:47">
      <c r="A62" s="171" t="s">
        <v>602</v>
      </c>
      <c r="B62" s="171" t="s">
        <v>160</v>
      </c>
      <c r="C62" s="171" t="s">
        <v>73</v>
      </c>
      <c r="D62" s="171" t="s">
        <v>603</v>
      </c>
      <c r="E62" s="171" t="s">
        <v>162</v>
      </c>
      <c r="F62" s="171" t="s">
        <v>604</v>
      </c>
      <c r="G62" s="171" t="s">
        <v>605</v>
      </c>
      <c r="H62" s="171" t="s">
        <v>165</v>
      </c>
      <c r="I62" s="171">
        <v>202605.5</v>
      </c>
      <c r="J62" s="221">
        <v>5.25</v>
      </c>
      <c r="K62" s="171" t="s">
        <v>73</v>
      </c>
      <c r="L62" s="171" t="s">
        <v>606</v>
      </c>
      <c r="M62" s="171" t="s">
        <v>607</v>
      </c>
      <c r="N62" s="171" t="s">
        <v>608</v>
      </c>
      <c r="O62" s="217"/>
      <c r="P62" s="171" t="s">
        <v>138</v>
      </c>
      <c r="Q62" s="171" t="s">
        <v>100</v>
      </c>
      <c r="R62" s="171" t="s">
        <v>262</v>
      </c>
      <c r="S62" s="171" t="s">
        <v>584</v>
      </c>
      <c r="T62" s="171" t="s">
        <v>103</v>
      </c>
      <c r="U62" s="171" t="s">
        <v>264</v>
      </c>
      <c r="V62" s="171" t="s">
        <v>264</v>
      </c>
      <c r="W62" s="191" t="s">
        <v>11</v>
      </c>
      <c r="X62" s="217" t="s">
        <v>172</v>
      </c>
      <c r="Y62" s="171" t="s">
        <v>173</v>
      </c>
      <c r="Z62" s="171" t="s">
        <v>174</v>
      </c>
      <c r="AA62" s="171" t="s">
        <v>175</v>
      </c>
      <c r="AB62" s="222">
        <f t="shared" si="4"/>
        <v>1</v>
      </c>
      <c r="AC62" s="221">
        <v>1</v>
      </c>
      <c r="AD62" s="222">
        <v>1</v>
      </c>
      <c r="AE62" s="222">
        <v>1</v>
      </c>
      <c r="AF62" s="217"/>
      <c r="AG62" s="217"/>
      <c r="AH62" s="222">
        <v>1</v>
      </c>
      <c r="AI62" s="217"/>
      <c r="AJ62" s="222">
        <v>1</v>
      </c>
      <c r="AK62" s="222">
        <v>1</v>
      </c>
      <c r="AL62" s="222">
        <v>1</v>
      </c>
      <c r="AM62" s="222">
        <v>1</v>
      </c>
      <c r="AN62" s="222">
        <v>1</v>
      </c>
      <c r="AO62" s="222">
        <v>1</v>
      </c>
      <c r="AP62" s="222">
        <v>1</v>
      </c>
      <c r="AQ62" s="217"/>
      <c r="AR62" s="133" t="s">
        <v>194</v>
      </c>
      <c r="AS62" s="217" t="s">
        <v>242</v>
      </c>
      <c r="AT62" s="217"/>
      <c r="AU62" s="96" t="s">
        <v>609</v>
      </c>
    </row>
    <row r="63" spans="1:47">
      <c r="A63" s="171" t="s">
        <v>610</v>
      </c>
      <c r="B63" s="171" t="s">
        <v>160</v>
      </c>
      <c r="C63" s="171" t="s">
        <v>73</v>
      </c>
      <c r="D63" s="171" t="s">
        <v>611</v>
      </c>
      <c r="E63" s="171" t="s">
        <v>162</v>
      </c>
      <c r="F63" s="171" t="s">
        <v>612</v>
      </c>
      <c r="G63" s="171" t="s">
        <v>613</v>
      </c>
      <c r="H63" s="171" t="s">
        <v>165</v>
      </c>
      <c r="I63" s="171">
        <v>202605.5</v>
      </c>
      <c r="J63" s="221">
        <v>5.25</v>
      </c>
      <c r="K63" s="171" t="s">
        <v>73</v>
      </c>
      <c r="L63" s="171" t="s">
        <v>614</v>
      </c>
      <c r="M63" s="171" t="s">
        <v>615</v>
      </c>
      <c r="N63" s="171" t="s">
        <v>616</v>
      </c>
      <c r="O63" s="217"/>
      <c r="P63" s="171" t="s">
        <v>138</v>
      </c>
      <c r="Q63" s="171" t="s">
        <v>100</v>
      </c>
      <c r="R63" s="171" t="s">
        <v>262</v>
      </c>
      <c r="S63" s="171" t="s">
        <v>584</v>
      </c>
      <c r="T63" s="171" t="s">
        <v>103</v>
      </c>
      <c r="U63" s="171" t="s">
        <v>264</v>
      </c>
      <c r="V63" s="171" t="s">
        <v>264</v>
      </c>
      <c r="W63" s="191" t="s">
        <v>11</v>
      </c>
      <c r="X63" s="217" t="s">
        <v>172</v>
      </c>
      <c r="Y63" s="171" t="s">
        <v>173</v>
      </c>
      <c r="Z63" s="171" t="s">
        <v>174</v>
      </c>
      <c r="AA63" s="171" t="s">
        <v>175</v>
      </c>
      <c r="AB63" s="222">
        <f t="shared" si="4"/>
        <v>1</v>
      </c>
      <c r="AC63" s="221">
        <v>1</v>
      </c>
      <c r="AD63" s="222">
        <v>1</v>
      </c>
      <c r="AE63" s="222">
        <v>1</v>
      </c>
      <c r="AF63" s="217"/>
      <c r="AG63" s="217"/>
      <c r="AH63" s="222">
        <v>1</v>
      </c>
      <c r="AI63" s="217"/>
      <c r="AJ63" s="222">
        <v>1</v>
      </c>
      <c r="AK63" s="222">
        <v>1</v>
      </c>
      <c r="AL63" s="222">
        <v>1</v>
      </c>
      <c r="AM63" s="222">
        <v>1</v>
      </c>
      <c r="AN63" s="222">
        <v>1</v>
      </c>
      <c r="AO63" s="222">
        <v>1</v>
      </c>
      <c r="AP63" s="222">
        <v>1</v>
      </c>
      <c r="AQ63" s="217"/>
      <c r="AR63" s="4"/>
      <c r="AS63" s="217" t="s">
        <v>234</v>
      </c>
      <c r="AT63" s="217"/>
      <c r="AU63" s="96" t="s">
        <v>617</v>
      </c>
    </row>
    <row r="64" spans="1:47">
      <c r="A64" s="171" t="s">
        <v>618</v>
      </c>
      <c r="B64" s="171" t="s">
        <v>160</v>
      </c>
      <c r="C64" s="171" t="s">
        <v>73</v>
      </c>
      <c r="D64" s="171" t="s">
        <v>619</v>
      </c>
      <c r="E64" s="171" t="s">
        <v>162</v>
      </c>
      <c r="F64" s="171" t="s">
        <v>620</v>
      </c>
      <c r="G64" s="171" t="s">
        <v>621</v>
      </c>
      <c r="H64" s="171" t="s">
        <v>165</v>
      </c>
      <c r="I64" s="171">
        <v>202605.5</v>
      </c>
      <c r="J64" s="221">
        <v>5.25</v>
      </c>
      <c r="K64" s="171" t="s">
        <v>73</v>
      </c>
      <c r="L64" s="171" t="s">
        <v>622</v>
      </c>
      <c r="M64" s="171" t="s">
        <v>623</v>
      </c>
      <c r="N64" s="171" t="s">
        <v>624</v>
      </c>
      <c r="O64" s="217"/>
      <c r="P64" s="171" t="s">
        <v>138</v>
      </c>
      <c r="Q64" s="171" t="s">
        <v>100</v>
      </c>
      <c r="R64" s="171" t="s">
        <v>262</v>
      </c>
      <c r="S64" s="171" t="s">
        <v>584</v>
      </c>
      <c r="T64" s="171" t="s">
        <v>103</v>
      </c>
      <c r="U64" s="171" t="s">
        <v>264</v>
      </c>
      <c r="V64" s="171" t="s">
        <v>264</v>
      </c>
      <c r="W64" s="191" t="s">
        <v>11</v>
      </c>
      <c r="X64" s="217" t="s">
        <v>172</v>
      </c>
      <c r="Y64" s="171" t="s">
        <v>173</v>
      </c>
      <c r="Z64" s="171" t="s">
        <v>174</v>
      </c>
      <c r="AA64" s="171" t="s">
        <v>175</v>
      </c>
      <c r="AB64" s="222">
        <f t="shared" si="4"/>
        <v>1</v>
      </c>
      <c r="AC64" s="221">
        <v>1</v>
      </c>
      <c r="AD64" s="222">
        <v>1</v>
      </c>
      <c r="AE64" s="222">
        <v>1</v>
      </c>
      <c r="AF64" s="217"/>
      <c r="AG64" s="217"/>
      <c r="AH64" s="222">
        <v>1</v>
      </c>
      <c r="AI64" s="217"/>
      <c r="AJ64" s="222">
        <v>1</v>
      </c>
      <c r="AK64" s="222">
        <v>1</v>
      </c>
      <c r="AL64" s="222">
        <v>1</v>
      </c>
      <c r="AM64" s="222">
        <v>1</v>
      </c>
      <c r="AN64" s="222">
        <v>1</v>
      </c>
      <c r="AO64" s="222">
        <v>1</v>
      </c>
      <c r="AP64" s="222">
        <v>1</v>
      </c>
      <c r="AQ64" s="217"/>
      <c r="AR64" s="4"/>
      <c r="AS64" s="217" t="s">
        <v>191</v>
      </c>
      <c r="AT64" s="217"/>
      <c r="AU64" s="96" t="s">
        <v>611</v>
      </c>
    </row>
    <row r="65" spans="1:47">
      <c r="A65" s="171" t="s">
        <v>625</v>
      </c>
      <c r="B65" s="171" t="s">
        <v>160</v>
      </c>
      <c r="C65" s="171" t="s">
        <v>73</v>
      </c>
      <c r="D65" s="171" t="s">
        <v>626</v>
      </c>
      <c r="E65" s="171" t="s">
        <v>162</v>
      </c>
      <c r="F65" s="171" t="s">
        <v>627</v>
      </c>
      <c r="G65" s="171" t="s">
        <v>628</v>
      </c>
      <c r="H65" s="171" t="s">
        <v>165</v>
      </c>
      <c r="I65" s="171">
        <v>202605.5</v>
      </c>
      <c r="J65" s="221">
        <v>5.25</v>
      </c>
      <c r="K65" s="171" t="s">
        <v>73</v>
      </c>
      <c r="L65" s="171" t="s">
        <v>629</v>
      </c>
      <c r="M65" s="171" t="s">
        <v>630</v>
      </c>
      <c r="N65" s="171" t="s">
        <v>631</v>
      </c>
      <c r="O65" s="217"/>
      <c r="P65" s="171" t="s">
        <v>138</v>
      </c>
      <c r="Q65" s="171" t="s">
        <v>100</v>
      </c>
      <c r="R65" s="171" t="s">
        <v>262</v>
      </c>
      <c r="S65" s="171" t="s">
        <v>584</v>
      </c>
      <c r="T65" s="171" t="s">
        <v>103</v>
      </c>
      <c r="U65" s="171" t="s">
        <v>264</v>
      </c>
      <c r="V65" s="171" t="s">
        <v>264</v>
      </c>
      <c r="W65" s="191" t="s">
        <v>11</v>
      </c>
      <c r="X65" s="217" t="s">
        <v>172</v>
      </c>
      <c r="Y65" s="171" t="s">
        <v>173</v>
      </c>
      <c r="Z65" s="171" t="s">
        <v>174</v>
      </c>
      <c r="AA65" s="171" t="s">
        <v>175</v>
      </c>
      <c r="AB65" s="222">
        <f t="shared" si="4"/>
        <v>1</v>
      </c>
      <c r="AC65" s="221">
        <v>1</v>
      </c>
      <c r="AD65" s="222">
        <v>1</v>
      </c>
      <c r="AE65" s="222">
        <v>1</v>
      </c>
      <c r="AF65" s="217"/>
      <c r="AG65" s="217"/>
      <c r="AH65" s="222">
        <v>1</v>
      </c>
      <c r="AI65" s="217"/>
      <c r="AJ65" s="222">
        <v>1</v>
      </c>
      <c r="AK65" s="222">
        <v>1</v>
      </c>
      <c r="AL65" s="222">
        <v>1</v>
      </c>
      <c r="AM65" s="222">
        <v>1</v>
      </c>
      <c r="AN65" s="222">
        <v>1</v>
      </c>
      <c r="AO65" s="222">
        <v>1</v>
      </c>
      <c r="AP65" s="222">
        <v>1</v>
      </c>
      <c r="AQ65" s="217"/>
      <c r="AR65" s="4"/>
      <c r="AS65" s="217" t="s">
        <v>251</v>
      </c>
      <c r="AT65" s="217"/>
      <c r="AU65" s="96" t="s">
        <v>632</v>
      </c>
    </row>
    <row r="66" spans="1:47">
      <c r="A66" s="171" t="s">
        <v>633</v>
      </c>
      <c r="B66" s="171" t="s">
        <v>160</v>
      </c>
      <c r="C66" s="171" t="s">
        <v>73</v>
      </c>
      <c r="D66" s="171" t="s">
        <v>617</v>
      </c>
      <c r="E66" s="171" t="s">
        <v>162</v>
      </c>
      <c r="F66" s="171" t="s">
        <v>634</v>
      </c>
      <c r="G66" s="171" t="s">
        <v>635</v>
      </c>
      <c r="H66" s="171" t="s">
        <v>165</v>
      </c>
      <c r="I66" s="171">
        <v>202605.5</v>
      </c>
      <c r="J66" s="221">
        <v>5.25</v>
      </c>
      <c r="K66" s="171" t="s">
        <v>73</v>
      </c>
      <c r="L66" s="171" t="s">
        <v>636</v>
      </c>
      <c r="M66" s="171" t="s">
        <v>637</v>
      </c>
      <c r="N66" s="171" t="s">
        <v>638</v>
      </c>
      <c r="O66" s="217"/>
      <c r="P66" s="171" t="s">
        <v>138</v>
      </c>
      <c r="Q66" s="171" t="s">
        <v>100</v>
      </c>
      <c r="R66" s="171" t="s">
        <v>262</v>
      </c>
      <c r="S66" s="171" t="s">
        <v>584</v>
      </c>
      <c r="T66" s="171" t="s">
        <v>103</v>
      </c>
      <c r="U66" s="171" t="s">
        <v>264</v>
      </c>
      <c r="V66" s="171" t="s">
        <v>264</v>
      </c>
      <c r="W66" s="191" t="s">
        <v>11</v>
      </c>
      <c r="X66" s="217" t="s">
        <v>172</v>
      </c>
      <c r="Y66" s="171" t="s">
        <v>173</v>
      </c>
      <c r="Z66" s="171" t="s">
        <v>174</v>
      </c>
      <c r="AA66" s="171" t="s">
        <v>175</v>
      </c>
      <c r="AB66" s="222">
        <f t="shared" si="4"/>
        <v>1</v>
      </c>
      <c r="AC66" s="221">
        <v>1</v>
      </c>
      <c r="AD66" s="222">
        <v>1</v>
      </c>
      <c r="AE66" s="222">
        <v>1</v>
      </c>
      <c r="AF66" s="217"/>
      <c r="AG66" s="217"/>
      <c r="AH66" s="222">
        <v>1</v>
      </c>
      <c r="AI66" s="217"/>
      <c r="AJ66" s="222">
        <v>1</v>
      </c>
      <c r="AK66" s="222">
        <v>1</v>
      </c>
      <c r="AL66" s="222">
        <v>1</v>
      </c>
      <c r="AM66" s="222">
        <v>1</v>
      </c>
      <c r="AN66" s="222">
        <v>1</v>
      </c>
      <c r="AO66" s="222">
        <v>1</v>
      </c>
      <c r="AP66" s="222">
        <v>1</v>
      </c>
      <c r="AQ66" s="217"/>
      <c r="AR66" s="4"/>
      <c r="AS66" s="217" t="s">
        <v>181</v>
      </c>
      <c r="AT66" s="217"/>
      <c r="AU66" s="96" t="s">
        <v>639</v>
      </c>
    </row>
    <row r="67" spans="1:47">
      <c r="A67" s="171" t="s">
        <v>640</v>
      </c>
      <c r="B67" s="171" t="s">
        <v>160</v>
      </c>
      <c r="C67" s="171" t="s">
        <v>73</v>
      </c>
      <c r="D67" s="171" t="s">
        <v>641</v>
      </c>
      <c r="E67" s="171" t="s">
        <v>162</v>
      </c>
      <c r="F67" s="171" t="s">
        <v>642</v>
      </c>
      <c r="G67" s="171" t="s">
        <v>643</v>
      </c>
      <c r="H67" s="171" t="s">
        <v>165</v>
      </c>
      <c r="I67" s="171">
        <v>202605.5</v>
      </c>
      <c r="J67" s="221">
        <v>5.25</v>
      </c>
      <c r="K67" s="171" t="s">
        <v>73</v>
      </c>
      <c r="L67" s="171" t="s">
        <v>644</v>
      </c>
      <c r="M67" s="171" t="s">
        <v>645</v>
      </c>
      <c r="N67" s="171" t="s">
        <v>646</v>
      </c>
      <c r="O67" s="217"/>
      <c r="P67" s="171" t="s">
        <v>138</v>
      </c>
      <c r="Q67" s="171" t="s">
        <v>100</v>
      </c>
      <c r="R67" s="171" t="s">
        <v>262</v>
      </c>
      <c r="S67" s="171" t="s">
        <v>584</v>
      </c>
      <c r="T67" s="171" t="s">
        <v>103</v>
      </c>
      <c r="U67" s="171" t="s">
        <v>264</v>
      </c>
      <c r="V67" s="171" t="s">
        <v>264</v>
      </c>
      <c r="W67" s="191" t="s">
        <v>11</v>
      </c>
      <c r="X67" s="217" t="s">
        <v>172</v>
      </c>
      <c r="Y67" s="171" t="s">
        <v>173</v>
      </c>
      <c r="Z67" s="171" t="s">
        <v>174</v>
      </c>
      <c r="AA67" s="171" t="s">
        <v>175</v>
      </c>
      <c r="AB67" s="222">
        <f t="shared" si="4"/>
        <v>1</v>
      </c>
      <c r="AC67" s="221">
        <v>1</v>
      </c>
      <c r="AD67" s="222">
        <v>1</v>
      </c>
      <c r="AE67" s="222">
        <v>1</v>
      </c>
      <c r="AF67" s="217"/>
      <c r="AG67" s="217"/>
      <c r="AH67" s="222">
        <v>1</v>
      </c>
      <c r="AI67" s="217"/>
      <c r="AJ67" s="222">
        <v>1</v>
      </c>
      <c r="AK67" s="222">
        <v>1</v>
      </c>
      <c r="AL67" s="222">
        <v>1</v>
      </c>
      <c r="AM67" s="222">
        <v>1</v>
      </c>
      <c r="AN67" s="222">
        <v>1</v>
      </c>
      <c r="AO67" s="222">
        <v>1</v>
      </c>
      <c r="AP67" s="222">
        <v>1</v>
      </c>
      <c r="AQ67" s="217"/>
      <c r="AR67" s="4"/>
      <c r="AS67" s="217" t="s">
        <v>201</v>
      </c>
      <c r="AT67" s="217"/>
      <c r="AU67" s="96" t="s">
        <v>603</v>
      </c>
    </row>
    <row r="68" spans="1:47">
      <c r="A68" s="171" t="s">
        <v>647</v>
      </c>
      <c r="B68" s="171" t="s">
        <v>160</v>
      </c>
      <c r="C68" s="171" t="s">
        <v>73</v>
      </c>
      <c r="D68" s="171" t="s">
        <v>648</v>
      </c>
      <c r="E68" s="171" t="s">
        <v>162</v>
      </c>
      <c r="F68" s="171" t="s">
        <v>649</v>
      </c>
      <c r="G68" s="171" t="s">
        <v>650</v>
      </c>
      <c r="H68" s="171" t="s">
        <v>165</v>
      </c>
      <c r="I68" s="171">
        <v>202605.5</v>
      </c>
      <c r="J68" s="221">
        <v>5.25</v>
      </c>
      <c r="K68" s="171" t="s">
        <v>73</v>
      </c>
      <c r="L68" s="171" t="s">
        <v>651</v>
      </c>
      <c r="M68" s="171" t="s">
        <v>652</v>
      </c>
      <c r="N68" s="171" t="s">
        <v>653</v>
      </c>
      <c r="O68" s="217"/>
      <c r="P68" s="171" t="s">
        <v>138</v>
      </c>
      <c r="Q68" s="171" t="s">
        <v>100</v>
      </c>
      <c r="R68" s="171" t="s">
        <v>262</v>
      </c>
      <c r="S68" s="171" t="s">
        <v>584</v>
      </c>
      <c r="T68" s="171" t="s">
        <v>103</v>
      </c>
      <c r="U68" s="171" t="s">
        <v>264</v>
      </c>
      <c r="V68" s="171" t="s">
        <v>264</v>
      </c>
      <c r="W68" s="191" t="s">
        <v>11</v>
      </c>
      <c r="X68" s="217" t="s">
        <v>172</v>
      </c>
      <c r="Y68" s="171" t="s">
        <v>173</v>
      </c>
      <c r="Z68" s="171" t="s">
        <v>174</v>
      </c>
      <c r="AA68" s="171" t="s">
        <v>175</v>
      </c>
      <c r="AB68" s="222">
        <f t="shared" ref="AB68:AB98" si="5">IF(COUNTIF(AU:AU,"*"&amp;D68&amp;"*")&gt;0,1,0)</f>
        <v>1</v>
      </c>
      <c r="AC68" s="221">
        <v>1</v>
      </c>
      <c r="AD68" s="222">
        <v>1</v>
      </c>
      <c r="AE68" s="222">
        <v>1</v>
      </c>
      <c r="AF68" s="217"/>
      <c r="AG68" s="217"/>
      <c r="AH68" s="222">
        <v>1</v>
      </c>
      <c r="AI68" s="217"/>
      <c r="AJ68" s="222">
        <v>1</v>
      </c>
      <c r="AK68" s="222">
        <v>1</v>
      </c>
      <c r="AL68" s="222">
        <v>1</v>
      </c>
      <c r="AM68" s="222">
        <v>1</v>
      </c>
      <c r="AN68" s="222">
        <v>1</v>
      </c>
      <c r="AO68" s="222">
        <v>1</v>
      </c>
      <c r="AP68" s="222">
        <v>1</v>
      </c>
      <c r="AQ68" s="217"/>
      <c r="AR68" s="4"/>
      <c r="AS68" s="217" t="s">
        <v>218</v>
      </c>
      <c r="AT68" s="217"/>
      <c r="AU68" s="96" t="s">
        <v>587</v>
      </c>
    </row>
    <row r="69" spans="1:47">
      <c r="A69" s="171" t="s">
        <v>654</v>
      </c>
      <c r="B69" s="171" t="s">
        <v>160</v>
      </c>
      <c r="C69" s="171" t="s">
        <v>73</v>
      </c>
      <c r="D69" s="171" t="s">
        <v>655</v>
      </c>
      <c r="E69" s="171" t="s">
        <v>162</v>
      </c>
      <c r="F69" s="171" t="s">
        <v>656</v>
      </c>
      <c r="G69" s="171" t="s">
        <v>657</v>
      </c>
      <c r="H69" s="171" t="s">
        <v>165</v>
      </c>
      <c r="I69" s="171">
        <v>202605.5</v>
      </c>
      <c r="J69" s="221">
        <v>5.25</v>
      </c>
      <c r="K69" s="171" t="s">
        <v>73</v>
      </c>
      <c r="L69" s="171" t="s">
        <v>658</v>
      </c>
      <c r="M69" s="171" t="s">
        <v>659</v>
      </c>
      <c r="N69" s="171" t="s">
        <v>660</v>
      </c>
      <c r="O69" s="217"/>
      <c r="P69" s="171" t="s">
        <v>138</v>
      </c>
      <c r="Q69" s="171" t="s">
        <v>100</v>
      </c>
      <c r="R69" s="171" t="s">
        <v>262</v>
      </c>
      <c r="S69" s="171" t="s">
        <v>584</v>
      </c>
      <c r="T69" s="171" t="s">
        <v>103</v>
      </c>
      <c r="U69" s="171" t="s">
        <v>264</v>
      </c>
      <c r="V69" s="171" t="s">
        <v>264</v>
      </c>
      <c r="W69" s="191" t="s">
        <v>11</v>
      </c>
      <c r="X69" s="217" t="s">
        <v>172</v>
      </c>
      <c r="Y69" s="171" t="s">
        <v>173</v>
      </c>
      <c r="Z69" s="171" t="s">
        <v>174</v>
      </c>
      <c r="AA69" s="171" t="s">
        <v>175</v>
      </c>
      <c r="AB69" s="222">
        <f t="shared" si="5"/>
        <v>1</v>
      </c>
      <c r="AC69" s="221">
        <v>1</v>
      </c>
      <c r="AD69" s="222">
        <v>1</v>
      </c>
      <c r="AE69" s="222">
        <v>1</v>
      </c>
      <c r="AF69" s="217"/>
      <c r="AG69" s="217"/>
      <c r="AH69" s="222">
        <v>1</v>
      </c>
      <c r="AI69" s="217"/>
      <c r="AJ69" s="222">
        <v>1</v>
      </c>
      <c r="AK69" s="222">
        <v>1</v>
      </c>
      <c r="AL69" s="222">
        <v>1</v>
      </c>
      <c r="AM69" s="222">
        <v>1</v>
      </c>
      <c r="AN69" s="222">
        <v>1</v>
      </c>
      <c r="AO69" s="222">
        <v>1</v>
      </c>
      <c r="AP69" s="222">
        <v>1</v>
      </c>
      <c r="AQ69" s="217"/>
      <c r="AR69" s="4"/>
      <c r="AS69" s="217" t="s">
        <v>184</v>
      </c>
      <c r="AT69" s="217"/>
      <c r="AU69" s="96" t="s">
        <v>648</v>
      </c>
    </row>
    <row r="70" spans="1:47" s="199" customFormat="1" hidden="1">
      <c r="A70" s="213" t="s">
        <v>661</v>
      </c>
      <c r="B70" s="213" t="s">
        <v>160</v>
      </c>
      <c r="C70" s="213" t="s">
        <v>73</v>
      </c>
      <c r="D70" s="213" t="s">
        <v>662</v>
      </c>
      <c r="E70" s="213" t="s">
        <v>162</v>
      </c>
      <c r="F70" s="213" t="s">
        <v>663</v>
      </c>
      <c r="G70" s="213" t="s">
        <v>664</v>
      </c>
      <c r="H70" s="213" t="s">
        <v>165</v>
      </c>
      <c r="I70" s="213">
        <v>202605.5</v>
      </c>
      <c r="J70" s="214" t="s">
        <v>166</v>
      </c>
      <c r="K70" s="213" t="s">
        <v>73</v>
      </c>
      <c r="L70" s="213" t="s">
        <v>665</v>
      </c>
      <c r="M70" s="213" t="s">
        <v>666</v>
      </c>
      <c r="N70" s="213" t="s">
        <v>667</v>
      </c>
      <c r="O70" s="215"/>
      <c r="P70" s="213" t="s">
        <v>138</v>
      </c>
      <c r="Q70" s="213" t="s">
        <v>100</v>
      </c>
      <c r="R70" s="213" t="s">
        <v>262</v>
      </c>
      <c r="S70" s="213" t="s">
        <v>584</v>
      </c>
      <c r="T70" s="213" t="s">
        <v>103</v>
      </c>
      <c r="U70" s="213" t="s">
        <v>264</v>
      </c>
      <c r="V70" s="213" t="s">
        <v>264</v>
      </c>
      <c r="W70" s="215"/>
      <c r="X70" s="215" t="s">
        <v>172</v>
      </c>
      <c r="Y70" s="213" t="s">
        <v>173</v>
      </c>
      <c r="Z70" s="213" t="s">
        <v>174</v>
      </c>
      <c r="AA70" s="213" t="s">
        <v>175</v>
      </c>
      <c r="AB70" s="222">
        <f t="shared" si="5"/>
        <v>0</v>
      </c>
      <c r="AC70" s="213" t="s">
        <v>668</v>
      </c>
      <c r="AD70" s="215"/>
      <c r="AE70" s="215"/>
      <c r="AF70" s="215"/>
      <c r="AG70" s="215"/>
      <c r="AH70" s="215"/>
      <c r="AI70" s="215"/>
      <c r="AJ70" s="215"/>
      <c r="AK70" s="215"/>
      <c r="AL70" s="215"/>
      <c r="AM70" s="222"/>
      <c r="AN70" s="222"/>
      <c r="AO70" s="222"/>
      <c r="AP70" s="218"/>
      <c r="AQ70" s="215"/>
      <c r="AS70" s="215"/>
      <c r="AT70" s="215"/>
      <c r="AU70" s="96"/>
    </row>
    <row r="71" spans="1:47">
      <c r="A71" s="171" t="s">
        <v>669</v>
      </c>
      <c r="B71" s="171" t="s">
        <v>160</v>
      </c>
      <c r="C71" s="171" t="s">
        <v>73</v>
      </c>
      <c r="D71" s="171" t="s">
        <v>670</v>
      </c>
      <c r="E71" s="171" t="s">
        <v>162</v>
      </c>
      <c r="F71" s="171" t="s">
        <v>671</v>
      </c>
      <c r="G71" s="171" t="s">
        <v>672</v>
      </c>
      <c r="H71" s="171" t="s">
        <v>165</v>
      </c>
      <c r="I71" s="171">
        <v>202605.5</v>
      </c>
      <c r="J71" s="221">
        <v>5.25</v>
      </c>
      <c r="K71" s="171" t="s">
        <v>73</v>
      </c>
      <c r="L71" s="171" t="s">
        <v>673</v>
      </c>
      <c r="M71" s="171" t="s">
        <v>674</v>
      </c>
      <c r="N71" s="171" t="s">
        <v>675</v>
      </c>
      <c r="O71" s="217"/>
      <c r="P71" s="171" t="s">
        <v>138</v>
      </c>
      <c r="Q71" s="171" t="s">
        <v>100</v>
      </c>
      <c r="R71" s="171" t="s">
        <v>262</v>
      </c>
      <c r="S71" s="171" t="s">
        <v>584</v>
      </c>
      <c r="T71" s="171" t="s">
        <v>103</v>
      </c>
      <c r="U71" s="171" t="s">
        <v>264</v>
      </c>
      <c r="V71" s="171" t="s">
        <v>264</v>
      </c>
      <c r="W71" s="191" t="s">
        <v>11</v>
      </c>
      <c r="X71" s="217" t="s">
        <v>172</v>
      </c>
      <c r="Y71" s="171" t="s">
        <v>173</v>
      </c>
      <c r="Z71" s="171" t="s">
        <v>174</v>
      </c>
      <c r="AA71" s="171" t="s">
        <v>175</v>
      </c>
      <c r="AB71" s="222">
        <f t="shared" si="5"/>
        <v>1</v>
      </c>
      <c r="AC71" s="221">
        <v>1</v>
      </c>
      <c r="AD71" s="222">
        <v>1</v>
      </c>
      <c r="AE71" s="222">
        <v>1</v>
      </c>
      <c r="AF71" s="217"/>
      <c r="AG71" s="217"/>
      <c r="AH71" s="222">
        <v>1</v>
      </c>
      <c r="AI71" s="217"/>
      <c r="AJ71" s="222">
        <v>1</v>
      </c>
      <c r="AK71" s="222">
        <v>1</v>
      </c>
      <c r="AL71" s="222">
        <v>1</v>
      </c>
      <c r="AM71" s="222">
        <v>1</v>
      </c>
      <c r="AN71" s="222">
        <v>1</v>
      </c>
      <c r="AO71" s="222">
        <v>1</v>
      </c>
      <c r="AP71" s="222">
        <v>1</v>
      </c>
      <c r="AQ71" s="217"/>
      <c r="AR71" s="4"/>
      <c r="AS71" s="217" t="s">
        <v>195</v>
      </c>
      <c r="AT71" s="217"/>
      <c r="AU71" s="96" t="s">
        <v>676</v>
      </c>
    </row>
    <row r="72" spans="1:47">
      <c r="A72" s="171" t="s">
        <v>677</v>
      </c>
      <c r="B72" s="171" t="s">
        <v>160</v>
      </c>
      <c r="C72" s="171" t="s">
        <v>73</v>
      </c>
      <c r="D72" s="171" t="s">
        <v>639</v>
      </c>
      <c r="E72" s="171" t="s">
        <v>162</v>
      </c>
      <c r="F72" s="171" t="s">
        <v>678</v>
      </c>
      <c r="G72" s="171" t="s">
        <v>679</v>
      </c>
      <c r="H72" s="171" t="s">
        <v>165</v>
      </c>
      <c r="I72" s="171">
        <v>202605.5</v>
      </c>
      <c r="J72" s="221">
        <v>5.25</v>
      </c>
      <c r="K72" s="171" t="s">
        <v>73</v>
      </c>
      <c r="L72" s="171" t="s">
        <v>680</v>
      </c>
      <c r="M72" s="171" t="s">
        <v>681</v>
      </c>
      <c r="N72" s="171" t="s">
        <v>682</v>
      </c>
      <c r="O72" s="217"/>
      <c r="P72" s="171" t="s">
        <v>138</v>
      </c>
      <c r="Q72" s="171" t="s">
        <v>100</v>
      </c>
      <c r="R72" s="171" t="s">
        <v>262</v>
      </c>
      <c r="S72" s="171" t="s">
        <v>584</v>
      </c>
      <c r="T72" s="171" t="s">
        <v>103</v>
      </c>
      <c r="U72" s="171" t="s">
        <v>264</v>
      </c>
      <c r="V72" s="171" t="s">
        <v>264</v>
      </c>
      <c r="W72" s="191" t="s">
        <v>11</v>
      </c>
      <c r="X72" s="217" t="s">
        <v>172</v>
      </c>
      <c r="Y72" s="171" t="s">
        <v>173</v>
      </c>
      <c r="Z72" s="171" t="s">
        <v>174</v>
      </c>
      <c r="AA72" s="171" t="s">
        <v>175</v>
      </c>
      <c r="AB72" s="222">
        <f t="shared" si="5"/>
        <v>1</v>
      </c>
      <c r="AC72" s="221">
        <v>1</v>
      </c>
      <c r="AD72" s="222">
        <v>1</v>
      </c>
      <c r="AE72" s="222">
        <v>1</v>
      </c>
      <c r="AF72" s="217"/>
      <c r="AG72" s="217"/>
      <c r="AH72" s="222">
        <v>1</v>
      </c>
      <c r="AI72" s="217"/>
      <c r="AJ72" s="222">
        <v>1</v>
      </c>
      <c r="AK72" s="222">
        <v>1</v>
      </c>
      <c r="AL72" s="222">
        <v>1</v>
      </c>
      <c r="AM72" s="222">
        <v>1</v>
      </c>
      <c r="AN72" s="222">
        <v>1</v>
      </c>
      <c r="AO72" s="222">
        <v>1</v>
      </c>
      <c r="AP72" s="222">
        <v>1</v>
      </c>
      <c r="AQ72" s="217"/>
      <c r="AR72" s="4"/>
      <c r="AS72" s="217" t="s">
        <v>204</v>
      </c>
      <c r="AT72" s="217"/>
      <c r="AU72" s="96" t="s">
        <v>683</v>
      </c>
    </row>
    <row r="73" spans="1:47">
      <c r="A73" s="171" t="s">
        <v>684</v>
      </c>
      <c r="B73" s="171" t="s">
        <v>160</v>
      </c>
      <c r="C73" s="171" t="s">
        <v>73</v>
      </c>
      <c r="D73" s="171" t="s">
        <v>676</v>
      </c>
      <c r="E73" s="171" t="s">
        <v>162</v>
      </c>
      <c r="F73" s="171" t="s">
        <v>685</v>
      </c>
      <c r="G73" s="171" t="s">
        <v>686</v>
      </c>
      <c r="H73" s="171" t="s">
        <v>165</v>
      </c>
      <c r="I73" s="171">
        <v>202605.5</v>
      </c>
      <c r="J73" s="221">
        <v>5.25</v>
      </c>
      <c r="K73" s="171" t="s">
        <v>73</v>
      </c>
      <c r="L73" s="171" t="s">
        <v>687</v>
      </c>
      <c r="M73" s="171" t="s">
        <v>688</v>
      </c>
      <c r="N73" s="171" t="s">
        <v>689</v>
      </c>
      <c r="O73" s="217"/>
      <c r="P73" s="171" t="s">
        <v>138</v>
      </c>
      <c r="Q73" s="171" t="s">
        <v>100</v>
      </c>
      <c r="R73" s="171" t="s">
        <v>262</v>
      </c>
      <c r="S73" s="171" t="s">
        <v>584</v>
      </c>
      <c r="T73" s="171" t="s">
        <v>103</v>
      </c>
      <c r="U73" s="171" t="s">
        <v>264</v>
      </c>
      <c r="V73" s="171" t="s">
        <v>264</v>
      </c>
      <c r="W73" s="191" t="s">
        <v>11</v>
      </c>
      <c r="X73" s="217" t="s">
        <v>172</v>
      </c>
      <c r="Y73" s="171" t="s">
        <v>173</v>
      </c>
      <c r="Z73" s="171" t="s">
        <v>174</v>
      </c>
      <c r="AA73" s="171" t="s">
        <v>175</v>
      </c>
      <c r="AB73" s="222">
        <f t="shared" si="5"/>
        <v>1</v>
      </c>
      <c r="AC73" s="221">
        <v>1</v>
      </c>
      <c r="AD73" s="222">
        <v>1</v>
      </c>
      <c r="AE73" s="222">
        <v>1</v>
      </c>
      <c r="AF73" s="217"/>
      <c r="AG73" s="217"/>
      <c r="AH73" s="222">
        <v>1</v>
      </c>
      <c r="AI73" s="217"/>
      <c r="AJ73" s="222">
        <v>1</v>
      </c>
      <c r="AK73" s="222">
        <v>1</v>
      </c>
      <c r="AL73" s="222">
        <v>1</v>
      </c>
      <c r="AM73" s="222">
        <v>1</v>
      </c>
      <c r="AN73" s="222">
        <v>1</v>
      </c>
      <c r="AO73" s="222">
        <v>1</v>
      </c>
      <c r="AP73" s="222">
        <v>1</v>
      </c>
      <c r="AQ73" s="217"/>
      <c r="AR73" s="4"/>
      <c r="AS73" s="217" t="s">
        <v>213</v>
      </c>
      <c r="AT73" s="217"/>
      <c r="AU73" s="96" t="s">
        <v>626</v>
      </c>
    </row>
    <row r="74" spans="1:47">
      <c r="A74" s="171" t="s">
        <v>690</v>
      </c>
      <c r="B74" s="171" t="s">
        <v>160</v>
      </c>
      <c r="C74" s="171" t="s">
        <v>73</v>
      </c>
      <c r="D74" s="171" t="s">
        <v>609</v>
      </c>
      <c r="E74" s="171" t="s">
        <v>162</v>
      </c>
      <c r="F74" s="171" t="s">
        <v>691</v>
      </c>
      <c r="G74" s="171" t="s">
        <v>692</v>
      </c>
      <c r="H74" s="171" t="s">
        <v>165</v>
      </c>
      <c r="I74" s="171">
        <v>202605.5</v>
      </c>
      <c r="J74" s="221">
        <v>5.25</v>
      </c>
      <c r="K74" s="171" t="s">
        <v>73</v>
      </c>
      <c r="L74" s="171" t="s">
        <v>693</v>
      </c>
      <c r="M74" s="171" t="s">
        <v>694</v>
      </c>
      <c r="N74" s="171" t="s">
        <v>695</v>
      </c>
      <c r="O74" s="217"/>
      <c r="P74" s="171" t="s">
        <v>138</v>
      </c>
      <c r="Q74" s="171" t="s">
        <v>100</v>
      </c>
      <c r="R74" s="171" t="s">
        <v>262</v>
      </c>
      <c r="S74" s="171" t="s">
        <v>584</v>
      </c>
      <c r="T74" s="171" t="s">
        <v>103</v>
      </c>
      <c r="U74" s="171" t="s">
        <v>264</v>
      </c>
      <c r="V74" s="171" t="s">
        <v>264</v>
      </c>
      <c r="W74" s="191" t="s">
        <v>11</v>
      </c>
      <c r="X74" s="217" t="s">
        <v>172</v>
      </c>
      <c r="Y74" s="171" t="s">
        <v>173</v>
      </c>
      <c r="Z74" s="171" t="s">
        <v>174</v>
      </c>
      <c r="AA74" s="171" t="s">
        <v>175</v>
      </c>
      <c r="AB74" s="222">
        <f t="shared" si="5"/>
        <v>1</v>
      </c>
      <c r="AC74" s="221">
        <v>1</v>
      </c>
      <c r="AD74" s="222">
        <v>1</v>
      </c>
      <c r="AE74" s="222">
        <v>1</v>
      </c>
      <c r="AF74" s="217"/>
      <c r="AG74" s="217"/>
      <c r="AH74" s="222">
        <v>1</v>
      </c>
      <c r="AI74" s="217"/>
      <c r="AJ74" s="222">
        <v>1</v>
      </c>
      <c r="AK74" s="222">
        <v>1</v>
      </c>
      <c r="AL74" s="222">
        <v>1</v>
      </c>
      <c r="AM74" s="222">
        <v>1</v>
      </c>
      <c r="AN74" s="222">
        <v>1</v>
      </c>
      <c r="AO74" s="222">
        <v>1</v>
      </c>
      <c r="AP74" s="222">
        <v>1</v>
      </c>
      <c r="AQ74" s="217"/>
      <c r="AR74" s="4"/>
      <c r="AS74" s="217" t="s">
        <v>221</v>
      </c>
      <c r="AT74" s="217"/>
      <c r="AU74" s="96" t="s">
        <v>696</v>
      </c>
    </row>
    <row r="75" spans="1:47">
      <c r="A75" s="171" t="s">
        <v>697</v>
      </c>
      <c r="B75" s="171" t="s">
        <v>160</v>
      </c>
      <c r="C75" s="171" t="s">
        <v>73</v>
      </c>
      <c r="D75" s="171" t="s">
        <v>698</v>
      </c>
      <c r="E75" s="171" t="s">
        <v>162</v>
      </c>
      <c r="F75" s="171" t="s">
        <v>699</v>
      </c>
      <c r="G75" s="171" t="s">
        <v>700</v>
      </c>
      <c r="H75" s="171" t="s">
        <v>165</v>
      </c>
      <c r="I75" s="171">
        <v>202605.5</v>
      </c>
      <c r="J75" s="221">
        <v>5.25</v>
      </c>
      <c r="K75" s="171" t="s">
        <v>73</v>
      </c>
      <c r="L75" s="171" t="s">
        <v>701</v>
      </c>
      <c r="M75" s="171" t="s">
        <v>702</v>
      </c>
      <c r="N75" s="171" t="s">
        <v>703</v>
      </c>
      <c r="O75" s="217"/>
      <c r="P75" s="171" t="s">
        <v>138</v>
      </c>
      <c r="Q75" s="171" t="s">
        <v>100</v>
      </c>
      <c r="R75" s="171" t="s">
        <v>262</v>
      </c>
      <c r="S75" s="171" t="s">
        <v>584</v>
      </c>
      <c r="T75" s="171" t="s">
        <v>103</v>
      </c>
      <c r="U75" s="171" t="s">
        <v>264</v>
      </c>
      <c r="V75" s="171" t="s">
        <v>264</v>
      </c>
      <c r="W75" s="191" t="s">
        <v>11</v>
      </c>
      <c r="X75" s="217" t="s">
        <v>172</v>
      </c>
      <c r="Y75" s="171" t="s">
        <v>173</v>
      </c>
      <c r="Z75" s="171" t="s">
        <v>174</v>
      </c>
      <c r="AA75" s="171" t="s">
        <v>175</v>
      </c>
      <c r="AB75" s="222">
        <f t="shared" si="5"/>
        <v>1</v>
      </c>
      <c r="AC75" s="221">
        <v>1</v>
      </c>
      <c r="AD75" s="222">
        <v>1</v>
      </c>
      <c r="AE75" s="222">
        <v>1</v>
      </c>
      <c r="AF75" s="217"/>
      <c r="AG75" s="217"/>
      <c r="AH75" s="222">
        <v>1</v>
      </c>
      <c r="AI75" s="217"/>
      <c r="AJ75" s="222">
        <v>1</v>
      </c>
      <c r="AK75" s="222">
        <v>1</v>
      </c>
      <c r="AL75" s="222">
        <v>1</v>
      </c>
      <c r="AM75" s="222">
        <v>1</v>
      </c>
      <c r="AN75" s="222">
        <v>1</v>
      </c>
      <c r="AO75" s="222">
        <v>1</v>
      </c>
      <c r="AP75" s="222">
        <v>1</v>
      </c>
      <c r="AQ75" s="217"/>
      <c r="AR75" s="4"/>
      <c r="AS75" s="217" t="s">
        <v>229</v>
      </c>
      <c r="AT75" s="217"/>
      <c r="AU75" s="96" t="s">
        <v>704</v>
      </c>
    </row>
    <row r="76" spans="1:47">
      <c r="A76" s="171" t="s">
        <v>705</v>
      </c>
      <c r="B76" s="171" t="s">
        <v>160</v>
      </c>
      <c r="C76" s="171" t="s">
        <v>73</v>
      </c>
      <c r="D76" s="171" t="s">
        <v>601</v>
      </c>
      <c r="E76" s="171" t="s">
        <v>162</v>
      </c>
      <c r="F76" s="171" t="s">
        <v>706</v>
      </c>
      <c r="G76" s="171" t="s">
        <v>707</v>
      </c>
      <c r="H76" s="171" t="s">
        <v>165</v>
      </c>
      <c r="I76" s="171">
        <v>202605.5</v>
      </c>
      <c r="J76" s="221">
        <v>5.25</v>
      </c>
      <c r="K76" s="171" t="s">
        <v>73</v>
      </c>
      <c r="L76" s="171" t="s">
        <v>708</v>
      </c>
      <c r="M76" s="171" t="s">
        <v>709</v>
      </c>
      <c r="N76" s="171" t="s">
        <v>710</v>
      </c>
      <c r="O76" s="217"/>
      <c r="P76" s="171" t="s">
        <v>138</v>
      </c>
      <c r="Q76" s="171" t="s">
        <v>100</v>
      </c>
      <c r="R76" s="171" t="s">
        <v>262</v>
      </c>
      <c r="S76" s="171" t="s">
        <v>584</v>
      </c>
      <c r="T76" s="171" t="s">
        <v>103</v>
      </c>
      <c r="U76" s="171" t="s">
        <v>264</v>
      </c>
      <c r="V76" s="171" t="s">
        <v>264</v>
      </c>
      <c r="W76" s="191" t="s">
        <v>11</v>
      </c>
      <c r="X76" s="217" t="s">
        <v>172</v>
      </c>
      <c r="Y76" s="171" t="s">
        <v>173</v>
      </c>
      <c r="Z76" s="171" t="s">
        <v>174</v>
      </c>
      <c r="AA76" s="171" t="s">
        <v>175</v>
      </c>
      <c r="AB76" s="222">
        <f t="shared" si="5"/>
        <v>1</v>
      </c>
      <c r="AC76" s="221">
        <v>1</v>
      </c>
      <c r="AD76" s="222">
        <v>1</v>
      </c>
      <c r="AE76" s="222">
        <v>1</v>
      </c>
      <c r="AF76" s="217"/>
      <c r="AG76" s="217"/>
      <c r="AH76" s="222">
        <v>1</v>
      </c>
      <c r="AI76" s="217"/>
      <c r="AJ76" s="222">
        <v>1</v>
      </c>
      <c r="AK76" s="222">
        <v>1</v>
      </c>
      <c r="AL76" s="222">
        <v>1</v>
      </c>
      <c r="AM76" s="222">
        <v>1</v>
      </c>
      <c r="AN76" s="222">
        <v>1</v>
      </c>
      <c r="AO76" s="222">
        <v>1</v>
      </c>
      <c r="AP76" s="222">
        <v>1</v>
      </c>
      <c r="AQ76" s="217"/>
      <c r="AR76" s="4"/>
      <c r="AS76" s="217" t="s">
        <v>237</v>
      </c>
      <c r="AT76" s="217"/>
      <c r="AU76" s="96" t="s">
        <v>711</v>
      </c>
    </row>
    <row r="77" spans="1:47">
      <c r="A77" s="171" t="s">
        <v>712</v>
      </c>
      <c r="B77" s="171" t="s">
        <v>160</v>
      </c>
      <c r="C77" s="171" t="s">
        <v>73</v>
      </c>
      <c r="D77" s="171" t="s">
        <v>593</v>
      </c>
      <c r="E77" s="171" t="s">
        <v>162</v>
      </c>
      <c r="F77" s="171" t="s">
        <v>713</v>
      </c>
      <c r="G77" s="171" t="s">
        <v>714</v>
      </c>
      <c r="H77" s="171" t="s">
        <v>165</v>
      </c>
      <c r="I77" s="171">
        <v>202605.5</v>
      </c>
      <c r="J77" s="221">
        <v>5.25</v>
      </c>
      <c r="K77" s="171" t="s">
        <v>73</v>
      </c>
      <c r="L77" s="171" t="s">
        <v>715</v>
      </c>
      <c r="M77" s="171" t="s">
        <v>716</v>
      </c>
      <c r="N77" s="171" t="s">
        <v>717</v>
      </c>
      <c r="O77" s="217"/>
      <c r="P77" s="171" t="s">
        <v>138</v>
      </c>
      <c r="Q77" s="171" t="s">
        <v>100</v>
      </c>
      <c r="R77" s="171" t="s">
        <v>262</v>
      </c>
      <c r="S77" s="171" t="s">
        <v>584</v>
      </c>
      <c r="T77" s="171" t="s">
        <v>103</v>
      </c>
      <c r="U77" s="171" t="s">
        <v>264</v>
      </c>
      <c r="V77" s="171" t="s">
        <v>264</v>
      </c>
      <c r="W77" s="191" t="s">
        <v>11</v>
      </c>
      <c r="X77" s="217" t="s">
        <v>172</v>
      </c>
      <c r="Y77" s="171" t="s">
        <v>173</v>
      </c>
      <c r="Z77" s="171" t="s">
        <v>174</v>
      </c>
      <c r="AA77" s="171" t="s">
        <v>175</v>
      </c>
      <c r="AB77" s="222">
        <f t="shared" si="5"/>
        <v>1</v>
      </c>
      <c r="AC77" s="221">
        <v>1</v>
      </c>
      <c r="AD77" s="222">
        <v>1</v>
      </c>
      <c r="AE77" s="222">
        <v>1</v>
      </c>
      <c r="AF77" s="217"/>
      <c r="AG77" s="217"/>
      <c r="AH77" s="222">
        <v>1</v>
      </c>
      <c r="AI77" s="217"/>
      <c r="AJ77" s="222">
        <v>1</v>
      </c>
      <c r="AK77" s="222">
        <v>1</v>
      </c>
      <c r="AL77" s="222">
        <v>1</v>
      </c>
      <c r="AM77" s="222">
        <v>1</v>
      </c>
      <c r="AN77" s="222">
        <v>1</v>
      </c>
      <c r="AO77" s="222">
        <v>1</v>
      </c>
      <c r="AP77" s="222">
        <v>1</v>
      </c>
      <c r="AQ77" s="217"/>
      <c r="AR77" s="4"/>
      <c r="AS77" s="217" t="s">
        <v>245</v>
      </c>
      <c r="AT77" s="217"/>
      <c r="AU77" s="96" t="s">
        <v>718</v>
      </c>
    </row>
    <row r="78" spans="1:47">
      <c r="A78" s="171" t="s">
        <v>719</v>
      </c>
      <c r="B78" s="171" t="s">
        <v>160</v>
      </c>
      <c r="C78" s="171" t="s">
        <v>73</v>
      </c>
      <c r="D78" s="171" t="s">
        <v>720</v>
      </c>
      <c r="E78" s="171" t="s">
        <v>162</v>
      </c>
      <c r="F78" s="171" t="s">
        <v>721</v>
      </c>
      <c r="G78" s="171" t="s">
        <v>722</v>
      </c>
      <c r="H78" s="171" t="s">
        <v>165</v>
      </c>
      <c r="I78" s="171">
        <v>202605.5</v>
      </c>
      <c r="J78" s="221">
        <v>5.25</v>
      </c>
      <c r="K78" s="171" t="s">
        <v>73</v>
      </c>
      <c r="L78" s="171" t="s">
        <v>723</v>
      </c>
      <c r="M78" s="171" t="s">
        <v>724</v>
      </c>
      <c r="N78" s="171" t="s">
        <v>725</v>
      </c>
      <c r="O78" s="217"/>
      <c r="P78" s="171" t="s">
        <v>138</v>
      </c>
      <c r="Q78" s="171" t="s">
        <v>100</v>
      </c>
      <c r="R78" s="171" t="s">
        <v>262</v>
      </c>
      <c r="S78" s="171" t="s">
        <v>584</v>
      </c>
      <c r="T78" s="171" t="s">
        <v>103</v>
      </c>
      <c r="U78" s="171" t="s">
        <v>264</v>
      </c>
      <c r="V78" s="171" t="s">
        <v>264</v>
      </c>
      <c r="W78" s="191" t="s">
        <v>11</v>
      </c>
      <c r="X78" s="217" t="s">
        <v>172</v>
      </c>
      <c r="Y78" s="171" t="s">
        <v>173</v>
      </c>
      <c r="Z78" s="171" t="s">
        <v>174</v>
      </c>
      <c r="AA78" s="171" t="s">
        <v>175</v>
      </c>
      <c r="AB78" s="222">
        <f t="shared" si="5"/>
        <v>1</v>
      </c>
      <c r="AC78" s="221">
        <v>1</v>
      </c>
      <c r="AD78" s="222">
        <v>1</v>
      </c>
      <c r="AE78" s="222">
        <v>1</v>
      </c>
      <c r="AF78" s="217"/>
      <c r="AG78" s="217"/>
      <c r="AH78" s="222">
        <v>1</v>
      </c>
      <c r="AI78" s="217"/>
      <c r="AJ78" s="222">
        <v>1</v>
      </c>
      <c r="AK78" s="222">
        <v>1</v>
      </c>
      <c r="AL78" s="222">
        <v>1</v>
      </c>
      <c r="AM78" s="222">
        <v>1</v>
      </c>
      <c r="AN78" s="222">
        <v>1</v>
      </c>
      <c r="AO78" s="222">
        <v>1</v>
      </c>
      <c r="AP78" s="222">
        <v>1</v>
      </c>
      <c r="AQ78" s="217"/>
      <c r="AR78" s="4"/>
      <c r="AS78" s="217" t="s">
        <v>254</v>
      </c>
      <c r="AT78" s="217"/>
      <c r="AU78" s="96" t="s">
        <v>726</v>
      </c>
    </row>
    <row r="79" spans="1:47">
      <c r="A79" s="171" t="s">
        <v>727</v>
      </c>
      <c r="B79" s="171" t="s">
        <v>160</v>
      </c>
      <c r="C79" s="171" t="s">
        <v>73</v>
      </c>
      <c r="D79" s="171" t="s">
        <v>711</v>
      </c>
      <c r="E79" s="171" t="s">
        <v>162</v>
      </c>
      <c r="F79" s="171" t="s">
        <v>728</v>
      </c>
      <c r="G79" s="171" t="s">
        <v>729</v>
      </c>
      <c r="H79" s="171" t="s">
        <v>165</v>
      </c>
      <c r="I79" s="171">
        <v>202605.5</v>
      </c>
      <c r="J79" s="221">
        <v>5.25</v>
      </c>
      <c r="K79" s="171" t="s">
        <v>73</v>
      </c>
      <c r="L79" s="171" t="s">
        <v>730</v>
      </c>
      <c r="M79" s="171" t="s">
        <v>731</v>
      </c>
      <c r="N79" s="171" t="s">
        <v>732</v>
      </c>
      <c r="O79" s="217"/>
      <c r="P79" s="171" t="s">
        <v>138</v>
      </c>
      <c r="Q79" s="171" t="s">
        <v>100</v>
      </c>
      <c r="R79" s="171" t="s">
        <v>262</v>
      </c>
      <c r="S79" s="171" t="s">
        <v>584</v>
      </c>
      <c r="T79" s="171" t="s">
        <v>103</v>
      </c>
      <c r="U79" s="171" t="s">
        <v>264</v>
      </c>
      <c r="V79" s="171" t="s">
        <v>264</v>
      </c>
      <c r="W79" s="191" t="s">
        <v>11</v>
      </c>
      <c r="X79" s="217" t="s">
        <v>172</v>
      </c>
      <c r="Y79" s="171" t="s">
        <v>173</v>
      </c>
      <c r="Z79" s="171" t="s">
        <v>174</v>
      </c>
      <c r="AA79" s="171" t="s">
        <v>175</v>
      </c>
      <c r="AB79" s="222">
        <f t="shared" si="5"/>
        <v>1</v>
      </c>
      <c r="AC79" s="221">
        <v>1</v>
      </c>
      <c r="AD79" s="222">
        <v>1</v>
      </c>
      <c r="AE79" s="222">
        <v>1</v>
      </c>
      <c r="AF79" s="217"/>
      <c r="AG79" s="217"/>
      <c r="AH79" s="222">
        <v>1</v>
      </c>
      <c r="AI79" s="217"/>
      <c r="AJ79" s="222">
        <v>1</v>
      </c>
      <c r="AK79" s="222">
        <v>1</v>
      </c>
      <c r="AL79" s="222">
        <v>1</v>
      </c>
      <c r="AM79" s="222">
        <v>1</v>
      </c>
      <c r="AN79" s="222">
        <v>1</v>
      </c>
      <c r="AO79" s="222">
        <v>1</v>
      </c>
      <c r="AP79" s="222">
        <v>1</v>
      </c>
      <c r="AQ79" s="217"/>
      <c r="AR79" s="4"/>
      <c r="AS79" s="217" t="s">
        <v>265</v>
      </c>
      <c r="AT79" s="217"/>
      <c r="AU79" s="96" t="s">
        <v>670</v>
      </c>
    </row>
    <row r="80" spans="1:47">
      <c r="A80" s="171" t="s">
        <v>733</v>
      </c>
      <c r="B80" s="171" t="s">
        <v>160</v>
      </c>
      <c r="C80" s="171" t="s">
        <v>73</v>
      </c>
      <c r="D80" s="171" t="s">
        <v>704</v>
      </c>
      <c r="E80" s="171" t="s">
        <v>162</v>
      </c>
      <c r="F80" s="171" t="s">
        <v>734</v>
      </c>
      <c r="G80" s="171" t="s">
        <v>735</v>
      </c>
      <c r="H80" s="171" t="s">
        <v>165</v>
      </c>
      <c r="I80" s="171">
        <v>202605.5</v>
      </c>
      <c r="J80" s="221">
        <v>5.25</v>
      </c>
      <c r="K80" s="171" t="s">
        <v>73</v>
      </c>
      <c r="L80" s="171" t="s">
        <v>736</v>
      </c>
      <c r="M80" s="171" t="s">
        <v>737</v>
      </c>
      <c r="N80" s="171" t="s">
        <v>738</v>
      </c>
      <c r="O80" s="217"/>
      <c r="P80" s="171" t="s">
        <v>138</v>
      </c>
      <c r="Q80" s="171" t="s">
        <v>100</v>
      </c>
      <c r="R80" s="171" t="s">
        <v>262</v>
      </c>
      <c r="S80" s="171" t="s">
        <v>584</v>
      </c>
      <c r="T80" s="171" t="s">
        <v>103</v>
      </c>
      <c r="U80" s="171" t="s">
        <v>264</v>
      </c>
      <c r="V80" s="171" t="s">
        <v>264</v>
      </c>
      <c r="W80" s="191" t="s">
        <v>11</v>
      </c>
      <c r="X80" s="217" t="s">
        <v>172</v>
      </c>
      <c r="Y80" s="171" t="s">
        <v>173</v>
      </c>
      <c r="Z80" s="171" t="s">
        <v>174</v>
      </c>
      <c r="AA80" s="171" t="s">
        <v>175</v>
      </c>
      <c r="AB80" s="222">
        <f t="shared" si="5"/>
        <v>1</v>
      </c>
      <c r="AC80" s="221">
        <v>1</v>
      </c>
      <c r="AD80" s="222">
        <v>1</v>
      </c>
      <c r="AE80" s="222">
        <v>1</v>
      </c>
      <c r="AF80" s="217"/>
      <c r="AG80" s="217"/>
      <c r="AH80" s="222">
        <v>1</v>
      </c>
      <c r="AI80" s="217"/>
      <c r="AJ80" s="222">
        <v>1</v>
      </c>
      <c r="AK80" s="222">
        <v>1</v>
      </c>
      <c r="AL80" s="222">
        <v>1</v>
      </c>
      <c r="AM80" s="222">
        <v>1</v>
      </c>
      <c r="AN80" s="222">
        <v>1</v>
      </c>
      <c r="AO80" s="222">
        <v>1</v>
      </c>
      <c r="AP80" s="222">
        <v>1</v>
      </c>
      <c r="AQ80" s="217"/>
      <c r="AR80" s="4"/>
      <c r="AS80" s="217" t="s">
        <v>272</v>
      </c>
      <c r="AT80" s="217"/>
      <c r="AU80" s="96" t="s">
        <v>739</v>
      </c>
    </row>
    <row r="81" spans="1:47">
      <c r="A81" s="171" t="s">
        <v>740</v>
      </c>
      <c r="B81" s="171" t="s">
        <v>160</v>
      </c>
      <c r="C81" s="171" t="s">
        <v>73</v>
      </c>
      <c r="D81" s="171" t="s">
        <v>739</v>
      </c>
      <c r="E81" s="171" t="s">
        <v>499</v>
      </c>
      <c r="F81" s="171" t="s">
        <v>741</v>
      </c>
      <c r="G81" s="171" t="s">
        <v>742</v>
      </c>
      <c r="H81" s="171" t="s">
        <v>165</v>
      </c>
      <c r="I81" s="171">
        <v>202605.5</v>
      </c>
      <c r="J81" s="221">
        <v>5.25</v>
      </c>
      <c r="K81" s="171" t="s">
        <v>73</v>
      </c>
      <c r="L81" s="171" t="s">
        <v>743</v>
      </c>
      <c r="M81" s="171" t="s">
        <v>744</v>
      </c>
      <c r="N81" s="171" t="s">
        <v>745</v>
      </c>
      <c r="O81" s="217"/>
      <c r="P81" s="171" t="s">
        <v>138</v>
      </c>
      <c r="Q81" s="171" t="s">
        <v>100</v>
      </c>
      <c r="R81" s="171" t="s">
        <v>262</v>
      </c>
      <c r="S81" s="171" t="s">
        <v>584</v>
      </c>
      <c r="T81" s="171" t="s">
        <v>103</v>
      </c>
      <c r="U81" s="171" t="s">
        <v>264</v>
      </c>
      <c r="V81" s="171" t="s">
        <v>264</v>
      </c>
      <c r="W81" s="191" t="s">
        <v>11</v>
      </c>
      <c r="X81" s="217" t="s">
        <v>172</v>
      </c>
      <c r="Y81" s="171" t="s">
        <v>173</v>
      </c>
      <c r="Z81" s="171" t="s">
        <v>174</v>
      </c>
      <c r="AA81" s="171" t="s">
        <v>175</v>
      </c>
      <c r="AB81" s="222">
        <f t="shared" si="5"/>
        <v>1</v>
      </c>
      <c r="AC81" s="221">
        <v>1</v>
      </c>
      <c r="AD81" s="222">
        <v>1</v>
      </c>
      <c r="AE81" s="222">
        <v>1</v>
      </c>
      <c r="AF81" s="217"/>
      <c r="AG81" s="217"/>
      <c r="AH81" s="222">
        <v>1</v>
      </c>
      <c r="AI81" s="217"/>
      <c r="AJ81" s="222">
        <v>1</v>
      </c>
      <c r="AK81" s="222">
        <v>1</v>
      </c>
      <c r="AL81" s="222">
        <v>1</v>
      </c>
      <c r="AM81" s="222">
        <v>1</v>
      </c>
      <c r="AN81" s="222">
        <v>1</v>
      </c>
      <c r="AO81" s="222">
        <v>1</v>
      </c>
      <c r="AP81" s="222">
        <v>1</v>
      </c>
      <c r="AQ81" s="217"/>
      <c r="AR81" s="4"/>
      <c r="AS81" s="217" t="s">
        <v>279</v>
      </c>
      <c r="AT81" s="217"/>
      <c r="AU81" s="96" t="s">
        <v>698</v>
      </c>
    </row>
    <row r="82" spans="1:47">
      <c r="A82" s="171" t="s">
        <v>746</v>
      </c>
      <c r="B82" s="171" t="s">
        <v>160</v>
      </c>
      <c r="C82" s="171" t="s">
        <v>73</v>
      </c>
      <c r="D82" s="171" t="s">
        <v>747</v>
      </c>
      <c r="E82" s="171" t="s">
        <v>162</v>
      </c>
      <c r="F82" s="171" t="s">
        <v>748</v>
      </c>
      <c r="G82" s="171" t="s">
        <v>749</v>
      </c>
      <c r="H82" s="171" t="s">
        <v>165</v>
      </c>
      <c r="I82" s="171">
        <v>202605.5</v>
      </c>
      <c r="J82" s="221">
        <v>5.25</v>
      </c>
      <c r="K82" s="171" t="s">
        <v>73</v>
      </c>
      <c r="L82" s="171" t="s">
        <v>750</v>
      </c>
      <c r="M82" s="171" t="s">
        <v>751</v>
      </c>
      <c r="N82" s="171" t="s">
        <v>752</v>
      </c>
      <c r="O82" s="217"/>
      <c r="P82" s="171" t="s">
        <v>138</v>
      </c>
      <c r="Q82" s="171" t="s">
        <v>100</v>
      </c>
      <c r="R82" s="171" t="s">
        <v>262</v>
      </c>
      <c r="S82" s="171" t="s">
        <v>753</v>
      </c>
      <c r="T82" s="171" t="s">
        <v>103</v>
      </c>
      <c r="U82" s="171" t="s">
        <v>264</v>
      </c>
      <c r="V82" s="171" t="s">
        <v>264</v>
      </c>
      <c r="W82" s="191" t="s">
        <v>13</v>
      </c>
      <c r="X82" s="217" t="s">
        <v>172</v>
      </c>
      <c r="Y82" s="171" t="s">
        <v>173</v>
      </c>
      <c r="Z82" s="171" t="s">
        <v>174</v>
      </c>
      <c r="AA82" s="171" t="s">
        <v>175</v>
      </c>
      <c r="AB82" s="222">
        <f t="shared" si="5"/>
        <v>1</v>
      </c>
      <c r="AC82" s="221">
        <v>1</v>
      </c>
      <c r="AD82" s="222">
        <v>1</v>
      </c>
      <c r="AE82" s="222">
        <v>1</v>
      </c>
      <c r="AF82" s="229">
        <v>0.79461805555555598</v>
      </c>
      <c r="AG82" s="222">
        <v>1</v>
      </c>
      <c r="AH82" s="222">
        <v>1</v>
      </c>
      <c r="AI82" s="222">
        <v>1</v>
      </c>
      <c r="AJ82" s="222">
        <v>1</v>
      </c>
      <c r="AK82" s="222">
        <v>1</v>
      </c>
      <c r="AL82" s="222">
        <v>1</v>
      </c>
      <c r="AM82" s="222">
        <v>1</v>
      </c>
      <c r="AN82" s="222">
        <v>1</v>
      </c>
      <c r="AO82" s="222">
        <v>1</v>
      </c>
      <c r="AP82" s="222">
        <v>1</v>
      </c>
      <c r="AQ82" s="217"/>
      <c r="AR82" s="4"/>
      <c r="AS82" s="217" t="s">
        <v>288</v>
      </c>
      <c r="AT82" s="217"/>
      <c r="AU82" s="96" t="s">
        <v>619</v>
      </c>
    </row>
    <row r="83" spans="1:47">
      <c r="A83" s="171" t="s">
        <v>754</v>
      </c>
      <c r="B83" s="171" t="s">
        <v>160</v>
      </c>
      <c r="C83" s="171" t="s">
        <v>73</v>
      </c>
      <c r="D83" s="171" t="s">
        <v>755</v>
      </c>
      <c r="E83" s="171" t="s">
        <v>162</v>
      </c>
      <c r="F83" s="171" t="s">
        <v>756</v>
      </c>
      <c r="G83" s="171" t="s">
        <v>757</v>
      </c>
      <c r="H83" s="171" t="s">
        <v>165</v>
      </c>
      <c r="I83" s="171">
        <v>202605.5</v>
      </c>
      <c r="J83" s="221">
        <v>5.25</v>
      </c>
      <c r="K83" s="171" t="s">
        <v>73</v>
      </c>
      <c r="L83" s="171" t="s">
        <v>758</v>
      </c>
      <c r="M83" s="171" t="s">
        <v>759</v>
      </c>
      <c r="N83" s="171" t="s">
        <v>760</v>
      </c>
      <c r="O83" s="217"/>
      <c r="P83" s="171" t="s">
        <v>138</v>
      </c>
      <c r="Q83" s="171" t="s">
        <v>100</v>
      </c>
      <c r="R83" s="171" t="s">
        <v>262</v>
      </c>
      <c r="S83" s="171" t="s">
        <v>753</v>
      </c>
      <c r="T83" s="171" t="s">
        <v>103</v>
      </c>
      <c r="U83" s="171" t="s">
        <v>264</v>
      </c>
      <c r="V83" s="171" t="s">
        <v>264</v>
      </c>
      <c r="W83" s="191" t="s">
        <v>13</v>
      </c>
      <c r="X83" s="217" t="s">
        <v>172</v>
      </c>
      <c r="Y83" s="171" t="s">
        <v>173</v>
      </c>
      <c r="Z83" s="171" t="s">
        <v>174</v>
      </c>
      <c r="AA83" s="171" t="s">
        <v>175</v>
      </c>
      <c r="AB83" s="222">
        <f t="shared" si="5"/>
        <v>1</v>
      </c>
      <c r="AC83" s="221">
        <v>1</v>
      </c>
      <c r="AD83" s="222">
        <v>1</v>
      </c>
      <c r="AE83" s="222">
        <v>1</v>
      </c>
      <c r="AF83" s="229">
        <v>0.79461805555555598</v>
      </c>
      <c r="AG83" s="222">
        <v>1</v>
      </c>
      <c r="AH83" s="222">
        <v>1</v>
      </c>
      <c r="AI83" s="222">
        <v>1</v>
      </c>
      <c r="AJ83" s="222">
        <v>1</v>
      </c>
      <c r="AK83" s="222">
        <v>1</v>
      </c>
      <c r="AL83" s="222">
        <v>1</v>
      </c>
      <c r="AM83" s="222">
        <v>1</v>
      </c>
      <c r="AN83" s="222">
        <v>1</v>
      </c>
      <c r="AO83" s="222">
        <v>1</v>
      </c>
      <c r="AP83" s="222">
        <v>1</v>
      </c>
      <c r="AQ83" s="217"/>
      <c r="AR83" s="4"/>
      <c r="AS83" s="217" t="s">
        <v>297</v>
      </c>
      <c r="AT83" s="217"/>
      <c r="AU83" s="96" t="s">
        <v>595</v>
      </c>
    </row>
    <row r="84" spans="1:47">
      <c r="A84" s="171" t="s">
        <v>761</v>
      </c>
      <c r="B84" s="171" t="s">
        <v>160</v>
      </c>
      <c r="C84" s="171" t="s">
        <v>73</v>
      </c>
      <c r="D84" s="171" t="s">
        <v>762</v>
      </c>
      <c r="E84" s="171" t="s">
        <v>162</v>
      </c>
      <c r="F84" s="171" t="s">
        <v>763</v>
      </c>
      <c r="G84" s="171" t="s">
        <v>764</v>
      </c>
      <c r="H84" s="171" t="s">
        <v>165</v>
      </c>
      <c r="I84" s="171">
        <v>202605.5</v>
      </c>
      <c r="J84" s="221">
        <v>5.25</v>
      </c>
      <c r="K84" s="171" t="s">
        <v>73</v>
      </c>
      <c r="L84" s="171" t="s">
        <v>765</v>
      </c>
      <c r="M84" s="171" t="s">
        <v>766</v>
      </c>
      <c r="N84" s="171" t="s">
        <v>767</v>
      </c>
      <c r="O84" s="217"/>
      <c r="P84" s="171" t="s">
        <v>138</v>
      </c>
      <c r="Q84" s="171" t="s">
        <v>100</v>
      </c>
      <c r="R84" s="171" t="s">
        <v>262</v>
      </c>
      <c r="S84" s="171" t="s">
        <v>753</v>
      </c>
      <c r="T84" s="171" t="s">
        <v>103</v>
      </c>
      <c r="U84" s="171" t="s">
        <v>264</v>
      </c>
      <c r="V84" s="171" t="s">
        <v>264</v>
      </c>
      <c r="W84" s="191" t="s">
        <v>13</v>
      </c>
      <c r="X84" s="217" t="s">
        <v>172</v>
      </c>
      <c r="Y84" s="171" t="s">
        <v>173</v>
      </c>
      <c r="Z84" s="171" t="s">
        <v>174</v>
      </c>
      <c r="AA84" s="171" t="s">
        <v>175</v>
      </c>
      <c r="AB84" s="222">
        <f t="shared" si="5"/>
        <v>1</v>
      </c>
      <c r="AC84" s="221">
        <v>1</v>
      </c>
      <c r="AD84" s="222">
        <v>1</v>
      </c>
      <c r="AE84" s="222">
        <v>1</v>
      </c>
      <c r="AF84" s="229">
        <v>0.79461805555555598</v>
      </c>
      <c r="AG84" s="222">
        <v>1</v>
      </c>
      <c r="AH84" s="222">
        <v>1</v>
      </c>
      <c r="AI84" s="222">
        <v>1</v>
      </c>
      <c r="AJ84" s="222">
        <v>1</v>
      </c>
      <c r="AK84" s="222">
        <v>1</v>
      </c>
      <c r="AL84" s="222">
        <v>1</v>
      </c>
      <c r="AM84" s="222">
        <v>1</v>
      </c>
      <c r="AN84" s="222">
        <v>1</v>
      </c>
      <c r="AO84" s="222">
        <v>1</v>
      </c>
      <c r="AP84" s="222">
        <v>1</v>
      </c>
      <c r="AQ84" s="217"/>
      <c r="AR84" s="4"/>
      <c r="AS84" s="217" t="s">
        <v>306</v>
      </c>
      <c r="AT84" s="217"/>
      <c r="AU84" s="96" t="s">
        <v>720</v>
      </c>
    </row>
    <row r="85" spans="1:47">
      <c r="A85" s="171" t="s">
        <v>768</v>
      </c>
      <c r="B85" s="171" t="s">
        <v>160</v>
      </c>
      <c r="C85" s="171" t="s">
        <v>73</v>
      </c>
      <c r="D85" s="171" t="s">
        <v>769</v>
      </c>
      <c r="E85" s="171" t="s">
        <v>162</v>
      </c>
      <c r="F85" s="171" t="s">
        <v>770</v>
      </c>
      <c r="G85" s="171" t="s">
        <v>771</v>
      </c>
      <c r="H85" s="171" t="s">
        <v>165</v>
      </c>
      <c r="I85" s="171">
        <v>202605.5</v>
      </c>
      <c r="J85" s="221">
        <v>5.25</v>
      </c>
      <c r="K85" s="171" t="s">
        <v>73</v>
      </c>
      <c r="L85" s="171" t="s">
        <v>772</v>
      </c>
      <c r="M85" s="171" t="s">
        <v>773</v>
      </c>
      <c r="N85" s="171" t="s">
        <v>774</v>
      </c>
      <c r="O85" s="217"/>
      <c r="P85" s="171" t="s">
        <v>138</v>
      </c>
      <c r="Q85" s="171" t="s">
        <v>100</v>
      </c>
      <c r="R85" s="171" t="s">
        <v>262</v>
      </c>
      <c r="S85" s="171" t="s">
        <v>753</v>
      </c>
      <c r="T85" s="171" t="s">
        <v>103</v>
      </c>
      <c r="U85" s="171" t="s">
        <v>264</v>
      </c>
      <c r="V85" s="171" t="s">
        <v>264</v>
      </c>
      <c r="W85" s="191" t="s">
        <v>13</v>
      </c>
      <c r="X85" s="217" t="s">
        <v>172</v>
      </c>
      <c r="Y85" s="171" t="s">
        <v>173</v>
      </c>
      <c r="Z85" s="171" t="s">
        <v>174</v>
      </c>
      <c r="AA85" s="171" t="s">
        <v>175</v>
      </c>
      <c r="AB85" s="222">
        <f t="shared" si="5"/>
        <v>1</v>
      </c>
      <c r="AC85" s="221">
        <v>1</v>
      </c>
      <c r="AD85" s="222">
        <v>1</v>
      </c>
      <c r="AE85" s="222">
        <v>1</v>
      </c>
      <c r="AF85" s="229">
        <v>0.79461805555555598</v>
      </c>
      <c r="AG85" s="222">
        <v>1</v>
      </c>
      <c r="AH85" s="222">
        <v>1</v>
      </c>
      <c r="AI85" s="222">
        <v>1</v>
      </c>
      <c r="AJ85" s="222">
        <v>1</v>
      </c>
      <c r="AK85" s="222">
        <v>1</v>
      </c>
      <c r="AL85" s="222">
        <v>1</v>
      </c>
      <c r="AM85" s="222">
        <v>1</v>
      </c>
      <c r="AN85" s="222">
        <v>1</v>
      </c>
      <c r="AO85" s="222">
        <v>1</v>
      </c>
      <c r="AP85" s="222">
        <v>1</v>
      </c>
      <c r="AQ85" s="217"/>
      <c r="AR85" s="133" t="s">
        <v>194</v>
      </c>
      <c r="AS85" s="217" t="s">
        <v>314</v>
      </c>
      <c r="AT85" s="217"/>
      <c r="AU85" s="96" t="s">
        <v>641</v>
      </c>
    </row>
    <row r="86" spans="1:47">
      <c r="A86" s="171" t="s">
        <v>775</v>
      </c>
      <c r="B86" s="171" t="s">
        <v>160</v>
      </c>
      <c r="C86" s="171" t="s">
        <v>73</v>
      </c>
      <c r="D86" s="171" t="s">
        <v>776</v>
      </c>
      <c r="E86" s="171" t="s">
        <v>162</v>
      </c>
      <c r="F86" s="171" t="s">
        <v>777</v>
      </c>
      <c r="G86" s="171" t="s">
        <v>778</v>
      </c>
      <c r="H86" s="171" t="s">
        <v>165</v>
      </c>
      <c r="I86" s="171">
        <v>202605.5</v>
      </c>
      <c r="J86" s="221">
        <v>5.25</v>
      </c>
      <c r="K86" s="171" t="s">
        <v>73</v>
      </c>
      <c r="L86" s="171" t="s">
        <v>779</v>
      </c>
      <c r="M86" s="171" t="s">
        <v>780</v>
      </c>
      <c r="N86" s="171" t="s">
        <v>781</v>
      </c>
      <c r="O86" s="217"/>
      <c r="P86" s="171" t="s">
        <v>138</v>
      </c>
      <c r="Q86" s="171" t="s">
        <v>100</v>
      </c>
      <c r="R86" s="171" t="s">
        <v>262</v>
      </c>
      <c r="S86" s="171" t="s">
        <v>753</v>
      </c>
      <c r="T86" s="171" t="s">
        <v>103</v>
      </c>
      <c r="U86" s="171" t="s">
        <v>264</v>
      </c>
      <c r="V86" s="171" t="s">
        <v>264</v>
      </c>
      <c r="W86" s="191" t="s">
        <v>13</v>
      </c>
      <c r="X86" s="217" t="s">
        <v>172</v>
      </c>
      <c r="Y86" s="171" t="s">
        <v>173</v>
      </c>
      <c r="Z86" s="171" t="s">
        <v>174</v>
      </c>
      <c r="AA86" s="171" t="s">
        <v>175</v>
      </c>
      <c r="AB86" s="222">
        <f t="shared" si="5"/>
        <v>1</v>
      </c>
      <c r="AC86" s="221">
        <v>1</v>
      </c>
      <c r="AD86" s="222">
        <v>1</v>
      </c>
      <c r="AE86" s="222">
        <v>1</v>
      </c>
      <c r="AF86" s="229">
        <v>0.79461805555555598</v>
      </c>
      <c r="AG86" s="222">
        <v>1</v>
      </c>
      <c r="AH86" s="222">
        <v>1</v>
      </c>
      <c r="AI86" s="222">
        <v>1</v>
      </c>
      <c r="AJ86" s="222">
        <v>1</v>
      </c>
      <c r="AK86" s="222">
        <v>1</v>
      </c>
      <c r="AL86" s="222">
        <v>1</v>
      </c>
      <c r="AM86" s="222">
        <v>1</v>
      </c>
      <c r="AN86" s="222">
        <v>1</v>
      </c>
      <c r="AO86" s="222">
        <v>1</v>
      </c>
      <c r="AP86" s="222">
        <v>1</v>
      </c>
      <c r="AQ86" s="217"/>
      <c r="AR86" s="4"/>
      <c r="AS86" s="217" t="s">
        <v>322</v>
      </c>
      <c r="AT86" s="217"/>
      <c r="AU86" s="96" t="s">
        <v>782</v>
      </c>
    </row>
    <row r="87" spans="1:47">
      <c r="A87" s="171" t="s">
        <v>783</v>
      </c>
      <c r="B87" s="171" t="s">
        <v>160</v>
      </c>
      <c r="C87" s="171" t="s">
        <v>73</v>
      </c>
      <c r="D87" s="171" t="s">
        <v>784</v>
      </c>
      <c r="E87" s="171" t="s">
        <v>162</v>
      </c>
      <c r="F87" s="171" t="s">
        <v>785</v>
      </c>
      <c r="G87" s="171" t="s">
        <v>786</v>
      </c>
      <c r="H87" s="171" t="s">
        <v>165</v>
      </c>
      <c r="I87" s="171">
        <v>202605.5</v>
      </c>
      <c r="J87" s="221">
        <v>5.25</v>
      </c>
      <c r="K87" s="171" t="s">
        <v>73</v>
      </c>
      <c r="L87" s="171" t="s">
        <v>787</v>
      </c>
      <c r="M87" s="171" t="s">
        <v>788</v>
      </c>
      <c r="N87" s="171" t="s">
        <v>789</v>
      </c>
      <c r="O87" s="217"/>
      <c r="P87" s="171" t="s">
        <v>138</v>
      </c>
      <c r="Q87" s="171" t="s">
        <v>100</v>
      </c>
      <c r="R87" s="171" t="s">
        <v>262</v>
      </c>
      <c r="S87" s="171" t="s">
        <v>753</v>
      </c>
      <c r="T87" s="171" t="s">
        <v>103</v>
      </c>
      <c r="U87" s="171" t="s">
        <v>264</v>
      </c>
      <c r="V87" s="171" t="s">
        <v>264</v>
      </c>
      <c r="W87" s="191" t="s">
        <v>13</v>
      </c>
      <c r="X87" s="217" t="s">
        <v>172</v>
      </c>
      <c r="Y87" s="171" t="s">
        <v>173</v>
      </c>
      <c r="Z87" s="171" t="s">
        <v>174</v>
      </c>
      <c r="AA87" s="171" t="s">
        <v>175</v>
      </c>
      <c r="AB87" s="222">
        <f t="shared" si="5"/>
        <v>1</v>
      </c>
      <c r="AC87" s="221">
        <v>1</v>
      </c>
      <c r="AD87" s="222">
        <v>1</v>
      </c>
      <c r="AE87" s="222">
        <v>1</v>
      </c>
      <c r="AF87" s="229">
        <v>0.79461805555555598</v>
      </c>
      <c r="AG87" s="222">
        <v>1</v>
      </c>
      <c r="AH87" s="222">
        <v>1</v>
      </c>
      <c r="AI87" s="222">
        <v>1</v>
      </c>
      <c r="AJ87" s="222">
        <v>1</v>
      </c>
      <c r="AK87" s="222">
        <v>1</v>
      </c>
      <c r="AL87" s="222">
        <v>1</v>
      </c>
      <c r="AM87" s="222">
        <v>1</v>
      </c>
      <c r="AN87" s="222">
        <v>1</v>
      </c>
      <c r="AO87" s="222">
        <v>1</v>
      </c>
      <c r="AP87" s="222">
        <v>1</v>
      </c>
      <c r="AQ87" s="217"/>
      <c r="AR87" s="4"/>
      <c r="AS87" s="217" t="s">
        <v>329</v>
      </c>
      <c r="AT87" s="217"/>
      <c r="AU87" s="96" t="s">
        <v>655</v>
      </c>
    </row>
    <row r="88" spans="1:47">
      <c r="A88" s="171" t="s">
        <v>790</v>
      </c>
      <c r="B88" s="171" t="s">
        <v>160</v>
      </c>
      <c r="C88" s="171" t="s">
        <v>73</v>
      </c>
      <c r="D88" s="171" t="s">
        <v>791</v>
      </c>
      <c r="E88" s="171" t="s">
        <v>162</v>
      </c>
      <c r="F88" s="171" t="s">
        <v>792</v>
      </c>
      <c r="G88" s="171" t="s">
        <v>793</v>
      </c>
      <c r="H88" s="171" t="s">
        <v>165</v>
      </c>
      <c r="I88" s="171">
        <v>202605.5</v>
      </c>
      <c r="J88" s="221">
        <v>5.25</v>
      </c>
      <c r="K88" s="171" t="s">
        <v>73</v>
      </c>
      <c r="L88" s="171" t="s">
        <v>794</v>
      </c>
      <c r="M88" s="171" t="s">
        <v>795</v>
      </c>
      <c r="N88" s="171" t="s">
        <v>796</v>
      </c>
      <c r="O88" s="217"/>
      <c r="P88" s="171" t="s">
        <v>138</v>
      </c>
      <c r="Q88" s="171" t="s">
        <v>100</v>
      </c>
      <c r="R88" s="171" t="s">
        <v>262</v>
      </c>
      <c r="S88" s="171" t="s">
        <v>753</v>
      </c>
      <c r="T88" s="171" t="s">
        <v>103</v>
      </c>
      <c r="U88" s="171" t="s">
        <v>264</v>
      </c>
      <c r="V88" s="171" t="s">
        <v>264</v>
      </c>
      <c r="W88" s="191" t="s">
        <v>13</v>
      </c>
      <c r="X88" s="217" t="s">
        <v>172</v>
      </c>
      <c r="Y88" s="171" t="s">
        <v>173</v>
      </c>
      <c r="Z88" s="171" t="s">
        <v>174</v>
      </c>
      <c r="AA88" s="171" t="s">
        <v>175</v>
      </c>
      <c r="AB88" s="222">
        <f t="shared" si="5"/>
        <v>1</v>
      </c>
      <c r="AC88" s="221">
        <v>1</v>
      </c>
      <c r="AD88" s="222">
        <v>1</v>
      </c>
      <c r="AE88" s="222">
        <v>1</v>
      </c>
      <c r="AF88" s="229">
        <v>0.79461805555555598</v>
      </c>
      <c r="AG88" s="222">
        <v>1</v>
      </c>
      <c r="AH88" s="222">
        <v>1</v>
      </c>
      <c r="AI88" s="222">
        <v>1</v>
      </c>
      <c r="AJ88" s="222">
        <v>1</v>
      </c>
      <c r="AK88" s="222">
        <v>1</v>
      </c>
      <c r="AL88" s="222">
        <v>1</v>
      </c>
      <c r="AM88" s="222">
        <v>1</v>
      </c>
      <c r="AN88" s="222">
        <v>1</v>
      </c>
      <c r="AO88" s="222">
        <v>1</v>
      </c>
      <c r="AP88" s="222">
        <v>1</v>
      </c>
      <c r="AQ88" s="217"/>
      <c r="AR88" s="4"/>
      <c r="AS88" s="217" t="s">
        <v>337</v>
      </c>
      <c r="AT88" s="217"/>
      <c r="AU88" s="96" t="s">
        <v>762</v>
      </c>
    </row>
    <row r="89" spans="1:47">
      <c r="A89" s="171" t="s">
        <v>797</v>
      </c>
      <c r="B89" s="171" t="s">
        <v>160</v>
      </c>
      <c r="C89" s="171" t="s">
        <v>73</v>
      </c>
      <c r="D89" s="171" t="s">
        <v>798</v>
      </c>
      <c r="E89" s="171" t="s">
        <v>499</v>
      </c>
      <c r="F89" s="171" t="s">
        <v>799</v>
      </c>
      <c r="G89" s="171" t="s">
        <v>800</v>
      </c>
      <c r="H89" s="171" t="s">
        <v>165</v>
      </c>
      <c r="I89" s="171">
        <v>202605.5</v>
      </c>
      <c r="J89" s="221">
        <v>5.25</v>
      </c>
      <c r="K89" s="171" t="s">
        <v>73</v>
      </c>
      <c r="L89" s="171" t="s">
        <v>801</v>
      </c>
      <c r="M89" s="171" t="s">
        <v>802</v>
      </c>
      <c r="N89" s="171" t="s">
        <v>803</v>
      </c>
      <c r="O89" s="217"/>
      <c r="P89" s="171" t="s">
        <v>138</v>
      </c>
      <c r="Q89" s="171" t="s">
        <v>100</v>
      </c>
      <c r="R89" s="171" t="s">
        <v>262</v>
      </c>
      <c r="S89" s="171" t="s">
        <v>753</v>
      </c>
      <c r="T89" s="171" t="s">
        <v>103</v>
      </c>
      <c r="U89" s="171" t="s">
        <v>264</v>
      </c>
      <c r="V89" s="171" t="s">
        <v>264</v>
      </c>
      <c r="W89" s="191" t="s">
        <v>13</v>
      </c>
      <c r="X89" s="217" t="s">
        <v>172</v>
      </c>
      <c r="Y89" s="171" t="s">
        <v>173</v>
      </c>
      <c r="Z89" s="171" t="s">
        <v>174</v>
      </c>
      <c r="AA89" s="171" t="s">
        <v>175</v>
      </c>
      <c r="AB89" s="222">
        <f t="shared" si="5"/>
        <v>1</v>
      </c>
      <c r="AC89" s="221">
        <v>1</v>
      </c>
      <c r="AD89" s="222">
        <v>1</v>
      </c>
      <c r="AE89" s="222">
        <v>1</v>
      </c>
      <c r="AF89" s="229">
        <v>0.79461805555555598</v>
      </c>
      <c r="AG89" s="222">
        <v>1</v>
      </c>
      <c r="AH89" s="222">
        <v>1</v>
      </c>
      <c r="AI89" s="222">
        <v>1</v>
      </c>
      <c r="AJ89" s="222">
        <v>1</v>
      </c>
      <c r="AK89" s="222">
        <v>1</v>
      </c>
      <c r="AL89" s="222">
        <v>1</v>
      </c>
      <c r="AM89" s="222">
        <v>1</v>
      </c>
      <c r="AN89" s="222">
        <v>1</v>
      </c>
      <c r="AO89" s="222">
        <v>1</v>
      </c>
      <c r="AP89" s="222">
        <v>1</v>
      </c>
      <c r="AQ89" s="217"/>
      <c r="AR89" s="4"/>
      <c r="AS89" s="217" t="s">
        <v>184</v>
      </c>
      <c r="AT89" s="217"/>
      <c r="AU89" s="96" t="s">
        <v>804</v>
      </c>
    </row>
    <row r="90" spans="1:47">
      <c r="A90" s="171" t="s">
        <v>805</v>
      </c>
      <c r="B90" s="171" t="s">
        <v>160</v>
      </c>
      <c r="C90" s="171" t="s">
        <v>73</v>
      </c>
      <c r="D90" s="171" t="s">
        <v>804</v>
      </c>
      <c r="E90" s="171" t="s">
        <v>162</v>
      </c>
      <c r="F90" s="171" t="s">
        <v>806</v>
      </c>
      <c r="G90" s="171" t="s">
        <v>807</v>
      </c>
      <c r="H90" s="171" t="s">
        <v>165</v>
      </c>
      <c r="I90" s="171">
        <v>202605.5</v>
      </c>
      <c r="J90" s="221">
        <v>5.25</v>
      </c>
      <c r="K90" s="171" t="s">
        <v>73</v>
      </c>
      <c r="L90" s="171" t="s">
        <v>808</v>
      </c>
      <c r="M90" s="171" t="s">
        <v>809</v>
      </c>
      <c r="N90" s="171" t="s">
        <v>810</v>
      </c>
      <c r="O90" s="217"/>
      <c r="P90" s="171" t="s">
        <v>138</v>
      </c>
      <c r="Q90" s="171" t="s">
        <v>100</v>
      </c>
      <c r="R90" s="171" t="s">
        <v>262</v>
      </c>
      <c r="S90" s="171" t="s">
        <v>753</v>
      </c>
      <c r="T90" s="171" t="s">
        <v>103</v>
      </c>
      <c r="U90" s="171" t="s">
        <v>264</v>
      </c>
      <c r="V90" s="171" t="s">
        <v>264</v>
      </c>
      <c r="W90" s="191" t="s">
        <v>13</v>
      </c>
      <c r="X90" s="217" t="s">
        <v>172</v>
      </c>
      <c r="Y90" s="171" t="s">
        <v>173</v>
      </c>
      <c r="Z90" s="171" t="s">
        <v>174</v>
      </c>
      <c r="AA90" s="171" t="s">
        <v>175</v>
      </c>
      <c r="AB90" s="222">
        <f t="shared" si="5"/>
        <v>1</v>
      </c>
      <c r="AC90" s="221">
        <v>1</v>
      </c>
      <c r="AD90" s="222">
        <v>1</v>
      </c>
      <c r="AE90" s="222">
        <v>1</v>
      </c>
      <c r="AF90" s="229">
        <v>0.79461805555555598</v>
      </c>
      <c r="AG90" s="222">
        <v>1</v>
      </c>
      <c r="AH90" s="222">
        <v>1</v>
      </c>
      <c r="AI90" s="222">
        <v>1</v>
      </c>
      <c r="AJ90" s="222">
        <v>1</v>
      </c>
      <c r="AK90" s="222">
        <v>1</v>
      </c>
      <c r="AL90" s="222">
        <v>1</v>
      </c>
      <c r="AM90" s="222">
        <v>1</v>
      </c>
      <c r="AN90" s="222">
        <v>1</v>
      </c>
      <c r="AO90" s="222">
        <v>1</v>
      </c>
      <c r="AP90" s="222">
        <v>1</v>
      </c>
      <c r="AQ90" s="217"/>
      <c r="AR90" s="4"/>
      <c r="AS90" s="217" t="s">
        <v>195</v>
      </c>
      <c r="AT90" s="217"/>
      <c r="AU90" s="96" t="s">
        <v>747</v>
      </c>
    </row>
    <row r="91" spans="1:47">
      <c r="A91" s="171" t="s">
        <v>811</v>
      </c>
      <c r="B91" s="171" t="s">
        <v>160</v>
      </c>
      <c r="C91" s="171" t="s">
        <v>73</v>
      </c>
      <c r="D91" s="171" t="s">
        <v>812</v>
      </c>
      <c r="E91" s="171" t="s">
        <v>162</v>
      </c>
      <c r="F91" s="171" t="s">
        <v>813</v>
      </c>
      <c r="G91" s="171" t="s">
        <v>814</v>
      </c>
      <c r="H91" s="171" t="s">
        <v>165</v>
      </c>
      <c r="I91" s="171">
        <v>202605.5</v>
      </c>
      <c r="J91" s="221">
        <v>5.25</v>
      </c>
      <c r="K91" s="171" t="s">
        <v>73</v>
      </c>
      <c r="L91" s="171" t="s">
        <v>815</v>
      </c>
      <c r="M91" s="171" t="s">
        <v>816</v>
      </c>
      <c r="N91" s="171" t="s">
        <v>817</v>
      </c>
      <c r="O91" s="217"/>
      <c r="P91" s="171" t="s">
        <v>138</v>
      </c>
      <c r="Q91" s="171" t="s">
        <v>100</v>
      </c>
      <c r="R91" s="171" t="s">
        <v>262</v>
      </c>
      <c r="S91" s="171" t="s">
        <v>753</v>
      </c>
      <c r="T91" s="171" t="s">
        <v>103</v>
      </c>
      <c r="U91" s="171" t="s">
        <v>264</v>
      </c>
      <c r="V91" s="171" t="s">
        <v>264</v>
      </c>
      <c r="W91" s="191" t="s">
        <v>13</v>
      </c>
      <c r="X91" s="217" t="s">
        <v>172</v>
      </c>
      <c r="Y91" s="171" t="s">
        <v>173</v>
      </c>
      <c r="Z91" s="171" t="s">
        <v>174</v>
      </c>
      <c r="AA91" s="171" t="s">
        <v>175</v>
      </c>
      <c r="AB91" s="222">
        <f t="shared" si="5"/>
        <v>1</v>
      </c>
      <c r="AC91" s="221">
        <v>1</v>
      </c>
      <c r="AD91" s="222">
        <v>1</v>
      </c>
      <c r="AE91" s="222">
        <v>1</v>
      </c>
      <c r="AF91" s="229">
        <v>0.79461805555555598</v>
      </c>
      <c r="AG91" s="222">
        <v>1</v>
      </c>
      <c r="AH91" s="222">
        <v>1</v>
      </c>
      <c r="AI91" s="222">
        <v>1</v>
      </c>
      <c r="AJ91" s="222">
        <v>1</v>
      </c>
      <c r="AK91" s="222">
        <v>1</v>
      </c>
      <c r="AL91" s="222">
        <v>1</v>
      </c>
      <c r="AM91" s="222">
        <v>1</v>
      </c>
      <c r="AN91" s="222">
        <v>1</v>
      </c>
      <c r="AO91" s="222">
        <v>1</v>
      </c>
      <c r="AP91" s="226" t="s">
        <v>818</v>
      </c>
      <c r="AQ91" s="217"/>
      <c r="AR91" s="4"/>
      <c r="AS91" s="217" t="s">
        <v>204</v>
      </c>
      <c r="AT91" s="217"/>
      <c r="AU91" s="96" t="s">
        <v>798</v>
      </c>
    </row>
    <row r="92" spans="1:47">
      <c r="A92" s="171" t="s">
        <v>819</v>
      </c>
      <c r="B92" s="171" t="s">
        <v>160</v>
      </c>
      <c r="C92" s="171" t="s">
        <v>73</v>
      </c>
      <c r="D92" s="171" t="s">
        <v>820</v>
      </c>
      <c r="E92" s="171" t="s">
        <v>162</v>
      </c>
      <c r="F92" s="171" t="s">
        <v>821</v>
      </c>
      <c r="G92" s="171" t="s">
        <v>822</v>
      </c>
      <c r="H92" s="171" t="s">
        <v>165</v>
      </c>
      <c r="I92" s="171">
        <v>202605.5</v>
      </c>
      <c r="J92" s="221">
        <v>5.25</v>
      </c>
      <c r="K92" s="171" t="s">
        <v>73</v>
      </c>
      <c r="L92" s="171" t="s">
        <v>823</v>
      </c>
      <c r="M92" s="171" t="s">
        <v>824</v>
      </c>
      <c r="N92" s="171" t="s">
        <v>825</v>
      </c>
      <c r="O92" s="217"/>
      <c r="P92" s="171" t="s">
        <v>138</v>
      </c>
      <c r="Q92" s="171" t="s">
        <v>100</v>
      </c>
      <c r="R92" s="171" t="s">
        <v>262</v>
      </c>
      <c r="S92" s="171" t="s">
        <v>753</v>
      </c>
      <c r="T92" s="171" t="s">
        <v>103</v>
      </c>
      <c r="U92" s="171" t="s">
        <v>264</v>
      </c>
      <c r="V92" s="171" t="s">
        <v>264</v>
      </c>
      <c r="W92" s="191" t="s">
        <v>13</v>
      </c>
      <c r="X92" s="217" t="s">
        <v>172</v>
      </c>
      <c r="Y92" s="171" t="s">
        <v>173</v>
      </c>
      <c r="Z92" s="171" t="s">
        <v>174</v>
      </c>
      <c r="AA92" s="171" t="s">
        <v>175</v>
      </c>
      <c r="AB92" s="222">
        <f t="shared" si="5"/>
        <v>1</v>
      </c>
      <c r="AC92" s="221">
        <v>1</v>
      </c>
      <c r="AD92" s="222">
        <v>1</v>
      </c>
      <c r="AE92" s="222">
        <v>1</v>
      </c>
      <c r="AF92" s="229">
        <v>0.79461805555555598</v>
      </c>
      <c r="AG92" s="222">
        <v>1</v>
      </c>
      <c r="AH92" s="222">
        <v>1</v>
      </c>
      <c r="AI92" s="222">
        <v>1</v>
      </c>
      <c r="AJ92" s="222">
        <v>1</v>
      </c>
      <c r="AK92" s="222">
        <v>1</v>
      </c>
      <c r="AL92" s="222">
        <v>1</v>
      </c>
      <c r="AM92" s="222">
        <v>1</v>
      </c>
      <c r="AN92" s="222">
        <v>1</v>
      </c>
      <c r="AO92" s="222">
        <v>1</v>
      </c>
      <c r="AP92" s="222">
        <v>1</v>
      </c>
      <c r="AQ92" s="217"/>
      <c r="AR92" s="4"/>
      <c r="AS92" s="217" t="s">
        <v>213</v>
      </c>
      <c r="AT92" s="217"/>
      <c r="AU92" s="96" t="s">
        <v>784</v>
      </c>
    </row>
    <row r="93" spans="1:47">
      <c r="A93" s="171" t="s">
        <v>826</v>
      </c>
      <c r="B93" s="171" t="s">
        <v>160</v>
      </c>
      <c r="C93" s="171" t="s">
        <v>73</v>
      </c>
      <c r="D93" s="171" t="s">
        <v>827</v>
      </c>
      <c r="E93" s="171" t="s">
        <v>162</v>
      </c>
      <c r="F93" s="171" t="s">
        <v>828</v>
      </c>
      <c r="G93" s="171" t="s">
        <v>829</v>
      </c>
      <c r="H93" s="171" t="s">
        <v>165</v>
      </c>
      <c r="I93" s="171">
        <v>202605.5</v>
      </c>
      <c r="J93" s="221">
        <v>5.25</v>
      </c>
      <c r="K93" s="171" t="s">
        <v>73</v>
      </c>
      <c r="L93" s="171" t="s">
        <v>830</v>
      </c>
      <c r="M93" s="171" t="s">
        <v>831</v>
      </c>
      <c r="N93" s="171" t="s">
        <v>832</v>
      </c>
      <c r="O93" s="217"/>
      <c r="P93" s="171" t="s">
        <v>138</v>
      </c>
      <c r="Q93" s="171" t="s">
        <v>100</v>
      </c>
      <c r="R93" s="171" t="s">
        <v>262</v>
      </c>
      <c r="S93" s="171" t="s">
        <v>753</v>
      </c>
      <c r="T93" s="171" t="s">
        <v>103</v>
      </c>
      <c r="U93" s="171" t="s">
        <v>264</v>
      </c>
      <c r="V93" s="171" t="s">
        <v>264</v>
      </c>
      <c r="W93" s="191" t="s">
        <v>13</v>
      </c>
      <c r="X93" s="217" t="s">
        <v>172</v>
      </c>
      <c r="Y93" s="171" t="s">
        <v>173</v>
      </c>
      <c r="Z93" s="171" t="s">
        <v>174</v>
      </c>
      <c r="AA93" s="171" t="s">
        <v>175</v>
      </c>
      <c r="AB93" s="222">
        <f t="shared" si="5"/>
        <v>1</v>
      </c>
      <c r="AC93" s="221">
        <v>1</v>
      </c>
      <c r="AD93" s="222">
        <v>1</v>
      </c>
      <c r="AE93" s="222">
        <v>1</v>
      </c>
      <c r="AF93" s="229">
        <v>0.79461805555555598</v>
      </c>
      <c r="AG93" s="222">
        <v>1</v>
      </c>
      <c r="AH93" s="222">
        <v>1</v>
      </c>
      <c r="AI93" s="222">
        <v>1</v>
      </c>
      <c r="AJ93" s="222">
        <v>1</v>
      </c>
      <c r="AK93" s="222">
        <v>1</v>
      </c>
      <c r="AL93" s="222">
        <v>1</v>
      </c>
      <c r="AM93" s="222">
        <v>1</v>
      </c>
      <c r="AN93" s="222">
        <v>1</v>
      </c>
      <c r="AO93" s="222">
        <v>1</v>
      </c>
      <c r="AP93" s="222">
        <v>1</v>
      </c>
      <c r="AQ93" s="217"/>
      <c r="AR93" s="4"/>
      <c r="AS93" s="217" t="s">
        <v>221</v>
      </c>
      <c r="AT93" s="217"/>
      <c r="AU93" s="96" t="s">
        <v>833</v>
      </c>
    </row>
    <row r="94" spans="1:47">
      <c r="A94" s="171" t="s">
        <v>834</v>
      </c>
      <c r="B94" s="171" t="s">
        <v>160</v>
      </c>
      <c r="C94" s="171" t="s">
        <v>73</v>
      </c>
      <c r="D94" s="171" t="s">
        <v>835</v>
      </c>
      <c r="E94" s="171" t="s">
        <v>162</v>
      </c>
      <c r="F94" s="171" t="s">
        <v>836</v>
      </c>
      <c r="G94" s="171" t="s">
        <v>837</v>
      </c>
      <c r="H94" s="171" t="s">
        <v>165</v>
      </c>
      <c r="I94" s="171">
        <v>202605.5</v>
      </c>
      <c r="J94" s="221">
        <v>5.25</v>
      </c>
      <c r="K94" s="171" t="s">
        <v>73</v>
      </c>
      <c r="L94" s="171" t="s">
        <v>838</v>
      </c>
      <c r="M94" s="171" t="s">
        <v>839</v>
      </c>
      <c r="N94" s="171" t="s">
        <v>840</v>
      </c>
      <c r="O94" s="217"/>
      <c r="P94" s="171" t="s">
        <v>138</v>
      </c>
      <c r="Q94" s="171" t="s">
        <v>100</v>
      </c>
      <c r="R94" s="171" t="s">
        <v>262</v>
      </c>
      <c r="S94" s="171" t="s">
        <v>753</v>
      </c>
      <c r="T94" s="171" t="s">
        <v>103</v>
      </c>
      <c r="U94" s="171" t="s">
        <v>264</v>
      </c>
      <c r="V94" s="171" t="s">
        <v>264</v>
      </c>
      <c r="W94" s="191" t="s">
        <v>13</v>
      </c>
      <c r="X94" s="217" t="s">
        <v>172</v>
      </c>
      <c r="Y94" s="171" t="s">
        <v>173</v>
      </c>
      <c r="Z94" s="171" t="s">
        <v>174</v>
      </c>
      <c r="AA94" s="171" t="s">
        <v>175</v>
      </c>
      <c r="AB94" s="222">
        <f t="shared" si="5"/>
        <v>1</v>
      </c>
      <c r="AC94" s="221">
        <v>1</v>
      </c>
      <c r="AD94" s="222">
        <v>1</v>
      </c>
      <c r="AE94" s="222">
        <v>1</v>
      </c>
      <c r="AF94" s="229">
        <v>0.79461805555555598</v>
      </c>
      <c r="AG94" s="222">
        <v>1</v>
      </c>
      <c r="AH94" s="222">
        <v>1</v>
      </c>
      <c r="AI94" s="222">
        <v>1</v>
      </c>
      <c r="AJ94" s="222">
        <v>1</v>
      </c>
      <c r="AK94" s="222">
        <v>1</v>
      </c>
      <c r="AL94" s="222">
        <v>1</v>
      </c>
      <c r="AM94" s="222">
        <v>1</v>
      </c>
      <c r="AN94" s="222">
        <v>1</v>
      </c>
      <c r="AO94" s="222">
        <v>1</v>
      </c>
      <c r="AP94" s="222">
        <v>1</v>
      </c>
      <c r="AQ94" s="217"/>
      <c r="AR94" s="4"/>
      <c r="AS94" s="217" t="s">
        <v>229</v>
      </c>
      <c r="AT94" s="217"/>
      <c r="AU94" s="96" t="s">
        <v>755</v>
      </c>
    </row>
    <row r="95" spans="1:47">
      <c r="A95" s="171" t="s">
        <v>841</v>
      </c>
      <c r="B95" s="171" t="s">
        <v>160</v>
      </c>
      <c r="C95" s="171" t="s">
        <v>73</v>
      </c>
      <c r="D95" s="171" t="s">
        <v>842</v>
      </c>
      <c r="E95" s="171" t="s">
        <v>162</v>
      </c>
      <c r="F95" s="171" t="s">
        <v>843</v>
      </c>
      <c r="G95" s="171" t="s">
        <v>844</v>
      </c>
      <c r="H95" s="171" t="s">
        <v>165</v>
      </c>
      <c r="I95" s="171">
        <v>202605.5</v>
      </c>
      <c r="J95" s="221">
        <v>5.25</v>
      </c>
      <c r="K95" s="171" t="s">
        <v>73</v>
      </c>
      <c r="L95" s="171" t="s">
        <v>845</v>
      </c>
      <c r="M95" s="171" t="s">
        <v>846</v>
      </c>
      <c r="N95" s="171" t="s">
        <v>847</v>
      </c>
      <c r="O95" s="217"/>
      <c r="P95" s="171" t="s">
        <v>138</v>
      </c>
      <c r="Q95" s="171" t="s">
        <v>100</v>
      </c>
      <c r="R95" s="171" t="s">
        <v>262</v>
      </c>
      <c r="S95" s="171" t="s">
        <v>753</v>
      </c>
      <c r="T95" s="171" t="s">
        <v>103</v>
      </c>
      <c r="U95" s="171" t="s">
        <v>264</v>
      </c>
      <c r="V95" s="171" t="s">
        <v>264</v>
      </c>
      <c r="W95" s="191" t="s">
        <v>13</v>
      </c>
      <c r="X95" s="217" t="s">
        <v>172</v>
      </c>
      <c r="Y95" s="171" t="s">
        <v>173</v>
      </c>
      <c r="Z95" s="171" t="s">
        <v>174</v>
      </c>
      <c r="AA95" s="171" t="s">
        <v>175</v>
      </c>
      <c r="AB95" s="222">
        <f t="shared" si="5"/>
        <v>1</v>
      </c>
      <c r="AC95" s="221">
        <v>1</v>
      </c>
      <c r="AD95" s="222">
        <v>1</v>
      </c>
      <c r="AE95" s="222">
        <v>1</v>
      </c>
      <c r="AF95" s="229">
        <v>0.79461805555555598</v>
      </c>
      <c r="AG95" s="222">
        <v>1</v>
      </c>
      <c r="AH95" s="222">
        <v>1</v>
      </c>
      <c r="AI95" s="222">
        <v>1</v>
      </c>
      <c r="AJ95" s="222">
        <v>1</v>
      </c>
      <c r="AK95" s="222">
        <v>1</v>
      </c>
      <c r="AL95" s="222">
        <v>1</v>
      </c>
      <c r="AM95" s="222">
        <v>1</v>
      </c>
      <c r="AN95" s="222">
        <v>1</v>
      </c>
      <c r="AO95" s="222">
        <v>1</v>
      </c>
      <c r="AP95" s="222">
        <v>1</v>
      </c>
      <c r="AQ95" s="217"/>
      <c r="AR95" s="4"/>
      <c r="AS95" s="217" t="s">
        <v>237</v>
      </c>
      <c r="AT95" s="217"/>
      <c r="AU95" s="96" t="s">
        <v>791</v>
      </c>
    </row>
    <row r="96" spans="1:47">
      <c r="A96" s="171" t="s">
        <v>848</v>
      </c>
      <c r="B96" s="171" t="s">
        <v>160</v>
      </c>
      <c r="C96" s="171" t="s">
        <v>73</v>
      </c>
      <c r="D96" s="171" t="s">
        <v>849</v>
      </c>
      <c r="E96" s="171" t="s">
        <v>162</v>
      </c>
      <c r="F96" s="171" t="s">
        <v>850</v>
      </c>
      <c r="G96" s="171" t="s">
        <v>851</v>
      </c>
      <c r="H96" s="171" t="s">
        <v>165</v>
      </c>
      <c r="I96" s="171">
        <v>202605.5</v>
      </c>
      <c r="J96" s="221">
        <v>5.25</v>
      </c>
      <c r="K96" s="171" t="s">
        <v>73</v>
      </c>
      <c r="L96" s="171" t="s">
        <v>852</v>
      </c>
      <c r="M96" s="171" t="s">
        <v>853</v>
      </c>
      <c r="N96" s="171" t="s">
        <v>854</v>
      </c>
      <c r="O96" s="217"/>
      <c r="P96" s="171" t="s">
        <v>138</v>
      </c>
      <c r="Q96" s="171" t="s">
        <v>100</v>
      </c>
      <c r="R96" s="171" t="s">
        <v>262</v>
      </c>
      <c r="S96" s="171" t="s">
        <v>753</v>
      </c>
      <c r="T96" s="171" t="s">
        <v>103</v>
      </c>
      <c r="U96" s="171" t="s">
        <v>264</v>
      </c>
      <c r="V96" s="171" t="s">
        <v>264</v>
      </c>
      <c r="W96" s="191" t="s">
        <v>13</v>
      </c>
      <c r="X96" s="217" t="s">
        <v>172</v>
      </c>
      <c r="Y96" s="171" t="s">
        <v>173</v>
      </c>
      <c r="Z96" s="171" t="s">
        <v>174</v>
      </c>
      <c r="AA96" s="171" t="s">
        <v>175</v>
      </c>
      <c r="AB96" s="222">
        <f t="shared" si="5"/>
        <v>1</v>
      </c>
      <c r="AC96" s="221">
        <v>1</v>
      </c>
      <c r="AD96" s="222">
        <v>1</v>
      </c>
      <c r="AE96" s="222">
        <v>1</v>
      </c>
      <c r="AF96" s="229">
        <v>0.79461805555555598</v>
      </c>
      <c r="AG96" s="222">
        <v>1</v>
      </c>
      <c r="AH96" s="222">
        <v>1</v>
      </c>
      <c r="AI96" s="222">
        <v>1</v>
      </c>
      <c r="AJ96" s="222">
        <v>1</v>
      </c>
      <c r="AK96" s="222">
        <v>1</v>
      </c>
      <c r="AL96" s="222">
        <v>1</v>
      </c>
      <c r="AM96" s="222">
        <v>1</v>
      </c>
      <c r="AN96" s="222">
        <v>1</v>
      </c>
      <c r="AO96" s="222">
        <v>1</v>
      </c>
      <c r="AP96" s="222">
        <v>1</v>
      </c>
      <c r="AQ96" s="217"/>
      <c r="AR96" s="4"/>
      <c r="AS96" s="217" t="s">
        <v>245</v>
      </c>
      <c r="AT96" s="217"/>
      <c r="AU96" s="96" t="s">
        <v>855</v>
      </c>
    </row>
    <row r="97" spans="1:47">
      <c r="A97" s="171" t="s">
        <v>856</v>
      </c>
      <c r="B97" s="171" t="s">
        <v>160</v>
      </c>
      <c r="C97" s="171" t="s">
        <v>73</v>
      </c>
      <c r="D97" s="171" t="s">
        <v>857</v>
      </c>
      <c r="E97" s="171" t="s">
        <v>162</v>
      </c>
      <c r="F97" s="171" t="s">
        <v>858</v>
      </c>
      <c r="G97" s="171" t="s">
        <v>859</v>
      </c>
      <c r="H97" s="171" t="s">
        <v>165</v>
      </c>
      <c r="I97" s="171">
        <v>202605.5</v>
      </c>
      <c r="J97" s="221">
        <v>5.25</v>
      </c>
      <c r="K97" s="171" t="s">
        <v>73</v>
      </c>
      <c r="L97" s="171" t="s">
        <v>860</v>
      </c>
      <c r="M97" s="171" t="s">
        <v>861</v>
      </c>
      <c r="N97" s="171" t="s">
        <v>862</v>
      </c>
      <c r="O97" s="217"/>
      <c r="P97" s="171" t="s">
        <v>138</v>
      </c>
      <c r="Q97" s="171" t="s">
        <v>100</v>
      </c>
      <c r="R97" s="171" t="s">
        <v>262</v>
      </c>
      <c r="S97" s="171" t="s">
        <v>753</v>
      </c>
      <c r="T97" s="171" t="s">
        <v>103</v>
      </c>
      <c r="U97" s="171" t="s">
        <v>264</v>
      </c>
      <c r="V97" s="171" t="s">
        <v>264</v>
      </c>
      <c r="W97" s="191" t="s">
        <v>13</v>
      </c>
      <c r="X97" s="217" t="s">
        <v>172</v>
      </c>
      <c r="Y97" s="171" t="s">
        <v>173</v>
      </c>
      <c r="Z97" s="171" t="s">
        <v>174</v>
      </c>
      <c r="AA97" s="171" t="s">
        <v>175</v>
      </c>
      <c r="AB97" s="222">
        <f t="shared" si="5"/>
        <v>1</v>
      </c>
      <c r="AC97" s="221">
        <v>1</v>
      </c>
      <c r="AD97" s="222">
        <v>1</v>
      </c>
      <c r="AE97" s="222">
        <v>1</v>
      </c>
      <c r="AF97" s="229">
        <v>0.79461805555555598</v>
      </c>
      <c r="AG97" s="222">
        <v>1</v>
      </c>
      <c r="AH97" s="222">
        <v>1</v>
      </c>
      <c r="AI97" s="222">
        <v>1</v>
      </c>
      <c r="AJ97" s="222">
        <v>1</v>
      </c>
      <c r="AK97" s="222">
        <v>1</v>
      </c>
      <c r="AL97" s="222">
        <v>1</v>
      </c>
      <c r="AM97" s="222">
        <v>1</v>
      </c>
      <c r="AN97" s="222">
        <v>1</v>
      </c>
      <c r="AO97" s="222">
        <v>1</v>
      </c>
      <c r="AP97" s="222">
        <v>1</v>
      </c>
      <c r="AQ97" s="217"/>
      <c r="AR97" s="4"/>
      <c r="AS97" s="217" t="s">
        <v>254</v>
      </c>
      <c r="AT97" s="217"/>
      <c r="AU97" s="96" t="s">
        <v>863</v>
      </c>
    </row>
    <row r="98" spans="1:47">
      <c r="A98" s="171" t="s">
        <v>864</v>
      </c>
      <c r="B98" s="171" t="s">
        <v>160</v>
      </c>
      <c r="C98" s="171" t="s">
        <v>73</v>
      </c>
      <c r="D98" s="171" t="s">
        <v>865</v>
      </c>
      <c r="E98" s="171" t="s">
        <v>162</v>
      </c>
      <c r="F98" s="171" t="s">
        <v>866</v>
      </c>
      <c r="G98" s="171" t="s">
        <v>867</v>
      </c>
      <c r="H98" s="171" t="s">
        <v>165</v>
      </c>
      <c r="I98" s="171">
        <v>202605.5</v>
      </c>
      <c r="J98" s="221">
        <v>5.25</v>
      </c>
      <c r="K98" s="171" t="s">
        <v>73</v>
      </c>
      <c r="L98" s="171" t="s">
        <v>868</v>
      </c>
      <c r="M98" s="171" t="s">
        <v>869</v>
      </c>
      <c r="N98" s="171" t="s">
        <v>870</v>
      </c>
      <c r="O98" s="217"/>
      <c r="P98" s="171" t="s">
        <v>138</v>
      </c>
      <c r="Q98" s="171" t="s">
        <v>100</v>
      </c>
      <c r="R98" s="171" t="s">
        <v>262</v>
      </c>
      <c r="S98" s="171" t="s">
        <v>753</v>
      </c>
      <c r="T98" s="171" t="s">
        <v>103</v>
      </c>
      <c r="U98" s="171" t="s">
        <v>264</v>
      </c>
      <c r="V98" s="171" t="s">
        <v>264</v>
      </c>
      <c r="W98" s="191" t="s">
        <v>13</v>
      </c>
      <c r="X98" s="217" t="s">
        <v>172</v>
      </c>
      <c r="Y98" s="171" t="s">
        <v>173</v>
      </c>
      <c r="Z98" s="171" t="s">
        <v>174</v>
      </c>
      <c r="AA98" s="171" t="s">
        <v>175</v>
      </c>
      <c r="AB98" s="222">
        <f t="shared" si="5"/>
        <v>1</v>
      </c>
      <c r="AC98" s="221">
        <v>1</v>
      </c>
      <c r="AD98" s="222">
        <v>1</v>
      </c>
      <c r="AE98" s="222">
        <v>1</v>
      </c>
      <c r="AF98" s="229">
        <v>0.79461805555555598</v>
      </c>
      <c r="AG98" s="222">
        <v>1</v>
      </c>
      <c r="AH98" s="222">
        <v>1</v>
      </c>
      <c r="AI98" s="222">
        <v>1</v>
      </c>
      <c r="AJ98" s="222">
        <v>1</v>
      </c>
      <c r="AK98" s="222">
        <v>1</v>
      </c>
      <c r="AL98" s="222">
        <v>1</v>
      </c>
      <c r="AM98" s="222">
        <v>1</v>
      </c>
      <c r="AN98" s="222">
        <v>1</v>
      </c>
      <c r="AO98" s="222">
        <v>1</v>
      </c>
      <c r="AP98" s="222">
        <v>1</v>
      </c>
      <c r="AQ98" s="217"/>
      <c r="AR98" s="4"/>
      <c r="AS98" s="217" t="s">
        <v>265</v>
      </c>
      <c r="AT98" s="217"/>
      <c r="AU98" s="96" t="s">
        <v>871</v>
      </c>
    </row>
    <row r="99" spans="1:47">
      <c r="A99" s="171" t="s">
        <v>872</v>
      </c>
      <c r="B99" s="171" t="s">
        <v>160</v>
      </c>
      <c r="C99" s="171" t="s">
        <v>73</v>
      </c>
      <c r="D99" s="171" t="s">
        <v>873</v>
      </c>
      <c r="E99" s="171" t="s">
        <v>162</v>
      </c>
      <c r="F99" s="171" t="s">
        <v>874</v>
      </c>
      <c r="G99" s="171" t="s">
        <v>875</v>
      </c>
      <c r="H99" s="171" t="s">
        <v>165</v>
      </c>
      <c r="I99" s="171">
        <v>202605.5</v>
      </c>
      <c r="J99" s="221">
        <v>5.25</v>
      </c>
      <c r="K99" s="171" t="s">
        <v>73</v>
      </c>
      <c r="L99" s="171" t="s">
        <v>876</v>
      </c>
      <c r="M99" s="171" t="s">
        <v>877</v>
      </c>
      <c r="N99" s="171" t="s">
        <v>878</v>
      </c>
      <c r="O99" s="217"/>
      <c r="P99" s="171" t="s">
        <v>138</v>
      </c>
      <c r="Q99" s="171" t="s">
        <v>100</v>
      </c>
      <c r="R99" s="171" t="s">
        <v>262</v>
      </c>
      <c r="S99" s="171" t="s">
        <v>753</v>
      </c>
      <c r="T99" s="171" t="s">
        <v>103</v>
      </c>
      <c r="U99" s="171" t="s">
        <v>264</v>
      </c>
      <c r="V99" s="171" t="s">
        <v>264</v>
      </c>
      <c r="W99" s="230" t="s">
        <v>19</v>
      </c>
      <c r="X99" s="217" t="s">
        <v>172</v>
      </c>
      <c r="Y99" s="171" t="s">
        <v>173</v>
      </c>
      <c r="Z99" s="171" t="s">
        <v>174</v>
      </c>
      <c r="AA99" s="171" t="s">
        <v>175</v>
      </c>
      <c r="AB99" s="222">
        <v>1</v>
      </c>
      <c r="AC99" s="221">
        <v>1</v>
      </c>
      <c r="AD99" s="222">
        <v>1</v>
      </c>
      <c r="AE99" s="222">
        <v>1</v>
      </c>
      <c r="AF99" s="217"/>
      <c r="AG99" s="222">
        <v>1</v>
      </c>
      <c r="AH99" s="222">
        <v>1</v>
      </c>
      <c r="AI99" s="217"/>
      <c r="AJ99" s="222">
        <v>1</v>
      </c>
      <c r="AK99" s="222">
        <v>1</v>
      </c>
      <c r="AL99" s="222">
        <v>1</v>
      </c>
      <c r="AM99" s="222">
        <v>1</v>
      </c>
      <c r="AN99" s="222">
        <v>1</v>
      </c>
      <c r="AO99" s="222">
        <v>1</v>
      </c>
      <c r="AP99" s="222">
        <v>1</v>
      </c>
      <c r="AQ99" s="217"/>
      <c r="AR99" s="4"/>
      <c r="AS99" s="217" t="s">
        <v>272</v>
      </c>
      <c r="AT99" s="217"/>
      <c r="AU99" s="96" t="s">
        <v>879</v>
      </c>
    </row>
    <row r="100" spans="1:47">
      <c r="A100" s="171" t="s">
        <v>880</v>
      </c>
      <c r="B100" s="171" t="s">
        <v>160</v>
      </c>
      <c r="C100" s="171" t="s">
        <v>73</v>
      </c>
      <c r="D100" s="171" t="s">
        <v>881</v>
      </c>
      <c r="E100" s="171" t="s">
        <v>162</v>
      </c>
      <c r="F100" s="171" t="s">
        <v>882</v>
      </c>
      <c r="G100" s="171" t="s">
        <v>883</v>
      </c>
      <c r="H100" s="171" t="s">
        <v>165</v>
      </c>
      <c r="I100" s="171">
        <v>202605.5</v>
      </c>
      <c r="J100" s="221">
        <v>5.25</v>
      </c>
      <c r="K100" s="171" t="s">
        <v>73</v>
      </c>
      <c r="L100" s="171" t="s">
        <v>884</v>
      </c>
      <c r="M100" s="171" t="s">
        <v>885</v>
      </c>
      <c r="N100" s="171" t="s">
        <v>886</v>
      </c>
      <c r="O100" s="217"/>
      <c r="P100" s="171" t="s">
        <v>138</v>
      </c>
      <c r="Q100" s="171" t="s">
        <v>100</v>
      </c>
      <c r="R100" s="171" t="s">
        <v>262</v>
      </c>
      <c r="S100" s="171" t="s">
        <v>753</v>
      </c>
      <c r="T100" s="171" t="s">
        <v>103</v>
      </c>
      <c r="U100" s="171" t="s">
        <v>264</v>
      </c>
      <c r="V100" s="171" t="s">
        <v>264</v>
      </c>
      <c r="W100" s="191" t="s">
        <v>13</v>
      </c>
      <c r="X100" s="217" t="s">
        <v>172</v>
      </c>
      <c r="Y100" s="171" t="s">
        <v>173</v>
      </c>
      <c r="Z100" s="171" t="s">
        <v>174</v>
      </c>
      <c r="AA100" s="171" t="s">
        <v>175</v>
      </c>
      <c r="AB100" s="222">
        <f t="shared" ref="AB100:AB131" si="6">IF(COUNTIF(AU:AU,"*"&amp;D100&amp;"*")&gt;0,1,0)</f>
        <v>1</v>
      </c>
      <c r="AC100" s="221">
        <v>1</v>
      </c>
      <c r="AD100" s="222">
        <v>1</v>
      </c>
      <c r="AE100" s="222">
        <v>1</v>
      </c>
      <c r="AF100" s="229">
        <v>0.79461805555555598</v>
      </c>
      <c r="AG100" s="222">
        <v>1</v>
      </c>
      <c r="AH100" s="222">
        <v>1</v>
      </c>
      <c r="AI100" s="222">
        <v>1</v>
      </c>
      <c r="AJ100" s="222">
        <v>1</v>
      </c>
      <c r="AK100" s="222">
        <v>1</v>
      </c>
      <c r="AL100" s="222">
        <v>1</v>
      </c>
      <c r="AM100" s="222">
        <v>1</v>
      </c>
      <c r="AN100" s="222">
        <v>1</v>
      </c>
      <c r="AO100" s="222">
        <v>1</v>
      </c>
      <c r="AP100" s="222">
        <v>1</v>
      </c>
      <c r="AQ100" s="217"/>
      <c r="AR100" s="4"/>
      <c r="AS100" s="217" t="s">
        <v>279</v>
      </c>
      <c r="AT100" s="217"/>
      <c r="AU100" s="96" t="s">
        <v>887</v>
      </c>
    </row>
    <row r="101" spans="1:47">
      <c r="A101" s="171" t="s">
        <v>888</v>
      </c>
      <c r="B101" s="171" t="s">
        <v>160</v>
      </c>
      <c r="C101" s="171" t="s">
        <v>73</v>
      </c>
      <c r="D101" s="171" t="s">
        <v>889</v>
      </c>
      <c r="E101" s="171" t="s">
        <v>162</v>
      </c>
      <c r="F101" s="171" t="s">
        <v>890</v>
      </c>
      <c r="G101" s="171" t="s">
        <v>891</v>
      </c>
      <c r="H101" s="171" t="s">
        <v>165</v>
      </c>
      <c r="I101" s="171">
        <v>202605.5</v>
      </c>
      <c r="J101" s="221">
        <v>5.25</v>
      </c>
      <c r="K101" s="171" t="s">
        <v>73</v>
      </c>
      <c r="L101" s="171" t="s">
        <v>892</v>
      </c>
      <c r="M101" s="171" t="s">
        <v>893</v>
      </c>
      <c r="N101" s="171" t="s">
        <v>894</v>
      </c>
      <c r="O101" s="217"/>
      <c r="P101" s="171" t="s">
        <v>138</v>
      </c>
      <c r="Q101" s="171" t="s">
        <v>100</v>
      </c>
      <c r="R101" s="171" t="s">
        <v>262</v>
      </c>
      <c r="S101" s="171" t="s">
        <v>753</v>
      </c>
      <c r="T101" s="171" t="s">
        <v>103</v>
      </c>
      <c r="U101" s="171" t="s">
        <v>264</v>
      </c>
      <c r="V101" s="171" t="s">
        <v>264</v>
      </c>
      <c r="W101" s="191" t="s">
        <v>13</v>
      </c>
      <c r="X101" s="217" t="s">
        <v>172</v>
      </c>
      <c r="Y101" s="171" t="s">
        <v>173</v>
      </c>
      <c r="Z101" s="171" t="s">
        <v>174</v>
      </c>
      <c r="AA101" s="171" t="s">
        <v>175</v>
      </c>
      <c r="AB101" s="222">
        <f t="shared" si="6"/>
        <v>1</v>
      </c>
      <c r="AC101" s="221">
        <v>1</v>
      </c>
      <c r="AD101" s="222">
        <v>1</v>
      </c>
      <c r="AE101" s="226">
        <v>1</v>
      </c>
      <c r="AF101" s="229">
        <v>0.79461805555555598</v>
      </c>
      <c r="AG101" s="222">
        <v>1</v>
      </c>
      <c r="AH101" s="222">
        <v>1</v>
      </c>
      <c r="AI101" s="222">
        <v>1</v>
      </c>
      <c r="AJ101" s="222">
        <v>1</v>
      </c>
      <c r="AK101" s="222">
        <v>1</v>
      </c>
      <c r="AL101" s="222">
        <v>1</v>
      </c>
      <c r="AM101" s="222">
        <v>1</v>
      </c>
      <c r="AN101" s="222">
        <v>1</v>
      </c>
      <c r="AO101" s="222">
        <v>1</v>
      </c>
      <c r="AP101" s="222">
        <v>1</v>
      </c>
      <c r="AQ101" s="217"/>
      <c r="AR101" s="4"/>
      <c r="AS101" s="217" t="s">
        <v>288</v>
      </c>
      <c r="AT101" s="217"/>
      <c r="AU101" s="96" t="s">
        <v>889</v>
      </c>
    </row>
    <row r="102" spans="1:47">
      <c r="A102" s="171" t="s">
        <v>895</v>
      </c>
      <c r="B102" s="171" t="s">
        <v>160</v>
      </c>
      <c r="C102" s="171" t="s">
        <v>73</v>
      </c>
      <c r="D102" s="171" t="s">
        <v>887</v>
      </c>
      <c r="E102" s="171" t="s">
        <v>162</v>
      </c>
      <c r="F102" s="171" t="s">
        <v>896</v>
      </c>
      <c r="G102" s="171" t="s">
        <v>897</v>
      </c>
      <c r="H102" s="171" t="s">
        <v>165</v>
      </c>
      <c r="I102" s="171">
        <v>202605.5</v>
      </c>
      <c r="J102" s="221">
        <v>5.25</v>
      </c>
      <c r="K102" s="171" t="s">
        <v>73</v>
      </c>
      <c r="L102" s="171" t="s">
        <v>898</v>
      </c>
      <c r="M102" s="171" t="s">
        <v>899</v>
      </c>
      <c r="N102" s="171" t="s">
        <v>900</v>
      </c>
      <c r="O102" s="217"/>
      <c r="P102" s="171" t="s">
        <v>138</v>
      </c>
      <c r="Q102" s="171" t="s">
        <v>100</v>
      </c>
      <c r="R102" s="171" t="s">
        <v>262</v>
      </c>
      <c r="S102" s="171" t="s">
        <v>753</v>
      </c>
      <c r="T102" s="171" t="s">
        <v>103</v>
      </c>
      <c r="U102" s="171" t="s">
        <v>264</v>
      </c>
      <c r="V102" s="171" t="s">
        <v>264</v>
      </c>
      <c r="W102" s="191" t="s">
        <v>13</v>
      </c>
      <c r="X102" s="217" t="s">
        <v>172</v>
      </c>
      <c r="Y102" s="171" t="s">
        <v>173</v>
      </c>
      <c r="Z102" s="171" t="s">
        <v>174</v>
      </c>
      <c r="AA102" s="171" t="s">
        <v>175</v>
      </c>
      <c r="AB102" s="222">
        <f t="shared" si="6"/>
        <v>1</v>
      </c>
      <c r="AC102" s="221">
        <v>1</v>
      </c>
      <c r="AD102" s="222">
        <v>1</v>
      </c>
      <c r="AE102" s="222">
        <v>1</v>
      </c>
      <c r="AF102" s="229">
        <v>0.79461805555555598</v>
      </c>
      <c r="AG102" s="222">
        <v>1</v>
      </c>
      <c r="AH102" s="222">
        <v>1</v>
      </c>
      <c r="AI102" s="222">
        <v>1</v>
      </c>
      <c r="AJ102" s="222">
        <v>1</v>
      </c>
      <c r="AK102" s="222">
        <v>1</v>
      </c>
      <c r="AL102" s="222">
        <v>1</v>
      </c>
      <c r="AM102" s="222">
        <v>1</v>
      </c>
      <c r="AN102" s="222">
        <v>1</v>
      </c>
      <c r="AO102" s="222">
        <v>1</v>
      </c>
      <c r="AP102" s="222">
        <v>1</v>
      </c>
      <c r="AQ102" s="217"/>
      <c r="AR102" s="4"/>
      <c r="AS102" s="217" t="s">
        <v>297</v>
      </c>
      <c r="AT102" s="217"/>
      <c r="AU102" s="96" t="s">
        <v>881</v>
      </c>
    </row>
    <row r="103" spans="1:47">
      <c r="A103" s="171" t="s">
        <v>901</v>
      </c>
      <c r="B103" s="171" t="s">
        <v>160</v>
      </c>
      <c r="C103" s="171" t="s">
        <v>73</v>
      </c>
      <c r="D103" s="171" t="s">
        <v>879</v>
      </c>
      <c r="E103" s="171" t="s">
        <v>162</v>
      </c>
      <c r="F103" s="171" t="s">
        <v>902</v>
      </c>
      <c r="G103" s="171" t="s">
        <v>903</v>
      </c>
      <c r="H103" s="171" t="s">
        <v>165</v>
      </c>
      <c r="I103" s="171">
        <v>202605.5</v>
      </c>
      <c r="J103" s="221">
        <v>5.25</v>
      </c>
      <c r="K103" s="171" t="s">
        <v>73</v>
      </c>
      <c r="L103" s="171" t="s">
        <v>904</v>
      </c>
      <c r="M103" s="171" t="s">
        <v>905</v>
      </c>
      <c r="N103" s="171" t="s">
        <v>906</v>
      </c>
      <c r="O103" s="217"/>
      <c r="P103" s="171" t="s">
        <v>138</v>
      </c>
      <c r="Q103" s="171" t="s">
        <v>100</v>
      </c>
      <c r="R103" s="171" t="s">
        <v>262</v>
      </c>
      <c r="S103" s="171" t="s">
        <v>753</v>
      </c>
      <c r="T103" s="171" t="s">
        <v>103</v>
      </c>
      <c r="U103" s="171" t="s">
        <v>264</v>
      </c>
      <c r="V103" s="171" t="s">
        <v>264</v>
      </c>
      <c r="W103" s="191" t="s">
        <v>13</v>
      </c>
      <c r="X103" s="217" t="s">
        <v>172</v>
      </c>
      <c r="Y103" s="171" t="s">
        <v>173</v>
      </c>
      <c r="Z103" s="171" t="s">
        <v>174</v>
      </c>
      <c r="AA103" s="171" t="s">
        <v>175</v>
      </c>
      <c r="AB103" s="222">
        <f t="shared" si="6"/>
        <v>1</v>
      </c>
      <c r="AC103" s="221">
        <v>1</v>
      </c>
      <c r="AD103" s="222">
        <v>1</v>
      </c>
      <c r="AE103" s="222">
        <v>1</v>
      </c>
      <c r="AF103" s="229">
        <v>0.79461805555555598</v>
      </c>
      <c r="AG103" s="222">
        <v>1</v>
      </c>
      <c r="AH103" s="222">
        <v>1</v>
      </c>
      <c r="AI103" s="222">
        <v>1</v>
      </c>
      <c r="AJ103" s="222">
        <v>1</v>
      </c>
      <c r="AK103" s="222">
        <v>1</v>
      </c>
      <c r="AL103" s="222">
        <v>1</v>
      </c>
      <c r="AM103" s="222">
        <v>1</v>
      </c>
      <c r="AN103" s="222">
        <v>1</v>
      </c>
      <c r="AO103" s="222">
        <v>1</v>
      </c>
      <c r="AP103" s="222">
        <v>1</v>
      </c>
      <c r="AQ103" s="217"/>
      <c r="AR103" s="4"/>
      <c r="AS103" s="217" t="s">
        <v>306</v>
      </c>
      <c r="AT103" s="217"/>
      <c r="AU103" s="96" t="s">
        <v>865</v>
      </c>
    </row>
    <row r="104" spans="1:47">
      <c r="A104" s="171" t="s">
        <v>907</v>
      </c>
      <c r="B104" s="171" t="s">
        <v>160</v>
      </c>
      <c r="C104" s="171" t="s">
        <v>73</v>
      </c>
      <c r="D104" s="171" t="s">
        <v>871</v>
      </c>
      <c r="E104" s="171" t="s">
        <v>499</v>
      </c>
      <c r="F104" s="171" t="s">
        <v>908</v>
      </c>
      <c r="G104" s="171" t="s">
        <v>909</v>
      </c>
      <c r="H104" s="171" t="s">
        <v>165</v>
      </c>
      <c r="I104" s="171">
        <v>202605.5</v>
      </c>
      <c r="J104" s="221">
        <v>5.25</v>
      </c>
      <c r="K104" s="171" t="s">
        <v>73</v>
      </c>
      <c r="L104" s="171" t="s">
        <v>910</v>
      </c>
      <c r="M104" s="171" t="s">
        <v>911</v>
      </c>
      <c r="N104" s="171" t="s">
        <v>912</v>
      </c>
      <c r="O104" s="217"/>
      <c r="P104" s="171" t="s">
        <v>138</v>
      </c>
      <c r="Q104" s="171" t="s">
        <v>100</v>
      </c>
      <c r="R104" s="171" t="s">
        <v>262</v>
      </c>
      <c r="S104" s="171" t="s">
        <v>753</v>
      </c>
      <c r="T104" s="171" t="s">
        <v>103</v>
      </c>
      <c r="U104" s="171" t="s">
        <v>264</v>
      </c>
      <c r="V104" s="171" t="s">
        <v>264</v>
      </c>
      <c r="W104" s="191" t="s">
        <v>13</v>
      </c>
      <c r="X104" s="217" t="s">
        <v>172</v>
      </c>
      <c r="Y104" s="171" t="s">
        <v>173</v>
      </c>
      <c r="Z104" s="171" t="s">
        <v>174</v>
      </c>
      <c r="AA104" s="171" t="s">
        <v>175</v>
      </c>
      <c r="AB104" s="222">
        <f t="shared" si="6"/>
        <v>1</v>
      </c>
      <c r="AC104" s="221">
        <v>1</v>
      </c>
      <c r="AD104" s="222">
        <v>1</v>
      </c>
      <c r="AE104" s="222">
        <v>1</v>
      </c>
      <c r="AF104" s="229">
        <v>0.79461805555555598</v>
      </c>
      <c r="AG104" s="222">
        <v>1</v>
      </c>
      <c r="AH104" s="222">
        <v>1</v>
      </c>
      <c r="AI104" s="222">
        <v>1</v>
      </c>
      <c r="AJ104" s="222">
        <v>1</v>
      </c>
      <c r="AK104" s="222">
        <v>1</v>
      </c>
      <c r="AL104" s="222">
        <v>1</v>
      </c>
      <c r="AM104" s="222">
        <v>1</v>
      </c>
      <c r="AN104" s="222">
        <v>1</v>
      </c>
      <c r="AO104" s="222">
        <v>1</v>
      </c>
      <c r="AP104" s="222">
        <v>1</v>
      </c>
      <c r="AQ104" s="217"/>
      <c r="AR104" s="4"/>
      <c r="AS104" s="217" t="s">
        <v>314</v>
      </c>
      <c r="AT104" s="217"/>
      <c r="AU104" s="96" t="s">
        <v>857</v>
      </c>
    </row>
    <row r="105" spans="1:47">
      <c r="A105" s="171" t="s">
        <v>913</v>
      </c>
      <c r="B105" s="171" t="s">
        <v>160</v>
      </c>
      <c r="C105" s="171" t="s">
        <v>73</v>
      </c>
      <c r="D105" s="171" t="s">
        <v>914</v>
      </c>
      <c r="E105" s="171" t="s">
        <v>499</v>
      </c>
      <c r="F105" s="171" t="s">
        <v>915</v>
      </c>
      <c r="G105" s="171" t="s">
        <v>916</v>
      </c>
      <c r="H105" s="171" t="s">
        <v>165</v>
      </c>
      <c r="I105" s="171">
        <v>202605.5</v>
      </c>
      <c r="J105" s="221">
        <v>5.25</v>
      </c>
      <c r="K105" s="171" t="s">
        <v>73</v>
      </c>
      <c r="L105" s="171" t="s">
        <v>917</v>
      </c>
      <c r="M105" s="171" t="s">
        <v>918</v>
      </c>
      <c r="N105" s="171" t="s">
        <v>919</v>
      </c>
      <c r="O105" s="217"/>
      <c r="P105" s="171" t="s">
        <v>138</v>
      </c>
      <c r="Q105" s="171" t="s">
        <v>100</v>
      </c>
      <c r="R105" s="171" t="s">
        <v>262</v>
      </c>
      <c r="S105" s="171" t="s">
        <v>920</v>
      </c>
      <c r="T105" s="171" t="s">
        <v>103</v>
      </c>
      <c r="U105" s="171" t="s">
        <v>264</v>
      </c>
      <c r="V105" s="171" t="s">
        <v>264</v>
      </c>
      <c r="W105" s="191" t="s">
        <v>15</v>
      </c>
      <c r="X105" s="217" t="s">
        <v>172</v>
      </c>
      <c r="Y105" s="171" t="s">
        <v>173</v>
      </c>
      <c r="Z105" s="171" t="s">
        <v>174</v>
      </c>
      <c r="AA105" s="171" t="s">
        <v>175</v>
      </c>
      <c r="AB105" s="222">
        <f t="shared" si="6"/>
        <v>1</v>
      </c>
      <c r="AC105" s="221">
        <v>1</v>
      </c>
      <c r="AD105" s="222">
        <v>1</v>
      </c>
      <c r="AE105" s="222">
        <v>1</v>
      </c>
      <c r="AF105" s="217"/>
      <c r="AG105" s="217"/>
      <c r="AH105" s="222">
        <v>1</v>
      </c>
      <c r="AI105" s="217"/>
      <c r="AJ105" s="222">
        <v>1</v>
      </c>
      <c r="AK105" s="222">
        <v>1</v>
      </c>
      <c r="AL105" s="222"/>
      <c r="AM105" s="222">
        <v>1</v>
      </c>
      <c r="AN105" s="222">
        <v>1</v>
      </c>
      <c r="AO105" s="222">
        <v>1</v>
      </c>
      <c r="AP105" s="222">
        <v>1</v>
      </c>
      <c r="AQ105" s="217"/>
      <c r="AR105" s="4"/>
      <c r="AS105" s="217" t="s">
        <v>322</v>
      </c>
      <c r="AT105" s="217"/>
      <c r="AU105" s="96" t="s">
        <v>849</v>
      </c>
    </row>
    <row r="106" spans="1:47">
      <c r="A106" s="171" t="s">
        <v>921</v>
      </c>
      <c r="B106" s="171" t="s">
        <v>160</v>
      </c>
      <c r="C106" s="171" t="s">
        <v>73</v>
      </c>
      <c r="D106" s="171" t="s">
        <v>922</v>
      </c>
      <c r="E106" s="171" t="s">
        <v>499</v>
      </c>
      <c r="F106" s="171" t="s">
        <v>923</v>
      </c>
      <c r="G106" s="171" t="s">
        <v>924</v>
      </c>
      <c r="H106" s="171" t="s">
        <v>165</v>
      </c>
      <c r="I106" s="171">
        <v>202605.5</v>
      </c>
      <c r="J106" s="221">
        <v>5.25</v>
      </c>
      <c r="K106" s="171" t="s">
        <v>73</v>
      </c>
      <c r="L106" s="171" t="s">
        <v>925</v>
      </c>
      <c r="M106" s="171" t="s">
        <v>926</v>
      </c>
      <c r="N106" s="171" t="s">
        <v>927</v>
      </c>
      <c r="O106" s="217"/>
      <c r="P106" s="171" t="s">
        <v>138</v>
      </c>
      <c r="Q106" s="171" t="s">
        <v>100</v>
      </c>
      <c r="R106" s="171" t="s">
        <v>262</v>
      </c>
      <c r="S106" s="171" t="s">
        <v>920</v>
      </c>
      <c r="T106" s="171" t="s">
        <v>103</v>
      </c>
      <c r="U106" s="171" t="s">
        <v>264</v>
      </c>
      <c r="V106" s="171" t="s">
        <v>264</v>
      </c>
      <c r="W106" s="191" t="s">
        <v>15</v>
      </c>
      <c r="X106" s="217" t="s">
        <v>172</v>
      </c>
      <c r="Y106" s="171" t="s">
        <v>173</v>
      </c>
      <c r="Z106" s="171" t="s">
        <v>174</v>
      </c>
      <c r="AA106" s="171" t="s">
        <v>175</v>
      </c>
      <c r="AB106" s="222">
        <f t="shared" si="6"/>
        <v>1</v>
      </c>
      <c r="AC106" s="221">
        <v>1</v>
      </c>
      <c r="AD106" s="222">
        <v>1</v>
      </c>
      <c r="AE106" s="222">
        <v>1</v>
      </c>
      <c r="AF106" s="217"/>
      <c r="AG106" s="217"/>
      <c r="AH106" s="222">
        <v>1</v>
      </c>
      <c r="AI106" s="217"/>
      <c r="AJ106" s="222">
        <v>1</v>
      </c>
      <c r="AK106" s="222">
        <v>1</v>
      </c>
      <c r="AL106" s="222"/>
      <c r="AM106" s="222">
        <v>1</v>
      </c>
      <c r="AN106" s="222">
        <v>1</v>
      </c>
      <c r="AO106" s="222">
        <v>1</v>
      </c>
      <c r="AP106" s="222">
        <v>1</v>
      </c>
      <c r="AQ106" s="217"/>
      <c r="AR106" s="4"/>
      <c r="AS106" s="217" t="s">
        <v>329</v>
      </c>
      <c r="AT106" s="217"/>
      <c r="AU106" s="96" t="s">
        <v>842</v>
      </c>
    </row>
    <row r="107" spans="1:47">
      <c r="A107" s="171" t="s">
        <v>928</v>
      </c>
      <c r="B107" s="171" t="s">
        <v>160</v>
      </c>
      <c r="C107" s="171" t="s">
        <v>73</v>
      </c>
      <c r="D107" s="171" t="s">
        <v>929</v>
      </c>
      <c r="E107" s="171" t="s">
        <v>162</v>
      </c>
      <c r="F107" s="171" t="s">
        <v>930</v>
      </c>
      <c r="G107" s="171" t="s">
        <v>931</v>
      </c>
      <c r="H107" s="171" t="s">
        <v>165</v>
      </c>
      <c r="I107" s="171">
        <v>202605.5</v>
      </c>
      <c r="J107" s="221">
        <v>5.25</v>
      </c>
      <c r="K107" s="171" t="s">
        <v>73</v>
      </c>
      <c r="L107" s="171" t="s">
        <v>932</v>
      </c>
      <c r="M107" s="171" t="s">
        <v>933</v>
      </c>
      <c r="N107" s="171" t="s">
        <v>934</v>
      </c>
      <c r="O107" s="217"/>
      <c r="P107" s="171" t="s">
        <v>138</v>
      </c>
      <c r="Q107" s="171" t="s">
        <v>100</v>
      </c>
      <c r="R107" s="171" t="s">
        <v>262</v>
      </c>
      <c r="S107" s="171" t="s">
        <v>920</v>
      </c>
      <c r="T107" s="171" t="s">
        <v>103</v>
      </c>
      <c r="U107" s="171" t="s">
        <v>264</v>
      </c>
      <c r="V107" s="171" t="s">
        <v>264</v>
      </c>
      <c r="W107" s="191" t="s">
        <v>15</v>
      </c>
      <c r="X107" s="217" t="s">
        <v>172</v>
      </c>
      <c r="Y107" s="171" t="s">
        <v>173</v>
      </c>
      <c r="Z107" s="171" t="s">
        <v>174</v>
      </c>
      <c r="AA107" s="171" t="s">
        <v>175</v>
      </c>
      <c r="AB107" s="222">
        <f t="shared" si="6"/>
        <v>1</v>
      </c>
      <c r="AC107" s="221">
        <v>1</v>
      </c>
      <c r="AD107" s="222">
        <v>1</v>
      </c>
      <c r="AE107" s="222">
        <v>1</v>
      </c>
      <c r="AF107" s="217"/>
      <c r="AG107" s="217"/>
      <c r="AH107" s="222">
        <v>1</v>
      </c>
      <c r="AI107" s="217"/>
      <c r="AJ107" s="222">
        <v>1</v>
      </c>
      <c r="AK107" s="222">
        <v>1</v>
      </c>
      <c r="AL107" s="222"/>
      <c r="AM107" s="222">
        <v>1</v>
      </c>
      <c r="AN107" s="222">
        <v>1</v>
      </c>
      <c r="AO107" s="222">
        <v>1</v>
      </c>
      <c r="AP107" s="222">
        <v>1</v>
      </c>
      <c r="AQ107" s="217"/>
      <c r="AR107" s="4"/>
      <c r="AS107" s="217" t="s">
        <v>337</v>
      </c>
      <c r="AT107" s="217"/>
      <c r="AU107" s="96" t="s">
        <v>835</v>
      </c>
    </row>
    <row r="108" spans="1:47">
      <c r="A108" s="171" t="s">
        <v>935</v>
      </c>
      <c r="B108" s="171" t="s">
        <v>160</v>
      </c>
      <c r="C108" s="171" t="s">
        <v>73</v>
      </c>
      <c r="D108" s="171" t="s">
        <v>936</v>
      </c>
      <c r="E108" s="171" t="s">
        <v>162</v>
      </c>
      <c r="F108" s="171" t="s">
        <v>937</v>
      </c>
      <c r="G108" s="171" t="s">
        <v>938</v>
      </c>
      <c r="H108" s="171" t="s">
        <v>165</v>
      </c>
      <c r="I108" s="171">
        <v>202605.5</v>
      </c>
      <c r="J108" s="221">
        <v>5.25</v>
      </c>
      <c r="K108" s="171" t="s">
        <v>73</v>
      </c>
      <c r="L108" s="171" t="s">
        <v>939</v>
      </c>
      <c r="M108" s="171" t="s">
        <v>940</v>
      </c>
      <c r="N108" s="171" t="s">
        <v>941</v>
      </c>
      <c r="O108" s="217"/>
      <c r="P108" s="171" t="s">
        <v>138</v>
      </c>
      <c r="Q108" s="171" t="s">
        <v>100</v>
      </c>
      <c r="R108" s="171" t="s">
        <v>262</v>
      </c>
      <c r="S108" s="171" t="s">
        <v>920</v>
      </c>
      <c r="T108" s="171" t="s">
        <v>103</v>
      </c>
      <c r="U108" s="171" t="s">
        <v>264</v>
      </c>
      <c r="V108" s="171" t="s">
        <v>264</v>
      </c>
      <c r="W108" s="191" t="s">
        <v>15</v>
      </c>
      <c r="X108" s="217" t="s">
        <v>172</v>
      </c>
      <c r="Y108" s="171" t="s">
        <v>173</v>
      </c>
      <c r="Z108" s="171" t="s">
        <v>174</v>
      </c>
      <c r="AA108" s="171" t="s">
        <v>175</v>
      </c>
      <c r="AB108" s="222">
        <f t="shared" si="6"/>
        <v>1</v>
      </c>
      <c r="AC108" s="221">
        <v>1</v>
      </c>
      <c r="AD108" s="222">
        <v>1</v>
      </c>
      <c r="AE108" s="222">
        <v>1</v>
      </c>
      <c r="AF108" s="217"/>
      <c r="AG108" s="217"/>
      <c r="AH108" s="222">
        <v>1</v>
      </c>
      <c r="AI108" s="217"/>
      <c r="AJ108" s="222">
        <v>1</v>
      </c>
      <c r="AK108" s="222">
        <v>1</v>
      </c>
      <c r="AL108" s="222"/>
      <c r="AM108" s="222">
        <v>1</v>
      </c>
      <c r="AN108" s="222">
        <v>1</v>
      </c>
      <c r="AO108" s="222">
        <v>1</v>
      </c>
      <c r="AP108" s="222">
        <v>1</v>
      </c>
      <c r="AQ108" s="217"/>
      <c r="AR108" s="4"/>
      <c r="AS108" s="217" t="s">
        <v>184</v>
      </c>
      <c r="AT108" s="217"/>
      <c r="AU108" s="96" t="s">
        <v>827</v>
      </c>
    </row>
    <row r="109" spans="1:47">
      <c r="A109" s="171" t="s">
        <v>942</v>
      </c>
      <c r="B109" s="171" t="s">
        <v>160</v>
      </c>
      <c r="C109" s="171" t="s">
        <v>73</v>
      </c>
      <c r="D109" s="171" t="s">
        <v>943</v>
      </c>
      <c r="E109" s="171" t="s">
        <v>499</v>
      </c>
      <c r="F109" s="171" t="s">
        <v>944</v>
      </c>
      <c r="G109" s="171" t="s">
        <v>945</v>
      </c>
      <c r="H109" s="171" t="s">
        <v>165</v>
      </c>
      <c r="I109" s="171">
        <v>202605.5</v>
      </c>
      <c r="J109" s="221">
        <v>5.25</v>
      </c>
      <c r="K109" s="171" t="s">
        <v>73</v>
      </c>
      <c r="L109" s="171" t="s">
        <v>946</v>
      </c>
      <c r="M109" s="171" t="s">
        <v>947</v>
      </c>
      <c r="N109" s="171" t="s">
        <v>948</v>
      </c>
      <c r="O109" s="217"/>
      <c r="P109" s="171" t="s">
        <v>138</v>
      </c>
      <c r="Q109" s="171" t="s">
        <v>100</v>
      </c>
      <c r="R109" s="171" t="s">
        <v>262</v>
      </c>
      <c r="S109" s="171" t="s">
        <v>920</v>
      </c>
      <c r="T109" s="171" t="s">
        <v>103</v>
      </c>
      <c r="U109" s="171" t="s">
        <v>264</v>
      </c>
      <c r="V109" s="171" t="s">
        <v>264</v>
      </c>
      <c r="W109" s="227" t="s">
        <v>19</v>
      </c>
      <c r="X109" s="217" t="s">
        <v>172</v>
      </c>
      <c r="Y109" s="171" t="s">
        <v>173</v>
      </c>
      <c r="Z109" s="171" t="s">
        <v>174</v>
      </c>
      <c r="AA109" s="171" t="s">
        <v>175</v>
      </c>
      <c r="AB109" s="222">
        <f t="shared" si="6"/>
        <v>1</v>
      </c>
      <c r="AC109" s="221">
        <v>1</v>
      </c>
      <c r="AD109" s="222">
        <v>1</v>
      </c>
      <c r="AE109" s="222">
        <v>1</v>
      </c>
      <c r="AF109" s="217"/>
      <c r="AG109" s="222">
        <v>1</v>
      </c>
      <c r="AH109" s="222">
        <v>1</v>
      </c>
      <c r="AI109" s="217"/>
      <c r="AJ109" s="222">
        <v>1</v>
      </c>
      <c r="AK109" s="222">
        <v>1</v>
      </c>
      <c r="AL109" s="222">
        <v>1</v>
      </c>
      <c r="AM109" s="222">
        <v>1</v>
      </c>
      <c r="AN109" s="222">
        <v>1</v>
      </c>
      <c r="AO109" s="222">
        <v>1</v>
      </c>
      <c r="AP109" s="222">
        <v>1</v>
      </c>
      <c r="AQ109" s="217"/>
      <c r="AR109" s="133" t="s">
        <v>194</v>
      </c>
      <c r="AS109" s="217" t="s">
        <v>195</v>
      </c>
      <c r="AT109" s="217"/>
      <c r="AU109" s="96" t="s">
        <v>820</v>
      </c>
    </row>
    <row r="110" spans="1:47">
      <c r="A110" s="171" t="s">
        <v>949</v>
      </c>
      <c r="B110" s="171" t="s">
        <v>160</v>
      </c>
      <c r="C110" s="171" t="s">
        <v>73</v>
      </c>
      <c r="D110" s="171" t="s">
        <v>950</v>
      </c>
      <c r="E110" s="171" t="s">
        <v>162</v>
      </c>
      <c r="F110" s="171" t="s">
        <v>951</v>
      </c>
      <c r="G110" s="171" t="s">
        <v>952</v>
      </c>
      <c r="H110" s="171" t="s">
        <v>165</v>
      </c>
      <c r="I110" s="171">
        <v>202605.5</v>
      </c>
      <c r="J110" s="221">
        <v>5.25</v>
      </c>
      <c r="K110" s="171" t="s">
        <v>73</v>
      </c>
      <c r="L110" s="171" t="s">
        <v>953</v>
      </c>
      <c r="M110" s="171" t="s">
        <v>954</v>
      </c>
      <c r="N110" s="171" t="s">
        <v>955</v>
      </c>
      <c r="O110" s="217"/>
      <c r="P110" s="171" t="s">
        <v>138</v>
      </c>
      <c r="Q110" s="171" t="s">
        <v>100</v>
      </c>
      <c r="R110" s="171" t="s">
        <v>262</v>
      </c>
      <c r="S110" s="171" t="s">
        <v>920</v>
      </c>
      <c r="T110" s="171" t="s">
        <v>103</v>
      </c>
      <c r="U110" s="171" t="s">
        <v>264</v>
      </c>
      <c r="V110" s="171" t="s">
        <v>264</v>
      </c>
      <c r="W110" s="191" t="s">
        <v>15</v>
      </c>
      <c r="X110" s="217" t="s">
        <v>172</v>
      </c>
      <c r="Y110" s="171" t="s">
        <v>173</v>
      </c>
      <c r="Z110" s="171" t="s">
        <v>174</v>
      </c>
      <c r="AA110" s="171" t="s">
        <v>175</v>
      </c>
      <c r="AB110" s="222">
        <f t="shared" si="6"/>
        <v>1</v>
      </c>
      <c r="AC110" s="221">
        <v>1</v>
      </c>
      <c r="AD110" s="222">
        <v>1</v>
      </c>
      <c r="AE110" s="222">
        <v>1</v>
      </c>
      <c r="AF110" s="217"/>
      <c r="AG110" s="217"/>
      <c r="AH110" s="222">
        <v>1</v>
      </c>
      <c r="AI110" s="217"/>
      <c r="AJ110" s="222">
        <v>1</v>
      </c>
      <c r="AK110" s="222">
        <v>1</v>
      </c>
      <c r="AL110" s="222"/>
      <c r="AM110" s="222">
        <v>1</v>
      </c>
      <c r="AN110" s="222">
        <v>1</v>
      </c>
      <c r="AO110" s="222">
        <v>1</v>
      </c>
      <c r="AP110" s="222">
        <v>1</v>
      </c>
      <c r="AQ110" s="217"/>
      <c r="AR110" s="4"/>
      <c r="AS110" s="217" t="s">
        <v>204</v>
      </c>
      <c r="AT110" s="217"/>
      <c r="AU110" s="96" t="s">
        <v>812</v>
      </c>
    </row>
    <row r="111" spans="1:47">
      <c r="A111" s="171" t="s">
        <v>956</v>
      </c>
      <c r="B111" s="171" t="s">
        <v>160</v>
      </c>
      <c r="C111" s="171" t="s">
        <v>73</v>
      </c>
      <c r="D111" s="171" t="s">
        <v>957</v>
      </c>
      <c r="E111" s="171" t="s">
        <v>499</v>
      </c>
      <c r="F111" s="171" t="s">
        <v>958</v>
      </c>
      <c r="G111" s="171" t="s">
        <v>959</v>
      </c>
      <c r="H111" s="171" t="s">
        <v>165</v>
      </c>
      <c r="I111" s="171">
        <v>202605.5</v>
      </c>
      <c r="J111" s="221">
        <v>5.25</v>
      </c>
      <c r="K111" s="171" t="s">
        <v>73</v>
      </c>
      <c r="L111" s="171" t="s">
        <v>960</v>
      </c>
      <c r="M111" s="171" t="s">
        <v>961</v>
      </c>
      <c r="N111" s="171" t="s">
        <v>962</v>
      </c>
      <c r="O111" s="217"/>
      <c r="P111" s="171" t="s">
        <v>138</v>
      </c>
      <c r="Q111" s="171" t="s">
        <v>100</v>
      </c>
      <c r="R111" s="171" t="s">
        <v>262</v>
      </c>
      <c r="S111" s="171" t="s">
        <v>920</v>
      </c>
      <c r="T111" s="171" t="s">
        <v>103</v>
      </c>
      <c r="U111" s="171" t="s">
        <v>264</v>
      </c>
      <c r="V111" s="171" t="s">
        <v>264</v>
      </c>
      <c r="W111" s="191" t="s">
        <v>15</v>
      </c>
      <c r="X111" s="217" t="s">
        <v>172</v>
      </c>
      <c r="Y111" s="171" t="s">
        <v>173</v>
      </c>
      <c r="Z111" s="171" t="s">
        <v>174</v>
      </c>
      <c r="AA111" s="171" t="s">
        <v>175</v>
      </c>
      <c r="AB111" s="222">
        <f t="shared" si="6"/>
        <v>1</v>
      </c>
      <c r="AC111" s="221">
        <v>1</v>
      </c>
      <c r="AD111" s="222">
        <v>1</v>
      </c>
      <c r="AE111" s="222">
        <v>1</v>
      </c>
      <c r="AF111" s="217"/>
      <c r="AG111" s="217"/>
      <c r="AH111" s="222">
        <v>1</v>
      </c>
      <c r="AI111" s="217"/>
      <c r="AJ111" s="222">
        <v>1</v>
      </c>
      <c r="AK111" s="222">
        <v>1</v>
      </c>
      <c r="AL111" s="222"/>
      <c r="AM111" s="222">
        <v>1</v>
      </c>
      <c r="AN111" s="222">
        <v>1</v>
      </c>
      <c r="AO111" s="222">
        <v>1</v>
      </c>
      <c r="AP111" s="222">
        <v>1</v>
      </c>
      <c r="AQ111" s="217"/>
      <c r="AR111" s="4"/>
      <c r="AS111" s="217" t="s">
        <v>213</v>
      </c>
      <c r="AT111" s="217"/>
      <c r="AU111" s="96" t="s">
        <v>776</v>
      </c>
    </row>
    <row r="112" spans="1:47">
      <c r="A112" s="171" t="s">
        <v>963</v>
      </c>
      <c r="B112" s="171" t="s">
        <v>160</v>
      </c>
      <c r="C112" s="171" t="s">
        <v>73</v>
      </c>
      <c r="D112" s="171" t="s">
        <v>964</v>
      </c>
      <c r="E112" s="171" t="s">
        <v>162</v>
      </c>
      <c r="F112" s="171" t="s">
        <v>965</v>
      </c>
      <c r="G112" s="171" t="s">
        <v>966</v>
      </c>
      <c r="H112" s="171" t="s">
        <v>165</v>
      </c>
      <c r="I112" s="171">
        <v>202605.5</v>
      </c>
      <c r="J112" s="221">
        <v>5.25</v>
      </c>
      <c r="K112" s="171" t="s">
        <v>73</v>
      </c>
      <c r="L112" s="171" t="s">
        <v>967</v>
      </c>
      <c r="M112" s="171" t="s">
        <v>968</v>
      </c>
      <c r="N112" s="171" t="s">
        <v>969</v>
      </c>
      <c r="O112" s="217"/>
      <c r="P112" s="171" t="s">
        <v>138</v>
      </c>
      <c r="Q112" s="171" t="s">
        <v>100</v>
      </c>
      <c r="R112" s="171" t="s">
        <v>262</v>
      </c>
      <c r="S112" s="171" t="s">
        <v>920</v>
      </c>
      <c r="T112" s="171" t="s">
        <v>103</v>
      </c>
      <c r="U112" s="171" t="s">
        <v>264</v>
      </c>
      <c r="V112" s="171" t="s">
        <v>264</v>
      </c>
      <c r="W112" s="191" t="s">
        <v>15</v>
      </c>
      <c r="X112" s="217" t="s">
        <v>172</v>
      </c>
      <c r="Y112" s="171" t="s">
        <v>173</v>
      </c>
      <c r="Z112" s="171" t="s">
        <v>174</v>
      </c>
      <c r="AA112" s="171" t="s">
        <v>175</v>
      </c>
      <c r="AB112" s="222">
        <f t="shared" si="6"/>
        <v>1</v>
      </c>
      <c r="AC112" s="221">
        <v>1</v>
      </c>
      <c r="AD112" s="222">
        <v>1</v>
      </c>
      <c r="AE112" s="222">
        <v>1</v>
      </c>
      <c r="AF112" s="217"/>
      <c r="AG112" s="217"/>
      <c r="AH112" s="222">
        <v>1</v>
      </c>
      <c r="AI112" s="217"/>
      <c r="AJ112" s="222">
        <v>1</v>
      </c>
      <c r="AK112" s="222">
        <v>1</v>
      </c>
      <c r="AL112" s="222"/>
      <c r="AM112" s="222">
        <v>1</v>
      </c>
      <c r="AN112" s="222">
        <v>1</v>
      </c>
      <c r="AO112" s="222">
        <v>1</v>
      </c>
      <c r="AP112" s="222">
        <v>1</v>
      </c>
      <c r="AQ112" s="217"/>
      <c r="AR112" s="4"/>
      <c r="AS112" s="217" t="s">
        <v>221</v>
      </c>
      <c r="AT112" s="217"/>
      <c r="AU112" s="96" t="s">
        <v>769</v>
      </c>
    </row>
    <row r="113" spans="1:47">
      <c r="A113" s="171" t="s">
        <v>970</v>
      </c>
      <c r="B113" s="171" t="s">
        <v>160</v>
      </c>
      <c r="C113" s="171" t="s">
        <v>73</v>
      </c>
      <c r="D113" s="171" t="s">
        <v>971</v>
      </c>
      <c r="E113" s="171" t="s">
        <v>162</v>
      </c>
      <c r="F113" s="171" t="s">
        <v>972</v>
      </c>
      <c r="G113" s="171" t="s">
        <v>973</v>
      </c>
      <c r="H113" s="171" t="s">
        <v>165</v>
      </c>
      <c r="I113" s="171">
        <v>202605.5</v>
      </c>
      <c r="J113" s="221">
        <v>5.25</v>
      </c>
      <c r="K113" s="171" t="s">
        <v>73</v>
      </c>
      <c r="L113" s="171" t="s">
        <v>974</v>
      </c>
      <c r="M113" s="171" t="s">
        <v>975</v>
      </c>
      <c r="N113" s="171" t="s">
        <v>976</v>
      </c>
      <c r="O113" s="217"/>
      <c r="P113" s="171" t="s">
        <v>138</v>
      </c>
      <c r="Q113" s="171" t="s">
        <v>100</v>
      </c>
      <c r="R113" s="171" t="s">
        <v>262</v>
      </c>
      <c r="S113" s="171" t="s">
        <v>920</v>
      </c>
      <c r="T113" s="171" t="s">
        <v>103</v>
      </c>
      <c r="U113" s="171" t="s">
        <v>264</v>
      </c>
      <c r="V113" s="171" t="s">
        <v>264</v>
      </c>
      <c r="W113" s="227" t="s">
        <v>19</v>
      </c>
      <c r="X113" s="217" t="s">
        <v>172</v>
      </c>
      <c r="Y113" s="171" t="s">
        <v>173</v>
      </c>
      <c r="Z113" s="171" t="s">
        <v>174</v>
      </c>
      <c r="AA113" s="171" t="s">
        <v>175</v>
      </c>
      <c r="AB113" s="222">
        <f t="shared" si="6"/>
        <v>1</v>
      </c>
      <c r="AC113" s="221">
        <v>1</v>
      </c>
      <c r="AD113" s="222">
        <v>1</v>
      </c>
      <c r="AE113" s="222">
        <v>1</v>
      </c>
      <c r="AF113" s="217"/>
      <c r="AG113" s="222">
        <v>1</v>
      </c>
      <c r="AH113" s="222">
        <v>1</v>
      </c>
      <c r="AI113" s="217"/>
      <c r="AJ113" s="222">
        <v>1</v>
      </c>
      <c r="AK113" s="222">
        <v>1</v>
      </c>
      <c r="AL113" s="222">
        <v>1</v>
      </c>
      <c r="AM113" s="222">
        <v>1</v>
      </c>
      <c r="AN113" s="222">
        <v>1</v>
      </c>
      <c r="AO113" s="222">
        <v>1</v>
      </c>
      <c r="AP113" s="222">
        <v>1</v>
      </c>
      <c r="AQ113" s="217"/>
      <c r="AR113" s="4"/>
      <c r="AS113" s="217" t="s">
        <v>229</v>
      </c>
      <c r="AT113" s="217"/>
      <c r="AU113" s="96" t="s">
        <v>977</v>
      </c>
    </row>
    <row r="114" spans="1:47">
      <c r="A114" s="171" t="s">
        <v>978</v>
      </c>
      <c r="B114" s="171" t="s">
        <v>160</v>
      </c>
      <c r="C114" s="171" t="s">
        <v>73</v>
      </c>
      <c r="D114" s="171" t="s">
        <v>979</v>
      </c>
      <c r="E114" s="171" t="s">
        <v>499</v>
      </c>
      <c r="F114" s="171" t="s">
        <v>980</v>
      </c>
      <c r="G114" s="171" t="s">
        <v>981</v>
      </c>
      <c r="H114" s="171" t="s">
        <v>165</v>
      </c>
      <c r="I114" s="171">
        <v>202605.5</v>
      </c>
      <c r="J114" s="221">
        <v>5.25</v>
      </c>
      <c r="K114" s="171" t="s">
        <v>73</v>
      </c>
      <c r="L114" s="171" t="s">
        <v>982</v>
      </c>
      <c r="M114" s="171" t="s">
        <v>983</v>
      </c>
      <c r="N114" s="171" t="s">
        <v>984</v>
      </c>
      <c r="O114" s="217"/>
      <c r="P114" s="171" t="s">
        <v>138</v>
      </c>
      <c r="Q114" s="171" t="s">
        <v>100</v>
      </c>
      <c r="R114" s="171" t="s">
        <v>262</v>
      </c>
      <c r="S114" s="171" t="s">
        <v>920</v>
      </c>
      <c r="T114" s="171" t="s">
        <v>103</v>
      </c>
      <c r="U114" s="171" t="s">
        <v>264</v>
      </c>
      <c r="V114" s="171" t="s">
        <v>264</v>
      </c>
      <c r="W114" s="191" t="s">
        <v>15</v>
      </c>
      <c r="X114" s="217" t="s">
        <v>172</v>
      </c>
      <c r="Y114" s="171" t="s">
        <v>173</v>
      </c>
      <c r="Z114" s="171" t="s">
        <v>174</v>
      </c>
      <c r="AA114" s="171" t="s">
        <v>175</v>
      </c>
      <c r="AB114" s="222">
        <f t="shared" si="6"/>
        <v>1</v>
      </c>
      <c r="AC114" s="221">
        <v>1</v>
      </c>
      <c r="AD114" s="222">
        <v>1</v>
      </c>
      <c r="AE114" s="222">
        <v>1</v>
      </c>
      <c r="AF114" s="217"/>
      <c r="AG114" s="217"/>
      <c r="AH114" s="222">
        <v>1</v>
      </c>
      <c r="AI114" s="217"/>
      <c r="AJ114" s="222">
        <v>1</v>
      </c>
      <c r="AK114" s="222">
        <v>1</v>
      </c>
      <c r="AL114" s="222"/>
      <c r="AM114" s="222">
        <v>1</v>
      </c>
      <c r="AN114" s="222">
        <v>1</v>
      </c>
      <c r="AO114" s="222">
        <v>1</v>
      </c>
      <c r="AP114" s="222">
        <v>1</v>
      </c>
      <c r="AQ114" s="217"/>
      <c r="AR114" s="4"/>
      <c r="AS114" s="217" t="s">
        <v>237</v>
      </c>
      <c r="AT114" s="217"/>
      <c r="AU114" s="96" t="s">
        <v>985</v>
      </c>
    </row>
    <row r="115" spans="1:47">
      <c r="A115" s="171" t="s">
        <v>986</v>
      </c>
      <c r="B115" s="171" t="s">
        <v>160</v>
      </c>
      <c r="C115" s="171" t="s">
        <v>73</v>
      </c>
      <c r="D115" s="171" t="s">
        <v>987</v>
      </c>
      <c r="E115" s="171" t="s">
        <v>162</v>
      </c>
      <c r="F115" s="171" t="s">
        <v>988</v>
      </c>
      <c r="G115" s="171" t="s">
        <v>989</v>
      </c>
      <c r="H115" s="171" t="s">
        <v>165</v>
      </c>
      <c r="I115" s="171">
        <v>202605.5</v>
      </c>
      <c r="J115" s="221">
        <v>5.25</v>
      </c>
      <c r="K115" s="171" t="s">
        <v>73</v>
      </c>
      <c r="L115" s="171" t="s">
        <v>990</v>
      </c>
      <c r="M115" s="171" t="s">
        <v>991</v>
      </c>
      <c r="N115" s="171" t="s">
        <v>992</v>
      </c>
      <c r="O115" s="217"/>
      <c r="P115" s="171" t="s">
        <v>138</v>
      </c>
      <c r="Q115" s="171" t="s">
        <v>100</v>
      </c>
      <c r="R115" s="171" t="s">
        <v>262</v>
      </c>
      <c r="S115" s="171" t="s">
        <v>920</v>
      </c>
      <c r="T115" s="171" t="s">
        <v>103</v>
      </c>
      <c r="U115" s="171" t="s">
        <v>264</v>
      </c>
      <c r="V115" s="171" t="s">
        <v>264</v>
      </c>
      <c r="W115" s="191" t="s">
        <v>15</v>
      </c>
      <c r="X115" s="217" t="s">
        <v>172</v>
      </c>
      <c r="Y115" s="171" t="s">
        <v>173</v>
      </c>
      <c r="Z115" s="171" t="s">
        <v>174</v>
      </c>
      <c r="AA115" s="171" t="s">
        <v>175</v>
      </c>
      <c r="AB115" s="222">
        <f t="shared" si="6"/>
        <v>1</v>
      </c>
      <c r="AC115" s="221">
        <v>1</v>
      </c>
      <c r="AD115" s="222">
        <v>1</v>
      </c>
      <c r="AE115" s="222">
        <v>1</v>
      </c>
      <c r="AF115" s="217"/>
      <c r="AG115" s="217"/>
      <c r="AH115" s="222">
        <v>1</v>
      </c>
      <c r="AI115" s="217"/>
      <c r="AJ115" s="222">
        <v>1</v>
      </c>
      <c r="AK115" s="222">
        <v>1</v>
      </c>
      <c r="AL115" s="222"/>
      <c r="AM115" s="222">
        <v>1</v>
      </c>
      <c r="AN115" s="222">
        <v>1</v>
      </c>
      <c r="AO115" s="222">
        <v>1</v>
      </c>
      <c r="AP115" s="222">
        <v>1</v>
      </c>
      <c r="AQ115" s="217"/>
      <c r="AR115" s="4"/>
      <c r="AS115" s="217" t="s">
        <v>245</v>
      </c>
      <c r="AT115" s="217"/>
      <c r="AU115" s="96" t="s">
        <v>993</v>
      </c>
    </row>
    <row r="116" spans="1:47">
      <c r="A116" s="171" t="s">
        <v>994</v>
      </c>
      <c r="B116" s="171" t="s">
        <v>160</v>
      </c>
      <c r="C116" s="171" t="s">
        <v>73</v>
      </c>
      <c r="D116" s="171" t="s">
        <v>995</v>
      </c>
      <c r="E116" s="171" t="s">
        <v>162</v>
      </c>
      <c r="F116" s="171" t="s">
        <v>996</v>
      </c>
      <c r="G116" s="171" t="s">
        <v>997</v>
      </c>
      <c r="H116" s="171" t="s">
        <v>165</v>
      </c>
      <c r="I116" s="171">
        <v>202605.5</v>
      </c>
      <c r="J116" s="221">
        <v>5.25</v>
      </c>
      <c r="K116" s="171" t="s">
        <v>73</v>
      </c>
      <c r="L116" s="171" t="s">
        <v>998</v>
      </c>
      <c r="M116" s="171" t="s">
        <v>999</v>
      </c>
      <c r="N116" s="171" t="s">
        <v>1000</v>
      </c>
      <c r="O116" s="217"/>
      <c r="P116" s="171" t="s">
        <v>138</v>
      </c>
      <c r="Q116" s="171" t="s">
        <v>100</v>
      </c>
      <c r="R116" s="171" t="s">
        <v>262</v>
      </c>
      <c r="S116" s="171" t="s">
        <v>920</v>
      </c>
      <c r="T116" s="171" t="s">
        <v>103</v>
      </c>
      <c r="U116" s="171" t="s">
        <v>264</v>
      </c>
      <c r="V116" s="171" t="s">
        <v>264</v>
      </c>
      <c r="W116" s="191" t="s">
        <v>15</v>
      </c>
      <c r="X116" s="217" t="s">
        <v>172</v>
      </c>
      <c r="Y116" s="171" t="s">
        <v>173</v>
      </c>
      <c r="Z116" s="171" t="s">
        <v>174</v>
      </c>
      <c r="AA116" s="171" t="s">
        <v>175</v>
      </c>
      <c r="AB116" s="222">
        <f t="shared" si="6"/>
        <v>1</v>
      </c>
      <c r="AC116" s="221">
        <v>1</v>
      </c>
      <c r="AD116" s="222">
        <v>1</v>
      </c>
      <c r="AE116" s="222">
        <v>1</v>
      </c>
      <c r="AF116" s="217"/>
      <c r="AG116" s="217"/>
      <c r="AH116" s="222">
        <v>1</v>
      </c>
      <c r="AI116" s="217"/>
      <c r="AJ116" s="222">
        <v>1</v>
      </c>
      <c r="AK116" s="222">
        <v>1</v>
      </c>
      <c r="AL116" s="222"/>
      <c r="AM116" s="222">
        <v>1</v>
      </c>
      <c r="AN116" s="222">
        <v>1</v>
      </c>
      <c r="AO116" s="222">
        <v>1</v>
      </c>
      <c r="AP116" s="222">
        <v>1</v>
      </c>
      <c r="AQ116" s="217"/>
      <c r="AR116" s="4"/>
      <c r="AS116" s="217" t="s">
        <v>254</v>
      </c>
      <c r="AT116" s="217"/>
      <c r="AU116" s="96" t="s">
        <v>1001</v>
      </c>
    </row>
    <row r="117" spans="1:47">
      <c r="A117" s="171" t="s">
        <v>1002</v>
      </c>
      <c r="B117" s="171" t="s">
        <v>160</v>
      </c>
      <c r="C117" s="171" t="s">
        <v>73</v>
      </c>
      <c r="D117" s="171" t="s">
        <v>1003</v>
      </c>
      <c r="E117" s="171" t="s">
        <v>162</v>
      </c>
      <c r="F117" s="171" t="s">
        <v>1004</v>
      </c>
      <c r="G117" s="171" t="s">
        <v>1005</v>
      </c>
      <c r="H117" s="171" t="s">
        <v>165</v>
      </c>
      <c r="I117" s="171">
        <v>202605.5</v>
      </c>
      <c r="J117" s="221">
        <v>5.25</v>
      </c>
      <c r="K117" s="171" t="s">
        <v>73</v>
      </c>
      <c r="L117" s="171" t="s">
        <v>1006</v>
      </c>
      <c r="M117" s="171" t="s">
        <v>1007</v>
      </c>
      <c r="N117" s="171" t="s">
        <v>1008</v>
      </c>
      <c r="O117" s="217"/>
      <c r="P117" s="171" t="s">
        <v>138</v>
      </c>
      <c r="Q117" s="171" t="s">
        <v>100</v>
      </c>
      <c r="R117" s="171" t="s">
        <v>262</v>
      </c>
      <c r="S117" s="171" t="s">
        <v>920</v>
      </c>
      <c r="T117" s="171" t="s">
        <v>103</v>
      </c>
      <c r="U117" s="171" t="s">
        <v>264</v>
      </c>
      <c r="V117" s="171" t="s">
        <v>264</v>
      </c>
      <c r="W117" s="191" t="s">
        <v>15</v>
      </c>
      <c r="X117" s="217" t="s">
        <v>172</v>
      </c>
      <c r="Y117" s="171" t="s">
        <v>173</v>
      </c>
      <c r="Z117" s="171" t="s">
        <v>174</v>
      </c>
      <c r="AA117" s="171" t="s">
        <v>175</v>
      </c>
      <c r="AB117" s="222">
        <f t="shared" si="6"/>
        <v>1</v>
      </c>
      <c r="AC117" s="221">
        <v>1</v>
      </c>
      <c r="AD117" s="222">
        <v>1</v>
      </c>
      <c r="AE117" s="222">
        <v>1</v>
      </c>
      <c r="AF117" s="217"/>
      <c r="AG117" s="217"/>
      <c r="AH117" s="222">
        <v>1</v>
      </c>
      <c r="AI117" s="217"/>
      <c r="AJ117" s="222">
        <v>1</v>
      </c>
      <c r="AK117" s="222">
        <v>1</v>
      </c>
      <c r="AL117" s="222"/>
      <c r="AM117" s="222">
        <v>1</v>
      </c>
      <c r="AN117" s="222">
        <v>1</v>
      </c>
      <c r="AO117" s="222">
        <v>1</v>
      </c>
      <c r="AP117" s="222">
        <v>1</v>
      </c>
      <c r="AQ117" s="217"/>
      <c r="AR117" s="4"/>
      <c r="AS117" s="217" t="s">
        <v>265</v>
      </c>
      <c r="AT117" s="217"/>
      <c r="AU117" s="96" t="s">
        <v>1009</v>
      </c>
    </row>
    <row r="118" spans="1:47">
      <c r="A118" s="171" t="s">
        <v>1010</v>
      </c>
      <c r="B118" s="171" t="s">
        <v>160</v>
      </c>
      <c r="C118" s="171" t="s">
        <v>73</v>
      </c>
      <c r="D118" s="171" t="s">
        <v>1011</v>
      </c>
      <c r="E118" s="171" t="s">
        <v>499</v>
      </c>
      <c r="F118" s="171" t="s">
        <v>1012</v>
      </c>
      <c r="G118" s="171" t="s">
        <v>1013</v>
      </c>
      <c r="H118" s="171" t="s">
        <v>165</v>
      </c>
      <c r="I118" s="171">
        <v>202605.5</v>
      </c>
      <c r="J118" s="221">
        <v>5.25</v>
      </c>
      <c r="K118" s="171" t="s">
        <v>73</v>
      </c>
      <c r="L118" s="171" t="s">
        <v>1014</v>
      </c>
      <c r="M118" s="171" t="s">
        <v>1015</v>
      </c>
      <c r="N118" s="171" t="s">
        <v>1016</v>
      </c>
      <c r="O118" s="217"/>
      <c r="P118" s="171" t="s">
        <v>138</v>
      </c>
      <c r="Q118" s="171" t="s">
        <v>100</v>
      </c>
      <c r="R118" s="171" t="s">
        <v>262</v>
      </c>
      <c r="S118" s="171" t="s">
        <v>920</v>
      </c>
      <c r="T118" s="171" t="s">
        <v>103</v>
      </c>
      <c r="U118" s="171" t="s">
        <v>264</v>
      </c>
      <c r="V118" s="171" t="s">
        <v>264</v>
      </c>
      <c r="W118" s="191" t="s">
        <v>15</v>
      </c>
      <c r="X118" s="217" t="s">
        <v>172</v>
      </c>
      <c r="Y118" s="171" t="s">
        <v>173</v>
      </c>
      <c r="Z118" s="171" t="s">
        <v>174</v>
      </c>
      <c r="AA118" s="171" t="s">
        <v>175</v>
      </c>
      <c r="AB118" s="222">
        <f t="shared" si="6"/>
        <v>1</v>
      </c>
      <c r="AC118" s="221">
        <v>1</v>
      </c>
      <c r="AD118" s="222">
        <v>1</v>
      </c>
      <c r="AE118" s="222">
        <v>1</v>
      </c>
      <c r="AF118" s="217"/>
      <c r="AG118" s="217"/>
      <c r="AH118" s="222">
        <v>1</v>
      </c>
      <c r="AI118" s="217"/>
      <c r="AJ118" s="222">
        <v>1</v>
      </c>
      <c r="AK118" s="222">
        <v>1</v>
      </c>
      <c r="AL118" s="222"/>
      <c r="AM118" s="222">
        <v>1</v>
      </c>
      <c r="AN118" s="222">
        <v>1</v>
      </c>
      <c r="AO118" s="222">
        <v>1</v>
      </c>
      <c r="AP118" s="222">
        <v>1</v>
      </c>
      <c r="AQ118" s="217"/>
      <c r="AR118" s="4"/>
      <c r="AS118" s="217" t="s">
        <v>272</v>
      </c>
      <c r="AT118" s="217"/>
      <c r="AU118" s="96" t="s">
        <v>964</v>
      </c>
    </row>
    <row r="119" spans="1:47">
      <c r="A119" s="171" t="s">
        <v>1017</v>
      </c>
      <c r="B119" s="171" t="s">
        <v>160</v>
      </c>
      <c r="C119" s="171" t="s">
        <v>73</v>
      </c>
      <c r="D119" s="171" t="s">
        <v>1018</v>
      </c>
      <c r="E119" s="171" t="s">
        <v>162</v>
      </c>
      <c r="F119" s="171" t="s">
        <v>1019</v>
      </c>
      <c r="G119" s="171" t="s">
        <v>1020</v>
      </c>
      <c r="H119" s="171" t="s">
        <v>165</v>
      </c>
      <c r="I119" s="171">
        <v>202605.5</v>
      </c>
      <c r="J119" s="221">
        <v>5.25</v>
      </c>
      <c r="K119" s="171" t="s">
        <v>73</v>
      </c>
      <c r="L119" s="171" t="s">
        <v>1021</v>
      </c>
      <c r="M119" s="171" t="s">
        <v>1022</v>
      </c>
      <c r="N119" s="171" t="s">
        <v>1023</v>
      </c>
      <c r="O119" s="217"/>
      <c r="P119" s="171" t="s">
        <v>138</v>
      </c>
      <c r="Q119" s="171" t="s">
        <v>100</v>
      </c>
      <c r="R119" s="171" t="s">
        <v>262</v>
      </c>
      <c r="S119" s="171" t="s">
        <v>920</v>
      </c>
      <c r="T119" s="171" t="s">
        <v>103</v>
      </c>
      <c r="U119" s="171" t="s">
        <v>264</v>
      </c>
      <c r="V119" s="171" t="s">
        <v>264</v>
      </c>
      <c r="W119" s="191" t="s">
        <v>15</v>
      </c>
      <c r="X119" s="217" t="s">
        <v>172</v>
      </c>
      <c r="Y119" s="171" t="s">
        <v>173</v>
      </c>
      <c r="Z119" s="171" t="s">
        <v>174</v>
      </c>
      <c r="AA119" s="171" t="s">
        <v>175</v>
      </c>
      <c r="AB119" s="222">
        <f t="shared" si="6"/>
        <v>1</v>
      </c>
      <c r="AC119" s="221">
        <v>1</v>
      </c>
      <c r="AD119" s="222">
        <v>1</v>
      </c>
      <c r="AE119" s="222">
        <v>1</v>
      </c>
      <c r="AF119" s="217"/>
      <c r="AG119" s="217"/>
      <c r="AH119" s="222">
        <v>1</v>
      </c>
      <c r="AI119" s="217"/>
      <c r="AJ119" s="222">
        <v>1</v>
      </c>
      <c r="AK119" s="222">
        <v>1</v>
      </c>
      <c r="AL119" s="222"/>
      <c r="AM119" s="222">
        <v>1</v>
      </c>
      <c r="AN119" s="222">
        <v>1</v>
      </c>
      <c r="AO119" s="222">
        <v>1</v>
      </c>
      <c r="AP119" s="222">
        <v>1</v>
      </c>
      <c r="AQ119" s="217"/>
      <c r="AR119" s="4"/>
      <c r="AS119" s="217" t="s">
        <v>279</v>
      </c>
      <c r="AT119" s="217"/>
      <c r="AU119" s="96" t="s">
        <v>1024</v>
      </c>
    </row>
    <row r="120" spans="1:47">
      <c r="A120" s="171" t="s">
        <v>1025</v>
      </c>
      <c r="B120" s="171" t="s">
        <v>160</v>
      </c>
      <c r="C120" s="171" t="s">
        <v>73</v>
      </c>
      <c r="D120" s="171" t="s">
        <v>1026</v>
      </c>
      <c r="E120" s="171" t="s">
        <v>162</v>
      </c>
      <c r="F120" s="171" t="s">
        <v>1027</v>
      </c>
      <c r="G120" s="171" t="s">
        <v>1028</v>
      </c>
      <c r="H120" s="171" t="s">
        <v>165</v>
      </c>
      <c r="I120" s="171">
        <v>202605.5</v>
      </c>
      <c r="J120" s="221">
        <v>5.25</v>
      </c>
      <c r="K120" s="171" t="s">
        <v>73</v>
      </c>
      <c r="L120" s="171" t="s">
        <v>1029</v>
      </c>
      <c r="M120" s="171" t="s">
        <v>1030</v>
      </c>
      <c r="N120" s="171" t="s">
        <v>1031</v>
      </c>
      <c r="O120" s="217"/>
      <c r="P120" s="171" t="s">
        <v>138</v>
      </c>
      <c r="Q120" s="171" t="s">
        <v>100</v>
      </c>
      <c r="R120" s="171" t="s">
        <v>262</v>
      </c>
      <c r="S120" s="171" t="s">
        <v>920</v>
      </c>
      <c r="T120" s="171" t="s">
        <v>103</v>
      </c>
      <c r="U120" s="171" t="s">
        <v>264</v>
      </c>
      <c r="V120" s="171" t="s">
        <v>264</v>
      </c>
      <c r="W120" s="191" t="s">
        <v>15</v>
      </c>
      <c r="X120" s="217" t="s">
        <v>172</v>
      </c>
      <c r="Y120" s="171" t="s">
        <v>173</v>
      </c>
      <c r="Z120" s="171" t="s">
        <v>174</v>
      </c>
      <c r="AA120" s="171" t="s">
        <v>175</v>
      </c>
      <c r="AB120" s="222">
        <f t="shared" si="6"/>
        <v>1</v>
      </c>
      <c r="AC120" s="221">
        <v>1</v>
      </c>
      <c r="AD120" s="222">
        <v>1</v>
      </c>
      <c r="AE120" s="222">
        <v>1</v>
      </c>
      <c r="AF120" s="217"/>
      <c r="AG120" s="217"/>
      <c r="AH120" s="222">
        <v>1</v>
      </c>
      <c r="AI120" s="217"/>
      <c r="AJ120" s="222">
        <v>1</v>
      </c>
      <c r="AK120" s="222">
        <v>1</v>
      </c>
      <c r="AL120" s="222"/>
      <c r="AM120" s="222">
        <v>1</v>
      </c>
      <c r="AN120" s="222">
        <v>1</v>
      </c>
      <c r="AO120" s="222">
        <v>1</v>
      </c>
      <c r="AP120" s="222">
        <v>1</v>
      </c>
      <c r="AQ120" s="217"/>
      <c r="AR120" s="4"/>
      <c r="AS120" s="217" t="s">
        <v>288</v>
      </c>
      <c r="AT120" s="217"/>
      <c r="AU120" s="96" t="s">
        <v>1032</v>
      </c>
    </row>
    <row r="121" spans="1:47">
      <c r="A121" s="171" t="s">
        <v>1033</v>
      </c>
      <c r="B121" s="171" t="s">
        <v>160</v>
      </c>
      <c r="C121" s="171" t="s">
        <v>73</v>
      </c>
      <c r="D121" s="171" t="s">
        <v>1034</v>
      </c>
      <c r="E121" s="171" t="s">
        <v>162</v>
      </c>
      <c r="F121" s="171" t="s">
        <v>1035</v>
      </c>
      <c r="G121" s="171" t="s">
        <v>1036</v>
      </c>
      <c r="H121" s="171" t="s">
        <v>165</v>
      </c>
      <c r="I121" s="171">
        <v>202605.5</v>
      </c>
      <c r="J121" s="221">
        <v>5.25</v>
      </c>
      <c r="K121" s="171" t="s">
        <v>73</v>
      </c>
      <c r="L121" s="171" t="s">
        <v>1037</v>
      </c>
      <c r="M121" s="171" t="s">
        <v>1038</v>
      </c>
      <c r="N121" s="171" t="s">
        <v>1039</v>
      </c>
      <c r="O121" s="217"/>
      <c r="P121" s="171" t="s">
        <v>138</v>
      </c>
      <c r="Q121" s="171" t="s">
        <v>100</v>
      </c>
      <c r="R121" s="171" t="s">
        <v>262</v>
      </c>
      <c r="S121" s="171" t="s">
        <v>920</v>
      </c>
      <c r="T121" s="171" t="s">
        <v>103</v>
      </c>
      <c r="U121" s="171" t="s">
        <v>264</v>
      </c>
      <c r="V121" s="171" t="s">
        <v>264</v>
      </c>
      <c r="W121" s="191" t="s">
        <v>15</v>
      </c>
      <c r="X121" s="217" t="s">
        <v>172</v>
      </c>
      <c r="Y121" s="171" t="s">
        <v>173</v>
      </c>
      <c r="Z121" s="171" t="s">
        <v>174</v>
      </c>
      <c r="AA121" s="171" t="s">
        <v>175</v>
      </c>
      <c r="AB121" s="222">
        <f t="shared" si="6"/>
        <v>1</v>
      </c>
      <c r="AC121" s="221">
        <v>1</v>
      </c>
      <c r="AD121" s="222">
        <v>1</v>
      </c>
      <c r="AE121" s="222">
        <v>1</v>
      </c>
      <c r="AF121" s="217"/>
      <c r="AG121" s="217"/>
      <c r="AH121" s="222">
        <v>1</v>
      </c>
      <c r="AI121" s="217"/>
      <c r="AJ121" s="222">
        <v>1</v>
      </c>
      <c r="AK121" s="222">
        <v>1</v>
      </c>
      <c r="AL121" s="222"/>
      <c r="AM121" s="222">
        <v>1</v>
      </c>
      <c r="AN121" s="222">
        <v>1</v>
      </c>
      <c r="AO121" s="222">
        <v>1</v>
      </c>
      <c r="AP121" s="222">
        <v>1</v>
      </c>
      <c r="AQ121" s="217"/>
      <c r="AR121" s="4"/>
      <c r="AS121" s="217" t="s">
        <v>297</v>
      </c>
      <c r="AT121" s="217"/>
      <c r="AU121" s="96" t="s">
        <v>1040</v>
      </c>
    </row>
    <row r="122" spans="1:47">
      <c r="A122" s="171" t="s">
        <v>1041</v>
      </c>
      <c r="B122" s="171" t="s">
        <v>160</v>
      </c>
      <c r="C122" s="171" t="s">
        <v>73</v>
      </c>
      <c r="D122" s="171" t="s">
        <v>1042</v>
      </c>
      <c r="E122" s="171" t="s">
        <v>162</v>
      </c>
      <c r="F122" s="171" t="s">
        <v>1043</v>
      </c>
      <c r="G122" s="171" t="s">
        <v>1044</v>
      </c>
      <c r="H122" s="171" t="s">
        <v>165</v>
      </c>
      <c r="I122" s="171">
        <v>202605.5</v>
      </c>
      <c r="J122" s="221">
        <v>5.25</v>
      </c>
      <c r="K122" s="171" t="s">
        <v>73</v>
      </c>
      <c r="L122" s="171" t="s">
        <v>1045</v>
      </c>
      <c r="M122" s="171" t="s">
        <v>1046</v>
      </c>
      <c r="N122" s="171" t="s">
        <v>1047</v>
      </c>
      <c r="O122" s="217"/>
      <c r="P122" s="171" t="s">
        <v>138</v>
      </c>
      <c r="Q122" s="171" t="s">
        <v>100</v>
      </c>
      <c r="R122" s="171" t="s">
        <v>262</v>
      </c>
      <c r="S122" s="171" t="s">
        <v>920</v>
      </c>
      <c r="T122" s="171" t="s">
        <v>103</v>
      </c>
      <c r="U122" s="171" t="s">
        <v>264</v>
      </c>
      <c r="V122" s="171" t="s">
        <v>264</v>
      </c>
      <c r="W122" s="191" t="s">
        <v>15</v>
      </c>
      <c r="X122" s="217" t="s">
        <v>172</v>
      </c>
      <c r="Y122" s="171" t="s">
        <v>173</v>
      </c>
      <c r="Z122" s="171" t="s">
        <v>174</v>
      </c>
      <c r="AA122" s="171" t="s">
        <v>175</v>
      </c>
      <c r="AB122" s="222">
        <f t="shared" si="6"/>
        <v>1</v>
      </c>
      <c r="AC122" s="221">
        <v>1</v>
      </c>
      <c r="AD122" s="222">
        <v>1</v>
      </c>
      <c r="AE122" s="222">
        <v>1</v>
      </c>
      <c r="AF122" s="217"/>
      <c r="AG122" s="217"/>
      <c r="AH122" s="222">
        <v>1</v>
      </c>
      <c r="AI122" s="217"/>
      <c r="AJ122" s="222">
        <v>1</v>
      </c>
      <c r="AK122" s="222">
        <v>1</v>
      </c>
      <c r="AL122" s="222"/>
      <c r="AM122" s="222">
        <v>1</v>
      </c>
      <c r="AN122" s="222">
        <v>1</v>
      </c>
      <c r="AO122" s="222">
        <v>1</v>
      </c>
      <c r="AP122" s="222">
        <v>1</v>
      </c>
      <c r="AQ122" s="217"/>
      <c r="AR122" s="4"/>
      <c r="AS122" s="217" t="s">
        <v>306</v>
      </c>
      <c r="AT122" s="217"/>
      <c r="AU122" s="96" t="s">
        <v>1048</v>
      </c>
    </row>
    <row r="123" spans="1:47">
      <c r="A123" s="171" t="s">
        <v>1049</v>
      </c>
      <c r="B123" s="171" t="s">
        <v>160</v>
      </c>
      <c r="C123" s="171" t="s">
        <v>73</v>
      </c>
      <c r="D123" s="171" t="s">
        <v>1048</v>
      </c>
      <c r="E123" s="171" t="s">
        <v>162</v>
      </c>
      <c r="F123" s="171" t="s">
        <v>1050</v>
      </c>
      <c r="G123" s="171" t="s">
        <v>1051</v>
      </c>
      <c r="H123" s="171" t="s">
        <v>165</v>
      </c>
      <c r="I123" s="171">
        <v>202605.5</v>
      </c>
      <c r="J123" s="221">
        <v>5.25</v>
      </c>
      <c r="K123" s="171" t="s">
        <v>73</v>
      </c>
      <c r="L123" s="171" t="s">
        <v>1052</v>
      </c>
      <c r="M123" s="171" t="s">
        <v>1053</v>
      </c>
      <c r="N123" s="171" t="s">
        <v>1054</v>
      </c>
      <c r="O123" s="217"/>
      <c r="P123" s="171" t="s">
        <v>138</v>
      </c>
      <c r="Q123" s="171" t="s">
        <v>100</v>
      </c>
      <c r="R123" s="171" t="s">
        <v>262</v>
      </c>
      <c r="S123" s="171" t="s">
        <v>920</v>
      </c>
      <c r="T123" s="171" t="s">
        <v>103</v>
      </c>
      <c r="U123" s="171" t="s">
        <v>264</v>
      </c>
      <c r="V123" s="171" t="s">
        <v>264</v>
      </c>
      <c r="W123" s="191" t="s">
        <v>15</v>
      </c>
      <c r="X123" s="217" t="s">
        <v>172</v>
      </c>
      <c r="Y123" s="171" t="s">
        <v>173</v>
      </c>
      <c r="Z123" s="171" t="s">
        <v>174</v>
      </c>
      <c r="AA123" s="171" t="s">
        <v>175</v>
      </c>
      <c r="AB123" s="222">
        <f t="shared" si="6"/>
        <v>1</v>
      </c>
      <c r="AC123" s="221">
        <v>1</v>
      </c>
      <c r="AD123" s="222">
        <v>1</v>
      </c>
      <c r="AE123" s="222">
        <v>1</v>
      </c>
      <c r="AF123" s="217"/>
      <c r="AG123" s="217"/>
      <c r="AH123" s="222">
        <v>1</v>
      </c>
      <c r="AI123" s="217"/>
      <c r="AJ123" s="222">
        <v>1</v>
      </c>
      <c r="AK123" s="222">
        <v>1</v>
      </c>
      <c r="AL123" s="222"/>
      <c r="AM123" s="222">
        <v>1</v>
      </c>
      <c r="AN123" s="222">
        <v>1</v>
      </c>
      <c r="AO123" s="222">
        <v>1</v>
      </c>
      <c r="AP123" s="222">
        <v>1</v>
      </c>
      <c r="AQ123" s="217"/>
      <c r="AR123" s="4"/>
      <c r="AS123" s="217" t="s">
        <v>314</v>
      </c>
      <c r="AT123" s="217"/>
      <c r="AU123" s="96" t="s">
        <v>995</v>
      </c>
    </row>
    <row r="124" spans="1:47">
      <c r="A124" s="171" t="s">
        <v>1055</v>
      </c>
      <c r="B124" s="171" t="s">
        <v>160</v>
      </c>
      <c r="C124" s="171" t="s">
        <v>73</v>
      </c>
      <c r="D124" s="171" t="s">
        <v>1009</v>
      </c>
      <c r="E124" s="171" t="s">
        <v>162</v>
      </c>
      <c r="F124" s="171" t="s">
        <v>1056</v>
      </c>
      <c r="G124" s="171" t="s">
        <v>1057</v>
      </c>
      <c r="H124" s="171" t="s">
        <v>165</v>
      </c>
      <c r="I124" s="171">
        <v>202605.5</v>
      </c>
      <c r="J124" s="221">
        <v>5.25</v>
      </c>
      <c r="K124" s="171" t="s">
        <v>73</v>
      </c>
      <c r="L124" s="171" t="s">
        <v>1058</v>
      </c>
      <c r="M124" s="171" t="s">
        <v>1059</v>
      </c>
      <c r="N124" s="171" t="s">
        <v>1060</v>
      </c>
      <c r="O124" s="217"/>
      <c r="P124" s="171" t="s">
        <v>138</v>
      </c>
      <c r="Q124" s="171" t="s">
        <v>100</v>
      </c>
      <c r="R124" s="171" t="s">
        <v>262</v>
      </c>
      <c r="S124" s="171" t="s">
        <v>920</v>
      </c>
      <c r="T124" s="171" t="s">
        <v>103</v>
      </c>
      <c r="U124" s="171" t="s">
        <v>264</v>
      </c>
      <c r="V124" s="171" t="s">
        <v>264</v>
      </c>
      <c r="W124" s="191" t="s">
        <v>15</v>
      </c>
      <c r="X124" s="217" t="s">
        <v>172</v>
      </c>
      <c r="Y124" s="171" t="s">
        <v>173</v>
      </c>
      <c r="Z124" s="171" t="s">
        <v>174</v>
      </c>
      <c r="AA124" s="171" t="s">
        <v>175</v>
      </c>
      <c r="AB124" s="222">
        <f t="shared" si="6"/>
        <v>1</v>
      </c>
      <c r="AC124" s="221">
        <v>1</v>
      </c>
      <c r="AD124" s="222">
        <v>1</v>
      </c>
      <c r="AE124" s="222">
        <v>1</v>
      </c>
      <c r="AF124" s="217"/>
      <c r="AG124" s="217"/>
      <c r="AH124" s="222">
        <v>1</v>
      </c>
      <c r="AI124" s="217"/>
      <c r="AJ124" s="222">
        <v>1</v>
      </c>
      <c r="AK124" s="222">
        <v>1</v>
      </c>
      <c r="AL124" s="222"/>
      <c r="AM124" s="222">
        <v>1</v>
      </c>
      <c r="AN124" s="222">
        <v>1</v>
      </c>
      <c r="AO124" s="222">
        <v>1</v>
      </c>
      <c r="AP124" s="222">
        <v>1</v>
      </c>
      <c r="AQ124" s="217"/>
      <c r="AR124" s="4"/>
      <c r="AS124" s="217" t="s">
        <v>322</v>
      </c>
      <c r="AT124" s="217"/>
      <c r="AU124" s="96" t="s">
        <v>987</v>
      </c>
    </row>
    <row r="125" spans="1:47">
      <c r="A125" s="171" t="s">
        <v>1061</v>
      </c>
      <c r="B125" s="171" t="s">
        <v>160</v>
      </c>
      <c r="C125" s="171" t="s">
        <v>73</v>
      </c>
      <c r="D125" s="171" t="s">
        <v>1062</v>
      </c>
      <c r="E125" s="171" t="s">
        <v>162</v>
      </c>
      <c r="F125" s="171" t="s">
        <v>1063</v>
      </c>
      <c r="G125" s="171" t="s">
        <v>1064</v>
      </c>
      <c r="H125" s="171" t="s">
        <v>165</v>
      </c>
      <c r="I125" s="171">
        <v>202605.5</v>
      </c>
      <c r="J125" s="221">
        <v>5.25</v>
      </c>
      <c r="K125" s="171" t="s">
        <v>73</v>
      </c>
      <c r="L125" s="171" t="s">
        <v>1065</v>
      </c>
      <c r="M125" s="171" t="s">
        <v>1066</v>
      </c>
      <c r="N125" s="171" t="s">
        <v>1067</v>
      </c>
      <c r="O125" s="217"/>
      <c r="P125" s="171" t="s">
        <v>138</v>
      </c>
      <c r="Q125" s="171" t="s">
        <v>100</v>
      </c>
      <c r="R125" s="171" t="s">
        <v>262</v>
      </c>
      <c r="S125" s="171" t="s">
        <v>920</v>
      </c>
      <c r="T125" s="171" t="s">
        <v>103</v>
      </c>
      <c r="U125" s="171" t="s">
        <v>264</v>
      </c>
      <c r="V125" s="171" t="s">
        <v>264</v>
      </c>
      <c r="W125" s="191" t="s">
        <v>15</v>
      </c>
      <c r="X125" s="217" t="s">
        <v>172</v>
      </c>
      <c r="Y125" s="171" t="s">
        <v>173</v>
      </c>
      <c r="Z125" s="171" t="s">
        <v>174</v>
      </c>
      <c r="AA125" s="171" t="s">
        <v>175</v>
      </c>
      <c r="AB125" s="222">
        <f t="shared" si="6"/>
        <v>1</v>
      </c>
      <c r="AC125" s="221">
        <v>1</v>
      </c>
      <c r="AD125" s="222">
        <v>1</v>
      </c>
      <c r="AE125" s="222">
        <v>1</v>
      </c>
      <c r="AF125" s="217"/>
      <c r="AG125" s="217"/>
      <c r="AH125" s="222">
        <v>1</v>
      </c>
      <c r="AI125" s="217"/>
      <c r="AJ125" s="222">
        <v>1</v>
      </c>
      <c r="AK125" s="222">
        <v>1</v>
      </c>
      <c r="AL125" s="222"/>
      <c r="AM125" s="222">
        <v>1</v>
      </c>
      <c r="AN125" s="222">
        <v>1</v>
      </c>
      <c r="AO125" s="222">
        <v>1</v>
      </c>
      <c r="AP125" s="222">
        <v>1</v>
      </c>
      <c r="AQ125" s="217"/>
      <c r="AR125" s="133" t="s">
        <v>194</v>
      </c>
      <c r="AS125" s="217" t="s">
        <v>329</v>
      </c>
      <c r="AT125" s="217"/>
      <c r="AU125" s="96" t="s">
        <v>1018</v>
      </c>
    </row>
    <row r="126" spans="1:47">
      <c r="A126" s="171" t="s">
        <v>1068</v>
      </c>
      <c r="B126" s="171" t="s">
        <v>160</v>
      </c>
      <c r="C126" s="171" t="s">
        <v>73</v>
      </c>
      <c r="D126" s="171" t="s">
        <v>1001</v>
      </c>
      <c r="E126" s="171" t="s">
        <v>162</v>
      </c>
      <c r="F126" s="171" t="s">
        <v>1069</v>
      </c>
      <c r="G126" s="171" t="s">
        <v>1070</v>
      </c>
      <c r="H126" s="171" t="s">
        <v>165</v>
      </c>
      <c r="I126" s="171">
        <v>202605.5</v>
      </c>
      <c r="J126" s="221">
        <v>5.25</v>
      </c>
      <c r="K126" s="171" t="s">
        <v>73</v>
      </c>
      <c r="L126" s="171" t="s">
        <v>1071</v>
      </c>
      <c r="M126" s="171" t="s">
        <v>1072</v>
      </c>
      <c r="N126" s="171" t="s">
        <v>1073</v>
      </c>
      <c r="O126" s="217"/>
      <c r="P126" s="171" t="s">
        <v>138</v>
      </c>
      <c r="Q126" s="171" t="s">
        <v>100</v>
      </c>
      <c r="R126" s="171" t="s">
        <v>262</v>
      </c>
      <c r="S126" s="171" t="s">
        <v>920</v>
      </c>
      <c r="T126" s="171" t="s">
        <v>103</v>
      </c>
      <c r="U126" s="171" t="s">
        <v>264</v>
      </c>
      <c r="V126" s="171" t="s">
        <v>264</v>
      </c>
      <c r="W126" s="191" t="s">
        <v>15</v>
      </c>
      <c r="X126" s="217" t="s">
        <v>172</v>
      </c>
      <c r="Y126" s="171" t="s">
        <v>173</v>
      </c>
      <c r="Z126" s="171" t="s">
        <v>174</v>
      </c>
      <c r="AA126" s="171" t="s">
        <v>175</v>
      </c>
      <c r="AB126" s="222">
        <f t="shared" si="6"/>
        <v>1</v>
      </c>
      <c r="AC126" s="221">
        <v>1</v>
      </c>
      <c r="AD126" s="222">
        <v>1</v>
      </c>
      <c r="AE126" s="222">
        <v>1</v>
      </c>
      <c r="AF126" s="217"/>
      <c r="AG126" s="217"/>
      <c r="AH126" s="222">
        <v>1</v>
      </c>
      <c r="AI126" s="217"/>
      <c r="AJ126" s="222">
        <v>1</v>
      </c>
      <c r="AK126" s="222">
        <v>1</v>
      </c>
      <c r="AL126" s="222"/>
      <c r="AM126" s="222">
        <v>1</v>
      </c>
      <c r="AN126" s="222">
        <v>1</v>
      </c>
      <c r="AO126" s="222">
        <v>1</v>
      </c>
      <c r="AP126" s="222">
        <v>1</v>
      </c>
      <c r="AQ126" s="217"/>
      <c r="AR126" s="4"/>
      <c r="AS126" s="217" t="s">
        <v>337</v>
      </c>
      <c r="AT126" s="217"/>
      <c r="AU126" s="96" t="s">
        <v>914</v>
      </c>
    </row>
    <row r="127" spans="1:47">
      <c r="A127" s="171" t="s">
        <v>1074</v>
      </c>
      <c r="B127" s="171" t="s">
        <v>160</v>
      </c>
      <c r="C127" s="171" t="s">
        <v>73</v>
      </c>
      <c r="D127" s="171" t="s">
        <v>993</v>
      </c>
      <c r="E127" s="171" t="s">
        <v>499</v>
      </c>
      <c r="F127" s="171" t="s">
        <v>1075</v>
      </c>
      <c r="G127" s="171" t="s">
        <v>1076</v>
      </c>
      <c r="H127" s="171" t="s">
        <v>165</v>
      </c>
      <c r="I127" s="171">
        <v>202605.5</v>
      </c>
      <c r="J127" s="221">
        <v>5.25</v>
      </c>
      <c r="K127" s="171" t="s">
        <v>73</v>
      </c>
      <c r="L127" s="171" t="s">
        <v>1077</v>
      </c>
      <c r="M127" s="171" t="s">
        <v>1078</v>
      </c>
      <c r="N127" s="171" t="s">
        <v>1079</v>
      </c>
      <c r="O127" s="217"/>
      <c r="P127" s="171" t="s">
        <v>138</v>
      </c>
      <c r="Q127" s="171" t="s">
        <v>100</v>
      </c>
      <c r="R127" s="171" t="s">
        <v>262</v>
      </c>
      <c r="S127" s="171" t="s">
        <v>920</v>
      </c>
      <c r="T127" s="171" t="s">
        <v>103</v>
      </c>
      <c r="U127" s="171" t="s">
        <v>264</v>
      </c>
      <c r="V127" s="171" t="s">
        <v>264</v>
      </c>
      <c r="W127" s="191" t="s">
        <v>15</v>
      </c>
      <c r="X127" s="217" t="s">
        <v>172</v>
      </c>
      <c r="Y127" s="171" t="s">
        <v>173</v>
      </c>
      <c r="Z127" s="171" t="s">
        <v>174</v>
      </c>
      <c r="AA127" s="171" t="s">
        <v>175</v>
      </c>
      <c r="AB127" s="222">
        <f t="shared" si="6"/>
        <v>1</v>
      </c>
      <c r="AC127" s="221">
        <v>1</v>
      </c>
      <c r="AD127" s="222">
        <v>1</v>
      </c>
      <c r="AE127" s="222">
        <v>1</v>
      </c>
      <c r="AF127" s="217"/>
      <c r="AG127" s="217"/>
      <c r="AH127" s="222">
        <v>1</v>
      </c>
      <c r="AI127" s="217"/>
      <c r="AJ127" s="222">
        <v>1</v>
      </c>
      <c r="AK127" s="222">
        <v>1</v>
      </c>
      <c r="AL127" s="222"/>
      <c r="AM127" s="222">
        <v>1</v>
      </c>
      <c r="AN127" s="222">
        <v>1</v>
      </c>
      <c r="AO127" s="222">
        <v>1</v>
      </c>
      <c r="AP127" s="222">
        <v>1</v>
      </c>
      <c r="AQ127" s="217"/>
      <c r="AR127" s="4"/>
      <c r="AS127" s="217" t="s">
        <v>184</v>
      </c>
      <c r="AT127" s="217"/>
      <c r="AU127" s="96" t="s">
        <v>1080</v>
      </c>
    </row>
    <row r="128" spans="1:47">
      <c r="A128" s="171" t="s">
        <v>1081</v>
      </c>
      <c r="B128" s="171" t="s">
        <v>160</v>
      </c>
      <c r="C128" s="171" t="s">
        <v>73</v>
      </c>
      <c r="D128" s="171" t="s">
        <v>985</v>
      </c>
      <c r="E128" s="171" t="s">
        <v>162</v>
      </c>
      <c r="F128" s="171" t="s">
        <v>1082</v>
      </c>
      <c r="G128" s="171" t="s">
        <v>1083</v>
      </c>
      <c r="H128" s="171" t="s">
        <v>165</v>
      </c>
      <c r="I128" s="171">
        <v>202605.5</v>
      </c>
      <c r="J128" s="221">
        <v>5.25</v>
      </c>
      <c r="K128" s="171" t="s">
        <v>73</v>
      </c>
      <c r="L128" s="171" t="s">
        <v>1084</v>
      </c>
      <c r="M128" s="171" t="s">
        <v>1085</v>
      </c>
      <c r="N128" s="171" t="s">
        <v>1086</v>
      </c>
      <c r="O128" s="217"/>
      <c r="P128" s="171" t="s">
        <v>138</v>
      </c>
      <c r="Q128" s="171" t="s">
        <v>100</v>
      </c>
      <c r="R128" s="171" t="s">
        <v>262</v>
      </c>
      <c r="S128" s="171" t="s">
        <v>920</v>
      </c>
      <c r="T128" s="171" t="s">
        <v>103</v>
      </c>
      <c r="U128" s="171" t="s">
        <v>264</v>
      </c>
      <c r="V128" s="171" t="s">
        <v>264</v>
      </c>
      <c r="W128" s="191" t="s">
        <v>15</v>
      </c>
      <c r="X128" s="217" t="s">
        <v>172</v>
      </c>
      <c r="Y128" s="171" t="s">
        <v>173</v>
      </c>
      <c r="Z128" s="171" t="s">
        <v>174</v>
      </c>
      <c r="AA128" s="171" t="s">
        <v>175</v>
      </c>
      <c r="AB128" s="222">
        <f t="shared" si="6"/>
        <v>1</v>
      </c>
      <c r="AC128" s="221">
        <v>1</v>
      </c>
      <c r="AD128" s="222">
        <v>1</v>
      </c>
      <c r="AE128" s="222">
        <v>1</v>
      </c>
      <c r="AF128" s="217"/>
      <c r="AG128" s="217"/>
      <c r="AH128" s="222">
        <v>1</v>
      </c>
      <c r="AI128" s="217"/>
      <c r="AJ128" s="222">
        <v>1</v>
      </c>
      <c r="AK128" s="222">
        <v>1</v>
      </c>
      <c r="AL128" s="222"/>
      <c r="AM128" s="222">
        <v>1</v>
      </c>
      <c r="AN128" s="222">
        <v>1</v>
      </c>
      <c r="AO128" s="222">
        <v>1</v>
      </c>
      <c r="AP128" s="222">
        <v>1</v>
      </c>
      <c r="AQ128" s="217"/>
      <c r="AR128" s="4"/>
      <c r="AS128" s="217" t="s">
        <v>195</v>
      </c>
      <c r="AT128" s="217"/>
      <c r="AU128" s="96" t="s">
        <v>1087</v>
      </c>
    </row>
    <row r="129" spans="1:47">
      <c r="A129" s="171" t="s">
        <v>1088</v>
      </c>
      <c r="B129" s="171" t="s">
        <v>160</v>
      </c>
      <c r="C129" s="171" t="s">
        <v>73</v>
      </c>
      <c r="D129" s="171" t="s">
        <v>1089</v>
      </c>
      <c r="E129" s="171" t="s">
        <v>162</v>
      </c>
      <c r="F129" s="171" t="s">
        <v>1090</v>
      </c>
      <c r="G129" s="171" t="s">
        <v>1091</v>
      </c>
      <c r="H129" s="171" t="s">
        <v>165</v>
      </c>
      <c r="I129" s="171">
        <v>202605.5</v>
      </c>
      <c r="J129" s="221">
        <v>5.25</v>
      </c>
      <c r="K129" s="171" t="s">
        <v>73</v>
      </c>
      <c r="L129" s="171" t="s">
        <v>1092</v>
      </c>
      <c r="M129" s="171" t="s">
        <v>1093</v>
      </c>
      <c r="N129" s="171" t="s">
        <v>1094</v>
      </c>
      <c r="O129" s="217"/>
      <c r="P129" s="171" t="s">
        <v>138</v>
      </c>
      <c r="Q129" s="171" t="s">
        <v>100</v>
      </c>
      <c r="R129" s="171" t="s">
        <v>262</v>
      </c>
      <c r="S129" s="171" t="s">
        <v>1095</v>
      </c>
      <c r="T129" s="171" t="s">
        <v>103</v>
      </c>
      <c r="U129" s="171" t="s">
        <v>264</v>
      </c>
      <c r="V129" s="171" t="s">
        <v>264</v>
      </c>
      <c r="W129" s="191" t="s">
        <v>17</v>
      </c>
      <c r="X129" s="217" t="s">
        <v>172</v>
      </c>
      <c r="Y129" s="171" t="s">
        <v>173</v>
      </c>
      <c r="Z129" s="171" t="s">
        <v>174</v>
      </c>
      <c r="AA129" s="171" t="s">
        <v>175</v>
      </c>
      <c r="AB129" s="222">
        <f t="shared" si="6"/>
        <v>1</v>
      </c>
      <c r="AC129" s="221">
        <v>1</v>
      </c>
      <c r="AD129" s="222">
        <v>1</v>
      </c>
      <c r="AE129" s="222">
        <v>1</v>
      </c>
      <c r="AF129" s="217"/>
      <c r="AG129" s="217"/>
      <c r="AH129" s="222">
        <v>1</v>
      </c>
      <c r="AI129" s="217"/>
      <c r="AJ129" s="222">
        <v>1</v>
      </c>
      <c r="AK129" s="222">
        <v>1</v>
      </c>
      <c r="AL129" s="222"/>
      <c r="AM129" s="222">
        <v>1</v>
      </c>
      <c r="AN129" s="222">
        <v>1</v>
      </c>
      <c r="AO129" s="222">
        <v>1</v>
      </c>
      <c r="AP129" s="222">
        <v>1</v>
      </c>
      <c r="AQ129" s="217"/>
      <c r="AR129" s="4"/>
      <c r="AS129" s="217" t="s">
        <v>204</v>
      </c>
      <c r="AT129" s="217"/>
      <c r="AU129" s="96" t="s">
        <v>1096</v>
      </c>
    </row>
    <row r="130" spans="1:47">
      <c r="A130" s="171" t="s">
        <v>1097</v>
      </c>
      <c r="B130" s="171" t="s">
        <v>160</v>
      </c>
      <c r="C130" s="171" t="s">
        <v>73</v>
      </c>
      <c r="D130" s="171" t="s">
        <v>1098</v>
      </c>
      <c r="E130" s="171" t="s">
        <v>499</v>
      </c>
      <c r="F130" s="171" t="s">
        <v>1099</v>
      </c>
      <c r="G130" s="171" t="s">
        <v>1100</v>
      </c>
      <c r="H130" s="171" t="s">
        <v>165</v>
      </c>
      <c r="I130" s="171">
        <v>202605.5</v>
      </c>
      <c r="J130" s="221">
        <v>5.25</v>
      </c>
      <c r="K130" s="171" t="s">
        <v>73</v>
      </c>
      <c r="L130" s="171" t="s">
        <v>1101</v>
      </c>
      <c r="M130" s="171" t="s">
        <v>1102</v>
      </c>
      <c r="N130" s="171" t="s">
        <v>1103</v>
      </c>
      <c r="O130" s="217"/>
      <c r="P130" s="171" t="s">
        <v>138</v>
      </c>
      <c r="Q130" s="171" t="s">
        <v>100</v>
      </c>
      <c r="R130" s="171" t="s">
        <v>262</v>
      </c>
      <c r="S130" s="171" t="s">
        <v>1095</v>
      </c>
      <c r="T130" s="171" t="s">
        <v>103</v>
      </c>
      <c r="U130" s="171" t="s">
        <v>264</v>
      </c>
      <c r="V130" s="171" t="s">
        <v>264</v>
      </c>
      <c r="W130" s="191" t="s">
        <v>17</v>
      </c>
      <c r="X130" s="217" t="s">
        <v>172</v>
      </c>
      <c r="Y130" s="171" t="s">
        <v>173</v>
      </c>
      <c r="Z130" s="171" t="s">
        <v>174</v>
      </c>
      <c r="AA130" s="171" t="s">
        <v>175</v>
      </c>
      <c r="AB130" s="222">
        <f t="shared" si="6"/>
        <v>1</v>
      </c>
      <c r="AC130" s="221">
        <v>1</v>
      </c>
      <c r="AD130" s="222">
        <v>1</v>
      </c>
      <c r="AE130" s="222">
        <v>1</v>
      </c>
      <c r="AF130" s="217"/>
      <c r="AG130" s="217"/>
      <c r="AH130" s="222">
        <v>1</v>
      </c>
      <c r="AI130" s="217"/>
      <c r="AJ130" s="222">
        <v>1</v>
      </c>
      <c r="AK130" s="222">
        <v>1</v>
      </c>
      <c r="AL130" s="222"/>
      <c r="AM130" s="222">
        <v>1</v>
      </c>
      <c r="AN130" s="222">
        <v>1</v>
      </c>
      <c r="AO130" s="222">
        <v>1</v>
      </c>
      <c r="AP130" s="222">
        <v>1</v>
      </c>
      <c r="AQ130" s="217"/>
      <c r="AR130" s="4"/>
      <c r="AS130" s="217" t="s">
        <v>213</v>
      </c>
      <c r="AT130" s="217"/>
      <c r="AU130" s="96" t="s">
        <v>1011</v>
      </c>
    </row>
    <row r="131" spans="1:47">
      <c r="A131" s="171" t="s">
        <v>1104</v>
      </c>
      <c r="B131" s="171" t="s">
        <v>160</v>
      </c>
      <c r="C131" s="171" t="s">
        <v>73</v>
      </c>
      <c r="D131" s="171" t="s">
        <v>1105</v>
      </c>
      <c r="E131" s="171" t="s">
        <v>499</v>
      </c>
      <c r="F131" s="171" t="s">
        <v>1106</v>
      </c>
      <c r="G131" s="171" t="s">
        <v>1107</v>
      </c>
      <c r="H131" s="171" t="s">
        <v>165</v>
      </c>
      <c r="I131" s="171">
        <v>202605.5</v>
      </c>
      <c r="J131" s="221">
        <v>5.25</v>
      </c>
      <c r="K131" s="171" t="s">
        <v>73</v>
      </c>
      <c r="L131" s="171" t="s">
        <v>1108</v>
      </c>
      <c r="M131" s="171" t="s">
        <v>1109</v>
      </c>
      <c r="N131" s="171" t="s">
        <v>1110</v>
      </c>
      <c r="O131" s="217"/>
      <c r="P131" s="171" t="s">
        <v>138</v>
      </c>
      <c r="Q131" s="171" t="s">
        <v>100</v>
      </c>
      <c r="R131" s="171" t="s">
        <v>262</v>
      </c>
      <c r="S131" s="171" t="s">
        <v>1095</v>
      </c>
      <c r="T131" s="171" t="s">
        <v>103</v>
      </c>
      <c r="U131" s="171" t="s">
        <v>264</v>
      </c>
      <c r="V131" s="171" t="s">
        <v>264</v>
      </c>
      <c r="W131" s="191" t="s">
        <v>17</v>
      </c>
      <c r="X131" s="217" t="s">
        <v>172</v>
      </c>
      <c r="Y131" s="171" t="s">
        <v>173</v>
      </c>
      <c r="Z131" s="171" t="s">
        <v>174</v>
      </c>
      <c r="AA131" s="171" t="s">
        <v>175</v>
      </c>
      <c r="AB131" s="222">
        <f t="shared" si="6"/>
        <v>1</v>
      </c>
      <c r="AC131" s="221">
        <v>1</v>
      </c>
      <c r="AD131" s="222">
        <v>1</v>
      </c>
      <c r="AE131" s="222">
        <v>1</v>
      </c>
      <c r="AF131" s="217"/>
      <c r="AG131" s="217"/>
      <c r="AH131" s="222">
        <v>1</v>
      </c>
      <c r="AI131" s="217"/>
      <c r="AJ131" s="222">
        <v>1</v>
      </c>
      <c r="AK131" s="222">
        <v>1</v>
      </c>
      <c r="AL131" s="222"/>
      <c r="AM131" s="222">
        <v>1</v>
      </c>
      <c r="AN131" s="222">
        <v>1</v>
      </c>
      <c r="AO131" s="222">
        <v>1</v>
      </c>
      <c r="AP131" s="222">
        <v>1</v>
      </c>
      <c r="AQ131" s="217"/>
      <c r="AR131" s="4"/>
      <c r="AS131" s="217" t="s">
        <v>221</v>
      </c>
      <c r="AT131" s="217"/>
      <c r="AU131" s="96" t="s">
        <v>929</v>
      </c>
    </row>
    <row r="132" spans="1:47">
      <c r="A132" s="171" t="s">
        <v>1111</v>
      </c>
      <c r="B132" s="171" t="s">
        <v>160</v>
      </c>
      <c r="C132" s="171" t="s">
        <v>73</v>
      </c>
      <c r="D132" s="171" t="s">
        <v>1112</v>
      </c>
      <c r="E132" s="171" t="s">
        <v>162</v>
      </c>
      <c r="F132" s="171" t="s">
        <v>1113</v>
      </c>
      <c r="G132" s="171" t="s">
        <v>1114</v>
      </c>
      <c r="H132" s="171" t="s">
        <v>165</v>
      </c>
      <c r="I132" s="171">
        <v>202605.5</v>
      </c>
      <c r="J132" s="221">
        <v>5.25</v>
      </c>
      <c r="K132" s="171" t="s">
        <v>73</v>
      </c>
      <c r="L132" s="171" t="s">
        <v>1115</v>
      </c>
      <c r="M132" s="171" t="s">
        <v>1116</v>
      </c>
      <c r="N132" s="171" t="s">
        <v>1117</v>
      </c>
      <c r="O132" s="217"/>
      <c r="P132" s="171" t="s">
        <v>138</v>
      </c>
      <c r="Q132" s="171" t="s">
        <v>100</v>
      </c>
      <c r="R132" s="171" t="s">
        <v>262</v>
      </c>
      <c r="S132" s="171" t="s">
        <v>1095</v>
      </c>
      <c r="T132" s="171" t="s">
        <v>103</v>
      </c>
      <c r="U132" s="171" t="s">
        <v>264</v>
      </c>
      <c r="V132" s="171" t="s">
        <v>264</v>
      </c>
      <c r="W132" s="191" t="s">
        <v>17</v>
      </c>
      <c r="X132" s="217" t="s">
        <v>172</v>
      </c>
      <c r="Y132" s="171" t="s">
        <v>173</v>
      </c>
      <c r="Z132" s="171" t="s">
        <v>174</v>
      </c>
      <c r="AA132" s="171" t="s">
        <v>175</v>
      </c>
      <c r="AB132" s="222">
        <f t="shared" ref="AB132:AB163" si="7">IF(COUNTIF(AU:AU,"*"&amp;D132&amp;"*")&gt;0,1,0)</f>
        <v>1</v>
      </c>
      <c r="AC132" s="221">
        <v>1</v>
      </c>
      <c r="AD132" s="222">
        <v>1</v>
      </c>
      <c r="AE132" s="222">
        <v>1</v>
      </c>
      <c r="AF132" s="217"/>
      <c r="AG132" s="217"/>
      <c r="AH132" s="222">
        <v>1</v>
      </c>
      <c r="AI132" s="217"/>
      <c r="AJ132" s="222">
        <v>1</v>
      </c>
      <c r="AK132" s="222">
        <v>1</v>
      </c>
      <c r="AL132" s="222"/>
      <c r="AM132" s="222">
        <v>1</v>
      </c>
      <c r="AN132" s="222">
        <v>1</v>
      </c>
      <c r="AO132" s="222">
        <v>1</v>
      </c>
      <c r="AP132" s="222">
        <v>1</v>
      </c>
      <c r="AQ132" s="217"/>
      <c r="AR132" s="133" t="s">
        <v>194</v>
      </c>
      <c r="AS132" s="217" t="s">
        <v>229</v>
      </c>
      <c r="AT132" s="217"/>
      <c r="AU132" s="96" t="s">
        <v>957</v>
      </c>
    </row>
    <row r="133" spans="1:47">
      <c r="A133" s="171" t="s">
        <v>1118</v>
      </c>
      <c r="B133" s="171" t="s">
        <v>160</v>
      </c>
      <c r="C133" s="171" t="s">
        <v>73</v>
      </c>
      <c r="D133" s="171" t="s">
        <v>1119</v>
      </c>
      <c r="E133" s="171" t="s">
        <v>499</v>
      </c>
      <c r="F133" s="171" t="s">
        <v>1120</v>
      </c>
      <c r="G133" s="171" t="s">
        <v>1121</v>
      </c>
      <c r="H133" s="171" t="s">
        <v>165</v>
      </c>
      <c r="I133" s="171">
        <v>202605.5</v>
      </c>
      <c r="J133" s="221">
        <v>5.25</v>
      </c>
      <c r="K133" s="171" t="s">
        <v>73</v>
      </c>
      <c r="L133" s="171" t="s">
        <v>1122</v>
      </c>
      <c r="M133" s="171" t="s">
        <v>1123</v>
      </c>
      <c r="N133" s="171" t="s">
        <v>1124</v>
      </c>
      <c r="O133" s="217"/>
      <c r="P133" s="171" t="s">
        <v>138</v>
      </c>
      <c r="Q133" s="171" t="s">
        <v>100</v>
      </c>
      <c r="R133" s="171" t="s">
        <v>262</v>
      </c>
      <c r="S133" s="171" t="s">
        <v>1095</v>
      </c>
      <c r="T133" s="171" t="s">
        <v>103</v>
      </c>
      <c r="U133" s="171" t="s">
        <v>264</v>
      </c>
      <c r="V133" s="171" t="s">
        <v>264</v>
      </c>
      <c r="W133" s="191" t="s">
        <v>17</v>
      </c>
      <c r="X133" s="217" t="s">
        <v>172</v>
      </c>
      <c r="Y133" s="171" t="s">
        <v>173</v>
      </c>
      <c r="Z133" s="171" t="s">
        <v>174</v>
      </c>
      <c r="AA133" s="171" t="s">
        <v>175</v>
      </c>
      <c r="AB133" s="222">
        <f t="shared" si="7"/>
        <v>1</v>
      </c>
      <c r="AC133" s="221">
        <v>1</v>
      </c>
      <c r="AD133" s="222">
        <v>1</v>
      </c>
      <c r="AE133" s="222">
        <v>1</v>
      </c>
      <c r="AF133" s="217"/>
      <c r="AG133" s="217"/>
      <c r="AH133" s="222">
        <v>1</v>
      </c>
      <c r="AI133" s="217"/>
      <c r="AJ133" s="222">
        <v>1</v>
      </c>
      <c r="AK133" s="222">
        <v>1</v>
      </c>
      <c r="AL133" s="222"/>
      <c r="AM133" s="222">
        <v>1</v>
      </c>
      <c r="AN133" s="222">
        <v>1</v>
      </c>
      <c r="AO133" s="222">
        <v>1</v>
      </c>
      <c r="AP133" s="222">
        <v>1</v>
      </c>
      <c r="AQ133" s="217"/>
      <c r="AR133" s="4"/>
      <c r="AS133" s="217" t="s">
        <v>237</v>
      </c>
      <c r="AT133" s="217"/>
      <c r="AU133" s="96" t="s">
        <v>1042</v>
      </c>
    </row>
    <row r="134" spans="1:47">
      <c r="A134" s="171" t="s">
        <v>1125</v>
      </c>
      <c r="B134" s="171" t="s">
        <v>160</v>
      </c>
      <c r="C134" s="171" t="s">
        <v>73</v>
      </c>
      <c r="D134" s="171" t="s">
        <v>1126</v>
      </c>
      <c r="E134" s="171" t="s">
        <v>162</v>
      </c>
      <c r="F134" s="171" t="s">
        <v>1127</v>
      </c>
      <c r="G134" s="171" t="s">
        <v>1128</v>
      </c>
      <c r="H134" s="171" t="s">
        <v>165</v>
      </c>
      <c r="I134" s="171">
        <v>202605.5</v>
      </c>
      <c r="J134" s="221">
        <v>5.25</v>
      </c>
      <c r="K134" s="171" t="s">
        <v>73</v>
      </c>
      <c r="L134" s="171" t="s">
        <v>1129</v>
      </c>
      <c r="M134" s="171" t="s">
        <v>1130</v>
      </c>
      <c r="N134" s="171" t="s">
        <v>1131</v>
      </c>
      <c r="O134" s="217"/>
      <c r="P134" s="171" t="s">
        <v>138</v>
      </c>
      <c r="Q134" s="171" t="s">
        <v>100</v>
      </c>
      <c r="R134" s="171" t="s">
        <v>262</v>
      </c>
      <c r="S134" s="171" t="s">
        <v>1095</v>
      </c>
      <c r="T134" s="171" t="s">
        <v>103</v>
      </c>
      <c r="U134" s="171" t="s">
        <v>264</v>
      </c>
      <c r="V134" s="171" t="s">
        <v>264</v>
      </c>
      <c r="W134" s="191" t="s">
        <v>17</v>
      </c>
      <c r="X134" s="217" t="s">
        <v>172</v>
      </c>
      <c r="Y134" s="171" t="s">
        <v>173</v>
      </c>
      <c r="Z134" s="171" t="s">
        <v>174</v>
      </c>
      <c r="AA134" s="171" t="s">
        <v>175</v>
      </c>
      <c r="AB134" s="222">
        <f t="shared" si="7"/>
        <v>1</v>
      </c>
      <c r="AC134" s="221">
        <v>1</v>
      </c>
      <c r="AD134" s="222">
        <v>1</v>
      </c>
      <c r="AE134" s="222">
        <v>1</v>
      </c>
      <c r="AF134" s="217"/>
      <c r="AG134" s="217"/>
      <c r="AH134" s="222">
        <v>1</v>
      </c>
      <c r="AI134" s="217"/>
      <c r="AJ134" s="222">
        <v>1</v>
      </c>
      <c r="AK134" s="222">
        <v>1</v>
      </c>
      <c r="AL134" s="222"/>
      <c r="AM134" s="222">
        <v>1</v>
      </c>
      <c r="AN134" s="222">
        <v>1</v>
      </c>
      <c r="AO134" s="222">
        <v>1</v>
      </c>
      <c r="AP134" s="222">
        <v>1</v>
      </c>
      <c r="AQ134" s="217"/>
      <c r="AR134" s="4"/>
      <c r="AS134" s="217" t="s">
        <v>245</v>
      </c>
      <c r="AT134" s="217"/>
      <c r="AU134" s="96" t="s">
        <v>1034</v>
      </c>
    </row>
    <row r="135" spans="1:47" s="199" customFormat="1" hidden="1">
      <c r="A135" s="213" t="s">
        <v>1132</v>
      </c>
      <c r="B135" s="213" t="s">
        <v>160</v>
      </c>
      <c r="C135" s="213" t="s">
        <v>73</v>
      </c>
      <c r="D135" s="213" t="s">
        <v>1133</v>
      </c>
      <c r="E135" s="213" t="s">
        <v>162</v>
      </c>
      <c r="F135" s="213" t="s">
        <v>1134</v>
      </c>
      <c r="G135" s="213" t="s">
        <v>1135</v>
      </c>
      <c r="H135" s="213" t="s">
        <v>165</v>
      </c>
      <c r="I135" s="213">
        <v>202605.5</v>
      </c>
      <c r="J135" s="214" t="s">
        <v>166</v>
      </c>
      <c r="K135" s="213" t="s">
        <v>73</v>
      </c>
      <c r="L135" s="213" t="s">
        <v>1136</v>
      </c>
      <c r="M135" s="213" t="s">
        <v>1137</v>
      </c>
      <c r="N135" s="213" t="s">
        <v>1138</v>
      </c>
      <c r="O135" s="215"/>
      <c r="P135" s="213" t="s">
        <v>138</v>
      </c>
      <c r="Q135" s="213" t="s">
        <v>100</v>
      </c>
      <c r="R135" s="213" t="s">
        <v>262</v>
      </c>
      <c r="S135" s="213" t="s">
        <v>1095</v>
      </c>
      <c r="T135" s="213" t="s">
        <v>103</v>
      </c>
      <c r="U135" s="213" t="s">
        <v>264</v>
      </c>
      <c r="V135" s="213" t="s">
        <v>264</v>
      </c>
      <c r="W135" s="215"/>
      <c r="X135" s="215" t="s">
        <v>172</v>
      </c>
      <c r="Y135" s="213" t="s">
        <v>173</v>
      </c>
      <c r="Z135" s="213" t="s">
        <v>174</v>
      </c>
      <c r="AA135" s="213" t="s">
        <v>175</v>
      </c>
      <c r="AB135" s="222">
        <f t="shared" si="7"/>
        <v>1</v>
      </c>
      <c r="AC135" s="213" t="s">
        <v>668</v>
      </c>
      <c r="AD135" s="215"/>
      <c r="AE135" s="215"/>
      <c r="AF135" s="215"/>
      <c r="AG135" s="215"/>
      <c r="AH135" s="215"/>
      <c r="AI135" s="215"/>
      <c r="AJ135" s="215"/>
      <c r="AK135" s="215"/>
      <c r="AL135" s="215"/>
      <c r="AM135" s="222"/>
      <c r="AN135" s="222"/>
      <c r="AO135" s="222"/>
      <c r="AP135" s="218"/>
      <c r="AQ135" s="215"/>
      <c r="AS135" s="215"/>
      <c r="AT135" s="215"/>
      <c r="AU135" s="96"/>
    </row>
    <row r="136" spans="1:47">
      <c r="A136" s="171" t="s">
        <v>1139</v>
      </c>
      <c r="B136" s="171" t="s">
        <v>160</v>
      </c>
      <c r="C136" s="171" t="s">
        <v>73</v>
      </c>
      <c r="D136" s="171" t="s">
        <v>1140</v>
      </c>
      <c r="E136" s="171" t="s">
        <v>162</v>
      </c>
      <c r="F136" s="171" t="s">
        <v>1141</v>
      </c>
      <c r="G136" s="171" t="s">
        <v>1142</v>
      </c>
      <c r="H136" s="171" t="s">
        <v>165</v>
      </c>
      <c r="I136" s="171">
        <v>202605.5</v>
      </c>
      <c r="J136" s="221">
        <v>5.25</v>
      </c>
      <c r="K136" s="171" t="s">
        <v>73</v>
      </c>
      <c r="L136" s="171" t="s">
        <v>1143</v>
      </c>
      <c r="M136" s="171" t="s">
        <v>1144</v>
      </c>
      <c r="N136" s="171" t="s">
        <v>1145</v>
      </c>
      <c r="O136" s="217"/>
      <c r="P136" s="171" t="s">
        <v>138</v>
      </c>
      <c r="Q136" s="171" t="s">
        <v>100</v>
      </c>
      <c r="R136" s="171" t="s">
        <v>262</v>
      </c>
      <c r="S136" s="171" t="s">
        <v>1095</v>
      </c>
      <c r="T136" s="171" t="s">
        <v>103</v>
      </c>
      <c r="U136" s="171" t="s">
        <v>264</v>
      </c>
      <c r="V136" s="171" t="s">
        <v>264</v>
      </c>
      <c r="W136" s="191" t="s">
        <v>17</v>
      </c>
      <c r="X136" s="217" t="s">
        <v>172</v>
      </c>
      <c r="Y136" s="171" t="s">
        <v>173</v>
      </c>
      <c r="Z136" s="171" t="s">
        <v>174</v>
      </c>
      <c r="AA136" s="171" t="s">
        <v>175</v>
      </c>
      <c r="AB136" s="222">
        <f t="shared" si="7"/>
        <v>1</v>
      </c>
      <c r="AC136" s="221">
        <v>1</v>
      </c>
      <c r="AD136" s="222">
        <v>1</v>
      </c>
      <c r="AE136" s="222">
        <v>1</v>
      </c>
      <c r="AF136" s="217"/>
      <c r="AG136" s="217"/>
      <c r="AH136" s="222">
        <v>1</v>
      </c>
      <c r="AI136" s="217"/>
      <c r="AJ136" s="222">
        <v>1</v>
      </c>
      <c r="AK136" s="222">
        <v>1</v>
      </c>
      <c r="AL136" s="222"/>
      <c r="AM136" s="222">
        <v>1</v>
      </c>
      <c r="AN136" s="222">
        <v>1</v>
      </c>
      <c r="AO136" s="222">
        <v>1</v>
      </c>
      <c r="AP136" s="222">
        <v>1</v>
      </c>
      <c r="AQ136" s="217"/>
      <c r="AR136" s="4"/>
      <c r="AS136" s="217" t="s">
        <v>254</v>
      </c>
      <c r="AT136" s="217"/>
      <c r="AU136" s="96" t="s">
        <v>950</v>
      </c>
    </row>
    <row r="137" spans="1:47">
      <c r="A137" s="171" t="s">
        <v>1146</v>
      </c>
      <c r="B137" s="171" t="s">
        <v>160</v>
      </c>
      <c r="C137" s="171" t="s">
        <v>73</v>
      </c>
      <c r="D137" s="171" t="s">
        <v>1147</v>
      </c>
      <c r="E137" s="171" t="s">
        <v>162</v>
      </c>
      <c r="F137" s="171" t="s">
        <v>1148</v>
      </c>
      <c r="G137" s="171" t="s">
        <v>1149</v>
      </c>
      <c r="H137" s="171" t="s">
        <v>165</v>
      </c>
      <c r="I137" s="171">
        <v>202605.5</v>
      </c>
      <c r="J137" s="221">
        <v>5.25</v>
      </c>
      <c r="K137" s="171" t="s">
        <v>73</v>
      </c>
      <c r="L137" s="171" t="s">
        <v>1150</v>
      </c>
      <c r="M137" s="171" t="s">
        <v>1151</v>
      </c>
      <c r="N137" s="171" t="s">
        <v>1152</v>
      </c>
      <c r="O137" s="217"/>
      <c r="P137" s="171" t="s">
        <v>138</v>
      </c>
      <c r="Q137" s="171" t="s">
        <v>100</v>
      </c>
      <c r="R137" s="171" t="s">
        <v>262</v>
      </c>
      <c r="S137" s="171" t="s">
        <v>1095</v>
      </c>
      <c r="T137" s="171" t="s">
        <v>103</v>
      </c>
      <c r="U137" s="171" t="s">
        <v>264</v>
      </c>
      <c r="V137" s="171" t="s">
        <v>264</v>
      </c>
      <c r="W137" s="191" t="s">
        <v>17</v>
      </c>
      <c r="X137" s="217" t="s">
        <v>172</v>
      </c>
      <c r="Y137" s="171" t="s">
        <v>173</v>
      </c>
      <c r="Z137" s="171" t="s">
        <v>174</v>
      </c>
      <c r="AA137" s="171" t="s">
        <v>175</v>
      </c>
      <c r="AB137" s="222">
        <f t="shared" si="7"/>
        <v>1</v>
      </c>
      <c r="AC137" s="221">
        <v>1</v>
      </c>
      <c r="AD137" s="222">
        <v>1</v>
      </c>
      <c r="AE137" s="222">
        <v>1</v>
      </c>
      <c r="AF137" s="217"/>
      <c r="AG137" s="217"/>
      <c r="AH137" s="222">
        <v>1</v>
      </c>
      <c r="AI137" s="217"/>
      <c r="AJ137" s="222">
        <v>1</v>
      </c>
      <c r="AK137" s="222">
        <v>1</v>
      </c>
      <c r="AL137" s="222"/>
      <c r="AM137" s="222">
        <v>1</v>
      </c>
      <c r="AN137" s="222">
        <v>1</v>
      </c>
      <c r="AO137" s="222">
        <v>1</v>
      </c>
      <c r="AP137" s="222">
        <v>1</v>
      </c>
      <c r="AQ137" s="217"/>
      <c r="AR137" s="4"/>
      <c r="AS137" s="217" t="s">
        <v>265</v>
      </c>
      <c r="AT137" s="217"/>
      <c r="AU137" s="96" t="s">
        <v>936</v>
      </c>
    </row>
    <row r="138" spans="1:47">
      <c r="A138" s="171" t="s">
        <v>1153</v>
      </c>
      <c r="B138" s="171" t="s">
        <v>160</v>
      </c>
      <c r="C138" s="171" t="s">
        <v>73</v>
      </c>
      <c r="D138" s="171" t="s">
        <v>1154</v>
      </c>
      <c r="E138" s="171" t="s">
        <v>162</v>
      </c>
      <c r="F138" s="171" t="s">
        <v>1155</v>
      </c>
      <c r="G138" s="171" t="s">
        <v>1156</v>
      </c>
      <c r="H138" s="171" t="s">
        <v>165</v>
      </c>
      <c r="I138" s="171">
        <v>202605.5</v>
      </c>
      <c r="J138" s="221">
        <v>5.25</v>
      </c>
      <c r="K138" s="171" t="s">
        <v>73</v>
      </c>
      <c r="L138" s="171" t="s">
        <v>1157</v>
      </c>
      <c r="M138" s="171" t="s">
        <v>1158</v>
      </c>
      <c r="N138" s="171" t="s">
        <v>1159</v>
      </c>
      <c r="O138" s="217"/>
      <c r="P138" s="171" t="s">
        <v>138</v>
      </c>
      <c r="Q138" s="171" t="s">
        <v>100</v>
      </c>
      <c r="R138" s="171" t="s">
        <v>262</v>
      </c>
      <c r="S138" s="171" t="s">
        <v>1095</v>
      </c>
      <c r="T138" s="171" t="s">
        <v>103</v>
      </c>
      <c r="U138" s="171" t="s">
        <v>264</v>
      </c>
      <c r="V138" s="171" t="s">
        <v>264</v>
      </c>
      <c r="W138" s="191" t="s">
        <v>17</v>
      </c>
      <c r="X138" s="217" t="s">
        <v>172</v>
      </c>
      <c r="Y138" s="171" t="s">
        <v>173</v>
      </c>
      <c r="Z138" s="171" t="s">
        <v>174</v>
      </c>
      <c r="AA138" s="171" t="s">
        <v>175</v>
      </c>
      <c r="AB138" s="222">
        <f t="shared" si="7"/>
        <v>1</v>
      </c>
      <c r="AC138" s="221">
        <v>1</v>
      </c>
      <c r="AD138" s="222">
        <v>1</v>
      </c>
      <c r="AE138" s="222">
        <v>1</v>
      </c>
      <c r="AF138" s="217"/>
      <c r="AG138" s="217"/>
      <c r="AH138" s="222">
        <v>1</v>
      </c>
      <c r="AI138" s="217"/>
      <c r="AJ138" s="222">
        <v>1</v>
      </c>
      <c r="AK138" s="222">
        <v>1</v>
      </c>
      <c r="AL138" s="222"/>
      <c r="AM138" s="222">
        <v>1</v>
      </c>
      <c r="AN138" s="222">
        <v>1</v>
      </c>
      <c r="AO138" s="222">
        <v>1</v>
      </c>
      <c r="AP138" s="222">
        <v>1</v>
      </c>
      <c r="AQ138" s="217"/>
      <c r="AR138" s="4"/>
      <c r="AS138" s="217" t="s">
        <v>272</v>
      </c>
      <c r="AT138" s="217"/>
      <c r="AU138" s="96" t="s">
        <v>922</v>
      </c>
    </row>
    <row r="139" spans="1:47">
      <c r="A139" s="171" t="s">
        <v>1160</v>
      </c>
      <c r="B139" s="171" t="s">
        <v>160</v>
      </c>
      <c r="C139" s="171" t="s">
        <v>73</v>
      </c>
      <c r="D139" s="171" t="s">
        <v>1161</v>
      </c>
      <c r="E139" s="171" t="s">
        <v>162</v>
      </c>
      <c r="F139" s="171" t="s">
        <v>1162</v>
      </c>
      <c r="G139" s="171" t="s">
        <v>1163</v>
      </c>
      <c r="H139" s="171" t="s">
        <v>165</v>
      </c>
      <c r="I139" s="171">
        <v>202605.5</v>
      </c>
      <c r="J139" s="221">
        <v>5.25</v>
      </c>
      <c r="K139" s="171" t="s">
        <v>73</v>
      </c>
      <c r="L139" s="171" t="s">
        <v>1164</v>
      </c>
      <c r="M139" s="171" t="s">
        <v>1165</v>
      </c>
      <c r="N139" s="171" t="s">
        <v>1166</v>
      </c>
      <c r="O139" s="217"/>
      <c r="P139" s="171" t="s">
        <v>138</v>
      </c>
      <c r="Q139" s="171" t="s">
        <v>100</v>
      </c>
      <c r="R139" s="171" t="s">
        <v>262</v>
      </c>
      <c r="S139" s="171" t="s">
        <v>1095</v>
      </c>
      <c r="T139" s="171" t="s">
        <v>103</v>
      </c>
      <c r="U139" s="171" t="s">
        <v>264</v>
      </c>
      <c r="V139" s="171" t="s">
        <v>264</v>
      </c>
      <c r="W139" s="191" t="s">
        <v>17</v>
      </c>
      <c r="X139" s="217" t="s">
        <v>172</v>
      </c>
      <c r="Y139" s="171" t="s">
        <v>173</v>
      </c>
      <c r="Z139" s="171" t="s">
        <v>174</v>
      </c>
      <c r="AA139" s="171" t="s">
        <v>175</v>
      </c>
      <c r="AB139" s="222">
        <f t="shared" si="7"/>
        <v>1</v>
      </c>
      <c r="AC139" s="221">
        <v>1</v>
      </c>
      <c r="AD139" s="222">
        <v>1</v>
      </c>
      <c r="AE139" s="222">
        <v>1</v>
      </c>
      <c r="AF139" s="217"/>
      <c r="AG139" s="217"/>
      <c r="AH139" s="222">
        <v>1</v>
      </c>
      <c r="AI139" s="217"/>
      <c r="AJ139" s="222">
        <v>1</v>
      </c>
      <c r="AK139" s="222">
        <v>1</v>
      </c>
      <c r="AL139" s="222"/>
      <c r="AM139" s="222">
        <v>1</v>
      </c>
      <c r="AN139" s="222">
        <v>1</v>
      </c>
      <c r="AO139" s="222">
        <v>1</v>
      </c>
      <c r="AP139" s="222">
        <v>1</v>
      </c>
      <c r="AQ139" s="217"/>
      <c r="AR139" s="4"/>
      <c r="AS139" s="217" t="s">
        <v>279</v>
      </c>
      <c r="AT139" s="217"/>
      <c r="AU139" s="96" t="s">
        <v>1062</v>
      </c>
    </row>
    <row r="140" spans="1:47">
      <c r="A140" s="171" t="s">
        <v>1167</v>
      </c>
      <c r="B140" s="171" t="s">
        <v>160</v>
      </c>
      <c r="C140" s="171" t="s">
        <v>73</v>
      </c>
      <c r="D140" s="171" t="s">
        <v>1168</v>
      </c>
      <c r="E140" s="171" t="s">
        <v>162</v>
      </c>
      <c r="F140" s="171" t="s">
        <v>1169</v>
      </c>
      <c r="G140" s="171" t="s">
        <v>1170</v>
      </c>
      <c r="H140" s="171" t="s">
        <v>165</v>
      </c>
      <c r="I140" s="171">
        <v>202605.5</v>
      </c>
      <c r="J140" s="221">
        <v>5.25</v>
      </c>
      <c r="K140" s="171" t="s">
        <v>73</v>
      </c>
      <c r="L140" s="171" t="s">
        <v>1171</v>
      </c>
      <c r="M140" s="171" t="s">
        <v>1172</v>
      </c>
      <c r="N140" s="171" t="s">
        <v>1173</v>
      </c>
      <c r="O140" s="217"/>
      <c r="P140" s="171" t="s">
        <v>138</v>
      </c>
      <c r="Q140" s="171" t="s">
        <v>100</v>
      </c>
      <c r="R140" s="171" t="s">
        <v>262</v>
      </c>
      <c r="S140" s="171" t="s">
        <v>1095</v>
      </c>
      <c r="T140" s="171" t="s">
        <v>103</v>
      </c>
      <c r="U140" s="171" t="s">
        <v>264</v>
      </c>
      <c r="V140" s="171" t="s">
        <v>264</v>
      </c>
      <c r="W140" s="191" t="s">
        <v>17</v>
      </c>
      <c r="X140" s="217" t="s">
        <v>172</v>
      </c>
      <c r="Y140" s="171" t="s">
        <v>173</v>
      </c>
      <c r="Z140" s="171" t="s">
        <v>174</v>
      </c>
      <c r="AA140" s="171" t="s">
        <v>175</v>
      </c>
      <c r="AB140" s="222">
        <f t="shared" si="7"/>
        <v>1</v>
      </c>
      <c r="AC140" s="221">
        <v>1</v>
      </c>
      <c r="AD140" s="222">
        <v>1</v>
      </c>
      <c r="AE140" s="222">
        <v>1</v>
      </c>
      <c r="AF140" s="217"/>
      <c r="AG140" s="217"/>
      <c r="AH140" s="222">
        <v>1</v>
      </c>
      <c r="AI140" s="217"/>
      <c r="AJ140" s="222">
        <v>1</v>
      </c>
      <c r="AK140" s="222">
        <v>1</v>
      </c>
      <c r="AL140" s="222"/>
      <c r="AM140" s="222">
        <v>1</v>
      </c>
      <c r="AN140" s="222">
        <v>1</v>
      </c>
      <c r="AO140" s="222">
        <v>1</v>
      </c>
      <c r="AP140" s="222">
        <v>1</v>
      </c>
      <c r="AQ140" s="217"/>
      <c r="AR140" s="4"/>
      <c r="AS140" s="217" t="s">
        <v>288</v>
      </c>
      <c r="AT140" s="217"/>
      <c r="AU140" s="96" t="s">
        <v>979</v>
      </c>
    </row>
    <row r="141" spans="1:47">
      <c r="A141" s="171" t="s">
        <v>1174</v>
      </c>
      <c r="B141" s="171" t="s">
        <v>160</v>
      </c>
      <c r="C141" s="171" t="s">
        <v>73</v>
      </c>
      <c r="D141" s="171" t="s">
        <v>1175</v>
      </c>
      <c r="E141" s="171" t="s">
        <v>162</v>
      </c>
      <c r="F141" s="171" t="s">
        <v>1176</v>
      </c>
      <c r="G141" s="171" t="s">
        <v>1177</v>
      </c>
      <c r="H141" s="171" t="s">
        <v>165</v>
      </c>
      <c r="I141" s="171">
        <v>202605.5</v>
      </c>
      <c r="J141" s="221">
        <v>5.25</v>
      </c>
      <c r="K141" s="171" t="s">
        <v>73</v>
      </c>
      <c r="L141" s="171" t="s">
        <v>1178</v>
      </c>
      <c r="M141" s="171" t="s">
        <v>1179</v>
      </c>
      <c r="N141" s="171" t="s">
        <v>1180</v>
      </c>
      <c r="O141" s="217"/>
      <c r="P141" s="171" t="s">
        <v>138</v>
      </c>
      <c r="Q141" s="171" t="s">
        <v>100</v>
      </c>
      <c r="R141" s="171" t="s">
        <v>262</v>
      </c>
      <c r="S141" s="171" t="s">
        <v>1095</v>
      </c>
      <c r="T141" s="171" t="s">
        <v>103</v>
      </c>
      <c r="U141" s="171" t="s">
        <v>264</v>
      </c>
      <c r="V141" s="171" t="s">
        <v>264</v>
      </c>
      <c r="W141" s="191" t="s">
        <v>17</v>
      </c>
      <c r="X141" s="217" t="s">
        <v>172</v>
      </c>
      <c r="Y141" s="171" t="s">
        <v>173</v>
      </c>
      <c r="Z141" s="171" t="s">
        <v>174</v>
      </c>
      <c r="AA141" s="171" t="s">
        <v>175</v>
      </c>
      <c r="AB141" s="222">
        <f t="shared" si="7"/>
        <v>1</v>
      </c>
      <c r="AC141" s="221">
        <v>1</v>
      </c>
      <c r="AD141" s="222">
        <v>1</v>
      </c>
      <c r="AE141" s="222">
        <v>1</v>
      </c>
      <c r="AF141" s="217"/>
      <c r="AG141" s="217"/>
      <c r="AH141" s="222">
        <v>1</v>
      </c>
      <c r="AI141" s="217"/>
      <c r="AJ141" s="222">
        <v>1</v>
      </c>
      <c r="AK141" s="222">
        <v>1</v>
      </c>
      <c r="AL141" s="222"/>
      <c r="AM141" s="222">
        <v>1</v>
      </c>
      <c r="AN141" s="222">
        <v>1</v>
      </c>
      <c r="AO141" s="222">
        <v>1</v>
      </c>
      <c r="AP141" s="222">
        <v>1</v>
      </c>
      <c r="AQ141" s="217"/>
      <c r="AR141" s="4"/>
      <c r="AS141" s="217" t="s">
        <v>297</v>
      </c>
      <c r="AT141" s="217"/>
      <c r="AU141" s="96" t="s">
        <v>1026</v>
      </c>
    </row>
    <row r="142" spans="1:47">
      <c r="A142" s="171" t="s">
        <v>1181</v>
      </c>
      <c r="B142" s="171" t="s">
        <v>160</v>
      </c>
      <c r="C142" s="171" t="s">
        <v>73</v>
      </c>
      <c r="D142" s="171" t="s">
        <v>1182</v>
      </c>
      <c r="E142" s="171" t="s">
        <v>162</v>
      </c>
      <c r="F142" s="171" t="s">
        <v>1183</v>
      </c>
      <c r="G142" s="171" t="s">
        <v>1184</v>
      </c>
      <c r="H142" s="171" t="s">
        <v>165</v>
      </c>
      <c r="I142" s="171">
        <v>202605.5</v>
      </c>
      <c r="J142" s="221">
        <v>5.25</v>
      </c>
      <c r="K142" s="171" t="s">
        <v>73</v>
      </c>
      <c r="L142" s="171" t="s">
        <v>1185</v>
      </c>
      <c r="M142" s="171" t="s">
        <v>1186</v>
      </c>
      <c r="N142" s="171" t="s">
        <v>1187</v>
      </c>
      <c r="O142" s="217"/>
      <c r="P142" s="171" t="s">
        <v>138</v>
      </c>
      <c r="Q142" s="171" t="s">
        <v>100</v>
      </c>
      <c r="R142" s="171" t="s">
        <v>262</v>
      </c>
      <c r="S142" s="171" t="s">
        <v>1095</v>
      </c>
      <c r="T142" s="171" t="s">
        <v>103</v>
      </c>
      <c r="U142" s="171" t="s">
        <v>264</v>
      </c>
      <c r="V142" s="171" t="s">
        <v>264</v>
      </c>
      <c r="W142" s="191" t="s">
        <v>17</v>
      </c>
      <c r="X142" s="217" t="s">
        <v>172</v>
      </c>
      <c r="Y142" s="171" t="s">
        <v>173</v>
      </c>
      <c r="Z142" s="171" t="s">
        <v>174</v>
      </c>
      <c r="AA142" s="171" t="s">
        <v>175</v>
      </c>
      <c r="AB142" s="222">
        <f t="shared" si="7"/>
        <v>1</v>
      </c>
      <c r="AC142" s="221">
        <v>1</v>
      </c>
      <c r="AD142" s="222">
        <v>1</v>
      </c>
      <c r="AE142" s="222">
        <v>1</v>
      </c>
      <c r="AF142" s="217"/>
      <c r="AG142" s="217"/>
      <c r="AH142" s="222">
        <v>1</v>
      </c>
      <c r="AI142" s="217"/>
      <c r="AJ142" s="222">
        <v>1</v>
      </c>
      <c r="AK142" s="222">
        <v>1</v>
      </c>
      <c r="AL142" s="222"/>
      <c r="AM142" s="222">
        <v>1</v>
      </c>
      <c r="AN142" s="222">
        <v>1</v>
      </c>
      <c r="AO142" s="222">
        <v>1</v>
      </c>
      <c r="AP142" s="222">
        <v>1</v>
      </c>
      <c r="AQ142" s="217"/>
      <c r="AR142" s="4"/>
      <c r="AS142" s="217" t="s">
        <v>306</v>
      </c>
      <c r="AT142" s="217"/>
      <c r="AU142" s="96" t="s">
        <v>1003</v>
      </c>
    </row>
    <row r="143" spans="1:47">
      <c r="A143" s="171" t="s">
        <v>1188</v>
      </c>
      <c r="B143" s="171" t="s">
        <v>160</v>
      </c>
      <c r="C143" s="171" t="s">
        <v>73</v>
      </c>
      <c r="D143" s="171" t="s">
        <v>1189</v>
      </c>
      <c r="E143" s="171" t="s">
        <v>162</v>
      </c>
      <c r="F143" s="171" t="s">
        <v>1190</v>
      </c>
      <c r="G143" s="171" t="s">
        <v>1191</v>
      </c>
      <c r="H143" s="171" t="s">
        <v>165</v>
      </c>
      <c r="I143" s="171">
        <v>202605.5</v>
      </c>
      <c r="J143" s="221">
        <v>5.25</v>
      </c>
      <c r="K143" s="171" t="s">
        <v>73</v>
      </c>
      <c r="L143" s="171" t="s">
        <v>1192</v>
      </c>
      <c r="M143" s="171" t="s">
        <v>1193</v>
      </c>
      <c r="N143" s="171" t="s">
        <v>1194</v>
      </c>
      <c r="O143" s="217"/>
      <c r="P143" s="171" t="s">
        <v>138</v>
      </c>
      <c r="Q143" s="171" t="s">
        <v>100</v>
      </c>
      <c r="R143" s="171" t="s">
        <v>262</v>
      </c>
      <c r="S143" s="171" t="s">
        <v>1095</v>
      </c>
      <c r="T143" s="171" t="s">
        <v>103</v>
      </c>
      <c r="U143" s="171" t="s">
        <v>264</v>
      </c>
      <c r="V143" s="171" t="s">
        <v>264</v>
      </c>
      <c r="W143" s="191" t="s">
        <v>17</v>
      </c>
      <c r="X143" s="217" t="s">
        <v>172</v>
      </c>
      <c r="Y143" s="171" t="s">
        <v>173</v>
      </c>
      <c r="Z143" s="171" t="s">
        <v>174</v>
      </c>
      <c r="AA143" s="171" t="s">
        <v>175</v>
      </c>
      <c r="AB143" s="222">
        <f t="shared" si="7"/>
        <v>1</v>
      </c>
      <c r="AC143" s="221">
        <v>1</v>
      </c>
      <c r="AD143" s="222">
        <v>1</v>
      </c>
      <c r="AE143" s="222">
        <v>1</v>
      </c>
      <c r="AF143" s="217"/>
      <c r="AG143" s="217"/>
      <c r="AH143" s="222">
        <v>1</v>
      </c>
      <c r="AI143" s="217"/>
      <c r="AJ143" s="222">
        <v>1</v>
      </c>
      <c r="AK143" s="222">
        <v>1</v>
      </c>
      <c r="AL143" s="222"/>
      <c r="AM143" s="222">
        <v>1</v>
      </c>
      <c r="AN143" s="222">
        <v>1</v>
      </c>
      <c r="AO143" s="222">
        <v>1</v>
      </c>
      <c r="AP143" s="222">
        <v>1</v>
      </c>
      <c r="AQ143" s="217"/>
      <c r="AR143" s="4"/>
      <c r="AS143" s="217" t="s">
        <v>314</v>
      </c>
      <c r="AT143" s="217"/>
      <c r="AU143" s="96" t="s">
        <v>106</v>
      </c>
    </row>
    <row r="144" spans="1:47" ht="28">
      <c r="A144" s="171" t="s">
        <v>1195</v>
      </c>
      <c r="B144" s="171" t="s">
        <v>160</v>
      </c>
      <c r="C144" s="171" t="s">
        <v>73</v>
      </c>
      <c r="D144" s="171" t="s">
        <v>1196</v>
      </c>
      <c r="E144" s="171" t="s">
        <v>162</v>
      </c>
      <c r="F144" s="171" t="s">
        <v>1197</v>
      </c>
      <c r="G144" s="171" t="s">
        <v>1198</v>
      </c>
      <c r="H144" s="171" t="s">
        <v>165</v>
      </c>
      <c r="I144" s="171">
        <v>202605.5</v>
      </c>
      <c r="J144" s="221">
        <v>5.25</v>
      </c>
      <c r="K144" s="171" t="s">
        <v>73</v>
      </c>
      <c r="L144" s="171" t="s">
        <v>1199</v>
      </c>
      <c r="M144" s="171" t="s">
        <v>1200</v>
      </c>
      <c r="N144" s="171" t="s">
        <v>1201</v>
      </c>
      <c r="O144" s="217"/>
      <c r="P144" s="171" t="s">
        <v>138</v>
      </c>
      <c r="Q144" s="171" t="s">
        <v>100</v>
      </c>
      <c r="R144" s="171" t="s">
        <v>262</v>
      </c>
      <c r="S144" s="171" t="s">
        <v>1095</v>
      </c>
      <c r="T144" s="171" t="s">
        <v>103</v>
      </c>
      <c r="U144" s="171" t="s">
        <v>264</v>
      </c>
      <c r="V144" s="171" t="s">
        <v>264</v>
      </c>
      <c r="W144" s="191" t="s">
        <v>17</v>
      </c>
      <c r="X144" s="217" t="s">
        <v>172</v>
      </c>
      <c r="Y144" s="171" t="s">
        <v>173</v>
      </c>
      <c r="Z144" s="171" t="s">
        <v>174</v>
      </c>
      <c r="AA144" s="171" t="s">
        <v>175</v>
      </c>
      <c r="AB144" s="222">
        <f t="shared" si="7"/>
        <v>1</v>
      </c>
      <c r="AC144" s="221">
        <v>1</v>
      </c>
      <c r="AD144" s="222">
        <v>1</v>
      </c>
      <c r="AE144" s="222">
        <v>1</v>
      </c>
      <c r="AF144" s="217"/>
      <c r="AG144" s="217"/>
      <c r="AH144" s="222">
        <v>1</v>
      </c>
      <c r="AI144" s="217"/>
      <c r="AJ144" s="222">
        <v>1</v>
      </c>
      <c r="AK144" s="222">
        <v>1</v>
      </c>
      <c r="AL144" s="222"/>
      <c r="AM144" s="222">
        <v>1</v>
      </c>
      <c r="AN144" s="222">
        <v>1</v>
      </c>
      <c r="AO144" s="222">
        <v>1</v>
      </c>
      <c r="AP144" s="222">
        <v>1</v>
      </c>
      <c r="AQ144" s="217"/>
      <c r="AR144" s="133" t="s">
        <v>194</v>
      </c>
      <c r="AS144" s="217" t="s">
        <v>322</v>
      </c>
      <c r="AT144" s="217"/>
      <c r="AU144" s="96" t="s">
        <v>1202</v>
      </c>
    </row>
    <row r="145" spans="1:47">
      <c r="A145" s="171" t="s">
        <v>1203</v>
      </c>
      <c r="B145" s="171" t="s">
        <v>160</v>
      </c>
      <c r="C145" s="171" t="s">
        <v>73</v>
      </c>
      <c r="D145" s="171" t="s">
        <v>1204</v>
      </c>
      <c r="E145" s="171" t="s">
        <v>499</v>
      </c>
      <c r="F145" s="171" t="s">
        <v>1205</v>
      </c>
      <c r="G145" s="171" t="s">
        <v>1206</v>
      </c>
      <c r="H145" s="171" t="s">
        <v>165</v>
      </c>
      <c r="I145" s="171">
        <v>202605.5</v>
      </c>
      <c r="J145" s="221">
        <v>5.25</v>
      </c>
      <c r="K145" s="171" t="s">
        <v>73</v>
      </c>
      <c r="L145" s="171" t="s">
        <v>1207</v>
      </c>
      <c r="M145" s="171" t="s">
        <v>1208</v>
      </c>
      <c r="N145" s="171" t="s">
        <v>1209</v>
      </c>
      <c r="O145" s="217"/>
      <c r="P145" s="171" t="s">
        <v>138</v>
      </c>
      <c r="Q145" s="171" t="s">
        <v>100</v>
      </c>
      <c r="R145" s="171" t="s">
        <v>262</v>
      </c>
      <c r="S145" s="171" t="s">
        <v>1095</v>
      </c>
      <c r="T145" s="171" t="s">
        <v>103</v>
      </c>
      <c r="U145" s="171" t="s">
        <v>264</v>
      </c>
      <c r="V145" s="171" t="s">
        <v>264</v>
      </c>
      <c r="W145" s="191" t="s">
        <v>17</v>
      </c>
      <c r="X145" s="217" t="s">
        <v>172</v>
      </c>
      <c r="Y145" s="171" t="s">
        <v>173</v>
      </c>
      <c r="Z145" s="171" t="s">
        <v>174</v>
      </c>
      <c r="AA145" s="171" t="s">
        <v>175</v>
      </c>
      <c r="AB145" s="222">
        <f t="shared" si="7"/>
        <v>1</v>
      </c>
      <c r="AC145" s="221">
        <v>1</v>
      </c>
      <c r="AD145" s="222">
        <v>1</v>
      </c>
      <c r="AE145" s="222">
        <v>1</v>
      </c>
      <c r="AF145" s="217"/>
      <c r="AG145" s="217"/>
      <c r="AH145" s="222">
        <v>1</v>
      </c>
      <c r="AI145" s="217"/>
      <c r="AJ145" s="222">
        <v>1</v>
      </c>
      <c r="AK145" s="222">
        <v>1</v>
      </c>
      <c r="AL145" s="221"/>
      <c r="AM145" s="226" t="s">
        <v>1210</v>
      </c>
      <c r="AN145" s="226" t="s">
        <v>1211</v>
      </c>
      <c r="AO145" s="226" t="s">
        <v>1211</v>
      </c>
      <c r="AP145" s="226" t="s">
        <v>1211</v>
      </c>
      <c r="AQ145" s="222">
        <v>1</v>
      </c>
      <c r="AR145" s="4"/>
      <c r="AS145" s="217" t="s">
        <v>329</v>
      </c>
      <c r="AT145" s="217"/>
      <c r="AU145" s="96" t="s">
        <v>1212</v>
      </c>
    </row>
    <row r="146" spans="1:47">
      <c r="A146" s="171" t="s">
        <v>1213</v>
      </c>
      <c r="B146" s="171" t="s">
        <v>160</v>
      </c>
      <c r="C146" s="171" t="s">
        <v>73</v>
      </c>
      <c r="D146" s="171" t="s">
        <v>1214</v>
      </c>
      <c r="E146" s="171" t="s">
        <v>162</v>
      </c>
      <c r="F146" s="171" t="s">
        <v>1215</v>
      </c>
      <c r="G146" s="171" t="s">
        <v>1216</v>
      </c>
      <c r="H146" s="171" t="s">
        <v>165</v>
      </c>
      <c r="I146" s="171">
        <v>202605.5</v>
      </c>
      <c r="J146" s="221">
        <v>5.25</v>
      </c>
      <c r="K146" s="171" t="s">
        <v>73</v>
      </c>
      <c r="L146" s="171" t="s">
        <v>1217</v>
      </c>
      <c r="M146" s="171" t="s">
        <v>1218</v>
      </c>
      <c r="N146" s="171" t="s">
        <v>1219</v>
      </c>
      <c r="O146" s="217"/>
      <c r="P146" s="171" t="s">
        <v>138</v>
      </c>
      <c r="Q146" s="171" t="s">
        <v>100</v>
      </c>
      <c r="R146" s="171" t="s">
        <v>262</v>
      </c>
      <c r="S146" s="171" t="s">
        <v>1095</v>
      </c>
      <c r="T146" s="171" t="s">
        <v>103</v>
      </c>
      <c r="U146" s="171" t="s">
        <v>264</v>
      </c>
      <c r="V146" s="171" t="s">
        <v>264</v>
      </c>
      <c r="W146" s="191" t="s">
        <v>17</v>
      </c>
      <c r="X146" s="217" t="s">
        <v>172</v>
      </c>
      <c r="Y146" s="171" t="s">
        <v>173</v>
      </c>
      <c r="Z146" s="171" t="s">
        <v>174</v>
      </c>
      <c r="AA146" s="171" t="s">
        <v>175</v>
      </c>
      <c r="AB146" s="222">
        <f t="shared" si="7"/>
        <v>1</v>
      </c>
      <c r="AC146" s="221">
        <v>1</v>
      </c>
      <c r="AD146" s="222">
        <v>1</v>
      </c>
      <c r="AE146" s="222">
        <v>1</v>
      </c>
      <c r="AF146" s="217"/>
      <c r="AG146" s="217"/>
      <c r="AH146" s="222">
        <v>1</v>
      </c>
      <c r="AI146" s="217"/>
      <c r="AJ146" s="222">
        <v>1</v>
      </c>
      <c r="AK146" s="222">
        <v>1</v>
      </c>
      <c r="AL146" s="222"/>
      <c r="AM146" s="222">
        <v>1</v>
      </c>
      <c r="AN146" s="222">
        <v>1</v>
      </c>
      <c r="AO146" s="222">
        <v>1</v>
      </c>
      <c r="AP146" s="222">
        <v>1</v>
      </c>
      <c r="AQ146" s="217"/>
      <c r="AR146" s="4"/>
      <c r="AS146" s="217" t="s">
        <v>337</v>
      </c>
      <c r="AT146" s="217"/>
      <c r="AU146" s="96" t="s">
        <v>1220</v>
      </c>
    </row>
    <row r="147" spans="1:47">
      <c r="A147" s="171" t="s">
        <v>1221</v>
      </c>
      <c r="B147" s="171" t="s">
        <v>160</v>
      </c>
      <c r="C147" s="171" t="s">
        <v>73</v>
      </c>
      <c r="D147" s="171" t="s">
        <v>1222</v>
      </c>
      <c r="E147" s="171" t="s">
        <v>499</v>
      </c>
      <c r="F147" s="171" t="s">
        <v>1223</v>
      </c>
      <c r="G147" s="171" t="s">
        <v>1224</v>
      </c>
      <c r="H147" s="171" t="s">
        <v>165</v>
      </c>
      <c r="I147" s="171">
        <v>202605.5</v>
      </c>
      <c r="J147" s="221">
        <v>5.25</v>
      </c>
      <c r="K147" s="171" t="s">
        <v>73</v>
      </c>
      <c r="L147" s="171" t="s">
        <v>1225</v>
      </c>
      <c r="M147" s="171" t="s">
        <v>1226</v>
      </c>
      <c r="N147" s="171" t="s">
        <v>1227</v>
      </c>
      <c r="O147" s="217"/>
      <c r="P147" s="171" t="s">
        <v>138</v>
      </c>
      <c r="Q147" s="171" t="s">
        <v>100</v>
      </c>
      <c r="R147" s="171" t="s">
        <v>262</v>
      </c>
      <c r="S147" s="171" t="s">
        <v>1095</v>
      </c>
      <c r="T147" s="171" t="s">
        <v>103</v>
      </c>
      <c r="U147" s="171" t="s">
        <v>264</v>
      </c>
      <c r="V147" s="171" t="s">
        <v>264</v>
      </c>
      <c r="W147" s="191" t="s">
        <v>17</v>
      </c>
      <c r="X147" s="217" t="s">
        <v>172</v>
      </c>
      <c r="Y147" s="171" t="s">
        <v>173</v>
      </c>
      <c r="Z147" s="171" t="s">
        <v>174</v>
      </c>
      <c r="AA147" s="171" t="s">
        <v>175</v>
      </c>
      <c r="AB147" s="222">
        <f t="shared" si="7"/>
        <v>1</v>
      </c>
      <c r="AC147" s="221">
        <v>1</v>
      </c>
      <c r="AD147" s="222">
        <v>1</v>
      </c>
      <c r="AE147" s="222">
        <v>1</v>
      </c>
      <c r="AF147" s="217"/>
      <c r="AG147" s="217"/>
      <c r="AH147" s="222">
        <v>1</v>
      </c>
      <c r="AI147" s="217"/>
      <c r="AJ147" s="222">
        <v>1</v>
      </c>
      <c r="AK147" s="222">
        <v>1</v>
      </c>
      <c r="AL147" s="222"/>
      <c r="AM147" s="222">
        <v>1</v>
      </c>
      <c r="AN147" s="222">
        <v>1</v>
      </c>
      <c r="AO147" s="222">
        <v>1</v>
      </c>
      <c r="AP147" s="222">
        <v>1</v>
      </c>
      <c r="AQ147" s="217"/>
      <c r="AR147" s="4"/>
      <c r="AS147" s="217" t="s">
        <v>184</v>
      </c>
      <c r="AT147" s="217"/>
      <c r="AU147" s="96" t="s">
        <v>1228</v>
      </c>
    </row>
    <row r="148" spans="1:47">
      <c r="A148" s="171" t="s">
        <v>1229</v>
      </c>
      <c r="B148" s="171" t="s">
        <v>160</v>
      </c>
      <c r="C148" s="171" t="s">
        <v>73</v>
      </c>
      <c r="D148" s="171" t="s">
        <v>1230</v>
      </c>
      <c r="E148" s="171" t="s">
        <v>162</v>
      </c>
      <c r="F148" s="171" t="s">
        <v>1231</v>
      </c>
      <c r="G148" s="171" t="s">
        <v>1232</v>
      </c>
      <c r="H148" s="171" t="s">
        <v>165</v>
      </c>
      <c r="I148" s="171">
        <v>202605.5</v>
      </c>
      <c r="J148" s="221">
        <v>5.25</v>
      </c>
      <c r="K148" s="171" t="s">
        <v>73</v>
      </c>
      <c r="L148" s="171" t="s">
        <v>1233</v>
      </c>
      <c r="M148" s="171" t="s">
        <v>1234</v>
      </c>
      <c r="N148" s="171" t="s">
        <v>1235</v>
      </c>
      <c r="O148" s="217"/>
      <c r="P148" s="171" t="s">
        <v>138</v>
      </c>
      <c r="Q148" s="171" t="s">
        <v>100</v>
      </c>
      <c r="R148" s="171" t="s">
        <v>262</v>
      </c>
      <c r="S148" s="171" t="s">
        <v>1095</v>
      </c>
      <c r="T148" s="171" t="s">
        <v>103</v>
      </c>
      <c r="U148" s="171" t="s">
        <v>264</v>
      </c>
      <c r="V148" s="171" t="s">
        <v>264</v>
      </c>
      <c r="W148" s="191" t="s">
        <v>17</v>
      </c>
      <c r="X148" s="217" t="s">
        <v>172</v>
      </c>
      <c r="Y148" s="171" t="s">
        <v>173</v>
      </c>
      <c r="Z148" s="171" t="s">
        <v>174</v>
      </c>
      <c r="AA148" s="171" t="s">
        <v>175</v>
      </c>
      <c r="AB148" s="222">
        <f t="shared" si="7"/>
        <v>1</v>
      </c>
      <c r="AC148" s="221">
        <v>1</v>
      </c>
      <c r="AD148" s="222">
        <v>1</v>
      </c>
      <c r="AE148" s="222">
        <v>1</v>
      </c>
      <c r="AF148" s="217"/>
      <c r="AG148" s="217"/>
      <c r="AH148" s="222">
        <v>1</v>
      </c>
      <c r="AI148" s="217"/>
      <c r="AJ148" s="222">
        <v>1</v>
      </c>
      <c r="AK148" s="222">
        <v>1</v>
      </c>
      <c r="AL148" s="222"/>
      <c r="AM148" s="222">
        <v>1</v>
      </c>
      <c r="AN148" s="222">
        <v>1</v>
      </c>
      <c r="AO148" s="222">
        <v>1</v>
      </c>
      <c r="AP148" s="222">
        <v>1</v>
      </c>
      <c r="AQ148" s="217"/>
      <c r="AR148" s="4"/>
      <c r="AS148" s="217" t="s">
        <v>195</v>
      </c>
      <c r="AT148" s="217"/>
      <c r="AU148" s="96" t="s">
        <v>1236</v>
      </c>
    </row>
    <row r="149" spans="1:47">
      <c r="A149" s="171" t="s">
        <v>1237</v>
      </c>
      <c r="B149" s="171" t="s">
        <v>160</v>
      </c>
      <c r="C149" s="171" t="s">
        <v>73</v>
      </c>
      <c r="D149" s="171" t="s">
        <v>1238</v>
      </c>
      <c r="E149" s="171" t="s">
        <v>162</v>
      </c>
      <c r="F149" s="171" t="s">
        <v>1239</v>
      </c>
      <c r="G149" s="171" t="s">
        <v>1240</v>
      </c>
      <c r="H149" s="171" t="s">
        <v>165</v>
      </c>
      <c r="I149" s="171">
        <v>202605.5</v>
      </c>
      <c r="J149" s="221">
        <v>5.25</v>
      </c>
      <c r="K149" s="171" t="s">
        <v>73</v>
      </c>
      <c r="L149" s="171" t="s">
        <v>1241</v>
      </c>
      <c r="M149" s="171" t="s">
        <v>1242</v>
      </c>
      <c r="N149" s="171" t="s">
        <v>1243</v>
      </c>
      <c r="O149" s="217"/>
      <c r="P149" s="171" t="s">
        <v>138</v>
      </c>
      <c r="Q149" s="171" t="s">
        <v>100</v>
      </c>
      <c r="R149" s="171" t="s">
        <v>262</v>
      </c>
      <c r="S149" s="171" t="s">
        <v>1095</v>
      </c>
      <c r="T149" s="171" t="s">
        <v>103</v>
      </c>
      <c r="U149" s="171" t="s">
        <v>264</v>
      </c>
      <c r="V149" s="171" t="s">
        <v>264</v>
      </c>
      <c r="W149" s="191" t="s">
        <v>17</v>
      </c>
      <c r="X149" s="217" t="s">
        <v>172</v>
      </c>
      <c r="Y149" s="171" t="s">
        <v>173</v>
      </c>
      <c r="Z149" s="171" t="s">
        <v>174</v>
      </c>
      <c r="AA149" s="171" t="s">
        <v>175</v>
      </c>
      <c r="AB149" s="222">
        <f t="shared" si="7"/>
        <v>1</v>
      </c>
      <c r="AC149" s="221">
        <v>1</v>
      </c>
      <c r="AD149" s="222">
        <v>1</v>
      </c>
      <c r="AE149" s="222">
        <v>1</v>
      </c>
      <c r="AF149" s="217"/>
      <c r="AG149" s="217"/>
      <c r="AH149" s="222">
        <v>1</v>
      </c>
      <c r="AI149" s="217"/>
      <c r="AJ149" s="222">
        <v>1</v>
      </c>
      <c r="AK149" s="222">
        <v>1</v>
      </c>
      <c r="AL149" s="222"/>
      <c r="AM149" s="222">
        <v>1</v>
      </c>
      <c r="AN149" s="222">
        <v>1</v>
      </c>
      <c r="AO149" s="222">
        <v>1</v>
      </c>
      <c r="AP149" s="222">
        <v>1</v>
      </c>
      <c r="AQ149" s="217"/>
      <c r="AR149" s="4"/>
      <c r="AS149" s="217" t="s">
        <v>204</v>
      </c>
      <c r="AT149" s="217"/>
      <c r="AU149" s="96" t="s">
        <v>1244</v>
      </c>
    </row>
    <row r="150" spans="1:47">
      <c r="A150" s="171" t="s">
        <v>1245</v>
      </c>
      <c r="B150" s="171" t="s">
        <v>160</v>
      </c>
      <c r="C150" s="171" t="s">
        <v>73</v>
      </c>
      <c r="D150" s="171" t="s">
        <v>1246</v>
      </c>
      <c r="E150" s="171" t="s">
        <v>162</v>
      </c>
      <c r="F150" s="171" t="s">
        <v>1247</v>
      </c>
      <c r="G150" s="171" t="s">
        <v>1248</v>
      </c>
      <c r="H150" s="171" t="s">
        <v>165</v>
      </c>
      <c r="I150" s="171">
        <v>202605.5</v>
      </c>
      <c r="J150" s="221">
        <v>5.25</v>
      </c>
      <c r="K150" s="171" t="s">
        <v>73</v>
      </c>
      <c r="L150" s="171" t="s">
        <v>1249</v>
      </c>
      <c r="M150" s="171" t="s">
        <v>1250</v>
      </c>
      <c r="N150" s="171" t="s">
        <v>1251</v>
      </c>
      <c r="O150" s="217"/>
      <c r="P150" s="171" t="s">
        <v>138</v>
      </c>
      <c r="Q150" s="171" t="s">
        <v>100</v>
      </c>
      <c r="R150" s="171" t="s">
        <v>262</v>
      </c>
      <c r="S150" s="171" t="s">
        <v>1095</v>
      </c>
      <c r="T150" s="171" t="s">
        <v>103</v>
      </c>
      <c r="U150" s="171" t="s">
        <v>264</v>
      </c>
      <c r="V150" s="171" t="s">
        <v>264</v>
      </c>
      <c r="W150" s="191" t="s">
        <v>17</v>
      </c>
      <c r="X150" s="217" t="s">
        <v>172</v>
      </c>
      <c r="Y150" s="171" t="s">
        <v>173</v>
      </c>
      <c r="Z150" s="171" t="s">
        <v>174</v>
      </c>
      <c r="AA150" s="171" t="s">
        <v>175</v>
      </c>
      <c r="AB150" s="222">
        <f t="shared" si="7"/>
        <v>1</v>
      </c>
      <c r="AC150" s="221">
        <v>1</v>
      </c>
      <c r="AD150" s="222">
        <v>1</v>
      </c>
      <c r="AE150" s="222">
        <v>1</v>
      </c>
      <c r="AF150" s="217"/>
      <c r="AG150" s="217"/>
      <c r="AH150" s="222">
        <v>1</v>
      </c>
      <c r="AI150" s="217"/>
      <c r="AJ150" s="222">
        <v>1</v>
      </c>
      <c r="AK150" s="222">
        <v>1</v>
      </c>
      <c r="AL150" s="222"/>
      <c r="AM150" s="222">
        <v>1</v>
      </c>
      <c r="AN150" s="222">
        <v>1</v>
      </c>
      <c r="AO150" s="222">
        <v>1</v>
      </c>
      <c r="AP150" s="222">
        <v>1</v>
      </c>
      <c r="AQ150" s="217"/>
      <c r="AR150" s="4"/>
      <c r="AS150" s="217" t="s">
        <v>213</v>
      </c>
      <c r="AT150" s="217"/>
      <c r="AU150" s="96" t="s">
        <v>1252</v>
      </c>
    </row>
    <row r="151" spans="1:47">
      <c r="A151" s="171" t="s">
        <v>1253</v>
      </c>
      <c r="B151" s="171" t="s">
        <v>160</v>
      </c>
      <c r="C151" s="171" t="s">
        <v>73</v>
      </c>
      <c r="D151" s="171" t="s">
        <v>1254</v>
      </c>
      <c r="E151" s="171" t="s">
        <v>162</v>
      </c>
      <c r="F151" s="171" t="s">
        <v>1255</v>
      </c>
      <c r="G151" s="171" t="s">
        <v>771</v>
      </c>
      <c r="H151" s="171" t="s">
        <v>165</v>
      </c>
      <c r="I151" s="171">
        <v>202605.5</v>
      </c>
      <c r="J151" s="221">
        <v>5.25</v>
      </c>
      <c r="K151" s="171" t="s">
        <v>73</v>
      </c>
      <c r="L151" s="171" t="s">
        <v>1256</v>
      </c>
      <c r="M151" s="171" t="s">
        <v>1257</v>
      </c>
      <c r="N151" s="171" t="s">
        <v>1258</v>
      </c>
      <c r="O151" s="217"/>
      <c r="P151" s="171" t="s">
        <v>138</v>
      </c>
      <c r="Q151" s="171" t="s">
        <v>100</v>
      </c>
      <c r="R151" s="171" t="s">
        <v>262</v>
      </c>
      <c r="S151" s="171" t="s">
        <v>1095</v>
      </c>
      <c r="T151" s="171" t="s">
        <v>103</v>
      </c>
      <c r="U151" s="171" t="s">
        <v>264</v>
      </c>
      <c r="V151" s="171" t="s">
        <v>264</v>
      </c>
      <c r="W151" s="191" t="s">
        <v>17</v>
      </c>
      <c r="X151" s="217" t="s">
        <v>172</v>
      </c>
      <c r="Y151" s="171" t="s">
        <v>173</v>
      </c>
      <c r="Z151" s="171" t="s">
        <v>174</v>
      </c>
      <c r="AA151" s="171" t="s">
        <v>175</v>
      </c>
      <c r="AB151" s="222">
        <f t="shared" si="7"/>
        <v>1</v>
      </c>
      <c r="AC151" s="221">
        <v>1</v>
      </c>
      <c r="AD151" s="222">
        <v>1</v>
      </c>
      <c r="AE151" s="222">
        <v>1</v>
      </c>
      <c r="AF151" s="217"/>
      <c r="AG151" s="217"/>
      <c r="AH151" s="222">
        <v>1</v>
      </c>
      <c r="AI151" s="217"/>
      <c r="AJ151" s="222">
        <v>1</v>
      </c>
      <c r="AK151" s="222">
        <v>1</v>
      </c>
      <c r="AL151" s="222"/>
      <c r="AM151" s="222">
        <v>1</v>
      </c>
      <c r="AN151" s="222">
        <v>1</v>
      </c>
      <c r="AO151" s="222">
        <v>1</v>
      </c>
      <c r="AP151" s="222">
        <v>1</v>
      </c>
      <c r="AQ151" s="217"/>
      <c r="AR151" s="4"/>
      <c r="AS151" s="217" t="s">
        <v>221</v>
      </c>
      <c r="AT151" s="217"/>
      <c r="AU151" s="96" t="s">
        <v>1259</v>
      </c>
    </row>
    <row r="152" spans="1:47">
      <c r="A152" s="171" t="s">
        <v>1260</v>
      </c>
      <c r="B152" s="171" t="s">
        <v>160</v>
      </c>
      <c r="C152" s="171" t="s">
        <v>73</v>
      </c>
      <c r="D152" s="171" t="s">
        <v>1261</v>
      </c>
      <c r="E152" s="171" t="s">
        <v>162</v>
      </c>
      <c r="F152" s="171" t="s">
        <v>1262</v>
      </c>
      <c r="G152" s="171" t="s">
        <v>1263</v>
      </c>
      <c r="H152" s="171" t="s">
        <v>165</v>
      </c>
      <c r="I152" s="171">
        <v>202605.5</v>
      </c>
      <c r="J152" s="221">
        <v>5.25</v>
      </c>
      <c r="K152" s="171" t="s">
        <v>73</v>
      </c>
      <c r="L152" s="171" t="s">
        <v>1264</v>
      </c>
      <c r="M152" s="171" t="s">
        <v>1265</v>
      </c>
      <c r="N152" s="171" t="s">
        <v>1266</v>
      </c>
      <c r="O152" s="217"/>
      <c r="P152" s="171" t="s">
        <v>138</v>
      </c>
      <c r="Q152" s="171" t="s">
        <v>100</v>
      </c>
      <c r="R152" s="171" t="s">
        <v>262</v>
      </c>
      <c r="S152" s="171" t="s">
        <v>1095</v>
      </c>
      <c r="T152" s="171" t="s">
        <v>103</v>
      </c>
      <c r="U152" s="171" t="s">
        <v>264</v>
      </c>
      <c r="V152" s="171" t="s">
        <v>264</v>
      </c>
      <c r="W152" s="191" t="s">
        <v>17</v>
      </c>
      <c r="X152" s="217" t="s">
        <v>172</v>
      </c>
      <c r="Y152" s="171" t="s">
        <v>173</v>
      </c>
      <c r="Z152" s="171" t="s">
        <v>174</v>
      </c>
      <c r="AA152" s="171" t="s">
        <v>175</v>
      </c>
      <c r="AB152" s="222">
        <f t="shared" si="7"/>
        <v>1</v>
      </c>
      <c r="AC152" s="221">
        <v>1</v>
      </c>
      <c r="AD152" s="222">
        <v>1</v>
      </c>
      <c r="AE152" s="222">
        <v>1</v>
      </c>
      <c r="AF152" s="217"/>
      <c r="AG152" s="217"/>
      <c r="AH152" s="222">
        <v>1</v>
      </c>
      <c r="AI152" s="217"/>
      <c r="AJ152" s="222">
        <v>1</v>
      </c>
      <c r="AK152" s="222">
        <v>1</v>
      </c>
      <c r="AL152" s="222"/>
      <c r="AM152" s="222">
        <v>1</v>
      </c>
      <c r="AN152" s="222">
        <v>1</v>
      </c>
      <c r="AO152" s="222">
        <v>1</v>
      </c>
      <c r="AP152" s="222">
        <v>1</v>
      </c>
      <c r="AQ152" s="217"/>
      <c r="AR152" s="4"/>
      <c r="AS152" s="217" t="s">
        <v>229</v>
      </c>
      <c r="AT152" s="217"/>
      <c r="AU152" s="96" t="s">
        <v>1267</v>
      </c>
    </row>
    <row r="153" spans="1:47">
      <c r="A153" s="171" t="s">
        <v>1268</v>
      </c>
      <c r="B153" s="171" t="s">
        <v>160</v>
      </c>
      <c r="C153" s="171" t="s">
        <v>73</v>
      </c>
      <c r="D153" s="171" t="s">
        <v>1269</v>
      </c>
      <c r="E153" s="171" t="s">
        <v>162</v>
      </c>
      <c r="F153" s="171" t="s">
        <v>1270</v>
      </c>
      <c r="G153" s="171" t="s">
        <v>1271</v>
      </c>
      <c r="H153" s="171" t="s">
        <v>165</v>
      </c>
      <c r="I153" s="171">
        <v>202605.5</v>
      </c>
      <c r="J153" s="221">
        <v>5.25</v>
      </c>
      <c r="K153" s="171" t="s">
        <v>73</v>
      </c>
      <c r="L153" s="171" t="s">
        <v>1272</v>
      </c>
      <c r="M153" s="171" t="s">
        <v>1273</v>
      </c>
      <c r="N153" s="171" t="s">
        <v>1274</v>
      </c>
      <c r="O153" s="217"/>
      <c r="P153" s="171" t="s">
        <v>138</v>
      </c>
      <c r="Q153" s="171" t="s">
        <v>100</v>
      </c>
      <c r="R153" s="171" t="s">
        <v>262</v>
      </c>
      <c r="S153" s="171" t="s">
        <v>1095</v>
      </c>
      <c r="T153" s="171" t="s">
        <v>103</v>
      </c>
      <c r="U153" s="171" t="s">
        <v>264</v>
      </c>
      <c r="V153" s="171" t="s">
        <v>264</v>
      </c>
      <c r="W153" s="191" t="s">
        <v>17</v>
      </c>
      <c r="X153" s="217" t="s">
        <v>172</v>
      </c>
      <c r="Y153" s="171" t="s">
        <v>173</v>
      </c>
      <c r="Z153" s="171" t="s">
        <v>174</v>
      </c>
      <c r="AA153" s="171" t="s">
        <v>175</v>
      </c>
      <c r="AB153" s="222">
        <f t="shared" si="7"/>
        <v>1</v>
      </c>
      <c r="AC153" s="221">
        <v>1</v>
      </c>
      <c r="AD153" s="222">
        <v>1</v>
      </c>
      <c r="AE153" s="222">
        <v>1</v>
      </c>
      <c r="AF153" s="217"/>
      <c r="AG153" s="217"/>
      <c r="AH153" s="222">
        <v>1</v>
      </c>
      <c r="AI153" s="217"/>
      <c r="AJ153" s="222">
        <v>1</v>
      </c>
      <c r="AK153" s="222">
        <v>1</v>
      </c>
      <c r="AL153" s="222"/>
      <c r="AM153" s="222">
        <v>1</v>
      </c>
      <c r="AN153" s="222">
        <v>1</v>
      </c>
      <c r="AO153" s="222">
        <v>1</v>
      </c>
      <c r="AP153" s="222">
        <v>1</v>
      </c>
      <c r="AQ153" s="217"/>
      <c r="AR153" s="4"/>
      <c r="AS153" s="217" t="s">
        <v>237</v>
      </c>
      <c r="AT153" s="217"/>
      <c r="AU153" s="96" t="s">
        <v>117</v>
      </c>
    </row>
    <row r="154" spans="1:47">
      <c r="A154" s="171" t="s">
        <v>1275</v>
      </c>
      <c r="B154" s="171" t="s">
        <v>160</v>
      </c>
      <c r="C154" s="171" t="s">
        <v>73</v>
      </c>
      <c r="D154" s="171" t="s">
        <v>1276</v>
      </c>
      <c r="E154" s="171" t="s">
        <v>162</v>
      </c>
      <c r="F154" s="171" t="s">
        <v>1277</v>
      </c>
      <c r="G154" s="171" t="s">
        <v>1278</v>
      </c>
      <c r="H154" s="171" t="s">
        <v>165</v>
      </c>
      <c r="I154" s="171">
        <v>202605.5</v>
      </c>
      <c r="J154" s="221">
        <v>5.25</v>
      </c>
      <c r="K154" s="171" t="s">
        <v>73</v>
      </c>
      <c r="L154" s="171" t="s">
        <v>1279</v>
      </c>
      <c r="M154" s="171" t="s">
        <v>1280</v>
      </c>
      <c r="N154" s="171" t="s">
        <v>1281</v>
      </c>
      <c r="O154" s="217"/>
      <c r="P154" s="171" t="s">
        <v>138</v>
      </c>
      <c r="Q154" s="171" t="s">
        <v>100</v>
      </c>
      <c r="R154" s="171" t="s">
        <v>262</v>
      </c>
      <c r="S154" s="171" t="s">
        <v>1282</v>
      </c>
      <c r="T154" s="171" t="s">
        <v>103</v>
      </c>
      <c r="U154" s="171" t="s">
        <v>264</v>
      </c>
      <c r="V154" s="171" t="s">
        <v>264</v>
      </c>
      <c r="W154" s="191" t="s">
        <v>19</v>
      </c>
      <c r="X154" s="217" t="s">
        <v>172</v>
      </c>
      <c r="Y154" s="171" t="s">
        <v>173</v>
      </c>
      <c r="Z154" s="171" t="s">
        <v>174</v>
      </c>
      <c r="AA154" s="171" t="s">
        <v>175</v>
      </c>
      <c r="AB154" s="222">
        <f t="shared" si="7"/>
        <v>1</v>
      </c>
      <c r="AC154" s="221">
        <v>1</v>
      </c>
      <c r="AD154" s="222">
        <v>1</v>
      </c>
      <c r="AE154" s="222">
        <v>1</v>
      </c>
      <c r="AF154" s="217"/>
      <c r="AG154" s="222">
        <v>1</v>
      </c>
      <c r="AH154" s="222">
        <v>1</v>
      </c>
      <c r="AI154" s="217"/>
      <c r="AJ154" s="222">
        <v>1</v>
      </c>
      <c r="AK154" s="222">
        <v>1</v>
      </c>
      <c r="AL154" s="221">
        <v>0</v>
      </c>
      <c r="AM154" s="226" t="s">
        <v>1283</v>
      </c>
      <c r="AN154" s="226" t="s">
        <v>1211</v>
      </c>
      <c r="AO154" s="226" t="s">
        <v>1211</v>
      </c>
      <c r="AP154" s="226" t="s">
        <v>1211</v>
      </c>
      <c r="AQ154" s="222">
        <v>1</v>
      </c>
      <c r="AR154" s="4"/>
      <c r="AS154" s="217" t="s">
        <v>245</v>
      </c>
      <c r="AT154" s="217"/>
      <c r="AU154" s="96" t="s">
        <v>106</v>
      </c>
    </row>
    <row r="155" spans="1:47">
      <c r="A155" s="171" t="s">
        <v>1284</v>
      </c>
      <c r="B155" s="171" t="s">
        <v>160</v>
      </c>
      <c r="C155" s="171" t="s">
        <v>73</v>
      </c>
      <c r="D155" s="171" t="s">
        <v>1285</v>
      </c>
      <c r="E155" s="171" t="s">
        <v>162</v>
      </c>
      <c r="F155" s="171" t="s">
        <v>1286</v>
      </c>
      <c r="G155" s="171" t="s">
        <v>1287</v>
      </c>
      <c r="H155" s="171" t="s">
        <v>165</v>
      </c>
      <c r="I155" s="171">
        <v>202605.5</v>
      </c>
      <c r="J155" s="221">
        <v>5.25</v>
      </c>
      <c r="K155" s="171" t="s">
        <v>73</v>
      </c>
      <c r="L155" s="171" t="s">
        <v>1288</v>
      </c>
      <c r="M155" s="171" t="s">
        <v>1289</v>
      </c>
      <c r="N155" s="171" t="s">
        <v>1290</v>
      </c>
      <c r="O155" s="217"/>
      <c r="P155" s="171" t="s">
        <v>138</v>
      </c>
      <c r="Q155" s="171" t="s">
        <v>100</v>
      </c>
      <c r="R155" s="171" t="s">
        <v>262</v>
      </c>
      <c r="S155" s="171" t="s">
        <v>1282</v>
      </c>
      <c r="T155" s="171" t="s">
        <v>103</v>
      </c>
      <c r="U155" s="171" t="s">
        <v>264</v>
      </c>
      <c r="V155" s="171" t="s">
        <v>264</v>
      </c>
      <c r="W155" s="191" t="s">
        <v>19</v>
      </c>
      <c r="X155" s="217" t="s">
        <v>172</v>
      </c>
      <c r="Y155" s="171" t="s">
        <v>173</v>
      </c>
      <c r="Z155" s="171" t="s">
        <v>174</v>
      </c>
      <c r="AA155" s="171" t="s">
        <v>175</v>
      </c>
      <c r="AB155" s="222">
        <f t="shared" si="7"/>
        <v>1</v>
      </c>
      <c r="AC155" s="221">
        <v>1</v>
      </c>
      <c r="AD155" s="222">
        <v>1</v>
      </c>
      <c r="AE155" s="222">
        <v>1</v>
      </c>
      <c r="AF155" s="217"/>
      <c r="AG155" s="222">
        <v>1</v>
      </c>
      <c r="AH155" s="222">
        <v>1</v>
      </c>
      <c r="AI155" s="217"/>
      <c r="AJ155" s="222">
        <v>1</v>
      </c>
      <c r="AK155" s="222">
        <v>1</v>
      </c>
      <c r="AL155" s="222">
        <v>1</v>
      </c>
      <c r="AM155" s="222">
        <v>1</v>
      </c>
      <c r="AN155" s="222">
        <v>1</v>
      </c>
      <c r="AO155" s="222">
        <v>1</v>
      </c>
      <c r="AP155" s="222">
        <v>1</v>
      </c>
      <c r="AQ155" s="217"/>
      <c r="AR155" s="4"/>
      <c r="AS155" s="217" t="s">
        <v>254</v>
      </c>
      <c r="AT155" s="217"/>
      <c r="AU155" s="96" t="s">
        <v>1291</v>
      </c>
    </row>
    <row r="156" spans="1:47">
      <c r="A156" s="171" t="s">
        <v>1292</v>
      </c>
      <c r="B156" s="171" t="s">
        <v>160</v>
      </c>
      <c r="C156" s="171" t="s">
        <v>73</v>
      </c>
      <c r="D156" s="171" t="s">
        <v>1293</v>
      </c>
      <c r="E156" s="171" t="s">
        <v>162</v>
      </c>
      <c r="F156" s="171" t="s">
        <v>1294</v>
      </c>
      <c r="G156" s="171" t="s">
        <v>1295</v>
      </c>
      <c r="H156" s="171" t="s">
        <v>165</v>
      </c>
      <c r="I156" s="171">
        <v>202605.5</v>
      </c>
      <c r="J156" s="221">
        <v>5.25</v>
      </c>
      <c r="K156" s="171" t="s">
        <v>73</v>
      </c>
      <c r="L156" s="171" t="s">
        <v>1296</v>
      </c>
      <c r="M156" s="171" t="s">
        <v>1297</v>
      </c>
      <c r="N156" s="171" t="s">
        <v>1298</v>
      </c>
      <c r="O156" s="217"/>
      <c r="P156" s="171" t="s">
        <v>138</v>
      </c>
      <c r="Q156" s="171" t="s">
        <v>100</v>
      </c>
      <c r="R156" s="171" t="s">
        <v>262</v>
      </c>
      <c r="S156" s="171" t="s">
        <v>1282</v>
      </c>
      <c r="T156" s="171" t="s">
        <v>103</v>
      </c>
      <c r="U156" s="171" t="s">
        <v>264</v>
      </c>
      <c r="V156" s="171" t="s">
        <v>264</v>
      </c>
      <c r="W156" s="191" t="s">
        <v>19</v>
      </c>
      <c r="X156" s="217" t="s">
        <v>172</v>
      </c>
      <c r="Y156" s="171" t="s">
        <v>173</v>
      </c>
      <c r="Z156" s="171" t="s">
        <v>174</v>
      </c>
      <c r="AA156" s="171" t="s">
        <v>175</v>
      </c>
      <c r="AB156" s="222">
        <f t="shared" si="7"/>
        <v>1</v>
      </c>
      <c r="AC156" s="221">
        <v>1</v>
      </c>
      <c r="AD156" s="222">
        <v>1</v>
      </c>
      <c r="AE156" s="222">
        <v>1</v>
      </c>
      <c r="AF156" s="217"/>
      <c r="AG156" s="222">
        <v>1</v>
      </c>
      <c r="AH156" s="222">
        <v>1</v>
      </c>
      <c r="AI156" s="217"/>
      <c r="AJ156" s="222">
        <v>1</v>
      </c>
      <c r="AK156" s="222">
        <v>1</v>
      </c>
      <c r="AL156" s="222">
        <v>1</v>
      </c>
      <c r="AM156" s="222">
        <v>1</v>
      </c>
      <c r="AN156" s="222">
        <v>1</v>
      </c>
      <c r="AO156" s="222">
        <v>1</v>
      </c>
      <c r="AP156" s="222">
        <v>1</v>
      </c>
      <c r="AQ156" s="217"/>
      <c r="AR156" s="4"/>
      <c r="AS156" s="217" t="s">
        <v>265</v>
      </c>
      <c r="AT156" s="217"/>
      <c r="AU156" s="96" t="s">
        <v>1299</v>
      </c>
    </row>
    <row r="157" spans="1:47">
      <c r="A157" s="171" t="s">
        <v>1300</v>
      </c>
      <c r="B157" s="171" t="s">
        <v>160</v>
      </c>
      <c r="C157" s="171" t="s">
        <v>73</v>
      </c>
      <c r="D157" s="171" t="s">
        <v>1301</v>
      </c>
      <c r="E157" s="171" t="s">
        <v>162</v>
      </c>
      <c r="F157" s="171" t="s">
        <v>1302</v>
      </c>
      <c r="G157" s="171" t="s">
        <v>1303</v>
      </c>
      <c r="H157" s="171" t="s">
        <v>165</v>
      </c>
      <c r="I157" s="171">
        <v>202605.5</v>
      </c>
      <c r="J157" s="221">
        <v>5.25</v>
      </c>
      <c r="K157" s="171" t="s">
        <v>73</v>
      </c>
      <c r="L157" s="171" t="s">
        <v>1304</v>
      </c>
      <c r="M157" s="171" t="s">
        <v>1305</v>
      </c>
      <c r="N157" s="171" t="s">
        <v>1306</v>
      </c>
      <c r="O157" s="217"/>
      <c r="P157" s="171" t="s">
        <v>138</v>
      </c>
      <c r="Q157" s="171" t="s">
        <v>100</v>
      </c>
      <c r="R157" s="171" t="s">
        <v>262</v>
      </c>
      <c r="S157" s="171" t="s">
        <v>1282</v>
      </c>
      <c r="T157" s="171" t="s">
        <v>103</v>
      </c>
      <c r="U157" s="171" t="s">
        <v>264</v>
      </c>
      <c r="V157" s="171" t="s">
        <v>264</v>
      </c>
      <c r="W157" s="191" t="s">
        <v>19</v>
      </c>
      <c r="X157" s="217" t="s">
        <v>172</v>
      </c>
      <c r="Y157" s="171" t="s">
        <v>173</v>
      </c>
      <c r="Z157" s="171" t="s">
        <v>174</v>
      </c>
      <c r="AA157" s="171" t="s">
        <v>175</v>
      </c>
      <c r="AB157" s="222">
        <f t="shared" si="7"/>
        <v>1</v>
      </c>
      <c r="AC157" s="221">
        <v>1</v>
      </c>
      <c r="AD157" s="222">
        <v>1</v>
      </c>
      <c r="AE157" s="222">
        <v>1</v>
      </c>
      <c r="AF157" s="217"/>
      <c r="AG157" s="222">
        <v>1</v>
      </c>
      <c r="AH157" s="222">
        <v>1</v>
      </c>
      <c r="AI157" s="217"/>
      <c r="AJ157" s="222">
        <v>1</v>
      </c>
      <c r="AK157" s="222">
        <v>1</v>
      </c>
      <c r="AL157" s="222">
        <v>1</v>
      </c>
      <c r="AM157" s="222">
        <v>1</v>
      </c>
      <c r="AN157" s="222">
        <v>1</v>
      </c>
      <c r="AO157" s="222">
        <v>1</v>
      </c>
      <c r="AP157" s="222">
        <v>1</v>
      </c>
      <c r="AQ157" s="217"/>
      <c r="AR157" s="4"/>
      <c r="AS157" s="217" t="s">
        <v>272</v>
      </c>
      <c r="AT157" s="217"/>
      <c r="AU157" s="96" t="s">
        <v>1307</v>
      </c>
    </row>
    <row r="158" spans="1:47">
      <c r="A158" s="171" t="s">
        <v>1308</v>
      </c>
      <c r="B158" s="171" t="s">
        <v>160</v>
      </c>
      <c r="C158" s="171" t="s">
        <v>73</v>
      </c>
      <c r="D158" s="171" t="s">
        <v>1309</v>
      </c>
      <c r="E158" s="171" t="s">
        <v>162</v>
      </c>
      <c r="F158" s="171" t="s">
        <v>1310</v>
      </c>
      <c r="G158" s="171" t="s">
        <v>1311</v>
      </c>
      <c r="H158" s="171" t="s">
        <v>165</v>
      </c>
      <c r="I158" s="171">
        <v>202605.5</v>
      </c>
      <c r="J158" s="221">
        <v>5.25</v>
      </c>
      <c r="K158" s="171" t="s">
        <v>73</v>
      </c>
      <c r="L158" s="171" t="s">
        <v>1312</v>
      </c>
      <c r="M158" s="171" t="s">
        <v>1313</v>
      </c>
      <c r="N158" s="171" t="s">
        <v>1314</v>
      </c>
      <c r="O158" s="217"/>
      <c r="P158" s="171" t="s">
        <v>138</v>
      </c>
      <c r="Q158" s="171" t="s">
        <v>100</v>
      </c>
      <c r="R158" s="171" t="s">
        <v>262</v>
      </c>
      <c r="S158" s="171" t="s">
        <v>1282</v>
      </c>
      <c r="T158" s="171" t="s">
        <v>103</v>
      </c>
      <c r="U158" s="171" t="s">
        <v>264</v>
      </c>
      <c r="V158" s="171" t="s">
        <v>264</v>
      </c>
      <c r="W158" s="191" t="s">
        <v>19</v>
      </c>
      <c r="X158" s="217" t="s">
        <v>172</v>
      </c>
      <c r="Y158" s="171" t="s">
        <v>173</v>
      </c>
      <c r="Z158" s="171" t="s">
        <v>174</v>
      </c>
      <c r="AA158" s="171" t="s">
        <v>175</v>
      </c>
      <c r="AB158" s="222">
        <f t="shared" si="7"/>
        <v>1</v>
      </c>
      <c r="AC158" s="221">
        <v>1</v>
      </c>
      <c r="AD158" s="222">
        <v>1</v>
      </c>
      <c r="AE158" s="222">
        <v>1</v>
      </c>
      <c r="AF158" s="217"/>
      <c r="AG158" s="222">
        <v>1</v>
      </c>
      <c r="AH158" s="222">
        <v>1</v>
      </c>
      <c r="AI158" s="217"/>
      <c r="AJ158" s="222">
        <v>1</v>
      </c>
      <c r="AK158" s="222">
        <v>1</v>
      </c>
      <c r="AL158" s="222">
        <v>1</v>
      </c>
      <c r="AM158" s="222">
        <v>1</v>
      </c>
      <c r="AN158" s="222">
        <v>1</v>
      </c>
      <c r="AO158" s="222">
        <v>1</v>
      </c>
      <c r="AP158" s="222">
        <v>1</v>
      </c>
      <c r="AQ158" s="217"/>
      <c r="AR158" s="4"/>
      <c r="AS158" s="217" t="s">
        <v>279</v>
      </c>
      <c r="AT158" s="217"/>
      <c r="AU158" s="96" t="s">
        <v>1315</v>
      </c>
    </row>
    <row r="159" spans="1:47">
      <c r="A159" s="171" t="s">
        <v>1316</v>
      </c>
      <c r="B159" s="171" t="s">
        <v>160</v>
      </c>
      <c r="C159" s="171" t="s">
        <v>73</v>
      </c>
      <c r="D159" s="171" t="s">
        <v>1317</v>
      </c>
      <c r="E159" s="171" t="s">
        <v>162</v>
      </c>
      <c r="F159" s="171" t="s">
        <v>1318</v>
      </c>
      <c r="G159" s="171" t="s">
        <v>1319</v>
      </c>
      <c r="H159" s="171" t="s">
        <v>165</v>
      </c>
      <c r="I159" s="171">
        <v>202605.5</v>
      </c>
      <c r="J159" s="221">
        <v>5.25</v>
      </c>
      <c r="K159" s="171" t="s">
        <v>73</v>
      </c>
      <c r="L159" s="171" t="s">
        <v>1320</v>
      </c>
      <c r="M159" s="171" t="s">
        <v>1321</v>
      </c>
      <c r="N159" s="171" t="s">
        <v>1322</v>
      </c>
      <c r="O159" s="217"/>
      <c r="P159" s="171" t="s">
        <v>138</v>
      </c>
      <c r="Q159" s="171" t="s">
        <v>100</v>
      </c>
      <c r="R159" s="171" t="s">
        <v>262</v>
      </c>
      <c r="S159" s="171" t="s">
        <v>1282</v>
      </c>
      <c r="T159" s="171" t="s">
        <v>103</v>
      </c>
      <c r="U159" s="171" t="s">
        <v>264</v>
      </c>
      <c r="V159" s="171" t="s">
        <v>264</v>
      </c>
      <c r="W159" s="191" t="s">
        <v>19</v>
      </c>
      <c r="X159" s="217" t="s">
        <v>172</v>
      </c>
      <c r="Y159" s="171" t="s">
        <v>173</v>
      </c>
      <c r="Z159" s="171" t="s">
        <v>174</v>
      </c>
      <c r="AA159" s="171" t="s">
        <v>175</v>
      </c>
      <c r="AB159" s="222">
        <f t="shared" si="7"/>
        <v>1</v>
      </c>
      <c r="AC159" s="221">
        <v>1</v>
      </c>
      <c r="AD159" s="222">
        <v>1</v>
      </c>
      <c r="AE159" s="222">
        <v>1</v>
      </c>
      <c r="AF159" s="217"/>
      <c r="AG159" s="222">
        <v>1</v>
      </c>
      <c r="AH159" s="222">
        <v>1</v>
      </c>
      <c r="AI159" s="217"/>
      <c r="AJ159" s="222">
        <v>1</v>
      </c>
      <c r="AK159" s="222">
        <v>1</v>
      </c>
      <c r="AL159" s="222">
        <v>1</v>
      </c>
      <c r="AM159" s="222">
        <v>1</v>
      </c>
      <c r="AN159" s="222">
        <v>1</v>
      </c>
      <c r="AO159" s="222">
        <v>1</v>
      </c>
      <c r="AP159" s="222">
        <v>1</v>
      </c>
      <c r="AQ159" s="217"/>
      <c r="AR159" s="4"/>
      <c r="AS159" s="217" t="s">
        <v>288</v>
      </c>
      <c r="AT159" s="217"/>
      <c r="AU159" s="96" t="s">
        <v>1323</v>
      </c>
    </row>
    <row r="160" spans="1:47">
      <c r="A160" s="171" t="s">
        <v>1324</v>
      </c>
      <c r="B160" s="171" t="s">
        <v>160</v>
      </c>
      <c r="C160" s="171" t="s">
        <v>73</v>
      </c>
      <c r="D160" s="171" t="s">
        <v>1325</v>
      </c>
      <c r="E160" s="171" t="s">
        <v>162</v>
      </c>
      <c r="F160" s="171" t="s">
        <v>1326</v>
      </c>
      <c r="G160" s="171" t="s">
        <v>1327</v>
      </c>
      <c r="H160" s="171" t="s">
        <v>165</v>
      </c>
      <c r="I160" s="171">
        <v>202605.5</v>
      </c>
      <c r="J160" s="221">
        <v>5.25</v>
      </c>
      <c r="K160" s="171" t="s">
        <v>73</v>
      </c>
      <c r="L160" s="171" t="s">
        <v>1328</v>
      </c>
      <c r="M160" s="171" t="s">
        <v>1329</v>
      </c>
      <c r="N160" s="171" t="s">
        <v>1330</v>
      </c>
      <c r="O160" s="217"/>
      <c r="P160" s="171" t="s">
        <v>138</v>
      </c>
      <c r="Q160" s="171" t="s">
        <v>100</v>
      </c>
      <c r="R160" s="171" t="s">
        <v>262</v>
      </c>
      <c r="S160" s="171" t="s">
        <v>1282</v>
      </c>
      <c r="T160" s="171" t="s">
        <v>103</v>
      </c>
      <c r="U160" s="171" t="s">
        <v>264</v>
      </c>
      <c r="V160" s="171" t="s">
        <v>264</v>
      </c>
      <c r="W160" s="191" t="s">
        <v>19</v>
      </c>
      <c r="X160" s="217" t="s">
        <v>172</v>
      </c>
      <c r="Y160" s="171" t="s">
        <v>173</v>
      </c>
      <c r="Z160" s="171" t="s">
        <v>174</v>
      </c>
      <c r="AA160" s="171" t="s">
        <v>175</v>
      </c>
      <c r="AB160" s="222">
        <f t="shared" si="7"/>
        <v>1</v>
      </c>
      <c r="AC160" s="221">
        <v>1</v>
      </c>
      <c r="AD160" s="222">
        <v>1</v>
      </c>
      <c r="AE160" s="222">
        <v>1</v>
      </c>
      <c r="AF160" s="217"/>
      <c r="AG160" s="222">
        <v>1</v>
      </c>
      <c r="AH160" s="222">
        <v>1</v>
      </c>
      <c r="AI160" s="217"/>
      <c r="AJ160" s="222">
        <v>1</v>
      </c>
      <c r="AK160" s="222">
        <v>1</v>
      </c>
      <c r="AL160" s="222">
        <v>1</v>
      </c>
      <c r="AM160" s="222">
        <v>1</v>
      </c>
      <c r="AN160" s="222">
        <v>1</v>
      </c>
      <c r="AO160" s="222">
        <v>1</v>
      </c>
      <c r="AP160" s="222">
        <v>1</v>
      </c>
      <c r="AQ160" s="217"/>
      <c r="AR160" s="4"/>
      <c r="AS160" s="217" t="s">
        <v>297</v>
      </c>
      <c r="AT160" s="217"/>
      <c r="AU160" s="96" t="s">
        <v>1331</v>
      </c>
    </row>
    <row r="161" spans="1:47">
      <c r="A161" s="171" t="s">
        <v>1332</v>
      </c>
      <c r="B161" s="171" t="s">
        <v>160</v>
      </c>
      <c r="C161" s="171" t="s">
        <v>73</v>
      </c>
      <c r="D161" s="171" t="s">
        <v>1333</v>
      </c>
      <c r="E161" s="171" t="s">
        <v>162</v>
      </c>
      <c r="F161" s="171" t="s">
        <v>1334</v>
      </c>
      <c r="G161" s="171" t="s">
        <v>1335</v>
      </c>
      <c r="H161" s="171" t="s">
        <v>165</v>
      </c>
      <c r="I161" s="171">
        <v>202605.5</v>
      </c>
      <c r="J161" s="221">
        <v>5.25</v>
      </c>
      <c r="K161" s="171" t="s">
        <v>73</v>
      </c>
      <c r="L161" s="171" t="s">
        <v>1336</v>
      </c>
      <c r="M161" s="171" t="s">
        <v>1337</v>
      </c>
      <c r="N161" s="171" t="s">
        <v>1338</v>
      </c>
      <c r="O161" s="217"/>
      <c r="P161" s="171" t="s">
        <v>138</v>
      </c>
      <c r="Q161" s="171" t="s">
        <v>100</v>
      </c>
      <c r="R161" s="171" t="s">
        <v>262</v>
      </c>
      <c r="S161" s="171" t="s">
        <v>1282</v>
      </c>
      <c r="T161" s="171" t="s">
        <v>103</v>
      </c>
      <c r="U161" s="171" t="s">
        <v>264</v>
      </c>
      <c r="V161" s="171" t="s">
        <v>264</v>
      </c>
      <c r="W161" s="191" t="s">
        <v>19</v>
      </c>
      <c r="X161" s="217" t="s">
        <v>172</v>
      </c>
      <c r="Y161" s="171" t="s">
        <v>173</v>
      </c>
      <c r="Z161" s="171" t="s">
        <v>174</v>
      </c>
      <c r="AA161" s="171" t="s">
        <v>175</v>
      </c>
      <c r="AB161" s="222">
        <f t="shared" si="7"/>
        <v>1</v>
      </c>
      <c r="AC161" s="221">
        <v>1</v>
      </c>
      <c r="AD161" s="222">
        <v>1</v>
      </c>
      <c r="AE161" s="222">
        <v>1</v>
      </c>
      <c r="AF161" s="217"/>
      <c r="AG161" s="222">
        <v>1</v>
      </c>
      <c r="AH161" s="222">
        <v>1</v>
      </c>
      <c r="AI161" s="217"/>
      <c r="AJ161" s="222">
        <v>1</v>
      </c>
      <c r="AK161" s="222">
        <v>1</v>
      </c>
      <c r="AL161" s="222">
        <v>1</v>
      </c>
      <c r="AM161" s="222">
        <v>1</v>
      </c>
      <c r="AN161" s="222">
        <v>1</v>
      </c>
      <c r="AO161" s="222">
        <v>1</v>
      </c>
      <c r="AP161" s="222">
        <v>1</v>
      </c>
      <c r="AQ161" s="217"/>
      <c r="AR161" s="4"/>
      <c r="AS161" s="217" t="s">
        <v>306</v>
      </c>
      <c r="AT161" s="217"/>
      <c r="AU161" s="96" t="s">
        <v>1339</v>
      </c>
    </row>
    <row r="162" spans="1:47">
      <c r="A162" s="171" t="s">
        <v>1340</v>
      </c>
      <c r="B162" s="171" t="s">
        <v>160</v>
      </c>
      <c r="C162" s="171" t="s">
        <v>73</v>
      </c>
      <c r="D162" s="171" t="s">
        <v>1341</v>
      </c>
      <c r="E162" s="171" t="s">
        <v>499</v>
      </c>
      <c r="F162" s="171" t="s">
        <v>1342</v>
      </c>
      <c r="G162" s="171" t="s">
        <v>1343</v>
      </c>
      <c r="H162" s="171" t="s">
        <v>165</v>
      </c>
      <c r="I162" s="171">
        <v>202605.5</v>
      </c>
      <c r="J162" s="221">
        <v>5.25</v>
      </c>
      <c r="K162" s="171" t="s">
        <v>73</v>
      </c>
      <c r="L162" s="171" t="s">
        <v>1344</v>
      </c>
      <c r="M162" s="171" t="s">
        <v>1345</v>
      </c>
      <c r="N162" s="171" t="s">
        <v>1346</v>
      </c>
      <c r="O162" s="217"/>
      <c r="P162" s="171" t="s">
        <v>138</v>
      </c>
      <c r="Q162" s="171" t="s">
        <v>100</v>
      </c>
      <c r="R162" s="171" t="s">
        <v>262</v>
      </c>
      <c r="S162" s="171" t="s">
        <v>1282</v>
      </c>
      <c r="T162" s="171" t="s">
        <v>103</v>
      </c>
      <c r="U162" s="171" t="s">
        <v>264</v>
      </c>
      <c r="V162" s="171" t="s">
        <v>264</v>
      </c>
      <c r="W162" s="191" t="s">
        <v>19</v>
      </c>
      <c r="X162" s="217" t="s">
        <v>172</v>
      </c>
      <c r="Y162" s="171" t="s">
        <v>173</v>
      </c>
      <c r="Z162" s="171" t="s">
        <v>174</v>
      </c>
      <c r="AA162" s="171" t="s">
        <v>175</v>
      </c>
      <c r="AB162" s="222">
        <f t="shared" si="7"/>
        <v>1</v>
      </c>
      <c r="AC162" s="221">
        <v>1</v>
      </c>
      <c r="AD162" s="222">
        <v>1</v>
      </c>
      <c r="AE162" s="222">
        <v>1</v>
      </c>
      <c r="AF162" s="217"/>
      <c r="AG162" s="222">
        <v>1</v>
      </c>
      <c r="AH162" s="222">
        <v>1</v>
      </c>
      <c r="AI162" s="217"/>
      <c r="AJ162" s="222">
        <v>1</v>
      </c>
      <c r="AK162" s="222">
        <v>1</v>
      </c>
      <c r="AL162" s="222">
        <v>1</v>
      </c>
      <c r="AM162" s="222">
        <v>1</v>
      </c>
      <c r="AN162" s="222">
        <v>1</v>
      </c>
      <c r="AO162" s="222">
        <v>1</v>
      </c>
      <c r="AP162" s="222">
        <v>1</v>
      </c>
      <c r="AQ162" s="217"/>
      <c r="AR162" s="4"/>
      <c r="AS162" s="217" t="s">
        <v>314</v>
      </c>
      <c r="AT162" s="217"/>
      <c r="AU162" s="96" t="s">
        <v>1347</v>
      </c>
    </row>
    <row r="163" spans="1:47">
      <c r="A163" s="171" t="s">
        <v>1348</v>
      </c>
      <c r="B163" s="171" t="s">
        <v>160</v>
      </c>
      <c r="C163" s="171" t="s">
        <v>73</v>
      </c>
      <c r="D163" s="171" t="s">
        <v>1349</v>
      </c>
      <c r="E163" s="171" t="s">
        <v>162</v>
      </c>
      <c r="F163" s="171" t="s">
        <v>1350</v>
      </c>
      <c r="G163" s="171" t="s">
        <v>1351</v>
      </c>
      <c r="H163" s="171" t="s">
        <v>165</v>
      </c>
      <c r="I163" s="171">
        <v>202605.5</v>
      </c>
      <c r="J163" s="221">
        <v>5.25</v>
      </c>
      <c r="K163" s="171" t="s">
        <v>73</v>
      </c>
      <c r="L163" s="171" t="s">
        <v>1352</v>
      </c>
      <c r="M163" s="171" t="s">
        <v>1353</v>
      </c>
      <c r="N163" s="171" t="s">
        <v>1354</v>
      </c>
      <c r="O163" s="217"/>
      <c r="P163" s="171" t="s">
        <v>138</v>
      </c>
      <c r="Q163" s="171" t="s">
        <v>100</v>
      </c>
      <c r="R163" s="171" t="s">
        <v>262</v>
      </c>
      <c r="S163" s="171" t="s">
        <v>1282</v>
      </c>
      <c r="T163" s="171" t="s">
        <v>103</v>
      </c>
      <c r="U163" s="171" t="s">
        <v>264</v>
      </c>
      <c r="V163" s="171" t="s">
        <v>264</v>
      </c>
      <c r="W163" s="191" t="s">
        <v>19</v>
      </c>
      <c r="X163" s="217" t="s">
        <v>172</v>
      </c>
      <c r="Y163" s="171" t="s">
        <v>173</v>
      </c>
      <c r="Z163" s="171" t="s">
        <v>174</v>
      </c>
      <c r="AA163" s="171" t="s">
        <v>175</v>
      </c>
      <c r="AB163" s="222">
        <f t="shared" si="7"/>
        <v>1</v>
      </c>
      <c r="AC163" s="221">
        <v>1</v>
      </c>
      <c r="AD163" s="222">
        <v>1</v>
      </c>
      <c r="AE163" s="222">
        <v>1</v>
      </c>
      <c r="AF163" s="217"/>
      <c r="AG163" s="222">
        <v>1</v>
      </c>
      <c r="AH163" s="222">
        <v>1</v>
      </c>
      <c r="AI163" s="217"/>
      <c r="AJ163" s="222">
        <v>1</v>
      </c>
      <c r="AK163" s="222">
        <v>1</v>
      </c>
      <c r="AL163" s="222">
        <v>1</v>
      </c>
      <c r="AM163" s="222">
        <v>1</v>
      </c>
      <c r="AN163" s="222">
        <v>1</v>
      </c>
      <c r="AO163" s="222">
        <v>1</v>
      </c>
      <c r="AP163" s="222">
        <v>1</v>
      </c>
      <c r="AQ163" s="217"/>
      <c r="AR163" s="4"/>
      <c r="AS163" s="217" t="s">
        <v>322</v>
      </c>
      <c r="AT163" s="217"/>
      <c r="AU163" s="96" t="s">
        <v>1355</v>
      </c>
    </row>
    <row r="164" spans="1:47">
      <c r="A164" s="171" t="s">
        <v>1356</v>
      </c>
      <c r="B164" s="171" t="s">
        <v>160</v>
      </c>
      <c r="C164" s="171" t="s">
        <v>73</v>
      </c>
      <c r="D164" s="171" t="s">
        <v>1357</v>
      </c>
      <c r="E164" s="171" t="s">
        <v>162</v>
      </c>
      <c r="F164" s="171" t="s">
        <v>1358</v>
      </c>
      <c r="G164" s="171" t="s">
        <v>1359</v>
      </c>
      <c r="H164" s="171" t="s">
        <v>165</v>
      </c>
      <c r="I164" s="171">
        <v>202605.5</v>
      </c>
      <c r="J164" s="221">
        <v>5.25</v>
      </c>
      <c r="K164" s="171" t="s">
        <v>73</v>
      </c>
      <c r="L164" s="171" t="s">
        <v>1360</v>
      </c>
      <c r="M164" s="171" t="s">
        <v>1361</v>
      </c>
      <c r="N164" s="171" t="s">
        <v>1362</v>
      </c>
      <c r="O164" s="217"/>
      <c r="P164" s="171" t="s">
        <v>138</v>
      </c>
      <c r="Q164" s="171" t="s">
        <v>100</v>
      </c>
      <c r="R164" s="171" t="s">
        <v>262</v>
      </c>
      <c r="S164" s="171" t="s">
        <v>1282</v>
      </c>
      <c r="T164" s="171" t="s">
        <v>103</v>
      </c>
      <c r="U164" s="171" t="s">
        <v>264</v>
      </c>
      <c r="V164" s="171" t="s">
        <v>264</v>
      </c>
      <c r="W164" s="191" t="s">
        <v>19</v>
      </c>
      <c r="X164" s="217" t="s">
        <v>172</v>
      </c>
      <c r="Y164" s="171" t="s">
        <v>173</v>
      </c>
      <c r="Z164" s="171" t="s">
        <v>174</v>
      </c>
      <c r="AA164" s="171" t="s">
        <v>175</v>
      </c>
      <c r="AB164" s="222">
        <f t="shared" ref="AB164:AB204" si="8">IF(COUNTIF(AU:AU,"*"&amp;D164&amp;"*")&gt;0,1,0)</f>
        <v>1</v>
      </c>
      <c r="AC164" s="221">
        <v>1</v>
      </c>
      <c r="AD164" s="222">
        <v>1</v>
      </c>
      <c r="AE164" s="222">
        <v>1</v>
      </c>
      <c r="AF164" s="217"/>
      <c r="AG164" s="222">
        <v>1</v>
      </c>
      <c r="AH164" s="222">
        <v>1</v>
      </c>
      <c r="AI164" s="217"/>
      <c r="AJ164" s="222">
        <v>1</v>
      </c>
      <c r="AK164" s="222">
        <v>1</v>
      </c>
      <c r="AL164" s="222">
        <v>1</v>
      </c>
      <c r="AM164" s="222">
        <v>1</v>
      </c>
      <c r="AN164" s="222">
        <v>1</v>
      </c>
      <c r="AO164" s="222">
        <v>1</v>
      </c>
      <c r="AP164" s="222">
        <v>1</v>
      </c>
      <c r="AQ164" s="217"/>
      <c r="AR164" s="4"/>
      <c r="AS164" s="217" t="s">
        <v>329</v>
      </c>
      <c r="AT164" s="217"/>
      <c r="AU164" s="96" t="s">
        <v>1222</v>
      </c>
    </row>
    <row r="165" spans="1:47">
      <c r="A165" s="171" t="s">
        <v>1363</v>
      </c>
      <c r="B165" s="171" t="s">
        <v>160</v>
      </c>
      <c r="C165" s="171" t="s">
        <v>73</v>
      </c>
      <c r="D165" s="171" t="s">
        <v>1364</v>
      </c>
      <c r="E165" s="171" t="s">
        <v>499</v>
      </c>
      <c r="F165" s="171" t="s">
        <v>1365</v>
      </c>
      <c r="G165" s="171" t="s">
        <v>1366</v>
      </c>
      <c r="H165" s="171" t="s">
        <v>165</v>
      </c>
      <c r="I165" s="171">
        <v>202605.5</v>
      </c>
      <c r="J165" s="221">
        <v>5.25</v>
      </c>
      <c r="K165" s="171" t="s">
        <v>73</v>
      </c>
      <c r="L165" s="171" t="s">
        <v>1367</v>
      </c>
      <c r="M165" s="171" t="s">
        <v>1368</v>
      </c>
      <c r="N165" s="171" t="s">
        <v>1369</v>
      </c>
      <c r="O165" s="217"/>
      <c r="P165" s="171" t="s">
        <v>138</v>
      </c>
      <c r="Q165" s="171" t="s">
        <v>100</v>
      </c>
      <c r="R165" s="171" t="s">
        <v>262</v>
      </c>
      <c r="S165" s="171" t="s">
        <v>1282</v>
      </c>
      <c r="T165" s="171" t="s">
        <v>103</v>
      </c>
      <c r="U165" s="171" t="s">
        <v>264</v>
      </c>
      <c r="V165" s="171" t="s">
        <v>264</v>
      </c>
      <c r="W165" s="191" t="s">
        <v>19</v>
      </c>
      <c r="X165" s="217" t="s">
        <v>172</v>
      </c>
      <c r="Y165" s="171" t="s">
        <v>173</v>
      </c>
      <c r="Z165" s="171" t="s">
        <v>174</v>
      </c>
      <c r="AA165" s="171" t="s">
        <v>175</v>
      </c>
      <c r="AB165" s="222">
        <f t="shared" si="8"/>
        <v>1</v>
      </c>
      <c r="AC165" s="221">
        <v>1</v>
      </c>
      <c r="AD165" s="222">
        <v>1</v>
      </c>
      <c r="AE165" s="222">
        <v>1</v>
      </c>
      <c r="AF165" s="217"/>
      <c r="AG165" s="222">
        <v>1</v>
      </c>
      <c r="AH165" s="222">
        <v>1</v>
      </c>
      <c r="AI165" s="217"/>
      <c r="AJ165" s="222">
        <v>1</v>
      </c>
      <c r="AK165" s="222">
        <v>1</v>
      </c>
      <c r="AL165" s="222">
        <v>1</v>
      </c>
      <c r="AM165" s="222">
        <v>1</v>
      </c>
      <c r="AN165" s="222">
        <v>1</v>
      </c>
      <c r="AO165" s="222">
        <v>1</v>
      </c>
      <c r="AP165" s="222">
        <v>1</v>
      </c>
      <c r="AQ165" s="217"/>
      <c r="AR165" s="4"/>
      <c r="AS165" s="217" t="s">
        <v>337</v>
      </c>
      <c r="AT165" s="217"/>
      <c r="AU165" s="96" t="s">
        <v>1147</v>
      </c>
    </row>
    <row r="166" spans="1:47">
      <c r="A166" s="171" t="s">
        <v>1370</v>
      </c>
      <c r="B166" s="171" t="s">
        <v>160</v>
      </c>
      <c r="C166" s="171" t="s">
        <v>73</v>
      </c>
      <c r="D166" s="171" t="s">
        <v>1371</v>
      </c>
      <c r="E166" s="171" t="s">
        <v>162</v>
      </c>
      <c r="F166" s="171" t="s">
        <v>1372</v>
      </c>
      <c r="G166" s="171" t="s">
        <v>1373</v>
      </c>
      <c r="H166" s="171" t="s">
        <v>165</v>
      </c>
      <c r="I166" s="171">
        <v>202605.5</v>
      </c>
      <c r="J166" s="221">
        <v>5.25</v>
      </c>
      <c r="K166" s="171" t="s">
        <v>73</v>
      </c>
      <c r="L166" s="171" t="s">
        <v>1374</v>
      </c>
      <c r="M166" s="171" t="s">
        <v>1375</v>
      </c>
      <c r="N166" s="171" t="s">
        <v>1376</v>
      </c>
      <c r="O166" s="217"/>
      <c r="P166" s="171" t="s">
        <v>138</v>
      </c>
      <c r="Q166" s="171" t="s">
        <v>100</v>
      </c>
      <c r="R166" s="171" t="s">
        <v>262</v>
      </c>
      <c r="S166" s="171" t="s">
        <v>1282</v>
      </c>
      <c r="T166" s="171" t="s">
        <v>103</v>
      </c>
      <c r="U166" s="171" t="s">
        <v>264</v>
      </c>
      <c r="V166" s="171" t="s">
        <v>264</v>
      </c>
      <c r="W166" s="191" t="s">
        <v>19</v>
      </c>
      <c r="X166" s="217" t="s">
        <v>172</v>
      </c>
      <c r="Y166" s="171" t="s">
        <v>173</v>
      </c>
      <c r="Z166" s="171" t="s">
        <v>174</v>
      </c>
      <c r="AA166" s="171" t="s">
        <v>175</v>
      </c>
      <c r="AB166" s="222">
        <f t="shared" si="8"/>
        <v>1</v>
      </c>
      <c r="AC166" s="221">
        <v>1</v>
      </c>
      <c r="AD166" s="222">
        <v>1</v>
      </c>
      <c r="AE166" s="222">
        <v>1</v>
      </c>
      <c r="AF166" s="217"/>
      <c r="AG166" s="222">
        <v>1</v>
      </c>
      <c r="AH166" s="222">
        <v>1</v>
      </c>
      <c r="AI166" s="217"/>
      <c r="AJ166" s="222">
        <v>1</v>
      </c>
      <c r="AK166" s="222">
        <v>1</v>
      </c>
      <c r="AL166" s="222">
        <v>1</v>
      </c>
      <c r="AM166" s="222">
        <v>1</v>
      </c>
      <c r="AN166" s="222">
        <v>1</v>
      </c>
      <c r="AO166" s="222">
        <v>1</v>
      </c>
      <c r="AP166" s="222">
        <v>1</v>
      </c>
      <c r="AQ166" s="217"/>
      <c r="AR166" s="4"/>
      <c r="AS166" s="231"/>
      <c r="AT166" s="217"/>
      <c r="AU166" s="96" t="s">
        <v>1126</v>
      </c>
    </row>
    <row r="167" spans="1:47">
      <c r="A167" s="171" t="s">
        <v>1377</v>
      </c>
      <c r="B167" s="171" t="s">
        <v>160</v>
      </c>
      <c r="C167" s="171" t="s">
        <v>73</v>
      </c>
      <c r="D167" s="171" t="s">
        <v>1378</v>
      </c>
      <c r="E167" s="171" t="s">
        <v>162</v>
      </c>
      <c r="F167" s="171" t="s">
        <v>1379</v>
      </c>
      <c r="G167" s="171" t="s">
        <v>1380</v>
      </c>
      <c r="H167" s="171" t="s">
        <v>165</v>
      </c>
      <c r="I167" s="171">
        <v>202605.5</v>
      </c>
      <c r="J167" s="221">
        <v>5.25</v>
      </c>
      <c r="K167" s="171" t="s">
        <v>73</v>
      </c>
      <c r="L167" s="171" t="s">
        <v>1381</v>
      </c>
      <c r="M167" s="171" t="s">
        <v>1382</v>
      </c>
      <c r="N167" s="171" t="s">
        <v>1383</v>
      </c>
      <c r="O167" s="217"/>
      <c r="P167" s="171" t="s">
        <v>138</v>
      </c>
      <c r="Q167" s="171" t="s">
        <v>100</v>
      </c>
      <c r="R167" s="171" t="s">
        <v>262</v>
      </c>
      <c r="S167" s="171" t="s">
        <v>1282</v>
      </c>
      <c r="T167" s="171" t="s">
        <v>103</v>
      </c>
      <c r="U167" s="171" t="s">
        <v>264</v>
      </c>
      <c r="V167" s="171" t="s">
        <v>264</v>
      </c>
      <c r="W167" s="191" t="s">
        <v>19</v>
      </c>
      <c r="X167" s="217" t="s">
        <v>172</v>
      </c>
      <c r="Y167" s="171" t="s">
        <v>173</v>
      </c>
      <c r="Z167" s="171" t="s">
        <v>174</v>
      </c>
      <c r="AA167" s="171" t="s">
        <v>175</v>
      </c>
      <c r="AB167" s="222">
        <f t="shared" si="8"/>
        <v>1</v>
      </c>
      <c r="AC167" s="221">
        <v>1</v>
      </c>
      <c r="AD167" s="222">
        <v>1</v>
      </c>
      <c r="AE167" s="222">
        <v>1</v>
      </c>
      <c r="AF167" s="217"/>
      <c r="AG167" s="222">
        <v>1</v>
      </c>
      <c r="AH167" s="222">
        <v>1</v>
      </c>
      <c r="AI167" s="217"/>
      <c r="AJ167" s="222">
        <v>1</v>
      </c>
      <c r="AK167" s="222">
        <v>1</v>
      </c>
      <c r="AL167" s="222">
        <v>1</v>
      </c>
      <c r="AM167" s="222">
        <v>1</v>
      </c>
      <c r="AN167" s="222">
        <v>1</v>
      </c>
      <c r="AO167" s="222">
        <v>1</v>
      </c>
      <c r="AP167" s="222">
        <v>1</v>
      </c>
      <c r="AQ167" s="217"/>
      <c r="AR167" s="4"/>
      <c r="AS167" s="217" t="s">
        <v>184</v>
      </c>
      <c r="AT167" s="217"/>
      <c r="AU167" s="96" t="s">
        <v>1161</v>
      </c>
    </row>
    <row r="168" spans="1:47">
      <c r="A168" s="171" t="s">
        <v>1384</v>
      </c>
      <c r="B168" s="171" t="s">
        <v>160</v>
      </c>
      <c r="C168" s="171" t="s">
        <v>73</v>
      </c>
      <c r="D168" s="171" t="s">
        <v>1385</v>
      </c>
      <c r="E168" s="171" t="s">
        <v>162</v>
      </c>
      <c r="F168" s="171" t="s">
        <v>1386</v>
      </c>
      <c r="G168" s="171" t="s">
        <v>1387</v>
      </c>
      <c r="H168" s="171" t="s">
        <v>165</v>
      </c>
      <c r="I168" s="171">
        <v>202605.5</v>
      </c>
      <c r="J168" s="221">
        <v>5.25</v>
      </c>
      <c r="K168" s="171" t="s">
        <v>73</v>
      </c>
      <c r="L168" s="171" t="s">
        <v>1388</v>
      </c>
      <c r="M168" s="171" t="s">
        <v>1389</v>
      </c>
      <c r="N168" s="171" t="s">
        <v>1390</v>
      </c>
      <c r="O168" s="217"/>
      <c r="P168" s="171" t="s">
        <v>138</v>
      </c>
      <c r="Q168" s="171" t="s">
        <v>100</v>
      </c>
      <c r="R168" s="171" t="s">
        <v>262</v>
      </c>
      <c r="S168" s="171" t="s">
        <v>1282</v>
      </c>
      <c r="T168" s="171" t="s">
        <v>103</v>
      </c>
      <c r="U168" s="171" t="s">
        <v>264</v>
      </c>
      <c r="V168" s="171" t="s">
        <v>264</v>
      </c>
      <c r="W168" s="191" t="s">
        <v>19</v>
      </c>
      <c r="X168" s="217" t="s">
        <v>172</v>
      </c>
      <c r="Y168" s="171" t="s">
        <v>173</v>
      </c>
      <c r="Z168" s="171" t="s">
        <v>174</v>
      </c>
      <c r="AA168" s="171" t="s">
        <v>175</v>
      </c>
      <c r="AB168" s="222">
        <f t="shared" si="8"/>
        <v>1</v>
      </c>
      <c r="AC168" s="221">
        <v>1</v>
      </c>
      <c r="AD168" s="222">
        <v>1</v>
      </c>
      <c r="AE168" s="222">
        <v>1</v>
      </c>
      <c r="AF168" s="217"/>
      <c r="AG168" s="222">
        <v>1</v>
      </c>
      <c r="AH168" s="222">
        <v>1</v>
      </c>
      <c r="AI168" s="217"/>
      <c r="AJ168" s="222">
        <v>1</v>
      </c>
      <c r="AK168" s="222">
        <v>1</v>
      </c>
      <c r="AL168" s="222">
        <v>1</v>
      </c>
      <c r="AM168" s="222">
        <v>1</v>
      </c>
      <c r="AN168" s="222">
        <v>1</v>
      </c>
      <c r="AO168" s="222">
        <v>1</v>
      </c>
      <c r="AP168" s="222">
        <v>1</v>
      </c>
      <c r="AQ168" s="217"/>
      <c r="AR168" s="4"/>
      <c r="AS168" s="217" t="s">
        <v>195</v>
      </c>
      <c r="AT168" s="217"/>
      <c r="AU168" s="96" t="s">
        <v>1154</v>
      </c>
    </row>
    <row r="169" spans="1:47">
      <c r="A169" s="171" t="s">
        <v>1391</v>
      </c>
      <c r="B169" s="171" t="s">
        <v>160</v>
      </c>
      <c r="C169" s="171" t="s">
        <v>73</v>
      </c>
      <c r="D169" s="171" t="s">
        <v>1392</v>
      </c>
      <c r="E169" s="171" t="s">
        <v>162</v>
      </c>
      <c r="F169" s="171" t="s">
        <v>1393</v>
      </c>
      <c r="G169" s="171" t="s">
        <v>1394</v>
      </c>
      <c r="H169" s="171" t="s">
        <v>165</v>
      </c>
      <c r="I169" s="171">
        <v>202605.5</v>
      </c>
      <c r="J169" s="221">
        <v>5.25</v>
      </c>
      <c r="K169" s="171" t="s">
        <v>73</v>
      </c>
      <c r="L169" s="171" t="s">
        <v>1395</v>
      </c>
      <c r="M169" s="171" t="s">
        <v>1396</v>
      </c>
      <c r="N169" s="171" t="s">
        <v>1397</v>
      </c>
      <c r="O169" s="217"/>
      <c r="P169" s="171" t="s">
        <v>138</v>
      </c>
      <c r="Q169" s="171" t="s">
        <v>100</v>
      </c>
      <c r="R169" s="171" t="s">
        <v>262</v>
      </c>
      <c r="S169" s="171" t="s">
        <v>1282</v>
      </c>
      <c r="T169" s="171" t="s">
        <v>103</v>
      </c>
      <c r="U169" s="171" t="s">
        <v>264</v>
      </c>
      <c r="V169" s="171" t="s">
        <v>264</v>
      </c>
      <c r="W169" s="191" t="s">
        <v>19</v>
      </c>
      <c r="X169" s="217" t="s">
        <v>172</v>
      </c>
      <c r="Y169" s="171" t="s">
        <v>173</v>
      </c>
      <c r="Z169" s="171" t="s">
        <v>174</v>
      </c>
      <c r="AA169" s="171" t="s">
        <v>175</v>
      </c>
      <c r="AB169" s="222">
        <f t="shared" si="8"/>
        <v>1</v>
      </c>
      <c r="AC169" s="221">
        <v>1</v>
      </c>
      <c r="AD169" s="222">
        <v>1</v>
      </c>
      <c r="AE169" s="222">
        <v>1</v>
      </c>
      <c r="AF169" s="217"/>
      <c r="AG169" s="222">
        <v>1</v>
      </c>
      <c r="AH169" s="222">
        <v>1</v>
      </c>
      <c r="AI169" s="217"/>
      <c r="AJ169" s="222">
        <v>1</v>
      </c>
      <c r="AK169" s="222">
        <v>1</v>
      </c>
      <c r="AL169" s="222">
        <v>1</v>
      </c>
      <c r="AM169" s="222">
        <v>1</v>
      </c>
      <c r="AN169" s="222">
        <v>1</v>
      </c>
      <c r="AO169" s="222">
        <v>1</v>
      </c>
      <c r="AP169" s="222">
        <v>1</v>
      </c>
      <c r="AQ169" s="217"/>
      <c r="AR169" s="4"/>
      <c r="AS169" s="217" t="s">
        <v>204</v>
      </c>
      <c r="AT169" s="217"/>
      <c r="AU169" s="96" t="s">
        <v>1269</v>
      </c>
    </row>
    <row r="170" spans="1:47">
      <c r="A170" s="171" t="s">
        <v>1398</v>
      </c>
      <c r="B170" s="171" t="s">
        <v>160</v>
      </c>
      <c r="C170" s="171" t="s">
        <v>73</v>
      </c>
      <c r="D170" s="171" t="s">
        <v>1399</v>
      </c>
      <c r="E170" s="171" t="s">
        <v>162</v>
      </c>
      <c r="F170" s="171" t="s">
        <v>1400</v>
      </c>
      <c r="G170" s="171" t="s">
        <v>1401</v>
      </c>
      <c r="H170" s="171" t="s">
        <v>165</v>
      </c>
      <c r="I170" s="171">
        <v>202605.5</v>
      </c>
      <c r="J170" s="221">
        <v>5.25</v>
      </c>
      <c r="K170" s="171" t="s">
        <v>73</v>
      </c>
      <c r="L170" s="171" t="s">
        <v>1402</v>
      </c>
      <c r="M170" s="171" t="s">
        <v>1403</v>
      </c>
      <c r="N170" s="171" t="s">
        <v>1404</v>
      </c>
      <c r="O170" s="217"/>
      <c r="P170" s="171" t="s">
        <v>138</v>
      </c>
      <c r="Q170" s="171" t="s">
        <v>100</v>
      </c>
      <c r="R170" s="171" t="s">
        <v>262</v>
      </c>
      <c r="S170" s="171" t="s">
        <v>1282</v>
      </c>
      <c r="T170" s="171" t="s">
        <v>103</v>
      </c>
      <c r="U170" s="171" t="s">
        <v>264</v>
      </c>
      <c r="V170" s="171" t="s">
        <v>264</v>
      </c>
      <c r="W170" s="191" t="s">
        <v>19</v>
      </c>
      <c r="X170" s="217" t="s">
        <v>172</v>
      </c>
      <c r="Y170" s="171" t="s">
        <v>173</v>
      </c>
      <c r="Z170" s="171" t="s">
        <v>174</v>
      </c>
      <c r="AA170" s="171" t="s">
        <v>175</v>
      </c>
      <c r="AB170" s="222">
        <f t="shared" si="8"/>
        <v>1</v>
      </c>
      <c r="AC170" s="221">
        <v>1</v>
      </c>
      <c r="AD170" s="222">
        <v>1</v>
      </c>
      <c r="AE170" s="222">
        <v>1</v>
      </c>
      <c r="AF170" s="217"/>
      <c r="AG170" s="222">
        <v>1</v>
      </c>
      <c r="AH170" s="222">
        <v>1</v>
      </c>
      <c r="AI170" s="217"/>
      <c r="AJ170" s="222">
        <v>1</v>
      </c>
      <c r="AK170" s="222">
        <v>1</v>
      </c>
      <c r="AL170" s="222">
        <v>1</v>
      </c>
      <c r="AM170" s="222">
        <v>1</v>
      </c>
      <c r="AN170" s="222">
        <v>1</v>
      </c>
      <c r="AO170" s="222">
        <v>1</v>
      </c>
      <c r="AP170" s="222">
        <v>1</v>
      </c>
      <c r="AQ170" s="217"/>
      <c r="AR170" s="4"/>
      <c r="AS170" s="217" t="s">
        <v>213</v>
      </c>
      <c r="AT170" s="217"/>
      <c r="AU170" s="96" t="s">
        <v>1098</v>
      </c>
    </row>
    <row r="171" spans="1:47">
      <c r="A171" s="171" t="s">
        <v>1405</v>
      </c>
      <c r="B171" s="171" t="s">
        <v>160</v>
      </c>
      <c r="C171" s="171" t="s">
        <v>73</v>
      </c>
      <c r="D171" s="171" t="s">
        <v>1406</v>
      </c>
      <c r="E171" s="171" t="s">
        <v>499</v>
      </c>
      <c r="F171" s="171" t="s">
        <v>1407</v>
      </c>
      <c r="G171" s="171" t="s">
        <v>1408</v>
      </c>
      <c r="H171" s="171" t="s">
        <v>165</v>
      </c>
      <c r="I171" s="171">
        <v>202605.5</v>
      </c>
      <c r="J171" s="221">
        <v>5.25</v>
      </c>
      <c r="K171" s="171" t="s">
        <v>73</v>
      </c>
      <c r="L171" s="171" t="s">
        <v>1409</v>
      </c>
      <c r="M171" s="171" t="s">
        <v>1410</v>
      </c>
      <c r="N171" s="171" t="s">
        <v>1411</v>
      </c>
      <c r="O171" s="217"/>
      <c r="P171" s="171" t="s">
        <v>138</v>
      </c>
      <c r="Q171" s="171" t="s">
        <v>100</v>
      </c>
      <c r="R171" s="171" t="s">
        <v>262</v>
      </c>
      <c r="S171" s="171" t="s">
        <v>1282</v>
      </c>
      <c r="T171" s="171" t="s">
        <v>103</v>
      </c>
      <c r="U171" s="171" t="s">
        <v>264</v>
      </c>
      <c r="V171" s="171" t="s">
        <v>264</v>
      </c>
      <c r="W171" s="191" t="s">
        <v>19</v>
      </c>
      <c r="X171" s="217" t="s">
        <v>172</v>
      </c>
      <c r="Y171" s="171" t="s">
        <v>173</v>
      </c>
      <c r="Z171" s="171" t="s">
        <v>174</v>
      </c>
      <c r="AA171" s="171" t="s">
        <v>175</v>
      </c>
      <c r="AB171" s="222">
        <f t="shared" si="8"/>
        <v>1</v>
      </c>
      <c r="AC171" s="221">
        <v>1</v>
      </c>
      <c r="AD171" s="222">
        <v>1</v>
      </c>
      <c r="AE171" s="222">
        <v>1</v>
      </c>
      <c r="AF171" s="217"/>
      <c r="AG171" s="222">
        <v>1</v>
      </c>
      <c r="AH171" s="222">
        <v>1</v>
      </c>
      <c r="AI171" s="217"/>
      <c r="AJ171" s="222">
        <v>1</v>
      </c>
      <c r="AK171" s="222">
        <v>1</v>
      </c>
      <c r="AL171" s="222">
        <v>1</v>
      </c>
      <c r="AM171" s="222">
        <v>1</v>
      </c>
      <c r="AN171" s="222">
        <v>1</v>
      </c>
      <c r="AO171" s="222">
        <v>1</v>
      </c>
      <c r="AP171" s="222">
        <v>1</v>
      </c>
      <c r="AQ171" s="217"/>
      <c r="AR171" s="4"/>
      <c r="AS171" s="217" t="s">
        <v>221</v>
      </c>
      <c r="AT171" s="217"/>
      <c r="AU171" s="96" t="s">
        <v>1214</v>
      </c>
    </row>
    <row r="172" spans="1:47">
      <c r="A172" s="171" t="s">
        <v>1412</v>
      </c>
      <c r="B172" s="171" t="s">
        <v>160</v>
      </c>
      <c r="C172" s="171" t="s">
        <v>73</v>
      </c>
      <c r="D172" s="171" t="s">
        <v>1413</v>
      </c>
      <c r="E172" s="171" t="s">
        <v>162</v>
      </c>
      <c r="F172" s="171" t="s">
        <v>1414</v>
      </c>
      <c r="G172" s="171" t="s">
        <v>1415</v>
      </c>
      <c r="H172" s="171" t="s">
        <v>165</v>
      </c>
      <c r="I172" s="171">
        <v>202605.5</v>
      </c>
      <c r="J172" s="221">
        <v>5.25</v>
      </c>
      <c r="K172" s="171" t="s">
        <v>73</v>
      </c>
      <c r="L172" s="171" t="s">
        <v>1416</v>
      </c>
      <c r="M172" s="171" t="s">
        <v>1417</v>
      </c>
      <c r="N172" s="171" t="s">
        <v>1418</v>
      </c>
      <c r="O172" s="217"/>
      <c r="P172" s="171" t="s">
        <v>138</v>
      </c>
      <c r="Q172" s="171" t="s">
        <v>100</v>
      </c>
      <c r="R172" s="171" t="s">
        <v>262</v>
      </c>
      <c r="S172" s="171" t="s">
        <v>1282</v>
      </c>
      <c r="T172" s="171" t="s">
        <v>103</v>
      </c>
      <c r="U172" s="171" t="s">
        <v>264</v>
      </c>
      <c r="V172" s="171" t="s">
        <v>264</v>
      </c>
      <c r="W172" s="191" t="s">
        <v>19</v>
      </c>
      <c r="X172" s="217" t="s">
        <v>172</v>
      </c>
      <c r="Y172" s="171" t="s">
        <v>173</v>
      </c>
      <c r="Z172" s="171" t="s">
        <v>174</v>
      </c>
      <c r="AA172" s="171" t="s">
        <v>175</v>
      </c>
      <c r="AB172" s="222">
        <f t="shared" si="8"/>
        <v>1</v>
      </c>
      <c r="AC172" s="221">
        <v>1</v>
      </c>
      <c r="AD172" s="222">
        <v>1</v>
      </c>
      <c r="AE172" s="222">
        <v>1</v>
      </c>
      <c r="AF172" s="217"/>
      <c r="AG172" s="222">
        <v>1</v>
      </c>
      <c r="AH172" s="222">
        <v>1</v>
      </c>
      <c r="AI172" s="217"/>
      <c r="AJ172" s="222">
        <v>1</v>
      </c>
      <c r="AK172" s="222">
        <v>1</v>
      </c>
      <c r="AL172" s="222">
        <v>1</v>
      </c>
      <c r="AM172" s="222">
        <v>1</v>
      </c>
      <c r="AN172" s="222">
        <v>1</v>
      </c>
      <c r="AO172" s="222">
        <v>1</v>
      </c>
      <c r="AP172" s="222">
        <v>1</v>
      </c>
      <c r="AQ172" s="217"/>
      <c r="AR172" s="4"/>
      <c r="AS172" s="217" t="s">
        <v>229</v>
      </c>
      <c r="AT172" s="217"/>
      <c r="AU172" s="96" t="s">
        <v>1119</v>
      </c>
    </row>
    <row r="173" spans="1:47">
      <c r="A173" s="171" t="s">
        <v>1419</v>
      </c>
      <c r="B173" s="171" t="s">
        <v>160</v>
      </c>
      <c r="C173" s="171" t="s">
        <v>73</v>
      </c>
      <c r="D173" s="171" t="s">
        <v>1420</v>
      </c>
      <c r="E173" s="171" t="s">
        <v>162</v>
      </c>
      <c r="F173" s="171" t="s">
        <v>1421</v>
      </c>
      <c r="G173" s="171" t="s">
        <v>1422</v>
      </c>
      <c r="H173" s="171" t="s">
        <v>165</v>
      </c>
      <c r="I173" s="171">
        <v>202605.5</v>
      </c>
      <c r="J173" s="221">
        <v>5.25</v>
      </c>
      <c r="K173" s="171" t="s">
        <v>73</v>
      </c>
      <c r="L173" s="171" t="s">
        <v>1423</v>
      </c>
      <c r="M173" s="171" t="s">
        <v>1424</v>
      </c>
      <c r="N173" s="171" t="s">
        <v>1425</v>
      </c>
      <c r="O173" s="217"/>
      <c r="P173" s="171" t="s">
        <v>138</v>
      </c>
      <c r="Q173" s="171" t="s">
        <v>100</v>
      </c>
      <c r="R173" s="171" t="s">
        <v>262</v>
      </c>
      <c r="S173" s="171" t="s">
        <v>1282</v>
      </c>
      <c r="T173" s="171" t="s">
        <v>103</v>
      </c>
      <c r="U173" s="171" t="s">
        <v>264</v>
      </c>
      <c r="V173" s="171" t="s">
        <v>264</v>
      </c>
      <c r="W173" s="191" t="s">
        <v>19</v>
      </c>
      <c r="X173" s="217" t="s">
        <v>172</v>
      </c>
      <c r="Y173" s="171" t="s">
        <v>173</v>
      </c>
      <c r="Z173" s="171" t="s">
        <v>174</v>
      </c>
      <c r="AA173" s="171" t="s">
        <v>175</v>
      </c>
      <c r="AB173" s="222">
        <f t="shared" si="8"/>
        <v>1</v>
      </c>
      <c r="AC173" s="221">
        <v>1</v>
      </c>
      <c r="AD173" s="222">
        <v>1</v>
      </c>
      <c r="AE173" s="222">
        <v>1</v>
      </c>
      <c r="AF173" s="217"/>
      <c r="AG173" s="222">
        <v>1</v>
      </c>
      <c r="AH173" s="222">
        <v>1</v>
      </c>
      <c r="AI173" s="217"/>
      <c r="AJ173" s="222">
        <v>1</v>
      </c>
      <c r="AK173" s="222">
        <v>1</v>
      </c>
      <c r="AL173" s="222">
        <v>1</v>
      </c>
      <c r="AM173" s="222">
        <v>1</v>
      </c>
      <c r="AN173" s="222">
        <v>1</v>
      </c>
      <c r="AO173" s="222">
        <v>1</v>
      </c>
      <c r="AP173" s="222">
        <v>1</v>
      </c>
      <c r="AQ173" s="217"/>
      <c r="AR173" s="4"/>
      <c r="AS173" s="217" t="s">
        <v>237</v>
      </c>
      <c r="AT173" s="217"/>
      <c r="AU173" s="96" t="s">
        <v>1182</v>
      </c>
    </row>
    <row r="174" spans="1:47">
      <c r="A174" s="171" t="s">
        <v>1426</v>
      </c>
      <c r="B174" s="171" t="s">
        <v>160</v>
      </c>
      <c r="C174" s="171" t="s">
        <v>73</v>
      </c>
      <c r="D174" s="171" t="s">
        <v>1427</v>
      </c>
      <c r="E174" s="171" t="s">
        <v>162</v>
      </c>
      <c r="F174" s="171" t="s">
        <v>1428</v>
      </c>
      <c r="G174" s="171" t="s">
        <v>1429</v>
      </c>
      <c r="H174" s="171" t="s">
        <v>165</v>
      </c>
      <c r="I174" s="171">
        <v>202605.5</v>
      </c>
      <c r="J174" s="221">
        <v>5.25</v>
      </c>
      <c r="K174" s="171" t="s">
        <v>73</v>
      </c>
      <c r="L174" s="171" t="s">
        <v>1430</v>
      </c>
      <c r="M174" s="171" t="s">
        <v>1431</v>
      </c>
      <c r="N174" s="171" t="s">
        <v>1432</v>
      </c>
      <c r="O174" s="217"/>
      <c r="P174" s="171" t="s">
        <v>138</v>
      </c>
      <c r="Q174" s="171" t="s">
        <v>100</v>
      </c>
      <c r="R174" s="171" t="s">
        <v>262</v>
      </c>
      <c r="S174" s="171" t="s">
        <v>1282</v>
      </c>
      <c r="T174" s="171" t="s">
        <v>103</v>
      </c>
      <c r="U174" s="171" t="s">
        <v>264</v>
      </c>
      <c r="V174" s="171" t="s">
        <v>264</v>
      </c>
      <c r="W174" s="191" t="s">
        <v>19</v>
      </c>
      <c r="X174" s="217" t="s">
        <v>172</v>
      </c>
      <c r="Y174" s="171" t="s">
        <v>173</v>
      </c>
      <c r="Z174" s="171" t="s">
        <v>174</v>
      </c>
      <c r="AA174" s="171" t="s">
        <v>175</v>
      </c>
      <c r="AB174" s="222">
        <f t="shared" si="8"/>
        <v>1</v>
      </c>
      <c r="AC174" s="221">
        <v>1</v>
      </c>
      <c r="AD174" s="222">
        <v>1</v>
      </c>
      <c r="AE174" s="222">
        <v>1</v>
      </c>
      <c r="AF174" s="217"/>
      <c r="AG174" s="222">
        <v>1</v>
      </c>
      <c r="AH174" s="222">
        <v>1</v>
      </c>
      <c r="AI174" s="217"/>
      <c r="AJ174" s="222">
        <v>1</v>
      </c>
      <c r="AK174" s="222">
        <v>1</v>
      </c>
      <c r="AL174" s="222">
        <v>1</v>
      </c>
      <c r="AM174" s="222">
        <v>1</v>
      </c>
      <c r="AN174" s="222">
        <v>1</v>
      </c>
      <c r="AO174" s="222">
        <v>1</v>
      </c>
      <c r="AP174" s="222">
        <v>1</v>
      </c>
      <c r="AQ174" s="217"/>
      <c r="AR174" s="4"/>
      <c r="AS174" s="217" t="s">
        <v>245</v>
      </c>
      <c r="AT174" s="217"/>
      <c r="AU174" s="96" t="s">
        <v>1168</v>
      </c>
    </row>
    <row r="175" spans="1:47">
      <c r="A175" s="171" t="s">
        <v>1433</v>
      </c>
      <c r="B175" s="171" t="s">
        <v>160</v>
      </c>
      <c r="C175" s="171" t="s">
        <v>73</v>
      </c>
      <c r="D175" s="171" t="s">
        <v>1434</v>
      </c>
      <c r="E175" s="171" t="s">
        <v>162</v>
      </c>
      <c r="F175" s="171" t="s">
        <v>1435</v>
      </c>
      <c r="G175" s="171" t="s">
        <v>1436</v>
      </c>
      <c r="H175" s="171" t="s">
        <v>165</v>
      </c>
      <c r="I175" s="171">
        <v>202605.5</v>
      </c>
      <c r="J175" s="221">
        <v>5.25</v>
      </c>
      <c r="K175" s="171" t="s">
        <v>73</v>
      </c>
      <c r="L175" s="171" t="s">
        <v>1437</v>
      </c>
      <c r="M175" s="171" t="s">
        <v>1438</v>
      </c>
      <c r="N175" s="171" t="s">
        <v>1439</v>
      </c>
      <c r="O175" s="217"/>
      <c r="P175" s="171" t="s">
        <v>138</v>
      </c>
      <c r="Q175" s="171" t="s">
        <v>100</v>
      </c>
      <c r="R175" s="171" t="s">
        <v>262</v>
      </c>
      <c r="S175" s="171" t="s">
        <v>1282</v>
      </c>
      <c r="T175" s="171" t="s">
        <v>103</v>
      </c>
      <c r="U175" s="171" t="s">
        <v>264</v>
      </c>
      <c r="V175" s="171" t="s">
        <v>264</v>
      </c>
      <c r="W175" s="191" t="s">
        <v>19</v>
      </c>
      <c r="X175" s="217" t="s">
        <v>172</v>
      </c>
      <c r="Y175" s="171" t="s">
        <v>173</v>
      </c>
      <c r="Z175" s="171" t="s">
        <v>174</v>
      </c>
      <c r="AA175" s="171" t="s">
        <v>175</v>
      </c>
      <c r="AB175" s="222">
        <f t="shared" si="8"/>
        <v>1</v>
      </c>
      <c r="AC175" s="221">
        <v>1</v>
      </c>
      <c r="AD175" s="222">
        <v>1</v>
      </c>
      <c r="AE175" s="222">
        <v>1</v>
      </c>
      <c r="AF175" s="217"/>
      <c r="AG175" s="222">
        <v>1</v>
      </c>
      <c r="AH175" s="222">
        <v>1</v>
      </c>
      <c r="AI175" s="217"/>
      <c r="AJ175" s="222">
        <v>1</v>
      </c>
      <c r="AK175" s="222">
        <v>1</v>
      </c>
      <c r="AL175" s="222">
        <v>1</v>
      </c>
      <c r="AM175" s="222">
        <v>1</v>
      </c>
      <c r="AN175" s="222">
        <v>1</v>
      </c>
      <c r="AO175" s="222">
        <v>1</v>
      </c>
      <c r="AP175" s="222">
        <v>1</v>
      </c>
      <c r="AQ175" s="217"/>
      <c r="AR175" s="4"/>
      <c r="AS175" s="217" t="s">
        <v>254</v>
      </c>
      <c r="AT175" s="217"/>
      <c r="AU175" s="96" t="s">
        <v>1112</v>
      </c>
    </row>
    <row r="176" spans="1:47">
      <c r="A176" s="171" t="s">
        <v>1440</v>
      </c>
      <c r="B176" s="171" t="s">
        <v>160</v>
      </c>
      <c r="C176" s="171" t="s">
        <v>73</v>
      </c>
      <c r="D176" s="171" t="s">
        <v>1441</v>
      </c>
      <c r="E176" s="171" t="s">
        <v>162</v>
      </c>
      <c r="F176" s="171" t="s">
        <v>1442</v>
      </c>
      <c r="G176" s="171" t="s">
        <v>1443</v>
      </c>
      <c r="H176" s="171" t="s">
        <v>165</v>
      </c>
      <c r="I176" s="171">
        <v>202605.5</v>
      </c>
      <c r="J176" s="221">
        <v>5.25</v>
      </c>
      <c r="K176" s="171" t="s">
        <v>73</v>
      </c>
      <c r="L176" s="171" t="s">
        <v>1444</v>
      </c>
      <c r="M176" s="171" t="s">
        <v>1445</v>
      </c>
      <c r="N176" s="171" t="s">
        <v>1446</v>
      </c>
      <c r="O176" s="217"/>
      <c r="P176" s="171" t="s">
        <v>138</v>
      </c>
      <c r="Q176" s="171" t="s">
        <v>100</v>
      </c>
      <c r="R176" s="171" t="s">
        <v>262</v>
      </c>
      <c r="S176" s="171" t="s">
        <v>1282</v>
      </c>
      <c r="T176" s="171" t="s">
        <v>103</v>
      </c>
      <c r="U176" s="171" t="s">
        <v>264</v>
      </c>
      <c r="V176" s="171" t="s">
        <v>264</v>
      </c>
      <c r="W176" s="191" t="s">
        <v>19</v>
      </c>
      <c r="X176" s="217" t="s">
        <v>172</v>
      </c>
      <c r="Y176" s="171" t="s">
        <v>173</v>
      </c>
      <c r="Z176" s="171" t="s">
        <v>174</v>
      </c>
      <c r="AA176" s="171" t="s">
        <v>175</v>
      </c>
      <c r="AB176" s="222">
        <f t="shared" si="8"/>
        <v>1</v>
      </c>
      <c r="AC176" s="221">
        <v>1</v>
      </c>
      <c r="AD176" s="222">
        <v>1</v>
      </c>
      <c r="AE176" s="222">
        <v>1</v>
      </c>
      <c r="AF176" s="217"/>
      <c r="AG176" s="222">
        <v>1</v>
      </c>
      <c r="AH176" s="222">
        <v>1</v>
      </c>
      <c r="AI176" s="217"/>
      <c r="AJ176" s="222">
        <v>1</v>
      </c>
      <c r="AK176" s="222">
        <v>1</v>
      </c>
      <c r="AL176" s="222">
        <v>1</v>
      </c>
      <c r="AM176" s="222">
        <v>1</v>
      </c>
      <c r="AN176" s="222">
        <v>1</v>
      </c>
      <c r="AO176" s="222">
        <v>1</v>
      </c>
      <c r="AP176" s="222">
        <v>1</v>
      </c>
      <c r="AQ176" s="217"/>
      <c r="AR176" s="4"/>
      <c r="AS176" s="217" t="s">
        <v>265</v>
      </c>
      <c r="AT176" s="217"/>
      <c r="AU176" s="96" t="s">
        <v>1261</v>
      </c>
    </row>
    <row r="177" spans="1:47">
      <c r="A177" s="171" t="s">
        <v>1447</v>
      </c>
      <c r="B177" s="171" t="s">
        <v>160</v>
      </c>
      <c r="C177" s="171" t="s">
        <v>73</v>
      </c>
      <c r="D177" s="171" t="s">
        <v>1448</v>
      </c>
      <c r="E177" s="171" t="s">
        <v>162</v>
      </c>
      <c r="F177" s="171" t="s">
        <v>1449</v>
      </c>
      <c r="G177" s="171" t="s">
        <v>1450</v>
      </c>
      <c r="H177" s="171" t="s">
        <v>165</v>
      </c>
      <c r="I177" s="171">
        <v>202605.5</v>
      </c>
      <c r="J177" s="221">
        <v>5.25</v>
      </c>
      <c r="K177" s="171" t="s">
        <v>73</v>
      </c>
      <c r="L177" s="171" t="s">
        <v>1451</v>
      </c>
      <c r="M177" s="171" t="s">
        <v>1452</v>
      </c>
      <c r="N177" s="171" t="s">
        <v>1453</v>
      </c>
      <c r="O177" s="217"/>
      <c r="P177" s="171" t="s">
        <v>138</v>
      </c>
      <c r="Q177" s="171" t="s">
        <v>100</v>
      </c>
      <c r="R177" s="171" t="s">
        <v>262</v>
      </c>
      <c r="S177" s="171" t="s">
        <v>1282</v>
      </c>
      <c r="T177" s="171" t="s">
        <v>103</v>
      </c>
      <c r="U177" s="171" t="s">
        <v>264</v>
      </c>
      <c r="V177" s="171" t="s">
        <v>264</v>
      </c>
      <c r="W177" s="191" t="s">
        <v>19</v>
      </c>
      <c r="X177" s="217" t="s">
        <v>172</v>
      </c>
      <c r="Y177" s="171" t="s">
        <v>173</v>
      </c>
      <c r="Z177" s="171" t="s">
        <v>174</v>
      </c>
      <c r="AA177" s="171" t="s">
        <v>175</v>
      </c>
      <c r="AB177" s="222">
        <f t="shared" si="8"/>
        <v>1</v>
      </c>
      <c r="AC177" s="221">
        <v>1</v>
      </c>
      <c r="AD177" s="222">
        <v>1</v>
      </c>
      <c r="AE177" s="222">
        <v>1</v>
      </c>
      <c r="AF177" s="217"/>
      <c r="AG177" s="222">
        <v>1</v>
      </c>
      <c r="AH177" s="222">
        <v>1</v>
      </c>
      <c r="AI177" s="217"/>
      <c r="AJ177" s="222">
        <v>1</v>
      </c>
      <c r="AK177" s="222">
        <v>1</v>
      </c>
      <c r="AL177" s="222">
        <v>1</v>
      </c>
      <c r="AM177" s="222">
        <v>1</v>
      </c>
      <c r="AN177" s="222">
        <v>1</v>
      </c>
      <c r="AO177" s="222">
        <v>1</v>
      </c>
      <c r="AP177" s="222">
        <v>1</v>
      </c>
      <c r="AQ177" s="217"/>
      <c r="AR177" s="4"/>
      <c r="AS177" s="217" t="s">
        <v>272</v>
      </c>
      <c r="AT177" s="217"/>
      <c r="AU177" s="96" t="s">
        <v>1140</v>
      </c>
    </row>
    <row r="178" spans="1:47">
      <c r="A178" s="171" t="s">
        <v>1454</v>
      </c>
      <c r="B178" s="171" t="s">
        <v>160</v>
      </c>
      <c r="C178" s="171" t="s">
        <v>73</v>
      </c>
      <c r="D178" s="171" t="s">
        <v>1455</v>
      </c>
      <c r="E178" s="171" t="s">
        <v>499</v>
      </c>
      <c r="F178" s="171" t="s">
        <v>1456</v>
      </c>
      <c r="G178" s="171" t="s">
        <v>1457</v>
      </c>
      <c r="H178" s="171" t="s">
        <v>165</v>
      </c>
      <c r="I178" s="171">
        <v>202605.5</v>
      </c>
      <c r="J178" s="221">
        <v>5.25</v>
      </c>
      <c r="K178" s="171" t="s">
        <v>73</v>
      </c>
      <c r="L178" s="171" t="s">
        <v>1458</v>
      </c>
      <c r="M178" s="171" t="s">
        <v>1459</v>
      </c>
      <c r="N178" s="171" t="s">
        <v>1460</v>
      </c>
      <c r="O178" s="217"/>
      <c r="P178" s="171" t="s">
        <v>138</v>
      </c>
      <c r="Q178" s="171" t="s">
        <v>100</v>
      </c>
      <c r="R178" s="171" t="s">
        <v>262</v>
      </c>
      <c r="S178" s="171" t="s">
        <v>1461</v>
      </c>
      <c r="T178" s="171" t="s">
        <v>103</v>
      </c>
      <c r="U178" s="171" t="s">
        <v>264</v>
      </c>
      <c r="V178" s="171" t="s">
        <v>264</v>
      </c>
      <c r="W178" s="191" t="s">
        <v>21</v>
      </c>
      <c r="X178" s="217" t="s">
        <v>172</v>
      </c>
      <c r="Y178" s="171" t="s">
        <v>173</v>
      </c>
      <c r="Z178" s="171" t="s">
        <v>174</v>
      </c>
      <c r="AA178" s="171" t="s">
        <v>175</v>
      </c>
      <c r="AB178" s="222">
        <f t="shared" si="8"/>
        <v>1</v>
      </c>
      <c r="AC178" s="221">
        <v>1</v>
      </c>
      <c r="AD178" s="222">
        <v>1</v>
      </c>
      <c r="AE178" s="222">
        <v>1</v>
      </c>
      <c r="AF178" s="232"/>
      <c r="AG178" s="217"/>
      <c r="AH178" s="222">
        <v>1</v>
      </c>
      <c r="AI178" s="217"/>
      <c r="AJ178" s="222">
        <v>1</v>
      </c>
      <c r="AK178" s="222">
        <v>1</v>
      </c>
      <c r="AL178" s="222">
        <v>1</v>
      </c>
      <c r="AM178" s="222">
        <v>1</v>
      </c>
      <c r="AN178" s="222">
        <v>1</v>
      </c>
      <c r="AO178" s="222">
        <v>1</v>
      </c>
      <c r="AP178" s="222">
        <v>1</v>
      </c>
      <c r="AQ178" s="217"/>
      <c r="AS178" s="217" t="s">
        <v>279</v>
      </c>
      <c r="AT178" s="217"/>
      <c r="AU178" s="96" t="s">
        <v>1238</v>
      </c>
    </row>
    <row r="179" spans="1:47">
      <c r="A179" s="171" t="s">
        <v>1462</v>
      </c>
      <c r="B179" s="171" t="s">
        <v>160</v>
      </c>
      <c r="C179" s="171" t="s">
        <v>73</v>
      </c>
      <c r="D179" s="171" t="s">
        <v>1463</v>
      </c>
      <c r="E179" s="171" t="s">
        <v>499</v>
      </c>
      <c r="F179" s="171" t="s">
        <v>1464</v>
      </c>
      <c r="G179" s="171" t="s">
        <v>1465</v>
      </c>
      <c r="H179" s="171" t="s">
        <v>165</v>
      </c>
      <c r="I179" s="171">
        <v>202605.5</v>
      </c>
      <c r="J179" s="221">
        <v>5.25</v>
      </c>
      <c r="K179" s="171" t="s">
        <v>73</v>
      </c>
      <c r="L179" s="171" t="s">
        <v>1466</v>
      </c>
      <c r="M179" s="171" t="s">
        <v>1467</v>
      </c>
      <c r="N179" s="171" t="s">
        <v>1468</v>
      </c>
      <c r="O179" s="217"/>
      <c r="P179" s="171" t="s">
        <v>138</v>
      </c>
      <c r="Q179" s="171" t="s">
        <v>100</v>
      </c>
      <c r="R179" s="171" t="s">
        <v>262</v>
      </c>
      <c r="S179" s="171" t="s">
        <v>1461</v>
      </c>
      <c r="T179" s="171" t="s">
        <v>103</v>
      </c>
      <c r="U179" s="171" t="s">
        <v>264</v>
      </c>
      <c r="V179" s="171" t="s">
        <v>264</v>
      </c>
      <c r="W179" s="191" t="s">
        <v>21</v>
      </c>
      <c r="X179" s="217" t="s">
        <v>172</v>
      </c>
      <c r="Y179" s="171" t="s">
        <v>173</v>
      </c>
      <c r="Z179" s="171" t="s">
        <v>174</v>
      </c>
      <c r="AA179" s="171" t="s">
        <v>175</v>
      </c>
      <c r="AB179" s="222">
        <f t="shared" si="8"/>
        <v>1</v>
      </c>
      <c r="AC179" s="221">
        <v>1</v>
      </c>
      <c r="AD179" s="222">
        <v>1</v>
      </c>
      <c r="AE179" s="222">
        <v>1</v>
      </c>
      <c r="AF179" s="217"/>
      <c r="AG179" s="217"/>
      <c r="AH179" s="222">
        <v>1</v>
      </c>
      <c r="AI179" s="217"/>
      <c r="AJ179" s="222">
        <v>1</v>
      </c>
      <c r="AK179" s="222">
        <v>1</v>
      </c>
      <c r="AL179" s="222">
        <v>1</v>
      </c>
      <c r="AM179" s="222">
        <v>1</v>
      </c>
      <c r="AN179" s="222">
        <v>1</v>
      </c>
      <c r="AO179" s="222">
        <v>1</v>
      </c>
      <c r="AP179" s="222">
        <v>1</v>
      </c>
      <c r="AQ179" s="217"/>
      <c r="AS179" s="217" t="s">
        <v>288</v>
      </c>
      <c r="AT179" s="217"/>
      <c r="AU179" s="96" t="s">
        <v>1105</v>
      </c>
    </row>
    <row r="180" spans="1:47">
      <c r="A180" s="171" t="s">
        <v>1469</v>
      </c>
      <c r="B180" s="171" t="s">
        <v>160</v>
      </c>
      <c r="C180" s="171" t="s">
        <v>73</v>
      </c>
      <c r="D180" s="171" t="s">
        <v>1470</v>
      </c>
      <c r="E180" s="171" t="s">
        <v>162</v>
      </c>
      <c r="F180" s="171" t="s">
        <v>1471</v>
      </c>
      <c r="G180" s="171" t="s">
        <v>1472</v>
      </c>
      <c r="H180" s="171" t="s">
        <v>165</v>
      </c>
      <c r="I180" s="171">
        <v>202605.5</v>
      </c>
      <c r="J180" s="221">
        <v>5.25</v>
      </c>
      <c r="K180" s="171" t="s">
        <v>73</v>
      </c>
      <c r="L180" s="171" t="s">
        <v>1473</v>
      </c>
      <c r="M180" s="171" t="s">
        <v>1474</v>
      </c>
      <c r="N180" s="171" t="s">
        <v>1475</v>
      </c>
      <c r="O180" s="217"/>
      <c r="P180" s="171" t="s">
        <v>138</v>
      </c>
      <c r="Q180" s="171" t="s">
        <v>100</v>
      </c>
      <c r="R180" s="171" t="s">
        <v>262</v>
      </c>
      <c r="S180" s="171" t="s">
        <v>1461</v>
      </c>
      <c r="T180" s="171" t="s">
        <v>103</v>
      </c>
      <c r="U180" s="171" t="s">
        <v>264</v>
      </c>
      <c r="V180" s="171" t="s">
        <v>264</v>
      </c>
      <c r="W180" s="191" t="s">
        <v>21</v>
      </c>
      <c r="X180" s="217" t="s">
        <v>172</v>
      </c>
      <c r="Y180" s="171" t="s">
        <v>173</v>
      </c>
      <c r="Z180" s="171" t="s">
        <v>174</v>
      </c>
      <c r="AA180" s="171" t="s">
        <v>175</v>
      </c>
      <c r="AB180" s="222">
        <f t="shared" si="8"/>
        <v>1</v>
      </c>
      <c r="AC180" s="221">
        <v>1</v>
      </c>
      <c r="AD180" s="222">
        <v>1</v>
      </c>
      <c r="AE180" s="222">
        <v>1</v>
      </c>
      <c r="AF180" s="217"/>
      <c r="AG180" s="217"/>
      <c r="AH180" s="222">
        <v>1</v>
      </c>
      <c r="AI180" s="217"/>
      <c r="AJ180" s="222">
        <v>1</v>
      </c>
      <c r="AK180" s="222">
        <v>1</v>
      </c>
      <c r="AL180" s="222">
        <v>1</v>
      </c>
      <c r="AM180" s="222">
        <v>1</v>
      </c>
      <c r="AN180" s="222">
        <v>1</v>
      </c>
      <c r="AO180" s="222">
        <v>1</v>
      </c>
      <c r="AP180" s="222">
        <v>1</v>
      </c>
      <c r="AQ180" s="217"/>
      <c r="AS180" s="217" t="s">
        <v>297</v>
      </c>
      <c r="AT180" s="217"/>
      <c r="AU180" s="96" t="s">
        <v>1189</v>
      </c>
    </row>
    <row r="181" spans="1:47">
      <c r="A181" s="171" t="s">
        <v>1476</v>
      </c>
      <c r="B181" s="171" t="s">
        <v>160</v>
      </c>
      <c r="C181" s="171" t="s">
        <v>73</v>
      </c>
      <c r="D181" s="171" t="s">
        <v>1477</v>
      </c>
      <c r="E181" s="171" t="s">
        <v>162</v>
      </c>
      <c r="F181" s="171" t="s">
        <v>1478</v>
      </c>
      <c r="G181" s="171" t="s">
        <v>1479</v>
      </c>
      <c r="H181" s="171" t="s">
        <v>165</v>
      </c>
      <c r="I181" s="171">
        <v>202605.5</v>
      </c>
      <c r="J181" s="221">
        <v>5.25</v>
      </c>
      <c r="K181" s="171" t="s">
        <v>73</v>
      </c>
      <c r="L181" s="171" t="s">
        <v>1480</v>
      </c>
      <c r="M181" s="171" t="s">
        <v>1481</v>
      </c>
      <c r="N181" s="171" t="s">
        <v>1482</v>
      </c>
      <c r="O181" s="217"/>
      <c r="P181" s="171" t="s">
        <v>138</v>
      </c>
      <c r="Q181" s="171" t="s">
        <v>100</v>
      </c>
      <c r="R181" s="171" t="s">
        <v>262</v>
      </c>
      <c r="S181" s="171" t="s">
        <v>1461</v>
      </c>
      <c r="T181" s="171" t="s">
        <v>103</v>
      </c>
      <c r="U181" s="171" t="s">
        <v>264</v>
      </c>
      <c r="V181" s="171" t="s">
        <v>264</v>
      </c>
      <c r="W181" s="191" t="s">
        <v>21</v>
      </c>
      <c r="X181" s="217" t="s">
        <v>172</v>
      </c>
      <c r="Y181" s="171" t="s">
        <v>173</v>
      </c>
      <c r="Z181" s="171" t="s">
        <v>174</v>
      </c>
      <c r="AA181" s="171" t="s">
        <v>175</v>
      </c>
      <c r="AB181" s="222">
        <f t="shared" si="8"/>
        <v>1</v>
      </c>
      <c r="AC181" s="221">
        <v>1</v>
      </c>
      <c r="AD181" s="222">
        <v>1</v>
      </c>
      <c r="AE181" s="222">
        <v>1</v>
      </c>
      <c r="AF181" s="217"/>
      <c r="AG181" s="217"/>
      <c r="AH181" s="222">
        <v>1</v>
      </c>
      <c r="AI181" s="217"/>
      <c r="AJ181" s="222">
        <v>1</v>
      </c>
      <c r="AK181" s="222">
        <v>1</v>
      </c>
      <c r="AL181" s="222">
        <v>1</v>
      </c>
      <c r="AM181" s="222">
        <v>1</v>
      </c>
      <c r="AN181" s="222">
        <v>1</v>
      </c>
      <c r="AO181" s="222">
        <v>1</v>
      </c>
      <c r="AP181" s="222">
        <v>1</v>
      </c>
      <c r="AQ181" s="217"/>
      <c r="AS181" s="217" t="s">
        <v>306</v>
      </c>
      <c r="AT181" s="217"/>
      <c r="AU181" s="96" t="s">
        <v>1246</v>
      </c>
    </row>
    <row r="182" spans="1:47">
      <c r="A182" s="171" t="s">
        <v>1483</v>
      </c>
      <c r="B182" s="171" t="s">
        <v>160</v>
      </c>
      <c r="C182" s="171" t="s">
        <v>73</v>
      </c>
      <c r="D182" s="171" t="s">
        <v>1484</v>
      </c>
      <c r="E182" s="171" t="s">
        <v>162</v>
      </c>
      <c r="F182" s="171" t="s">
        <v>1485</v>
      </c>
      <c r="G182" s="171" t="s">
        <v>1486</v>
      </c>
      <c r="H182" s="171" t="s">
        <v>165</v>
      </c>
      <c r="I182" s="171">
        <v>202605.5</v>
      </c>
      <c r="J182" s="221">
        <v>5.25</v>
      </c>
      <c r="K182" s="171" t="s">
        <v>73</v>
      </c>
      <c r="L182" s="171" t="s">
        <v>1487</v>
      </c>
      <c r="M182" s="171" t="s">
        <v>1488</v>
      </c>
      <c r="N182" s="171" t="s">
        <v>1489</v>
      </c>
      <c r="O182" s="217"/>
      <c r="P182" s="171" t="s">
        <v>138</v>
      </c>
      <c r="Q182" s="171" t="s">
        <v>100</v>
      </c>
      <c r="R182" s="171" t="s">
        <v>262</v>
      </c>
      <c r="S182" s="171" t="s">
        <v>1461</v>
      </c>
      <c r="T182" s="171" t="s">
        <v>103</v>
      </c>
      <c r="U182" s="171" t="s">
        <v>264</v>
      </c>
      <c r="V182" s="171" t="s">
        <v>264</v>
      </c>
      <c r="W182" s="227" t="s">
        <v>17</v>
      </c>
      <c r="X182" s="217" t="s">
        <v>172</v>
      </c>
      <c r="Y182" s="171" t="s">
        <v>173</v>
      </c>
      <c r="Z182" s="171" t="s">
        <v>174</v>
      </c>
      <c r="AA182" s="171" t="s">
        <v>175</v>
      </c>
      <c r="AB182" s="222">
        <f t="shared" si="8"/>
        <v>1</v>
      </c>
      <c r="AC182" s="221">
        <v>1</v>
      </c>
      <c r="AD182" s="222">
        <v>1</v>
      </c>
      <c r="AE182" s="222">
        <v>1</v>
      </c>
      <c r="AF182" s="217"/>
      <c r="AG182" s="217"/>
      <c r="AH182" s="222">
        <v>1</v>
      </c>
      <c r="AI182" s="217"/>
      <c r="AJ182" s="222">
        <v>1</v>
      </c>
      <c r="AK182" s="222">
        <v>1</v>
      </c>
      <c r="AL182" s="222"/>
      <c r="AM182" s="222">
        <v>1</v>
      </c>
      <c r="AN182" s="222">
        <v>1</v>
      </c>
      <c r="AO182" s="222">
        <v>1</v>
      </c>
      <c r="AP182" s="222">
        <v>1</v>
      </c>
      <c r="AQ182" s="217"/>
      <c r="AR182" s="4"/>
      <c r="AS182" s="217" t="s">
        <v>314</v>
      </c>
      <c r="AT182" s="217"/>
      <c r="AU182" s="96" t="s">
        <v>1230</v>
      </c>
    </row>
    <row r="183" spans="1:47">
      <c r="A183" s="171" t="s">
        <v>1490</v>
      </c>
      <c r="B183" s="171" t="s">
        <v>160</v>
      </c>
      <c r="C183" s="171" t="s">
        <v>73</v>
      </c>
      <c r="D183" s="171" t="s">
        <v>1491</v>
      </c>
      <c r="E183" s="171" t="s">
        <v>162</v>
      </c>
      <c r="F183" s="171" t="s">
        <v>1492</v>
      </c>
      <c r="G183" s="171" t="s">
        <v>1493</v>
      </c>
      <c r="H183" s="171" t="s">
        <v>165</v>
      </c>
      <c r="I183" s="171">
        <v>202605.5</v>
      </c>
      <c r="J183" s="221">
        <v>5.25</v>
      </c>
      <c r="K183" s="171" t="s">
        <v>73</v>
      </c>
      <c r="L183" s="171" t="s">
        <v>1494</v>
      </c>
      <c r="M183" s="171" t="s">
        <v>1495</v>
      </c>
      <c r="N183" s="171" t="s">
        <v>1496</v>
      </c>
      <c r="O183" s="217"/>
      <c r="P183" s="171" t="s">
        <v>138</v>
      </c>
      <c r="Q183" s="171" t="s">
        <v>100</v>
      </c>
      <c r="R183" s="171" t="s">
        <v>262</v>
      </c>
      <c r="S183" s="171" t="s">
        <v>1461</v>
      </c>
      <c r="T183" s="171" t="s">
        <v>103</v>
      </c>
      <c r="U183" s="171" t="s">
        <v>264</v>
      </c>
      <c r="V183" s="171" t="s">
        <v>264</v>
      </c>
      <c r="W183" s="191" t="s">
        <v>21</v>
      </c>
      <c r="X183" s="217" t="s">
        <v>172</v>
      </c>
      <c r="Y183" s="171" t="s">
        <v>173</v>
      </c>
      <c r="Z183" s="171" t="s">
        <v>174</v>
      </c>
      <c r="AA183" s="171" t="s">
        <v>175</v>
      </c>
      <c r="AB183" s="222">
        <f t="shared" si="8"/>
        <v>1</v>
      </c>
      <c r="AC183" s="221">
        <v>1</v>
      </c>
      <c r="AD183" s="222">
        <v>1</v>
      </c>
      <c r="AE183" s="222">
        <v>1</v>
      </c>
      <c r="AF183" s="217"/>
      <c r="AG183" s="217"/>
      <c r="AH183" s="222">
        <v>1</v>
      </c>
      <c r="AI183" s="217"/>
      <c r="AJ183" s="222">
        <v>1</v>
      </c>
      <c r="AK183" s="222">
        <v>1</v>
      </c>
      <c r="AL183" s="222">
        <v>1</v>
      </c>
      <c r="AM183" s="222">
        <v>1</v>
      </c>
      <c r="AN183" s="222">
        <v>1</v>
      </c>
      <c r="AO183" s="222">
        <v>1</v>
      </c>
      <c r="AP183" s="222">
        <v>1</v>
      </c>
      <c r="AQ183" s="217"/>
      <c r="AS183" s="217" t="s">
        <v>322</v>
      </c>
      <c r="AT183" s="217"/>
      <c r="AU183" s="96" t="s">
        <v>1204</v>
      </c>
    </row>
    <row r="184" spans="1:47">
      <c r="A184" s="171" t="s">
        <v>1497</v>
      </c>
      <c r="B184" s="171" t="s">
        <v>160</v>
      </c>
      <c r="C184" s="171" t="s">
        <v>73</v>
      </c>
      <c r="D184" s="171" t="s">
        <v>1498</v>
      </c>
      <c r="E184" s="171" t="s">
        <v>162</v>
      </c>
      <c r="F184" s="171" t="s">
        <v>1499</v>
      </c>
      <c r="G184" s="171" t="s">
        <v>1500</v>
      </c>
      <c r="H184" s="171" t="s">
        <v>165</v>
      </c>
      <c r="I184" s="171">
        <v>202605.5</v>
      </c>
      <c r="J184" s="221">
        <v>5.25</v>
      </c>
      <c r="K184" s="171" t="s">
        <v>73</v>
      </c>
      <c r="L184" s="171" t="s">
        <v>1501</v>
      </c>
      <c r="M184" s="171" t="s">
        <v>1502</v>
      </c>
      <c r="N184" s="171" t="s">
        <v>1503</v>
      </c>
      <c r="O184" s="217"/>
      <c r="P184" s="171" t="s">
        <v>138</v>
      </c>
      <c r="Q184" s="171" t="s">
        <v>100</v>
      </c>
      <c r="R184" s="171" t="s">
        <v>262</v>
      </c>
      <c r="S184" s="171" t="s">
        <v>1461</v>
      </c>
      <c r="T184" s="171" t="s">
        <v>103</v>
      </c>
      <c r="U184" s="171" t="s">
        <v>264</v>
      </c>
      <c r="V184" s="171" t="s">
        <v>264</v>
      </c>
      <c r="W184" s="191" t="s">
        <v>21</v>
      </c>
      <c r="X184" s="217" t="s">
        <v>172</v>
      </c>
      <c r="Y184" s="171" t="s">
        <v>173</v>
      </c>
      <c r="Z184" s="171" t="s">
        <v>174</v>
      </c>
      <c r="AA184" s="171" t="s">
        <v>175</v>
      </c>
      <c r="AB184" s="222">
        <f t="shared" si="8"/>
        <v>1</v>
      </c>
      <c r="AC184" s="221">
        <v>1</v>
      </c>
      <c r="AD184" s="222">
        <v>1</v>
      </c>
      <c r="AE184" s="222">
        <v>1</v>
      </c>
      <c r="AF184" s="217"/>
      <c r="AG184" s="217"/>
      <c r="AH184" s="222">
        <v>1</v>
      </c>
      <c r="AI184" s="217"/>
      <c r="AJ184" s="222">
        <v>1</v>
      </c>
      <c r="AK184" s="222">
        <v>1</v>
      </c>
      <c r="AL184" s="222">
        <v>1</v>
      </c>
      <c r="AM184" s="222">
        <v>1</v>
      </c>
      <c r="AN184" s="222">
        <v>1</v>
      </c>
      <c r="AO184" s="222">
        <v>1</v>
      </c>
      <c r="AP184" s="222">
        <v>1</v>
      </c>
      <c r="AQ184" s="217"/>
      <c r="AS184" s="217" t="s">
        <v>329</v>
      </c>
      <c r="AT184" s="217"/>
      <c r="AU184" s="96" t="s">
        <v>1254</v>
      </c>
    </row>
    <row r="185" spans="1:47">
      <c r="A185" s="171" t="s">
        <v>1504</v>
      </c>
      <c r="B185" s="171" t="s">
        <v>160</v>
      </c>
      <c r="C185" s="171" t="s">
        <v>73</v>
      </c>
      <c r="D185" s="171" t="s">
        <v>1505</v>
      </c>
      <c r="E185" s="171" t="s">
        <v>162</v>
      </c>
      <c r="F185" s="171" t="s">
        <v>1506</v>
      </c>
      <c r="G185" s="171" t="s">
        <v>1507</v>
      </c>
      <c r="H185" s="171" t="s">
        <v>165</v>
      </c>
      <c r="I185" s="171">
        <v>202605.5</v>
      </c>
      <c r="J185" s="221">
        <v>5.25</v>
      </c>
      <c r="K185" s="171" t="s">
        <v>73</v>
      </c>
      <c r="L185" s="171" t="s">
        <v>1508</v>
      </c>
      <c r="M185" s="171" t="s">
        <v>1509</v>
      </c>
      <c r="N185" s="171" t="s">
        <v>1510</v>
      </c>
      <c r="O185" s="217"/>
      <c r="P185" s="171" t="s">
        <v>138</v>
      </c>
      <c r="Q185" s="171" t="s">
        <v>100</v>
      </c>
      <c r="R185" s="171" t="s">
        <v>262</v>
      </c>
      <c r="S185" s="171" t="s">
        <v>1461</v>
      </c>
      <c r="T185" s="171" t="s">
        <v>103</v>
      </c>
      <c r="U185" s="171" t="s">
        <v>264</v>
      </c>
      <c r="V185" s="171" t="s">
        <v>264</v>
      </c>
      <c r="W185" s="191" t="s">
        <v>21</v>
      </c>
      <c r="X185" s="217" t="s">
        <v>172</v>
      </c>
      <c r="Y185" s="171" t="s">
        <v>173</v>
      </c>
      <c r="Z185" s="171" t="s">
        <v>174</v>
      </c>
      <c r="AA185" s="171" t="s">
        <v>175</v>
      </c>
      <c r="AB185" s="222">
        <f t="shared" si="8"/>
        <v>1</v>
      </c>
      <c r="AC185" s="221">
        <v>1</v>
      </c>
      <c r="AD185" s="222">
        <v>1</v>
      </c>
      <c r="AE185" s="222">
        <v>1</v>
      </c>
      <c r="AF185" s="217"/>
      <c r="AG185" s="217"/>
      <c r="AH185" s="222">
        <v>1</v>
      </c>
      <c r="AI185" s="217"/>
      <c r="AJ185" s="222">
        <v>1</v>
      </c>
      <c r="AK185" s="222">
        <v>1</v>
      </c>
      <c r="AL185" s="222">
        <v>1</v>
      </c>
      <c r="AM185" s="222">
        <v>1</v>
      </c>
      <c r="AN185" s="222">
        <v>1</v>
      </c>
      <c r="AO185" s="222">
        <v>1</v>
      </c>
      <c r="AP185" s="222">
        <v>1</v>
      </c>
      <c r="AQ185" s="217"/>
      <c r="AS185" s="217" t="s">
        <v>337</v>
      </c>
      <c r="AT185" s="217"/>
      <c r="AU185" s="96" t="s">
        <v>1175</v>
      </c>
    </row>
    <row r="186" spans="1:47">
      <c r="A186" s="171" t="s">
        <v>1511</v>
      </c>
      <c r="B186" s="171" t="s">
        <v>160</v>
      </c>
      <c r="C186" s="171" t="s">
        <v>73</v>
      </c>
      <c r="D186" s="171" t="s">
        <v>1512</v>
      </c>
      <c r="E186" s="171" t="s">
        <v>162</v>
      </c>
      <c r="F186" s="171" t="s">
        <v>1513</v>
      </c>
      <c r="G186" s="171" t="s">
        <v>1514</v>
      </c>
      <c r="H186" s="171" t="s">
        <v>165</v>
      </c>
      <c r="I186" s="171">
        <v>202605.5</v>
      </c>
      <c r="J186" s="221">
        <v>5.25</v>
      </c>
      <c r="K186" s="171" t="s">
        <v>73</v>
      </c>
      <c r="L186" s="171" t="s">
        <v>1515</v>
      </c>
      <c r="M186" s="171" t="s">
        <v>1516</v>
      </c>
      <c r="N186" s="171" t="s">
        <v>1517</v>
      </c>
      <c r="O186" s="217"/>
      <c r="P186" s="171" t="s">
        <v>138</v>
      </c>
      <c r="Q186" s="171" t="s">
        <v>100</v>
      </c>
      <c r="R186" s="171" t="s">
        <v>262</v>
      </c>
      <c r="S186" s="171" t="s">
        <v>1461</v>
      </c>
      <c r="T186" s="171" t="s">
        <v>103</v>
      </c>
      <c r="U186" s="171" t="s">
        <v>264</v>
      </c>
      <c r="V186" s="171" t="s">
        <v>264</v>
      </c>
      <c r="W186" s="191" t="s">
        <v>21</v>
      </c>
      <c r="X186" s="217" t="s">
        <v>172</v>
      </c>
      <c r="Y186" s="171" t="s">
        <v>173</v>
      </c>
      <c r="Z186" s="171" t="s">
        <v>174</v>
      </c>
      <c r="AA186" s="171" t="s">
        <v>175</v>
      </c>
      <c r="AB186" s="222">
        <f t="shared" si="8"/>
        <v>1</v>
      </c>
      <c r="AC186" s="221">
        <v>1</v>
      </c>
      <c r="AD186" s="222">
        <v>1</v>
      </c>
      <c r="AE186" s="222">
        <v>1</v>
      </c>
      <c r="AF186" s="217"/>
      <c r="AG186" s="217"/>
      <c r="AH186" s="222">
        <v>1</v>
      </c>
      <c r="AI186" s="217"/>
      <c r="AJ186" s="222">
        <v>1</v>
      </c>
      <c r="AK186" s="222">
        <v>1</v>
      </c>
      <c r="AL186" s="222">
        <v>1</v>
      </c>
      <c r="AM186" s="222">
        <v>1</v>
      </c>
      <c r="AN186" s="222">
        <v>1</v>
      </c>
      <c r="AO186" s="222">
        <v>1</v>
      </c>
      <c r="AP186" s="222">
        <v>1</v>
      </c>
      <c r="AQ186" s="217"/>
      <c r="AS186" s="217"/>
      <c r="AT186" s="217"/>
      <c r="AU186" s="96" t="s">
        <v>1089</v>
      </c>
    </row>
    <row r="187" spans="1:47">
      <c r="A187" s="171" t="s">
        <v>1518</v>
      </c>
      <c r="B187" s="171" t="s">
        <v>160</v>
      </c>
      <c r="C187" s="171" t="s">
        <v>73</v>
      </c>
      <c r="D187" s="171" t="s">
        <v>1519</v>
      </c>
      <c r="E187" s="171" t="s">
        <v>162</v>
      </c>
      <c r="F187" s="171" t="s">
        <v>1520</v>
      </c>
      <c r="G187" s="171" t="s">
        <v>1521</v>
      </c>
      <c r="H187" s="171" t="s">
        <v>165</v>
      </c>
      <c r="I187" s="171">
        <v>202605.5</v>
      </c>
      <c r="J187" s="221">
        <v>5.25</v>
      </c>
      <c r="K187" s="171" t="s">
        <v>73</v>
      </c>
      <c r="L187" s="171" t="s">
        <v>1522</v>
      </c>
      <c r="M187" s="171" t="s">
        <v>1523</v>
      </c>
      <c r="N187" s="171" t="s">
        <v>1524</v>
      </c>
      <c r="O187" s="217"/>
      <c r="P187" s="171" t="s">
        <v>138</v>
      </c>
      <c r="Q187" s="171" t="s">
        <v>100</v>
      </c>
      <c r="R187" s="171" t="s">
        <v>262</v>
      </c>
      <c r="S187" s="171" t="s">
        <v>1461</v>
      </c>
      <c r="T187" s="171" t="s">
        <v>103</v>
      </c>
      <c r="U187" s="171" t="s">
        <v>264</v>
      </c>
      <c r="V187" s="171" t="s">
        <v>264</v>
      </c>
      <c r="W187" s="191" t="s">
        <v>21</v>
      </c>
      <c r="X187" s="217" t="s">
        <v>172</v>
      </c>
      <c r="Y187" s="171" t="s">
        <v>173</v>
      </c>
      <c r="Z187" s="171" t="s">
        <v>174</v>
      </c>
      <c r="AA187" s="171" t="s">
        <v>175</v>
      </c>
      <c r="AB187" s="222">
        <f t="shared" si="8"/>
        <v>1</v>
      </c>
      <c r="AC187" s="221">
        <v>1</v>
      </c>
      <c r="AD187" s="222">
        <v>1</v>
      </c>
      <c r="AE187" s="222">
        <v>1</v>
      </c>
      <c r="AF187" s="217"/>
      <c r="AG187" s="217"/>
      <c r="AH187" s="222">
        <v>1</v>
      </c>
      <c r="AI187" s="217"/>
      <c r="AJ187" s="222">
        <v>1</v>
      </c>
      <c r="AK187" s="222">
        <v>1</v>
      </c>
      <c r="AL187" s="222">
        <v>1</v>
      </c>
      <c r="AM187" s="222">
        <v>1</v>
      </c>
      <c r="AN187" s="222">
        <v>1</v>
      </c>
      <c r="AO187" s="222">
        <v>1</v>
      </c>
      <c r="AP187" s="222">
        <v>1</v>
      </c>
      <c r="AQ187" s="217"/>
      <c r="AS187" s="217"/>
      <c r="AT187" s="217"/>
      <c r="AU187" s="96" t="s">
        <v>1196</v>
      </c>
    </row>
    <row r="188" spans="1:47">
      <c r="A188" s="171" t="s">
        <v>1525</v>
      </c>
      <c r="B188" s="171" t="s">
        <v>160</v>
      </c>
      <c r="C188" s="171" t="s">
        <v>73</v>
      </c>
      <c r="D188" s="171" t="s">
        <v>1526</v>
      </c>
      <c r="E188" s="171" t="s">
        <v>499</v>
      </c>
      <c r="F188" s="171" t="s">
        <v>1527</v>
      </c>
      <c r="G188" s="171" t="s">
        <v>1528</v>
      </c>
      <c r="H188" s="171" t="s">
        <v>165</v>
      </c>
      <c r="I188" s="171">
        <v>202605.5</v>
      </c>
      <c r="J188" s="221">
        <v>5.25</v>
      </c>
      <c r="K188" s="171" t="s">
        <v>73</v>
      </c>
      <c r="L188" s="171" t="s">
        <v>1529</v>
      </c>
      <c r="M188" s="171" t="s">
        <v>1530</v>
      </c>
      <c r="N188" s="171" t="s">
        <v>1531</v>
      </c>
      <c r="O188" s="217"/>
      <c r="P188" s="171" t="s">
        <v>138</v>
      </c>
      <c r="Q188" s="171" t="s">
        <v>100</v>
      </c>
      <c r="R188" s="171" t="s">
        <v>262</v>
      </c>
      <c r="S188" s="171" t="s">
        <v>1461</v>
      </c>
      <c r="T188" s="171" t="s">
        <v>103</v>
      </c>
      <c r="U188" s="171" t="s">
        <v>264</v>
      </c>
      <c r="V188" s="171" t="s">
        <v>264</v>
      </c>
      <c r="W188" s="191" t="s">
        <v>21</v>
      </c>
      <c r="X188" s="217" t="s">
        <v>172</v>
      </c>
      <c r="Y188" s="171" t="s">
        <v>173</v>
      </c>
      <c r="Z188" s="171" t="s">
        <v>174</v>
      </c>
      <c r="AA188" s="171" t="s">
        <v>175</v>
      </c>
      <c r="AB188" s="222">
        <f t="shared" si="8"/>
        <v>1</v>
      </c>
      <c r="AC188" s="221">
        <v>1</v>
      </c>
      <c r="AD188" s="222">
        <v>1</v>
      </c>
      <c r="AE188" s="222">
        <v>1</v>
      </c>
      <c r="AF188" s="217"/>
      <c r="AG188" s="217"/>
      <c r="AH188" s="222">
        <v>1</v>
      </c>
      <c r="AI188" s="217"/>
      <c r="AJ188" s="222">
        <v>1</v>
      </c>
      <c r="AK188" s="222">
        <v>1</v>
      </c>
      <c r="AL188" s="222">
        <v>1</v>
      </c>
      <c r="AM188" s="222">
        <v>1</v>
      </c>
      <c r="AN188" s="222">
        <v>1</v>
      </c>
      <c r="AO188" s="222">
        <v>1</v>
      </c>
      <c r="AP188" s="222">
        <v>1</v>
      </c>
      <c r="AQ188" s="217"/>
      <c r="AS188" s="217"/>
      <c r="AT188" s="217"/>
      <c r="AU188" s="96" t="s">
        <v>1532</v>
      </c>
    </row>
    <row r="189" spans="1:47">
      <c r="A189" s="171" t="s">
        <v>1533</v>
      </c>
      <c r="B189" s="171" t="s">
        <v>160</v>
      </c>
      <c r="C189" s="171" t="s">
        <v>73</v>
      </c>
      <c r="D189" s="171" t="s">
        <v>1534</v>
      </c>
      <c r="E189" s="171" t="s">
        <v>162</v>
      </c>
      <c r="F189" s="171" t="s">
        <v>1535</v>
      </c>
      <c r="G189" s="171" t="s">
        <v>1536</v>
      </c>
      <c r="H189" s="171" t="s">
        <v>165</v>
      </c>
      <c r="I189" s="171">
        <v>202605.5</v>
      </c>
      <c r="J189" s="221">
        <v>5.25</v>
      </c>
      <c r="K189" s="171" t="s">
        <v>73</v>
      </c>
      <c r="L189" s="171" t="s">
        <v>1537</v>
      </c>
      <c r="M189" s="171" t="s">
        <v>1538</v>
      </c>
      <c r="N189" s="171" t="s">
        <v>1539</v>
      </c>
      <c r="O189" s="217"/>
      <c r="P189" s="171" t="s">
        <v>138</v>
      </c>
      <c r="Q189" s="171" t="s">
        <v>100</v>
      </c>
      <c r="R189" s="171" t="s">
        <v>262</v>
      </c>
      <c r="S189" s="171" t="s">
        <v>1461</v>
      </c>
      <c r="T189" s="171" t="s">
        <v>103</v>
      </c>
      <c r="U189" s="171" t="s">
        <v>264</v>
      </c>
      <c r="V189" s="171" t="s">
        <v>264</v>
      </c>
      <c r="W189" s="191" t="s">
        <v>21</v>
      </c>
      <c r="X189" s="217" t="s">
        <v>172</v>
      </c>
      <c r="Y189" s="171" t="s">
        <v>173</v>
      </c>
      <c r="Z189" s="171" t="s">
        <v>174</v>
      </c>
      <c r="AA189" s="171" t="s">
        <v>175</v>
      </c>
      <c r="AB189" s="222">
        <f t="shared" si="8"/>
        <v>1</v>
      </c>
      <c r="AC189" s="221">
        <v>1</v>
      </c>
      <c r="AD189" s="222">
        <v>1</v>
      </c>
      <c r="AE189" s="222">
        <v>1</v>
      </c>
      <c r="AF189" s="217"/>
      <c r="AG189" s="217"/>
      <c r="AH189" s="222">
        <v>1</v>
      </c>
      <c r="AI189" s="217"/>
      <c r="AJ189" s="222">
        <v>1</v>
      </c>
      <c r="AK189" s="222">
        <v>1</v>
      </c>
      <c r="AL189" s="222">
        <v>1</v>
      </c>
      <c r="AM189" s="222">
        <v>1</v>
      </c>
      <c r="AN189" s="222">
        <v>1</v>
      </c>
      <c r="AO189" s="222">
        <v>1</v>
      </c>
      <c r="AP189" s="222">
        <v>1</v>
      </c>
      <c r="AQ189" s="217"/>
      <c r="AS189" s="217"/>
      <c r="AT189" s="217"/>
      <c r="AU189" s="96" t="s">
        <v>1540</v>
      </c>
    </row>
    <row r="190" spans="1:47">
      <c r="A190" s="171" t="s">
        <v>1541</v>
      </c>
      <c r="B190" s="171" t="s">
        <v>160</v>
      </c>
      <c r="C190" s="171" t="s">
        <v>73</v>
      </c>
      <c r="D190" s="171" t="s">
        <v>1542</v>
      </c>
      <c r="E190" s="171" t="s">
        <v>162</v>
      </c>
      <c r="F190" s="171" t="s">
        <v>1543</v>
      </c>
      <c r="G190" s="171" t="s">
        <v>1544</v>
      </c>
      <c r="H190" s="171" t="s">
        <v>165</v>
      </c>
      <c r="I190" s="171">
        <v>202605.5</v>
      </c>
      <c r="J190" s="221">
        <v>5.25</v>
      </c>
      <c r="K190" s="171" t="s">
        <v>73</v>
      </c>
      <c r="L190" s="171" t="s">
        <v>1545</v>
      </c>
      <c r="M190" s="171" t="s">
        <v>1546</v>
      </c>
      <c r="N190" s="171" t="s">
        <v>1547</v>
      </c>
      <c r="O190" s="217"/>
      <c r="P190" s="171" t="s">
        <v>138</v>
      </c>
      <c r="Q190" s="171" t="s">
        <v>100</v>
      </c>
      <c r="R190" s="171" t="s">
        <v>262</v>
      </c>
      <c r="S190" s="171" t="s">
        <v>1461</v>
      </c>
      <c r="T190" s="171" t="s">
        <v>103</v>
      </c>
      <c r="U190" s="171" t="s">
        <v>264</v>
      </c>
      <c r="V190" s="171" t="s">
        <v>264</v>
      </c>
      <c r="W190" s="191" t="s">
        <v>21</v>
      </c>
      <c r="X190" s="217" t="s">
        <v>172</v>
      </c>
      <c r="Y190" s="171" t="s">
        <v>173</v>
      </c>
      <c r="Z190" s="171" t="s">
        <v>174</v>
      </c>
      <c r="AA190" s="171" t="s">
        <v>175</v>
      </c>
      <c r="AB190" s="222">
        <f t="shared" si="8"/>
        <v>1</v>
      </c>
      <c r="AC190" s="221">
        <v>1</v>
      </c>
      <c r="AD190" s="222">
        <v>1</v>
      </c>
      <c r="AE190" s="222">
        <v>1</v>
      </c>
      <c r="AF190" s="217"/>
      <c r="AG190" s="217"/>
      <c r="AH190" s="222">
        <v>1</v>
      </c>
      <c r="AI190" s="217"/>
      <c r="AJ190" s="222">
        <v>1</v>
      </c>
      <c r="AK190" s="222">
        <v>1</v>
      </c>
      <c r="AL190" s="222">
        <v>1</v>
      </c>
      <c r="AM190" s="222">
        <v>1</v>
      </c>
      <c r="AN190" s="222">
        <v>1</v>
      </c>
      <c r="AO190" s="222">
        <v>1</v>
      </c>
      <c r="AP190" s="222">
        <v>1</v>
      </c>
      <c r="AQ190" s="217"/>
      <c r="AS190" s="217"/>
      <c r="AT190" s="217"/>
      <c r="AU190" s="96" t="s">
        <v>1548</v>
      </c>
    </row>
    <row r="191" spans="1:47">
      <c r="A191" s="171" t="s">
        <v>1549</v>
      </c>
      <c r="B191" s="171" t="s">
        <v>160</v>
      </c>
      <c r="C191" s="171" t="s">
        <v>73</v>
      </c>
      <c r="D191" s="171" t="s">
        <v>1550</v>
      </c>
      <c r="E191" s="171" t="s">
        <v>499</v>
      </c>
      <c r="F191" s="171" t="s">
        <v>1551</v>
      </c>
      <c r="G191" s="171" t="s">
        <v>1552</v>
      </c>
      <c r="H191" s="171" t="s">
        <v>165</v>
      </c>
      <c r="I191" s="171">
        <v>202605.5</v>
      </c>
      <c r="J191" s="221">
        <v>5.25</v>
      </c>
      <c r="K191" s="171" t="s">
        <v>73</v>
      </c>
      <c r="L191" s="171" t="s">
        <v>1553</v>
      </c>
      <c r="M191" s="171" t="s">
        <v>1554</v>
      </c>
      <c r="N191" s="171" t="s">
        <v>1555</v>
      </c>
      <c r="O191" s="217"/>
      <c r="P191" s="171" t="s">
        <v>138</v>
      </c>
      <c r="Q191" s="171" t="s">
        <v>100</v>
      </c>
      <c r="R191" s="171" t="s">
        <v>262</v>
      </c>
      <c r="S191" s="171" t="s">
        <v>1461</v>
      </c>
      <c r="T191" s="171" t="s">
        <v>103</v>
      </c>
      <c r="U191" s="171" t="s">
        <v>264</v>
      </c>
      <c r="V191" s="171" t="s">
        <v>264</v>
      </c>
      <c r="W191" s="191" t="s">
        <v>21</v>
      </c>
      <c r="X191" s="217" t="s">
        <v>172</v>
      </c>
      <c r="Y191" s="171" t="s">
        <v>173</v>
      </c>
      <c r="Z191" s="171" t="s">
        <v>174</v>
      </c>
      <c r="AA191" s="171" t="s">
        <v>175</v>
      </c>
      <c r="AB191" s="222">
        <f t="shared" si="8"/>
        <v>1</v>
      </c>
      <c r="AC191" s="221">
        <v>1</v>
      </c>
      <c r="AD191" s="222">
        <v>1</v>
      </c>
      <c r="AE191" s="222">
        <v>1</v>
      </c>
      <c r="AF191" s="217"/>
      <c r="AG191" s="217"/>
      <c r="AH191" s="222">
        <v>1</v>
      </c>
      <c r="AI191" s="217"/>
      <c r="AJ191" s="222">
        <v>1</v>
      </c>
      <c r="AK191" s="222">
        <v>1</v>
      </c>
      <c r="AL191" s="222">
        <v>1</v>
      </c>
      <c r="AM191" s="222">
        <v>1</v>
      </c>
      <c r="AN191" s="222">
        <v>1</v>
      </c>
      <c r="AO191" s="222">
        <v>1</v>
      </c>
      <c r="AP191" s="222">
        <v>1</v>
      </c>
      <c r="AQ191" s="217"/>
      <c r="AS191" s="217"/>
      <c r="AT191" s="217"/>
      <c r="AU191" s="96" t="s">
        <v>1556</v>
      </c>
    </row>
    <row r="192" spans="1:47">
      <c r="A192" s="171" t="s">
        <v>1557</v>
      </c>
      <c r="B192" s="171" t="s">
        <v>160</v>
      </c>
      <c r="C192" s="171" t="s">
        <v>73</v>
      </c>
      <c r="D192" s="171" t="s">
        <v>1558</v>
      </c>
      <c r="E192" s="171" t="s">
        <v>499</v>
      </c>
      <c r="F192" s="171" t="s">
        <v>1559</v>
      </c>
      <c r="G192" s="171" t="s">
        <v>1560</v>
      </c>
      <c r="H192" s="171" t="s">
        <v>165</v>
      </c>
      <c r="I192" s="171">
        <v>202605.5</v>
      </c>
      <c r="J192" s="221">
        <v>5.25</v>
      </c>
      <c r="K192" s="171" t="s">
        <v>73</v>
      </c>
      <c r="L192" s="171" t="s">
        <v>1561</v>
      </c>
      <c r="M192" s="171" t="s">
        <v>1562</v>
      </c>
      <c r="N192" s="171" t="s">
        <v>1563</v>
      </c>
      <c r="O192" s="217"/>
      <c r="P192" s="171" t="s">
        <v>138</v>
      </c>
      <c r="Q192" s="171" t="s">
        <v>100</v>
      </c>
      <c r="R192" s="171" t="s">
        <v>262</v>
      </c>
      <c r="S192" s="171" t="s">
        <v>1461</v>
      </c>
      <c r="T192" s="171" t="s">
        <v>103</v>
      </c>
      <c r="U192" s="171" t="s">
        <v>264</v>
      </c>
      <c r="V192" s="171" t="s">
        <v>264</v>
      </c>
      <c r="W192" s="191" t="s">
        <v>21</v>
      </c>
      <c r="X192" s="217" t="s">
        <v>172</v>
      </c>
      <c r="Y192" s="171" t="s">
        <v>173</v>
      </c>
      <c r="Z192" s="171" t="s">
        <v>174</v>
      </c>
      <c r="AA192" s="171" t="s">
        <v>175</v>
      </c>
      <c r="AB192" s="222">
        <f t="shared" si="8"/>
        <v>1</v>
      </c>
      <c r="AC192" s="221">
        <v>1</v>
      </c>
      <c r="AD192" s="222">
        <v>1</v>
      </c>
      <c r="AE192" s="222">
        <v>1</v>
      </c>
      <c r="AF192" s="217"/>
      <c r="AG192" s="217"/>
      <c r="AH192" s="222">
        <v>1</v>
      </c>
      <c r="AI192" s="217"/>
      <c r="AJ192" s="222">
        <v>1</v>
      </c>
      <c r="AK192" s="222">
        <v>1</v>
      </c>
      <c r="AL192" s="222">
        <v>1</v>
      </c>
      <c r="AM192" s="222">
        <v>1</v>
      </c>
      <c r="AN192" s="222">
        <v>1</v>
      </c>
      <c r="AO192" s="222">
        <v>1</v>
      </c>
      <c r="AP192" s="222">
        <v>1</v>
      </c>
      <c r="AQ192" s="217"/>
      <c r="AS192" s="217"/>
      <c r="AT192" s="217"/>
      <c r="AU192" s="96" t="s">
        <v>1564</v>
      </c>
    </row>
    <row r="193" spans="1:47">
      <c r="A193" s="171" t="s">
        <v>1565</v>
      </c>
      <c r="B193" s="171" t="s">
        <v>160</v>
      </c>
      <c r="C193" s="171" t="s">
        <v>73</v>
      </c>
      <c r="D193" s="171" t="s">
        <v>1566</v>
      </c>
      <c r="E193" s="171" t="s">
        <v>499</v>
      </c>
      <c r="F193" s="171" t="s">
        <v>1567</v>
      </c>
      <c r="G193" s="171" t="s">
        <v>1568</v>
      </c>
      <c r="H193" s="171" t="s">
        <v>165</v>
      </c>
      <c r="I193" s="171">
        <v>202605.5</v>
      </c>
      <c r="J193" s="221">
        <v>5.25</v>
      </c>
      <c r="K193" s="171" t="s">
        <v>73</v>
      </c>
      <c r="L193" s="171" t="s">
        <v>1569</v>
      </c>
      <c r="M193" s="171" t="s">
        <v>1570</v>
      </c>
      <c r="N193" s="171" t="s">
        <v>1571</v>
      </c>
      <c r="O193" s="217"/>
      <c r="P193" s="171" t="s">
        <v>138</v>
      </c>
      <c r="Q193" s="171" t="s">
        <v>100</v>
      </c>
      <c r="R193" s="171" t="s">
        <v>262</v>
      </c>
      <c r="S193" s="171" t="s">
        <v>1461</v>
      </c>
      <c r="T193" s="171" t="s">
        <v>103</v>
      </c>
      <c r="U193" s="171" t="s">
        <v>264</v>
      </c>
      <c r="V193" s="171" t="s">
        <v>264</v>
      </c>
      <c r="W193" s="191" t="s">
        <v>21</v>
      </c>
      <c r="X193" s="217" t="s">
        <v>172</v>
      </c>
      <c r="Y193" s="171" t="s">
        <v>173</v>
      </c>
      <c r="Z193" s="171" t="s">
        <v>174</v>
      </c>
      <c r="AA193" s="171" t="s">
        <v>175</v>
      </c>
      <c r="AB193" s="222">
        <f t="shared" si="8"/>
        <v>1</v>
      </c>
      <c r="AC193" s="221">
        <v>1</v>
      </c>
      <c r="AD193" s="222">
        <v>1</v>
      </c>
      <c r="AE193" s="222">
        <v>1</v>
      </c>
      <c r="AF193" s="217"/>
      <c r="AG193" s="217"/>
      <c r="AH193" s="222">
        <v>1</v>
      </c>
      <c r="AI193" s="217"/>
      <c r="AJ193" s="222">
        <v>1</v>
      </c>
      <c r="AK193" s="222">
        <v>1</v>
      </c>
      <c r="AL193" s="222">
        <v>1</v>
      </c>
      <c r="AM193" s="222">
        <v>1</v>
      </c>
      <c r="AN193" s="222">
        <v>1</v>
      </c>
      <c r="AO193" s="222">
        <v>1</v>
      </c>
      <c r="AP193" s="222">
        <v>1</v>
      </c>
      <c r="AQ193" s="217"/>
      <c r="AR193" s="221" t="s">
        <v>194</v>
      </c>
      <c r="AS193" s="217"/>
      <c r="AT193" s="217"/>
      <c r="AU193" s="96" t="s">
        <v>1572</v>
      </c>
    </row>
    <row r="194" spans="1:47">
      <c r="A194" s="171" t="s">
        <v>1573</v>
      </c>
      <c r="B194" s="171" t="s">
        <v>160</v>
      </c>
      <c r="C194" s="171" t="s">
        <v>73</v>
      </c>
      <c r="D194" s="171" t="s">
        <v>1574</v>
      </c>
      <c r="E194" s="171" t="s">
        <v>162</v>
      </c>
      <c r="F194" s="171" t="s">
        <v>1575</v>
      </c>
      <c r="G194" s="171" t="s">
        <v>1576</v>
      </c>
      <c r="H194" s="171" t="s">
        <v>165</v>
      </c>
      <c r="I194" s="171">
        <v>202605.5</v>
      </c>
      <c r="J194" s="221">
        <v>5.25</v>
      </c>
      <c r="K194" s="171" t="s">
        <v>73</v>
      </c>
      <c r="L194" s="171" t="s">
        <v>1577</v>
      </c>
      <c r="M194" s="171" t="s">
        <v>1578</v>
      </c>
      <c r="N194" s="171" t="s">
        <v>1579</v>
      </c>
      <c r="O194" s="217"/>
      <c r="P194" s="171" t="s">
        <v>138</v>
      </c>
      <c r="Q194" s="171" t="s">
        <v>100</v>
      </c>
      <c r="R194" s="171" t="s">
        <v>262</v>
      </c>
      <c r="S194" s="171" t="s">
        <v>1461</v>
      </c>
      <c r="T194" s="171" t="s">
        <v>103</v>
      </c>
      <c r="U194" s="171" t="s">
        <v>264</v>
      </c>
      <c r="V194" s="171" t="s">
        <v>264</v>
      </c>
      <c r="W194" s="191" t="s">
        <v>21</v>
      </c>
      <c r="X194" s="217" t="s">
        <v>172</v>
      </c>
      <c r="Y194" s="171" t="s">
        <v>173</v>
      </c>
      <c r="Z194" s="171" t="s">
        <v>174</v>
      </c>
      <c r="AA194" s="171" t="s">
        <v>175</v>
      </c>
      <c r="AB194" s="222">
        <f t="shared" si="8"/>
        <v>1</v>
      </c>
      <c r="AC194" s="221">
        <v>1</v>
      </c>
      <c r="AD194" s="222">
        <v>1</v>
      </c>
      <c r="AE194" s="222">
        <v>1</v>
      </c>
      <c r="AF194" s="217"/>
      <c r="AG194" s="217"/>
      <c r="AH194" s="222">
        <v>1</v>
      </c>
      <c r="AI194" s="217"/>
      <c r="AJ194" s="222">
        <v>1</v>
      </c>
      <c r="AK194" s="222">
        <v>1</v>
      </c>
      <c r="AL194" s="222">
        <v>1</v>
      </c>
      <c r="AM194" s="222">
        <v>1</v>
      </c>
      <c r="AN194" s="222">
        <v>1</v>
      </c>
      <c r="AO194" s="222">
        <v>1</v>
      </c>
      <c r="AP194" s="222">
        <v>1</v>
      </c>
      <c r="AQ194" s="217"/>
      <c r="AS194" s="217"/>
      <c r="AT194" s="217"/>
      <c r="AU194" s="96" t="s">
        <v>1333</v>
      </c>
    </row>
    <row r="195" spans="1:47">
      <c r="A195" s="171" t="s">
        <v>1580</v>
      </c>
      <c r="B195" s="171" t="s">
        <v>160</v>
      </c>
      <c r="C195" s="171" t="s">
        <v>73</v>
      </c>
      <c r="D195" s="171" t="s">
        <v>1581</v>
      </c>
      <c r="E195" s="171" t="s">
        <v>499</v>
      </c>
      <c r="F195" s="171" t="s">
        <v>1582</v>
      </c>
      <c r="G195" s="171" t="s">
        <v>1583</v>
      </c>
      <c r="H195" s="171" t="s">
        <v>165</v>
      </c>
      <c r="I195" s="171">
        <v>202605.5</v>
      </c>
      <c r="J195" s="221">
        <v>5.25</v>
      </c>
      <c r="K195" s="171" t="s">
        <v>73</v>
      </c>
      <c r="L195" s="171" t="s">
        <v>1584</v>
      </c>
      <c r="M195" s="171" t="s">
        <v>1585</v>
      </c>
      <c r="N195" s="171" t="s">
        <v>1586</v>
      </c>
      <c r="O195" s="217"/>
      <c r="P195" s="171" t="s">
        <v>138</v>
      </c>
      <c r="Q195" s="171" t="s">
        <v>100</v>
      </c>
      <c r="R195" s="171" t="s">
        <v>262</v>
      </c>
      <c r="S195" s="171" t="s">
        <v>1461</v>
      </c>
      <c r="T195" s="171" t="s">
        <v>103</v>
      </c>
      <c r="U195" s="171" t="s">
        <v>264</v>
      </c>
      <c r="V195" s="171" t="s">
        <v>264</v>
      </c>
      <c r="W195" s="191" t="s">
        <v>21</v>
      </c>
      <c r="X195" s="217" t="s">
        <v>172</v>
      </c>
      <c r="Y195" s="171" t="s">
        <v>173</v>
      </c>
      <c r="Z195" s="171" t="s">
        <v>174</v>
      </c>
      <c r="AA195" s="171" t="s">
        <v>175</v>
      </c>
      <c r="AB195" s="222">
        <f t="shared" si="8"/>
        <v>1</v>
      </c>
      <c r="AC195" s="221">
        <v>1</v>
      </c>
      <c r="AD195" s="222">
        <v>1</v>
      </c>
      <c r="AE195" s="222">
        <v>1</v>
      </c>
      <c r="AF195" s="217"/>
      <c r="AG195" s="217"/>
      <c r="AH195" s="222">
        <v>1</v>
      </c>
      <c r="AI195" s="217"/>
      <c r="AJ195" s="222">
        <v>1</v>
      </c>
      <c r="AK195" s="222">
        <v>1</v>
      </c>
      <c r="AL195" s="222">
        <v>1</v>
      </c>
      <c r="AM195" s="222">
        <v>1</v>
      </c>
      <c r="AN195" s="222">
        <v>1</v>
      </c>
      <c r="AO195" s="222">
        <v>1</v>
      </c>
      <c r="AP195" s="222">
        <v>1</v>
      </c>
      <c r="AQ195" s="217"/>
      <c r="AS195" s="217"/>
      <c r="AT195" s="217"/>
      <c r="AU195" s="96" t="s">
        <v>1341</v>
      </c>
    </row>
    <row r="196" spans="1:47">
      <c r="A196" s="171" t="s">
        <v>1587</v>
      </c>
      <c r="B196" s="171" t="s">
        <v>160</v>
      </c>
      <c r="C196" s="171" t="s">
        <v>73</v>
      </c>
      <c r="D196" s="171" t="s">
        <v>1588</v>
      </c>
      <c r="E196" s="171" t="s">
        <v>499</v>
      </c>
      <c r="F196" s="171" t="s">
        <v>1589</v>
      </c>
      <c r="G196" s="171" t="s">
        <v>1590</v>
      </c>
      <c r="H196" s="171" t="s">
        <v>165</v>
      </c>
      <c r="I196" s="171">
        <v>202605.5</v>
      </c>
      <c r="J196" s="221">
        <v>5.25</v>
      </c>
      <c r="K196" s="171" t="s">
        <v>73</v>
      </c>
      <c r="L196" s="171" t="s">
        <v>1591</v>
      </c>
      <c r="M196" s="171" t="s">
        <v>1592</v>
      </c>
      <c r="N196" s="171" t="s">
        <v>1593</v>
      </c>
      <c r="O196" s="217"/>
      <c r="P196" s="171" t="s">
        <v>138</v>
      </c>
      <c r="Q196" s="171" t="s">
        <v>100</v>
      </c>
      <c r="R196" s="171" t="s">
        <v>262</v>
      </c>
      <c r="S196" s="171" t="s">
        <v>1461</v>
      </c>
      <c r="T196" s="171" t="s">
        <v>103</v>
      </c>
      <c r="U196" s="171" t="s">
        <v>264</v>
      </c>
      <c r="V196" s="171" t="s">
        <v>264</v>
      </c>
      <c r="W196" s="191" t="s">
        <v>21</v>
      </c>
      <c r="X196" s="217" t="s">
        <v>172</v>
      </c>
      <c r="Y196" s="171" t="s">
        <v>173</v>
      </c>
      <c r="Z196" s="171" t="s">
        <v>174</v>
      </c>
      <c r="AA196" s="171" t="s">
        <v>175</v>
      </c>
      <c r="AB196" s="222">
        <f t="shared" si="8"/>
        <v>1</v>
      </c>
      <c r="AC196" s="221">
        <v>1</v>
      </c>
      <c r="AD196" s="222">
        <v>1</v>
      </c>
      <c r="AE196" s="222">
        <v>1</v>
      </c>
      <c r="AF196" s="217"/>
      <c r="AG196" s="217"/>
      <c r="AH196" s="222">
        <v>1</v>
      </c>
      <c r="AI196" s="217"/>
      <c r="AJ196" s="222">
        <v>1</v>
      </c>
      <c r="AK196" s="222">
        <v>1</v>
      </c>
      <c r="AL196" s="222">
        <v>1</v>
      </c>
      <c r="AM196" s="222">
        <v>1</v>
      </c>
      <c r="AN196" s="222">
        <v>1</v>
      </c>
      <c r="AO196" s="222">
        <v>1</v>
      </c>
      <c r="AP196" s="222">
        <v>1</v>
      </c>
      <c r="AQ196" s="217"/>
      <c r="AS196" s="217"/>
      <c r="AT196" s="217"/>
      <c r="AU196" s="96" t="s">
        <v>1325</v>
      </c>
    </row>
    <row r="197" spans="1:47">
      <c r="A197" s="171" t="s">
        <v>1594</v>
      </c>
      <c r="B197" s="171" t="s">
        <v>160</v>
      </c>
      <c r="C197" s="171" t="s">
        <v>73</v>
      </c>
      <c r="D197" s="171" t="s">
        <v>1595</v>
      </c>
      <c r="E197" s="171" t="s">
        <v>162</v>
      </c>
      <c r="F197" s="171" t="s">
        <v>1596</v>
      </c>
      <c r="G197" s="171" t="s">
        <v>1597</v>
      </c>
      <c r="H197" s="171" t="s">
        <v>165</v>
      </c>
      <c r="I197" s="171">
        <v>202605.5</v>
      </c>
      <c r="J197" s="221">
        <v>5.25</v>
      </c>
      <c r="K197" s="171" t="s">
        <v>73</v>
      </c>
      <c r="L197" s="171" t="s">
        <v>1598</v>
      </c>
      <c r="M197" s="171" t="s">
        <v>1599</v>
      </c>
      <c r="N197" s="171" t="s">
        <v>1600</v>
      </c>
      <c r="O197" s="217"/>
      <c r="P197" s="171" t="s">
        <v>138</v>
      </c>
      <c r="Q197" s="171" t="s">
        <v>100</v>
      </c>
      <c r="R197" s="171" t="s">
        <v>262</v>
      </c>
      <c r="S197" s="171" t="s">
        <v>1461</v>
      </c>
      <c r="T197" s="171" t="s">
        <v>103</v>
      </c>
      <c r="U197" s="171" t="s">
        <v>264</v>
      </c>
      <c r="V197" s="171" t="s">
        <v>264</v>
      </c>
      <c r="W197" s="191" t="s">
        <v>21</v>
      </c>
      <c r="X197" s="217" t="s">
        <v>172</v>
      </c>
      <c r="Y197" s="171" t="s">
        <v>173</v>
      </c>
      <c r="Z197" s="171" t="s">
        <v>174</v>
      </c>
      <c r="AA197" s="171" t="s">
        <v>175</v>
      </c>
      <c r="AB197" s="222">
        <f t="shared" si="8"/>
        <v>1</v>
      </c>
      <c r="AC197" s="221">
        <v>1</v>
      </c>
      <c r="AD197" s="222">
        <v>1</v>
      </c>
      <c r="AE197" s="222">
        <v>1</v>
      </c>
      <c r="AF197" s="217"/>
      <c r="AG197" s="217"/>
      <c r="AH197" s="222">
        <v>1</v>
      </c>
      <c r="AI197" s="217"/>
      <c r="AJ197" s="222">
        <v>1</v>
      </c>
      <c r="AK197" s="222">
        <v>1</v>
      </c>
      <c r="AL197" s="222">
        <v>1</v>
      </c>
      <c r="AM197" s="222">
        <v>1</v>
      </c>
      <c r="AN197" s="222">
        <v>1</v>
      </c>
      <c r="AO197" s="222">
        <v>1</v>
      </c>
      <c r="AP197" s="222">
        <v>1</v>
      </c>
      <c r="AQ197" s="217"/>
      <c r="AS197" s="217"/>
      <c r="AT197" s="217"/>
      <c r="AU197" s="96" t="s">
        <v>1349</v>
      </c>
    </row>
    <row r="198" spans="1:47">
      <c r="A198" s="171" t="s">
        <v>1601</v>
      </c>
      <c r="B198" s="171" t="s">
        <v>160</v>
      </c>
      <c r="C198" s="171" t="s">
        <v>73</v>
      </c>
      <c r="D198" s="171" t="s">
        <v>1602</v>
      </c>
      <c r="E198" s="171" t="s">
        <v>162</v>
      </c>
      <c r="F198" s="171" t="s">
        <v>1601</v>
      </c>
      <c r="G198" s="171" t="s">
        <v>1603</v>
      </c>
      <c r="H198" s="171" t="s">
        <v>165</v>
      </c>
      <c r="I198" s="171">
        <v>202605.5</v>
      </c>
      <c r="J198" s="221">
        <v>5.25</v>
      </c>
      <c r="K198" s="171" t="s">
        <v>73</v>
      </c>
      <c r="L198" s="171" t="s">
        <v>1604</v>
      </c>
      <c r="M198" s="171" t="s">
        <v>1605</v>
      </c>
      <c r="N198" s="171" t="s">
        <v>1606</v>
      </c>
      <c r="O198" s="217"/>
      <c r="P198" s="171" t="s">
        <v>138</v>
      </c>
      <c r="Q198" s="171" t="s">
        <v>100</v>
      </c>
      <c r="R198" s="171" t="s">
        <v>262</v>
      </c>
      <c r="S198" s="171" t="s">
        <v>1461</v>
      </c>
      <c r="T198" s="171" t="s">
        <v>103</v>
      </c>
      <c r="U198" s="171" t="s">
        <v>264</v>
      </c>
      <c r="V198" s="171" t="s">
        <v>264</v>
      </c>
      <c r="W198" s="191" t="s">
        <v>21</v>
      </c>
      <c r="X198" s="217" t="s">
        <v>172</v>
      </c>
      <c r="Y198" s="171" t="s">
        <v>173</v>
      </c>
      <c r="Z198" s="171" t="s">
        <v>174</v>
      </c>
      <c r="AA198" s="171" t="s">
        <v>175</v>
      </c>
      <c r="AB198" s="222">
        <f t="shared" si="8"/>
        <v>1</v>
      </c>
      <c r="AC198" s="221">
        <v>1</v>
      </c>
      <c r="AD198" s="222">
        <v>1</v>
      </c>
      <c r="AE198" s="222">
        <v>1</v>
      </c>
      <c r="AF198" s="217"/>
      <c r="AG198" s="217"/>
      <c r="AH198" s="222">
        <v>1</v>
      </c>
      <c r="AI198" s="217"/>
      <c r="AJ198" s="222">
        <v>1</v>
      </c>
      <c r="AK198" s="222">
        <v>1</v>
      </c>
      <c r="AL198" s="222">
        <v>1</v>
      </c>
      <c r="AM198" s="222">
        <v>1</v>
      </c>
      <c r="AN198" s="222">
        <v>1</v>
      </c>
      <c r="AO198" s="222">
        <v>1</v>
      </c>
      <c r="AP198" s="222">
        <v>1</v>
      </c>
      <c r="AQ198" s="217"/>
      <c r="AS198" s="217"/>
      <c r="AT198" s="217"/>
      <c r="AU198" s="96" t="s">
        <v>1285</v>
      </c>
    </row>
    <row r="199" spans="1:47">
      <c r="A199" s="171" t="s">
        <v>1607</v>
      </c>
      <c r="B199" s="171" t="s">
        <v>160</v>
      </c>
      <c r="C199" s="171" t="s">
        <v>73</v>
      </c>
      <c r="D199" s="171" t="s">
        <v>1608</v>
      </c>
      <c r="E199" s="171" t="s">
        <v>162</v>
      </c>
      <c r="F199" s="171" t="s">
        <v>1609</v>
      </c>
      <c r="G199" s="171" t="s">
        <v>1610</v>
      </c>
      <c r="H199" s="171" t="s">
        <v>165</v>
      </c>
      <c r="I199" s="171">
        <v>202605.5</v>
      </c>
      <c r="J199" s="221">
        <v>5.25</v>
      </c>
      <c r="K199" s="171" t="s">
        <v>73</v>
      </c>
      <c r="L199" s="171" t="s">
        <v>1611</v>
      </c>
      <c r="M199" s="171" t="s">
        <v>1612</v>
      </c>
      <c r="N199" s="171" t="s">
        <v>1613</v>
      </c>
      <c r="O199" s="217"/>
      <c r="P199" s="171" t="s">
        <v>138</v>
      </c>
      <c r="Q199" s="171" t="s">
        <v>100</v>
      </c>
      <c r="R199" s="171" t="s">
        <v>262</v>
      </c>
      <c r="S199" s="171" t="s">
        <v>1461</v>
      </c>
      <c r="T199" s="171" t="s">
        <v>103</v>
      </c>
      <c r="U199" s="171" t="s">
        <v>264</v>
      </c>
      <c r="V199" s="171" t="s">
        <v>264</v>
      </c>
      <c r="W199" s="191" t="s">
        <v>21</v>
      </c>
      <c r="X199" s="217" t="s">
        <v>172</v>
      </c>
      <c r="Y199" s="171" t="s">
        <v>173</v>
      </c>
      <c r="Z199" s="171" t="s">
        <v>174</v>
      </c>
      <c r="AA199" s="171" t="s">
        <v>175</v>
      </c>
      <c r="AB199" s="222">
        <f t="shared" si="8"/>
        <v>1</v>
      </c>
      <c r="AC199" s="221">
        <v>1</v>
      </c>
      <c r="AD199" s="222">
        <v>1</v>
      </c>
      <c r="AE199" s="222">
        <v>1</v>
      </c>
      <c r="AF199" s="217"/>
      <c r="AG199" s="217"/>
      <c r="AH199" s="222">
        <v>1</v>
      </c>
      <c r="AI199" s="217"/>
      <c r="AJ199" s="222">
        <v>1</v>
      </c>
      <c r="AK199" s="222">
        <v>1</v>
      </c>
      <c r="AL199" s="222">
        <v>1</v>
      </c>
      <c r="AM199" s="222">
        <v>1</v>
      </c>
      <c r="AN199" s="222">
        <v>1</v>
      </c>
      <c r="AO199" s="222">
        <v>1</v>
      </c>
      <c r="AP199" s="222">
        <v>1</v>
      </c>
      <c r="AQ199" s="217"/>
      <c r="AR199" s="221" t="s">
        <v>194</v>
      </c>
      <c r="AS199" s="217"/>
      <c r="AT199" s="217"/>
      <c r="AU199" s="96" t="s">
        <v>1293</v>
      </c>
    </row>
    <row r="200" spans="1:47">
      <c r="A200" s="171" t="s">
        <v>1614</v>
      </c>
      <c r="B200" s="171" t="s">
        <v>160</v>
      </c>
      <c r="C200" s="171" t="s">
        <v>73</v>
      </c>
      <c r="D200" s="171" t="s">
        <v>1615</v>
      </c>
      <c r="E200" s="171" t="s">
        <v>499</v>
      </c>
      <c r="F200" s="171" t="s">
        <v>1616</v>
      </c>
      <c r="G200" s="171" t="s">
        <v>1617</v>
      </c>
      <c r="H200" s="171" t="s">
        <v>165</v>
      </c>
      <c r="I200" s="171">
        <v>202605.5</v>
      </c>
      <c r="J200" s="221">
        <v>5.25</v>
      </c>
      <c r="K200" s="171" t="s">
        <v>73</v>
      </c>
      <c r="L200" s="171" t="s">
        <v>1618</v>
      </c>
      <c r="M200" s="171" t="s">
        <v>1619</v>
      </c>
      <c r="N200" s="171" t="s">
        <v>1620</v>
      </c>
      <c r="O200" s="217"/>
      <c r="P200" s="171" t="s">
        <v>138</v>
      </c>
      <c r="Q200" s="171" t="s">
        <v>100</v>
      </c>
      <c r="R200" s="171" t="s">
        <v>262</v>
      </c>
      <c r="S200" s="171" t="s">
        <v>1461</v>
      </c>
      <c r="T200" s="171" t="s">
        <v>103</v>
      </c>
      <c r="U200" s="171" t="s">
        <v>264</v>
      </c>
      <c r="V200" s="171" t="s">
        <v>264</v>
      </c>
      <c r="W200" s="191" t="s">
        <v>21</v>
      </c>
      <c r="X200" s="217" t="s">
        <v>172</v>
      </c>
      <c r="Y200" s="171" t="s">
        <v>173</v>
      </c>
      <c r="Z200" s="171" t="s">
        <v>174</v>
      </c>
      <c r="AA200" s="171" t="s">
        <v>175</v>
      </c>
      <c r="AB200" s="222">
        <f t="shared" si="8"/>
        <v>1</v>
      </c>
      <c r="AC200" s="221">
        <v>1</v>
      </c>
      <c r="AD200" s="222">
        <v>1</v>
      </c>
      <c r="AE200" s="222">
        <v>1</v>
      </c>
      <c r="AF200" s="217"/>
      <c r="AG200" s="217"/>
      <c r="AH200" s="222">
        <v>1</v>
      </c>
      <c r="AI200" s="217"/>
      <c r="AJ200" s="222">
        <v>1</v>
      </c>
      <c r="AK200" s="222">
        <v>1</v>
      </c>
      <c r="AL200" s="222">
        <v>1</v>
      </c>
      <c r="AM200" s="222">
        <v>1</v>
      </c>
      <c r="AN200" s="222">
        <v>1</v>
      </c>
      <c r="AO200" s="222">
        <v>1</v>
      </c>
      <c r="AP200" s="222">
        <v>1</v>
      </c>
      <c r="AQ200" s="217"/>
      <c r="AS200" s="217"/>
      <c r="AT200" s="217"/>
      <c r="AU200" s="96" t="s">
        <v>1621</v>
      </c>
    </row>
    <row r="201" spans="1:47">
      <c r="A201" s="171" t="s">
        <v>1622</v>
      </c>
      <c r="B201" s="171" t="s">
        <v>160</v>
      </c>
      <c r="C201" s="171" t="s">
        <v>73</v>
      </c>
      <c r="D201" s="171" t="s">
        <v>1623</v>
      </c>
      <c r="E201" s="171" t="s">
        <v>499</v>
      </c>
      <c r="F201" s="171" t="s">
        <v>1624</v>
      </c>
      <c r="G201" s="171" t="s">
        <v>1625</v>
      </c>
      <c r="H201" s="171" t="s">
        <v>165</v>
      </c>
      <c r="I201" s="171">
        <v>202605.5</v>
      </c>
      <c r="J201" s="221">
        <v>5.25</v>
      </c>
      <c r="K201" s="171" t="s">
        <v>73</v>
      </c>
      <c r="L201" s="171" t="s">
        <v>1626</v>
      </c>
      <c r="M201" s="171" t="s">
        <v>1627</v>
      </c>
      <c r="N201" s="171" t="s">
        <v>1628</v>
      </c>
      <c r="O201" s="217"/>
      <c r="P201" s="171" t="s">
        <v>138</v>
      </c>
      <c r="Q201" s="171" t="s">
        <v>100</v>
      </c>
      <c r="R201" s="171" t="s">
        <v>262</v>
      </c>
      <c r="S201" s="171" t="s">
        <v>1461</v>
      </c>
      <c r="T201" s="171" t="s">
        <v>103</v>
      </c>
      <c r="U201" s="171" t="s">
        <v>264</v>
      </c>
      <c r="V201" s="171" t="s">
        <v>264</v>
      </c>
      <c r="W201" s="191" t="s">
        <v>21</v>
      </c>
      <c r="X201" s="217" t="s">
        <v>172</v>
      </c>
      <c r="Y201" s="171" t="s">
        <v>173</v>
      </c>
      <c r="Z201" s="171" t="s">
        <v>174</v>
      </c>
      <c r="AA201" s="171" t="s">
        <v>175</v>
      </c>
      <c r="AB201" s="222">
        <f t="shared" si="8"/>
        <v>1</v>
      </c>
      <c r="AC201" s="221">
        <v>1</v>
      </c>
      <c r="AD201" s="222">
        <v>1</v>
      </c>
      <c r="AE201" s="222">
        <v>1</v>
      </c>
      <c r="AF201" s="217"/>
      <c r="AG201" s="217"/>
      <c r="AH201" s="222">
        <v>1</v>
      </c>
      <c r="AI201" s="217"/>
      <c r="AJ201" s="222">
        <v>1</v>
      </c>
      <c r="AK201" s="222">
        <v>1</v>
      </c>
      <c r="AL201" s="222">
        <v>1</v>
      </c>
      <c r="AM201" s="222">
        <v>1</v>
      </c>
      <c r="AN201" s="222">
        <v>1</v>
      </c>
      <c r="AO201" s="222">
        <v>1</v>
      </c>
      <c r="AP201" s="222">
        <v>1</v>
      </c>
      <c r="AQ201" s="217"/>
      <c r="AS201" s="217"/>
      <c r="AT201" s="217"/>
      <c r="AU201" s="96" t="s">
        <v>1629</v>
      </c>
    </row>
    <row r="202" spans="1:47">
      <c r="A202" s="171" t="s">
        <v>1630</v>
      </c>
      <c r="B202" s="171" t="s">
        <v>160</v>
      </c>
      <c r="C202" s="171" t="s">
        <v>73</v>
      </c>
      <c r="D202" s="171" t="s">
        <v>1631</v>
      </c>
      <c r="E202" s="171" t="s">
        <v>499</v>
      </c>
      <c r="F202" s="171" t="s">
        <v>1632</v>
      </c>
      <c r="G202" s="171" t="s">
        <v>1633</v>
      </c>
      <c r="H202" s="171" t="s">
        <v>165</v>
      </c>
      <c r="I202" s="171">
        <v>202605.5</v>
      </c>
      <c r="J202" s="221">
        <v>5.25</v>
      </c>
      <c r="K202" s="171" t="s">
        <v>73</v>
      </c>
      <c r="L202" s="171" t="s">
        <v>1634</v>
      </c>
      <c r="M202" s="171" t="s">
        <v>1635</v>
      </c>
      <c r="N202" s="171" t="s">
        <v>1636</v>
      </c>
      <c r="O202" s="217"/>
      <c r="P202" s="171" t="s">
        <v>138</v>
      </c>
      <c r="Q202" s="171" t="s">
        <v>100</v>
      </c>
      <c r="R202" s="171" t="s">
        <v>262</v>
      </c>
      <c r="S202" s="171" t="s">
        <v>1461</v>
      </c>
      <c r="T202" s="171" t="s">
        <v>103</v>
      </c>
      <c r="U202" s="171" t="s">
        <v>264</v>
      </c>
      <c r="V202" s="171" t="s">
        <v>264</v>
      </c>
      <c r="W202" s="191" t="s">
        <v>21</v>
      </c>
      <c r="X202" s="217" t="s">
        <v>172</v>
      </c>
      <c r="Y202" s="171" t="s">
        <v>173</v>
      </c>
      <c r="Z202" s="171" t="s">
        <v>174</v>
      </c>
      <c r="AA202" s="171" t="s">
        <v>175</v>
      </c>
      <c r="AB202" s="222">
        <f t="shared" si="8"/>
        <v>1</v>
      </c>
      <c r="AC202" s="221">
        <v>1</v>
      </c>
      <c r="AD202" s="222">
        <v>1</v>
      </c>
      <c r="AE202" s="222">
        <v>1</v>
      </c>
      <c r="AF202" s="217"/>
      <c r="AG202" s="217"/>
      <c r="AH202" s="222">
        <v>1</v>
      </c>
      <c r="AI202" s="217"/>
      <c r="AJ202" s="222">
        <v>1</v>
      </c>
      <c r="AK202" s="222">
        <v>1</v>
      </c>
      <c r="AL202" s="222">
        <v>1</v>
      </c>
      <c r="AM202" s="222">
        <v>1</v>
      </c>
      <c r="AN202" s="222">
        <v>1</v>
      </c>
      <c r="AO202" s="222">
        <v>1</v>
      </c>
      <c r="AP202" s="222">
        <v>1</v>
      </c>
      <c r="AQ202" s="217"/>
      <c r="AS202" s="217"/>
      <c r="AT202" s="217"/>
      <c r="AU202" s="96" t="s">
        <v>1637</v>
      </c>
    </row>
    <row r="203" spans="1:47">
      <c r="A203" s="171" t="s">
        <v>1638</v>
      </c>
      <c r="B203" s="171" t="s">
        <v>160</v>
      </c>
      <c r="C203" s="171" t="s">
        <v>73</v>
      </c>
      <c r="D203" s="171" t="s">
        <v>1639</v>
      </c>
      <c r="E203" s="171" t="s">
        <v>499</v>
      </c>
      <c r="F203" s="171" t="s">
        <v>1640</v>
      </c>
      <c r="G203" s="171" t="s">
        <v>1641</v>
      </c>
      <c r="H203" s="171" t="s">
        <v>165</v>
      </c>
      <c r="I203" s="171">
        <v>202605.5</v>
      </c>
      <c r="J203" s="221">
        <v>5.25</v>
      </c>
      <c r="K203" s="171" t="s">
        <v>73</v>
      </c>
      <c r="L203" s="171" t="s">
        <v>1642</v>
      </c>
      <c r="M203" s="171" t="s">
        <v>1643</v>
      </c>
      <c r="N203" s="171" t="s">
        <v>1644</v>
      </c>
      <c r="O203" s="217"/>
      <c r="P203" s="171" t="s">
        <v>138</v>
      </c>
      <c r="Q203" s="171" t="s">
        <v>100</v>
      </c>
      <c r="R203" s="171" t="s">
        <v>262</v>
      </c>
      <c r="S203" s="171" t="s">
        <v>1461</v>
      </c>
      <c r="T203" s="171" t="s">
        <v>103</v>
      </c>
      <c r="U203" s="171" t="s">
        <v>264</v>
      </c>
      <c r="V203" s="171" t="s">
        <v>264</v>
      </c>
      <c r="W203" s="191" t="s">
        <v>21</v>
      </c>
      <c r="X203" s="217" t="s">
        <v>172</v>
      </c>
      <c r="Y203" s="171" t="s">
        <v>173</v>
      </c>
      <c r="Z203" s="171" t="s">
        <v>174</v>
      </c>
      <c r="AA203" s="171" t="s">
        <v>175</v>
      </c>
      <c r="AB203" s="222">
        <f t="shared" si="8"/>
        <v>1</v>
      </c>
      <c r="AC203" s="221">
        <v>1</v>
      </c>
      <c r="AD203" s="222">
        <v>1</v>
      </c>
      <c r="AE203" s="222">
        <v>1</v>
      </c>
      <c r="AF203" s="217"/>
      <c r="AG203" s="217"/>
      <c r="AH203" s="222">
        <v>1</v>
      </c>
      <c r="AI203" s="217"/>
      <c r="AJ203" s="222">
        <v>1</v>
      </c>
      <c r="AK203" s="222">
        <v>1</v>
      </c>
      <c r="AL203" s="222">
        <v>1</v>
      </c>
      <c r="AM203" s="222">
        <v>1</v>
      </c>
      <c r="AN203" s="222">
        <v>1</v>
      </c>
      <c r="AO203" s="222">
        <v>1</v>
      </c>
      <c r="AP203" s="222">
        <v>1</v>
      </c>
      <c r="AQ203" s="217"/>
      <c r="AS203" s="217"/>
      <c r="AT203" s="217"/>
      <c r="AU203" s="96" t="s">
        <v>1309</v>
      </c>
    </row>
    <row r="204" spans="1:47">
      <c r="A204" s="171" t="s">
        <v>1645</v>
      </c>
      <c r="B204" s="171" t="s">
        <v>160</v>
      </c>
      <c r="C204" s="171" t="s">
        <v>73</v>
      </c>
      <c r="D204" s="171" t="s">
        <v>1646</v>
      </c>
      <c r="E204" s="171" t="s">
        <v>499</v>
      </c>
      <c r="F204" s="171" t="s">
        <v>1647</v>
      </c>
      <c r="G204" s="171" t="s">
        <v>1648</v>
      </c>
      <c r="H204" s="171" t="s">
        <v>165</v>
      </c>
      <c r="I204" s="171">
        <v>202605.5</v>
      </c>
      <c r="J204" s="221">
        <v>5.25</v>
      </c>
      <c r="K204" s="171" t="s">
        <v>73</v>
      </c>
      <c r="L204" s="171" t="s">
        <v>1649</v>
      </c>
      <c r="M204" s="171" t="s">
        <v>1650</v>
      </c>
      <c r="N204" s="171" t="s">
        <v>1651</v>
      </c>
      <c r="O204" s="217"/>
      <c r="P204" s="171" t="s">
        <v>138</v>
      </c>
      <c r="Q204" s="171" t="s">
        <v>100</v>
      </c>
      <c r="R204" s="171" t="s">
        <v>262</v>
      </c>
      <c r="S204" s="171" t="s">
        <v>1461</v>
      </c>
      <c r="T204" s="171" t="s">
        <v>103</v>
      </c>
      <c r="U204" s="171" t="s">
        <v>264</v>
      </c>
      <c r="V204" s="171" t="s">
        <v>264</v>
      </c>
      <c r="W204" s="191" t="s">
        <v>21</v>
      </c>
      <c r="X204" s="217" t="s">
        <v>172</v>
      </c>
      <c r="Y204" s="171" t="s">
        <v>173</v>
      </c>
      <c r="Z204" s="171" t="s">
        <v>174</v>
      </c>
      <c r="AA204" s="171" t="s">
        <v>175</v>
      </c>
      <c r="AB204" s="222">
        <f t="shared" si="8"/>
        <v>1</v>
      </c>
      <c r="AC204" s="221">
        <v>1</v>
      </c>
      <c r="AD204" s="222">
        <v>1</v>
      </c>
      <c r="AE204" s="222">
        <v>1</v>
      </c>
      <c r="AF204" s="217"/>
      <c r="AG204" s="217"/>
      <c r="AH204" s="222">
        <v>1</v>
      </c>
      <c r="AI204" s="217"/>
      <c r="AJ204" s="222">
        <v>1</v>
      </c>
      <c r="AK204" s="222">
        <v>1</v>
      </c>
      <c r="AL204" s="221">
        <v>0</v>
      </c>
      <c r="AM204" s="226" t="s">
        <v>1283</v>
      </c>
      <c r="AN204" s="226" t="s">
        <v>1211</v>
      </c>
      <c r="AO204" s="226" t="s">
        <v>1211</v>
      </c>
      <c r="AP204" s="226" t="s">
        <v>1211</v>
      </c>
      <c r="AQ204" s="222">
        <v>1</v>
      </c>
      <c r="AR204" s="233"/>
      <c r="AS204" s="217"/>
      <c r="AT204" s="217"/>
      <c r="AU204" s="96" t="s">
        <v>1652</v>
      </c>
    </row>
    <row r="205" spans="1:47" hidden="1">
      <c r="AR205" s="4"/>
      <c r="AU205" s="96" t="s">
        <v>1653</v>
      </c>
    </row>
    <row r="206" spans="1:47" hidden="1">
      <c r="AR206" s="4"/>
      <c r="AU206" s="96" t="s">
        <v>1654</v>
      </c>
    </row>
    <row r="207" spans="1:47" hidden="1">
      <c r="AR207" s="4"/>
      <c r="AU207" s="96" t="s">
        <v>1448</v>
      </c>
    </row>
    <row r="208" spans="1:47" hidden="1">
      <c r="AR208" s="4"/>
      <c r="AU208" s="96" t="s">
        <v>1317</v>
      </c>
    </row>
    <row r="209" spans="44:47" hidden="1">
      <c r="AR209" s="4"/>
      <c r="AU209" s="96" t="s">
        <v>1441</v>
      </c>
    </row>
    <row r="210" spans="44:47" hidden="1">
      <c r="AR210" s="4"/>
      <c r="AU210" s="96" t="s">
        <v>1276</v>
      </c>
    </row>
    <row r="211" spans="44:47" hidden="1">
      <c r="AR211" s="4"/>
      <c r="AU211" s="96" t="s">
        <v>1655</v>
      </c>
    </row>
    <row r="212" spans="44:47" hidden="1">
      <c r="AR212" s="4"/>
      <c r="AU212" s="96" t="s">
        <v>1656</v>
      </c>
    </row>
    <row r="213" spans="44:47" hidden="1">
      <c r="AR213" s="4"/>
      <c r="AU213" s="96" t="s">
        <v>1301</v>
      </c>
    </row>
    <row r="214" spans="44:47" hidden="1">
      <c r="AR214" s="4"/>
      <c r="AU214" s="96" t="s">
        <v>1434</v>
      </c>
    </row>
    <row r="215" spans="44:47" hidden="1">
      <c r="AR215" s="4"/>
      <c r="AU215" s="96" t="s">
        <v>1427</v>
      </c>
    </row>
    <row r="216" spans="44:47" hidden="1">
      <c r="AR216" s="4"/>
      <c r="AU216" s="96" t="s">
        <v>1420</v>
      </c>
    </row>
    <row r="217" spans="44:47" hidden="1">
      <c r="AR217" s="4"/>
      <c r="AU217" s="96" t="s">
        <v>1413</v>
      </c>
    </row>
    <row r="218" spans="44:47" hidden="1">
      <c r="AR218" s="4"/>
      <c r="AU218" s="96" t="s">
        <v>1406</v>
      </c>
    </row>
    <row r="219" spans="44:47" hidden="1">
      <c r="AR219" s="4"/>
      <c r="AU219" s="96" t="s">
        <v>1399</v>
      </c>
    </row>
    <row r="220" spans="44:47" hidden="1">
      <c r="AR220" s="4"/>
      <c r="AU220" s="96" t="s">
        <v>1392</v>
      </c>
    </row>
    <row r="221" spans="44:47" hidden="1">
      <c r="AR221" s="4"/>
      <c r="AU221" s="96" t="s">
        <v>1385</v>
      </c>
    </row>
    <row r="222" spans="44:47" hidden="1">
      <c r="AR222" s="4"/>
      <c r="AU222" s="96" t="s">
        <v>1378</v>
      </c>
    </row>
    <row r="223" spans="44:47" hidden="1">
      <c r="AR223" s="4"/>
      <c r="AU223" s="96" t="s">
        <v>1371</v>
      </c>
    </row>
    <row r="224" spans="44:47" hidden="1">
      <c r="AR224" s="4"/>
      <c r="AU224" s="96" t="s">
        <v>1364</v>
      </c>
    </row>
    <row r="225" spans="44:47" hidden="1">
      <c r="AR225" s="4"/>
      <c r="AU225" s="96" t="s">
        <v>1357</v>
      </c>
    </row>
    <row r="226" spans="44:47" hidden="1">
      <c r="AR226" s="4"/>
      <c r="AU226" s="96" t="s">
        <v>1657</v>
      </c>
    </row>
    <row r="227" spans="44:47" hidden="1">
      <c r="AR227" s="4"/>
      <c r="AU227" s="96" t="s">
        <v>1658</v>
      </c>
    </row>
    <row r="228" spans="44:47" hidden="1">
      <c r="AR228" s="4"/>
      <c r="AU228" s="96" t="s">
        <v>1659</v>
      </c>
    </row>
    <row r="229" spans="44:47" hidden="1">
      <c r="AR229" s="4"/>
      <c r="AU229" s="96" t="s">
        <v>1660</v>
      </c>
    </row>
    <row r="230" spans="44:47" hidden="1">
      <c r="AR230" s="4"/>
      <c r="AU230" s="96" t="s">
        <v>1661</v>
      </c>
    </row>
    <row r="231" spans="44:47" hidden="1">
      <c r="AR231" s="4"/>
      <c r="AU231" s="96" t="s">
        <v>1662</v>
      </c>
    </row>
    <row r="232" spans="44:47" hidden="1">
      <c r="AR232" s="4"/>
      <c r="AU232" s="96" t="s">
        <v>1663</v>
      </c>
    </row>
    <row r="233" spans="44:47" hidden="1">
      <c r="AR233" s="4"/>
      <c r="AU233" s="96" t="s">
        <v>1664</v>
      </c>
    </row>
    <row r="234" spans="44:47" hidden="1">
      <c r="AR234" s="4"/>
      <c r="AU234" s="96" t="s">
        <v>1665</v>
      </c>
    </row>
    <row r="235" spans="44:47" hidden="1">
      <c r="AR235" s="4"/>
      <c r="AU235" s="96" t="s">
        <v>1666</v>
      </c>
    </row>
    <row r="236" spans="44:47" hidden="1">
      <c r="AR236" s="4"/>
      <c r="AU236" s="96" t="s">
        <v>1667</v>
      </c>
    </row>
    <row r="237" spans="44:47" hidden="1">
      <c r="AR237" s="4"/>
      <c r="AU237" s="96" t="s">
        <v>1668</v>
      </c>
    </row>
    <row r="238" spans="44:47" hidden="1">
      <c r="AR238" s="4"/>
      <c r="AU238" s="96" t="s">
        <v>1669</v>
      </c>
    </row>
    <row r="239" spans="44:47" hidden="1">
      <c r="AR239" s="4"/>
      <c r="AU239" s="96" t="s">
        <v>1670</v>
      </c>
    </row>
    <row r="240" spans="44:47" hidden="1">
      <c r="AR240" s="4"/>
      <c r="AU240" s="96" t="s">
        <v>1526</v>
      </c>
    </row>
    <row r="241" spans="44:47" hidden="1">
      <c r="AR241" s="4"/>
      <c r="AU241" s="96" t="s">
        <v>1519</v>
      </c>
    </row>
    <row r="242" spans="44:47" hidden="1">
      <c r="AR242" s="4"/>
      <c r="AU242" s="96" t="s">
        <v>1512</v>
      </c>
    </row>
    <row r="243" spans="44:47" hidden="1">
      <c r="AR243" s="4"/>
      <c r="AU243" s="96" t="s">
        <v>1608</v>
      </c>
    </row>
    <row r="244" spans="44:47" hidden="1">
      <c r="AR244" s="4"/>
      <c r="AU244" s="96" t="s">
        <v>1588</v>
      </c>
    </row>
    <row r="245" spans="44:47" hidden="1">
      <c r="AR245" s="4"/>
      <c r="AU245" s="96" t="s">
        <v>1671</v>
      </c>
    </row>
    <row r="246" spans="44:47" hidden="1">
      <c r="AR246" s="4"/>
      <c r="AU246" s="96" t="s">
        <v>1672</v>
      </c>
    </row>
    <row r="247" spans="44:47" hidden="1">
      <c r="AR247" s="4"/>
      <c r="AU247" s="96" t="s">
        <v>1673</v>
      </c>
    </row>
    <row r="248" spans="44:47" hidden="1">
      <c r="AR248" s="4"/>
      <c r="AU248" s="96" t="s">
        <v>1674</v>
      </c>
    </row>
    <row r="249" spans="44:47" hidden="1">
      <c r="AR249" s="4"/>
      <c r="AU249" s="96" t="s">
        <v>1505</v>
      </c>
    </row>
    <row r="250" spans="44:47" hidden="1">
      <c r="AR250" s="4"/>
      <c r="AU250" s="96" t="s">
        <v>1581</v>
      </c>
    </row>
    <row r="251" spans="44:47" hidden="1">
      <c r="AR251" s="4"/>
      <c r="AU251" s="96" t="s">
        <v>1498</v>
      </c>
    </row>
    <row r="252" spans="44:47" hidden="1">
      <c r="AR252" s="4"/>
      <c r="AU252" s="96" t="s">
        <v>1491</v>
      </c>
    </row>
    <row r="253" spans="44:47" hidden="1">
      <c r="AR253" s="4"/>
      <c r="AU253" s="96" t="s">
        <v>1595</v>
      </c>
    </row>
    <row r="254" spans="44:47" hidden="1">
      <c r="AR254" s="4"/>
      <c r="AU254" s="96" t="s">
        <v>1574</v>
      </c>
    </row>
    <row r="255" spans="44:47" hidden="1">
      <c r="AR255" s="4"/>
      <c r="AU255" s="96" t="s">
        <v>1566</v>
      </c>
    </row>
    <row r="256" spans="44:47" hidden="1">
      <c r="AR256" s="4"/>
      <c r="AU256" s="96" t="s">
        <v>1477</v>
      </c>
    </row>
    <row r="257" spans="44:47" hidden="1">
      <c r="AR257" s="4"/>
      <c r="AU257" s="96" t="s">
        <v>1558</v>
      </c>
    </row>
    <row r="258" spans="44:47" hidden="1">
      <c r="AR258" s="4"/>
      <c r="AU258" s="96" t="s">
        <v>1550</v>
      </c>
    </row>
    <row r="259" spans="44:47" hidden="1">
      <c r="AR259" s="4"/>
      <c r="AU259" s="96" t="s">
        <v>1470</v>
      </c>
    </row>
    <row r="260" spans="44:47" hidden="1">
      <c r="AR260" s="4"/>
      <c r="AU260" s="96" t="s">
        <v>1463</v>
      </c>
    </row>
    <row r="261" spans="44:47" hidden="1">
      <c r="AR261" s="4"/>
      <c r="AU261" s="96" t="s">
        <v>1455</v>
      </c>
    </row>
    <row r="262" spans="44:47" hidden="1">
      <c r="AR262" s="4"/>
      <c r="AU262" s="96" t="s">
        <v>1542</v>
      </c>
    </row>
    <row r="263" spans="44:47" hidden="1">
      <c r="AR263" s="4"/>
      <c r="AU263" s="96" t="s">
        <v>1534</v>
      </c>
    </row>
    <row r="264" spans="44:47" hidden="1">
      <c r="AR264" s="4"/>
      <c r="AU264" s="96" t="s">
        <v>1675</v>
      </c>
    </row>
    <row r="265" spans="44:47" hidden="1">
      <c r="AR265" s="4"/>
      <c r="AU265" s="96" t="s">
        <v>1676</v>
      </c>
    </row>
    <row r="266" spans="44:47" hidden="1">
      <c r="AR266" s="4"/>
      <c r="AU266" s="96" t="s">
        <v>1677</v>
      </c>
    </row>
    <row r="267" spans="44:47" hidden="1">
      <c r="AR267" s="4"/>
      <c r="AU267" s="96" t="s">
        <v>1602</v>
      </c>
    </row>
    <row r="268" spans="44:47" hidden="1">
      <c r="AR268" s="4"/>
      <c r="AU268" s="96" t="s">
        <v>1678</v>
      </c>
    </row>
    <row r="269" spans="44:47" hidden="1">
      <c r="AR269" s="4"/>
      <c r="AU269" s="96" t="s">
        <v>1679</v>
      </c>
    </row>
    <row r="270" spans="44:47" hidden="1">
      <c r="AR270" s="4"/>
      <c r="AU270" s="96" t="s">
        <v>1615</v>
      </c>
    </row>
    <row r="271" spans="44:47" hidden="1">
      <c r="AR271" s="4"/>
      <c r="AU271" s="96" t="s">
        <v>1623</v>
      </c>
    </row>
    <row r="272" spans="44:47" hidden="1">
      <c r="AR272" s="4"/>
      <c r="AU272" s="96" t="s">
        <v>1631</v>
      </c>
    </row>
    <row r="273" spans="44:47" hidden="1">
      <c r="AR273" s="4"/>
      <c r="AU273" s="96" t="s">
        <v>1639</v>
      </c>
    </row>
    <row r="274" spans="44:47" hidden="1">
      <c r="AR274" s="4"/>
      <c r="AU274" s="96" t="s">
        <v>1646</v>
      </c>
    </row>
    <row r="275" spans="44:47" hidden="1">
      <c r="AR275" s="4"/>
      <c r="AU275" s="234" t="s">
        <v>578</v>
      </c>
    </row>
    <row r="276" spans="44:47" hidden="1">
      <c r="AR276" s="4"/>
      <c r="AU276" s="96" t="s">
        <v>407</v>
      </c>
    </row>
    <row r="277" spans="44:47" hidden="1">
      <c r="AR277" s="4"/>
      <c r="AU277" s="96" t="s">
        <v>943</v>
      </c>
    </row>
    <row r="278" spans="44:47" hidden="1">
      <c r="AR278" s="4"/>
      <c r="AU278" s="96" t="s">
        <v>971</v>
      </c>
    </row>
    <row r="279" spans="44:47" hidden="1">
      <c r="AR279" s="4"/>
      <c r="AU279" s="96" t="s">
        <v>1484</v>
      </c>
    </row>
    <row r="280" spans="44:47" hidden="1">
      <c r="AR280" s="4"/>
      <c r="AU280" s="96"/>
    </row>
    <row r="281" spans="44:47" hidden="1">
      <c r="AR281" s="4"/>
      <c r="AU281" s="96"/>
    </row>
    <row r="282" spans="44:47" hidden="1">
      <c r="AR282" s="4"/>
      <c r="AU282" s="96"/>
    </row>
    <row r="283" spans="44:47" hidden="1">
      <c r="AR283" s="4"/>
      <c r="AU283" s="96"/>
    </row>
    <row r="284" spans="44:47" hidden="1">
      <c r="AR284" s="4"/>
      <c r="AU284" s="96"/>
    </row>
    <row r="285" spans="44:47" hidden="1">
      <c r="AR285" s="4"/>
      <c r="AU285" s="96"/>
    </row>
    <row r="286" spans="44:47" hidden="1">
      <c r="AR286" s="4"/>
      <c r="AU286" s="96"/>
    </row>
    <row r="287" spans="44:47" hidden="1">
      <c r="AR287" s="4"/>
      <c r="AU287" s="96"/>
    </row>
    <row r="288" spans="44:47" hidden="1">
      <c r="AR288" s="4"/>
      <c r="AU288" s="96"/>
    </row>
    <row r="289" spans="44:47" hidden="1">
      <c r="AR289" s="4"/>
      <c r="AU289" s="96"/>
    </row>
    <row r="290" spans="44:47" hidden="1">
      <c r="AR290" s="4"/>
      <c r="AU290" s="96"/>
    </row>
    <row r="291" spans="44:47" hidden="1">
      <c r="AR291" s="4"/>
      <c r="AU291" s="96"/>
    </row>
    <row r="292" spans="44:47" hidden="1">
      <c r="AR292" s="4"/>
      <c r="AU292" s="96"/>
    </row>
    <row r="293" spans="44:47" hidden="1">
      <c r="AR293" s="4"/>
      <c r="AU293" s="96"/>
    </row>
    <row r="294" spans="44:47" hidden="1">
      <c r="AR294" s="4"/>
      <c r="AU294" s="96"/>
    </row>
    <row r="295" spans="44:47" hidden="1">
      <c r="AR295" s="4"/>
      <c r="AU295" s="96"/>
    </row>
    <row r="296" spans="44:47" hidden="1">
      <c r="AR296" s="4"/>
      <c r="AU296" s="96"/>
    </row>
    <row r="297" spans="44:47" hidden="1">
      <c r="AR297" s="4"/>
      <c r="AU297" s="96"/>
    </row>
    <row r="298" spans="44:47" hidden="1">
      <c r="AR298" s="4"/>
      <c r="AU298" s="96"/>
    </row>
    <row r="299" spans="44:47" hidden="1">
      <c r="AR299" s="4"/>
      <c r="AU299" s="96"/>
    </row>
    <row r="300" spans="44:47" hidden="1">
      <c r="AR300" s="4"/>
      <c r="AU300" s="96"/>
    </row>
    <row r="301" spans="44:47" hidden="1">
      <c r="AR301" s="4"/>
      <c r="AU301" s="96"/>
    </row>
    <row r="302" spans="44:47" hidden="1">
      <c r="AR302" s="4"/>
      <c r="AU302" s="96"/>
    </row>
    <row r="303" spans="44:47" hidden="1">
      <c r="AR303" s="4"/>
      <c r="AU303" s="96"/>
    </row>
    <row r="304" spans="44:47" hidden="1">
      <c r="AR304" s="4"/>
      <c r="AU304" s="96"/>
    </row>
    <row r="305" spans="44:47" hidden="1">
      <c r="AR305" s="4"/>
      <c r="AU305" s="96"/>
    </row>
    <row r="306" spans="44:47" hidden="1">
      <c r="AR306" s="4"/>
      <c r="AU306" s="96"/>
    </row>
    <row r="307" spans="44:47" hidden="1">
      <c r="AR307" s="4"/>
      <c r="AU307" s="96"/>
    </row>
    <row r="308" spans="44:47" hidden="1">
      <c r="AR308" s="4"/>
      <c r="AU308" s="96"/>
    </row>
    <row r="309" spans="44:47" hidden="1">
      <c r="AR309" s="4"/>
      <c r="AU309" s="96"/>
    </row>
    <row r="310" spans="44:47" hidden="1">
      <c r="AR310" s="4"/>
      <c r="AU310" s="96"/>
    </row>
    <row r="311" spans="44:47" hidden="1">
      <c r="AR311" s="4"/>
      <c r="AU311" s="96"/>
    </row>
    <row r="312" spans="44:47" hidden="1">
      <c r="AR312" s="4"/>
      <c r="AU312" s="96"/>
    </row>
    <row r="313" spans="44:47" hidden="1">
      <c r="AR313" s="4"/>
      <c r="AU313" s="96"/>
    </row>
    <row r="314" spans="44:47" hidden="1">
      <c r="AR314" s="4"/>
      <c r="AU314" s="96"/>
    </row>
    <row r="315" spans="44:47" hidden="1">
      <c r="AR315" s="4"/>
      <c r="AU315" s="96"/>
    </row>
    <row r="316" spans="44:47" hidden="1">
      <c r="AR316" s="4"/>
      <c r="AU316" s="96"/>
    </row>
    <row r="317" spans="44:47" hidden="1">
      <c r="AR317" s="4"/>
      <c r="AU317" s="96"/>
    </row>
    <row r="318" spans="44:47" hidden="1">
      <c r="AR318" s="4"/>
      <c r="AU318" s="96"/>
    </row>
    <row r="319" spans="44:47" hidden="1">
      <c r="AR319" s="4"/>
      <c r="AU319" s="96"/>
    </row>
    <row r="320" spans="44:47" hidden="1">
      <c r="AR320" s="4"/>
      <c r="AU320" s="96"/>
    </row>
    <row r="321" spans="44:47" hidden="1">
      <c r="AR321" s="4"/>
      <c r="AU321" s="96"/>
    </row>
    <row r="322" spans="44:47" hidden="1">
      <c r="AR322" s="4"/>
      <c r="AU322" s="96"/>
    </row>
    <row r="323" spans="44:47" hidden="1">
      <c r="AR323" s="4"/>
      <c r="AU323" s="96"/>
    </row>
    <row r="324" spans="44:47" hidden="1">
      <c r="AR324" s="4"/>
      <c r="AU324" s="96"/>
    </row>
    <row r="325" spans="44:47" hidden="1">
      <c r="AR325" s="4"/>
      <c r="AU325" s="96"/>
    </row>
    <row r="326" spans="44:47" hidden="1">
      <c r="AR326" s="4"/>
      <c r="AU326" s="96"/>
    </row>
    <row r="327" spans="44:47" hidden="1">
      <c r="AR327" s="4"/>
      <c r="AU327" s="96"/>
    </row>
    <row r="328" spans="44:47" hidden="1">
      <c r="AR328" s="4"/>
      <c r="AU328" s="96"/>
    </row>
    <row r="329" spans="44:47" hidden="1">
      <c r="AR329" s="4"/>
      <c r="AU329" s="96"/>
    </row>
    <row r="330" spans="44:47" hidden="1">
      <c r="AR330" s="4"/>
      <c r="AU330" s="96"/>
    </row>
    <row r="331" spans="44:47" hidden="1">
      <c r="AR331" s="4"/>
      <c r="AU331" s="96"/>
    </row>
    <row r="332" spans="44:47" hidden="1">
      <c r="AR332" s="4"/>
      <c r="AU332" s="96"/>
    </row>
    <row r="333" spans="44:47" hidden="1">
      <c r="AR333" s="4"/>
      <c r="AU333" s="96"/>
    </row>
    <row r="334" spans="44:47" hidden="1">
      <c r="AR334" s="4"/>
      <c r="AU334" s="96"/>
    </row>
    <row r="335" spans="44:47" hidden="1">
      <c r="AR335" s="4"/>
      <c r="AU335" s="96"/>
    </row>
    <row r="336" spans="44:47" hidden="1">
      <c r="AR336" s="4"/>
      <c r="AU336" s="96"/>
    </row>
    <row r="337" spans="44:47" hidden="1">
      <c r="AR337" s="4"/>
      <c r="AU337" s="96"/>
    </row>
    <row r="338" spans="44:47" hidden="1">
      <c r="AR338" s="4"/>
      <c r="AU338" s="96"/>
    </row>
    <row r="339" spans="44:47" hidden="1">
      <c r="AR339" s="4"/>
      <c r="AU339" s="96"/>
    </row>
    <row r="340" spans="44:47" hidden="1">
      <c r="AR340" s="4"/>
      <c r="AU340" s="96"/>
    </row>
    <row r="341" spans="44:47" hidden="1">
      <c r="AR341" s="4"/>
      <c r="AU341" s="96"/>
    </row>
    <row r="342" spans="44:47" hidden="1">
      <c r="AR342" s="4"/>
      <c r="AU342" s="96"/>
    </row>
    <row r="343" spans="44:47" hidden="1">
      <c r="AR343" s="4"/>
      <c r="AU343" s="96"/>
    </row>
    <row r="344" spans="44:47" hidden="1">
      <c r="AR344" s="4"/>
      <c r="AU344" s="96"/>
    </row>
    <row r="345" spans="44:47" hidden="1">
      <c r="AR345" s="4"/>
      <c r="AU345" s="96"/>
    </row>
    <row r="346" spans="44:47" hidden="1">
      <c r="AR346" s="4"/>
      <c r="AU346" s="96"/>
    </row>
    <row r="347" spans="44:47" hidden="1">
      <c r="AR347" s="4"/>
      <c r="AU347" s="96"/>
    </row>
    <row r="348" spans="44:47" hidden="1">
      <c r="AR348" s="4"/>
      <c r="AU348" s="96"/>
    </row>
    <row r="349" spans="44:47" hidden="1">
      <c r="AR349" s="4"/>
      <c r="AU349" s="96"/>
    </row>
    <row r="350" spans="44:47" hidden="1">
      <c r="AR350" s="4"/>
      <c r="AU350" s="96"/>
    </row>
    <row r="351" spans="44:47" hidden="1">
      <c r="AR351" s="4"/>
      <c r="AU351" s="96"/>
    </row>
    <row r="352" spans="44:47" hidden="1">
      <c r="AR352" s="4"/>
      <c r="AU352" s="96"/>
    </row>
    <row r="353" spans="44:47" hidden="1">
      <c r="AR353" s="4"/>
      <c r="AU353" s="96"/>
    </row>
    <row r="354" spans="44:47" hidden="1">
      <c r="AR354" s="4"/>
      <c r="AU354" s="96"/>
    </row>
    <row r="355" spans="44:47" hidden="1">
      <c r="AR355" s="4"/>
      <c r="AU355" s="96"/>
    </row>
    <row r="356" spans="44:47" hidden="1">
      <c r="AR356" s="4"/>
      <c r="AU356" s="96"/>
    </row>
    <row r="357" spans="44:47" hidden="1">
      <c r="AR357" s="4"/>
      <c r="AU357" s="96"/>
    </row>
    <row r="358" spans="44:47" hidden="1">
      <c r="AR358" s="4"/>
      <c r="AU358" s="96"/>
    </row>
    <row r="359" spans="44:47" ht="16.5" hidden="1">
      <c r="AR359" s="4"/>
      <c r="AU359" s="235"/>
    </row>
    <row r="360" spans="44:47" ht="16.5" hidden="1">
      <c r="AR360" s="4"/>
      <c r="AU360" s="235"/>
    </row>
    <row r="361" spans="44:47" ht="16.5" hidden="1">
      <c r="AR361" s="4"/>
      <c r="AU361" s="235"/>
    </row>
    <row r="362" spans="44:47" ht="16.5" hidden="1">
      <c r="AR362" s="4"/>
      <c r="AU362" s="235"/>
    </row>
    <row r="363" spans="44:47" ht="16.5" hidden="1">
      <c r="AR363" s="4"/>
      <c r="AU363" s="235"/>
    </row>
    <row r="364" spans="44:47" ht="16.5" hidden="1">
      <c r="AR364" s="4"/>
      <c r="AU364" s="235"/>
    </row>
    <row r="365" spans="44:47" ht="16.5" hidden="1">
      <c r="AR365" s="4"/>
      <c r="AU365" s="235"/>
    </row>
    <row r="366" spans="44:47" ht="16.5" hidden="1">
      <c r="AR366" s="4"/>
      <c r="AU366" s="235"/>
    </row>
    <row r="367" spans="44:47" ht="16.5" hidden="1">
      <c r="AR367" s="4"/>
      <c r="AU367" s="235"/>
    </row>
    <row r="368" spans="44:47" ht="16.5" hidden="1">
      <c r="AR368" s="4"/>
      <c r="AU368" s="235"/>
    </row>
    <row r="369" spans="44:47" ht="16.5" hidden="1">
      <c r="AR369" s="4"/>
      <c r="AU369" s="235"/>
    </row>
    <row r="370" spans="44:47" ht="16.5" hidden="1">
      <c r="AR370" s="4"/>
      <c r="AU370" s="235"/>
    </row>
    <row r="371" spans="44:47" ht="16.5" hidden="1">
      <c r="AR371" s="4"/>
      <c r="AU371" s="235"/>
    </row>
    <row r="372" spans="44:47" ht="16.5" hidden="1">
      <c r="AR372" s="4"/>
      <c r="AU372" s="235"/>
    </row>
    <row r="373" spans="44:47" ht="16.5" hidden="1">
      <c r="AR373" s="4"/>
      <c r="AU373" s="235"/>
    </row>
    <row r="374" spans="44:47" ht="16.5" hidden="1">
      <c r="AR374" s="4"/>
      <c r="AU374" s="235"/>
    </row>
    <row r="375" spans="44:47" ht="16.5" hidden="1">
      <c r="AR375" s="4"/>
      <c r="AU375" s="235"/>
    </row>
    <row r="376" spans="44:47" ht="16.5" hidden="1">
      <c r="AR376" s="4"/>
      <c r="AU376" s="235"/>
    </row>
    <row r="377" spans="44:47" ht="16.5" hidden="1">
      <c r="AR377" s="4"/>
      <c r="AU377" s="235"/>
    </row>
    <row r="378" spans="44:47" ht="16.5" hidden="1">
      <c r="AR378" s="4"/>
      <c r="AU378" s="235"/>
    </row>
    <row r="379" spans="44:47" ht="16.5" hidden="1">
      <c r="AR379" s="4"/>
      <c r="AU379" s="235"/>
    </row>
    <row r="380" spans="44:47" ht="16.5" hidden="1">
      <c r="AR380" s="4"/>
      <c r="AU380" s="235"/>
    </row>
    <row r="381" spans="44:47" ht="16.5" hidden="1">
      <c r="AR381" s="4"/>
      <c r="AU381" s="235"/>
    </row>
    <row r="382" spans="44:47" ht="16.5" hidden="1">
      <c r="AR382" s="4"/>
      <c r="AU382" s="235"/>
    </row>
    <row r="383" spans="44:47" ht="16.5" hidden="1">
      <c r="AR383" s="4"/>
      <c r="AU383" s="235"/>
    </row>
    <row r="384" spans="44:47" ht="16.5" hidden="1">
      <c r="AR384" s="4"/>
      <c r="AU384" s="235"/>
    </row>
  </sheetData>
  <sheetProtection sheet="1" formatCells="0" formatColumns="0" formatRows="0" insertColumns="0" insertRows="0" insertHyperlinks="0" deleteColumns="0" deleteRows="0" sort="0" autoFilter="0" pivotTables="0"/>
  <protectedRanges>
    <protectedRange sqref="A1:O1048576" name="Range1"/>
  </protectedRanges>
  <autoFilter ref="A1:AU384" xr:uid="{00000000-0009-0000-0000-000002000000}">
    <filterColumn colId="9">
      <filters>
        <filter val="5.25"/>
      </filters>
    </filterColumn>
  </autoFilter>
  <phoneticPr fontId="67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XCX811"/>
  <sheetViews>
    <sheetView workbookViewId="0">
      <pane xSplit="7" ySplit="1" topLeftCell="AS2" activePane="bottomRight" state="frozen"/>
      <selection pane="topRight"/>
      <selection pane="bottomLeft"/>
      <selection pane="bottomRight" activeCell="A2" sqref="A2:A208"/>
    </sheetView>
  </sheetViews>
  <sheetFormatPr defaultColWidth="9" defaultRowHeight="16.5"/>
  <cols>
    <col min="1" max="1" width="13.453125" style="99" customWidth="1"/>
    <col min="2" max="2" width="15.6328125" style="99" customWidth="1"/>
    <col min="3" max="3" width="8.1796875" style="99" customWidth="1"/>
    <col min="4" max="4" width="14.6328125" style="99" customWidth="1"/>
    <col min="5" max="5" width="18.26953125" style="99" hidden="1" customWidth="1"/>
    <col min="6" max="6" width="10.90625" style="99" customWidth="1"/>
    <col min="7" max="7" width="9" style="99" customWidth="1"/>
    <col min="8" max="8" width="11" style="99" customWidth="1"/>
    <col min="9" max="9" width="10.36328125" style="99" customWidth="1"/>
    <col min="10" max="10" width="7.08984375" style="100" customWidth="1"/>
    <col min="11" max="11" width="5.7265625" style="99" customWidth="1"/>
    <col min="12" max="12" width="11.90625" style="99" customWidth="1"/>
    <col min="13" max="13" width="13.36328125" style="99" customWidth="1"/>
    <col min="14" max="14" width="19.6328125" style="99" customWidth="1"/>
    <col min="15" max="15" width="5.08984375" style="99" customWidth="1"/>
    <col min="16" max="17" width="12.7265625" style="99" customWidth="1"/>
    <col min="18" max="18" width="17.90625" style="99" customWidth="1"/>
    <col min="19" max="19" width="19.6328125" style="99" customWidth="1"/>
    <col min="20" max="20" width="9.90625" style="99" customWidth="1"/>
    <col min="21" max="22" width="21.453125" style="99" customWidth="1"/>
    <col min="23" max="23" width="14.36328125" style="99" customWidth="1"/>
    <col min="24" max="27" width="9" style="99" hidden="1" customWidth="1"/>
    <col min="28" max="29" width="9" style="99"/>
    <col min="30" max="30" width="9" style="100"/>
    <col min="31" max="31" width="10" style="99" customWidth="1"/>
    <col min="32" max="35" width="9" style="99"/>
    <col min="36" max="36" width="9" style="100"/>
    <col min="37" max="41" width="9" style="99"/>
    <col min="42" max="44" width="9" style="100"/>
    <col min="45" max="45" width="15.6328125" style="99" customWidth="1"/>
    <col min="46" max="46" width="9" style="99"/>
    <col min="47" max="47" width="17" customWidth="1"/>
    <col min="48" max="16325" width="9" style="99"/>
    <col min="16327" max="16384" width="9" style="99"/>
  </cols>
  <sheetData>
    <row r="1" spans="1:47" s="98" customFormat="1" ht="45.75" customHeight="1">
      <c r="A1" s="190" t="s">
        <v>25</v>
      </c>
      <c r="B1" s="190" t="s">
        <v>26</v>
      </c>
      <c r="C1" s="190" t="s">
        <v>27</v>
      </c>
      <c r="D1" s="190" t="s">
        <v>28</v>
      </c>
      <c r="E1" s="190" t="s">
        <v>150</v>
      </c>
      <c r="F1" s="190" t="s">
        <v>29</v>
      </c>
      <c r="G1" s="190" t="s">
        <v>30</v>
      </c>
      <c r="H1" s="190" t="s">
        <v>31</v>
      </c>
      <c r="I1" s="190" t="s">
        <v>32</v>
      </c>
      <c r="J1" s="190" t="s">
        <v>33</v>
      </c>
      <c r="K1" s="190" t="s">
        <v>34</v>
      </c>
      <c r="L1" s="190" t="s">
        <v>35</v>
      </c>
      <c r="M1" s="190" t="s">
        <v>36</v>
      </c>
      <c r="N1" s="157" t="s">
        <v>37</v>
      </c>
      <c r="O1" s="190" t="s">
        <v>38</v>
      </c>
      <c r="P1" s="163" t="s">
        <v>39</v>
      </c>
      <c r="Q1" s="163" t="s">
        <v>40</v>
      </c>
      <c r="R1" s="163" t="s">
        <v>41</v>
      </c>
      <c r="S1" s="163" t="s">
        <v>42</v>
      </c>
      <c r="T1" s="163" t="s">
        <v>43</v>
      </c>
      <c r="U1" s="163" t="s">
        <v>44</v>
      </c>
      <c r="V1" s="163" t="s">
        <v>45</v>
      </c>
      <c r="W1" s="164" t="s">
        <v>46</v>
      </c>
      <c r="X1" s="165" t="s">
        <v>47</v>
      </c>
      <c r="Y1" s="165" t="s">
        <v>48</v>
      </c>
      <c r="Z1" s="165" t="s">
        <v>49</v>
      </c>
      <c r="AA1" s="165" t="s">
        <v>50</v>
      </c>
      <c r="AB1" s="166" t="s">
        <v>51</v>
      </c>
      <c r="AC1" s="166" t="s">
        <v>52</v>
      </c>
      <c r="AD1" s="166" t="s">
        <v>151</v>
      </c>
      <c r="AE1" s="167" t="s">
        <v>152</v>
      </c>
      <c r="AF1" s="166" t="s">
        <v>55</v>
      </c>
      <c r="AG1" s="166" t="s">
        <v>56</v>
      </c>
      <c r="AH1" s="168" t="s">
        <v>57</v>
      </c>
      <c r="AI1" s="169" t="s">
        <v>58</v>
      </c>
      <c r="AJ1" s="169" t="s">
        <v>59</v>
      </c>
      <c r="AK1" s="170" t="s">
        <v>153</v>
      </c>
      <c r="AL1" s="170" t="s">
        <v>61</v>
      </c>
      <c r="AM1" s="167" t="s">
        <v>62</v>
      </c>
      <c r="AN1" s="167" t="s">
        <v>63</v>
      </c>
      <c r="AO1" s="167" t="s">
        <v>64</v>
      </c>
      <c r="AP1" s="167" t="s">
        <v>65</v>
      </c>
      <c r="AQ1" s="167" t="s">
        <v>154</v>
      </c>
      <c r="AR1" s="11" t="s">
        <v>155</v>
      </c>
      <c r="AS1" s="101" t="s">
        <v>1680</v>
      </c>
      <c r="AT1" s="102" t="s">
        <v>157</v>
      </c>
      <c r="AU1" s="103" t="s">
        <v>158</v>
      </c>
    </row>
    <row r="2" spans="1:47">
      <c r="A2" s="105" t="s">
        <v>1681</v>
      </c>
      <c r="B2" s="105" t="s">
        <v>160</v>
      </c>
      <c r="C2" s="105" t="s">
        <v>73</v>
      </c>
      <c r="D2" s="105" t="s">
        <v>1682</v>
      </c>
      <c r="E2" s="105" t="s">
        <v>162</v>
      </c>
      <c r="F2" s="105" t="s">
        <v>1683</v>
      </c>
      <c r="G2" s="105" t="s">
        <v>1684</v>
      </c>
      <c r="H2" s="105" t="s">
        <v>1685</v>
      </c>
      <c r="I2" s="105">
        <v>202605.5</v>
      </c>
      <c r="J2" s="107">
        <v>5.27</v>
      </c>
      <c r="K2" s="105" t="s">
        <v>73</v>
      </c>
      <c r="L2" s="105" t="s">
        <v>1686</v>
      </c>
      <c r="M2" s="105" t="s">
        <v>1687</v>
      </c>
      <c r="N2" s="116" t="s">
        <v>1688</v>
      </c>
      <c r="O2" s="105"/>
      <c r="P2" s="171" t="s">
        <v>138</v>
      </c>
      <c r="Q2" s="171" t="s">
        <v>100</v>
      </c>
      <c r="R2" s="171" t="s">
        <v>262</v>
      </c>
      <c r="S2" s="171" t="s">
        <v>263</v>
      </c>
      <c r="T2" s="171" t="s">
        <v>103</v>
      </c>
      <c r="U2" s="171" t="s">
        <v>264</v>
      </c>
      <c r="V2" s="171" t="s">
        <v>264</v>
      </c>
      <c r="W2" s="191" t="s">
        <v>7</v>
      </c>
      <c r="X2" s="30" t="s">
        <v>173</v>
      </c>
      <c r="Y2" s="26" t="s">
        <v>173</v>
      </c>
      <c r="Z2" s="26" t="s">
        <v>174</v>
      </c>
      <c r="AA2" s="26" t="s">
        <v>175</v>
      </c>
      <c r="AB2" s="32">
        <f>IF(COUNTIF(AU:AU,"*"&amp;D2&amp;"*")&gt;0,1,0)</f>
        <v>1</v>
      </c>
      <c r="AC2" s="25">
        <v>1</v>
      </c>
      <c r="AD2" s="32">
        <v>1</v>
      </c>
      <c r="AE2" s="32">
        <v>1</v>
      </c>
      <c r="AF2" s="192">
        <v>0.79861111111111105</v>
      </c>
      <c r="AG2" s="30"/>
      <c r="AH2" s="32">
        <f>IF(COUNTIF(AS:AS,"*"&amp;L2&amp;"*")&gt;0,1,0)</f>
        <v>1</v>
      </c>
      <c r="AI2" s="30"/>
      <c r="AJ2" s="32">
        <v>1</v>
      </c>
      <c r="AK2" s="30"/>
      <c r="AL2" s="30"/>
      <c r="AM2" s="32">
        <f>IF(COUNTIF(AT:AT,"*"&amp;L2&amp;"*")&gt;0,1,0)</f>
        <v>0</v>
      </c>
      <c r="AN2" s="30"/>
      <c r="AO2" s="30"/>
      <c r="AP2" s="32">
        <v>1</v>
      </c>
      <c r="AQ2" s="30"/>
      <c r="AR2" s="4"/>
      <c r="AS2" s="30" t="s">
        <v>1689</v>
      </c>
      <c r="AT2" s="30"/>
      <c r="AU2" s="75" t="s">
        <v>1690</v>
      </c>
    </row>
    <row r="3" spans="1:47">
      <c r="A3" s="105" t="s">
        <v>1691</v>
      </c>
      <c r="B3" s="105" t="s">
        <v>160</v>
      </c>
      <c r="C3" s="105" t="s">
        <v>73</v>
      </c>
      <c r="D3" s="105" t="s">
        <v>1692</v>
      </c>
      <c r="E3" s="105" t="s">
        <v>162</v>
      </c>
      <c r="F3" s="105" t="s">
        <v>1693</v>
      </c>
      <c r="G3" s="105" t="s">
        <v>1694</v>
      </c>
      <c r="H3" s="105" t="s">
        <v>1685</v>
      </c>
      <c r="I3" s="105">
        <v>202605.5</v>
      </c>
      <c r="J3" s="107">
        <v>5.27</v>
      </c>
      <c r="K3" s="105" t="s">
        <v>73</v>
      </c>
      <c r="L3" s="105" t="s">
        <v>1695</v>
      </c>
      <c r="M3" s="105" t="s">
        <v>1696</v>
      </c>
      <c r="N3" s="116" t="s">
        <v>1697</v>
      </c>
      <c r="O3" s="105"/>
      <c r="P3" s="171" t="s">
        <v>138</v>
      </c>
      <c r="Q3" s="171" t="s">
        <v>100</v>
      </c>
      <c r="R3" s="171" t="s">
        <v>262</v>
      </c>
      <c r="S3" s="171" t="s">
        <v>263</v>
      </c>
      <c r="T3" s="171" t="s">
        <v>103</v>
      </c>
      <c r="U3" s="171" t="s">
        <v>264</v>
      </c>
      <c r="V3" s="171" t="s">
        <v>264</v>
      </c>
      <c r="W3" s="191" t="s">
        <v>7</v>
      </c>
      <c r="X3" s="30" t="s">
        <v>173</v>
      </c>
      <c r="Y3" s="26" t="s">
        <v>173</v>
      </c>
      <c r="Z3" s="26" t="s">
        <v>174</v>
      </c>
      <c r="AA3" s="26" t="s">
        <v>175</v>
      </c>
      <c r="AB3" s="32">
        <f>IF(COUNTIF(AU:AU,"*"&amp;D3&amp;"*")&gt;0,1,0)</f>
        <v>1</v>
      </c>
      <c r="AC3" s="25">
        <v>1</v>
      </c>
      <c r="AD3" s="32">
        <v>1</v>
      </c>
      <c r="AE3" s="32">
        <v>1</v>
      </c>
      <c r="AF3" s="192">
        <v>0.79861111111111105</v>
      </c>
      <c r="AG3" s="106"/>
      <c r="AH3" s="32">
        <f t="shared" ref="AH3:AH34" si="0">IF(COUNTIF(AS:AS,"*"&amp;L3&amp;"*")&gt;0,1,0)</f>
        <v>1</v>
      </c>
      <c r="AI3" s="106"/>
      <c r="AJ3" s="32">
        <v>1</v>
      </c>
      <c r="AK3" s="106"/>
      <c r="AL3" s="106"/>
      <c r="AM3" s="32">
        <f t="shared" ref="AM3:AM34" si="1">IF(COUNTIF(AT:AT,"*"&amp;L3&amp;"*")&gt;0,1,0)</f>
        <v>0</v>
      </c>
      <c r="AN3" s="106"/>
      <c r="AO3" s="106"/>
      <c r="AP3" s="32">
        <v>1</v>
      </c>
      <c r="AQ3" s="106"/>
      <c r="AS3" s="105" t="s">
        <v>1698</v>
      </c>
      <c r="AT3" s="106"/>
      <c r="AU3" s="94" t="s">
        <v>1699</v>
      </c>
    </row>
    <row r="4" spans="1:47">
      <c r="A4" s="105" t="s">
        <v>1700</v>
      </c>
      <c r="B4" s="105" t="s">
        <v>160</v>
      </c>
      <c r="C4" s="105" t="s">
        <v>73</v>
      </c>
      <c r="D4" s="105" t="s">
        <v>1701</v>
      </c>
      <c r="E4" s="105" t="s">
        <v>162</v>
      </c>
      <c r="F4" s="105" t="s">
        <v>1702</v>
      </c>
      <c r="G4" s="105" t="s">
        <v>1703</v>
      </c>
      <c r="H4" s="105" t="s">
        <v>1685</v>
      </c>
      <c r="I4" s="105">
        <v>202605.5</v>
      </c>
      <c r="J4" s="107">
        <v>5.27</v>
      </c>
      <c r="K4" s="105" t="s">
        <v>73</v>
      </c>
      <c r="L4" s="105" t="s">
        <v>1704</v>
      </c>
      <c r="M4" s="105" t="s">
        <v>1705</v>
      </c>
      <c r="N4" s="116" t="s">
        <v>1706</v>
      </c>
      <c r="O4" s="105"/>
      <c r="P4" s="171" t="s">
        <v>138</v>
      </c>
      <c r="Q4" s="171" t="s">
        <v>100</v>
      </c>
      <c r="R4" s="171" t="s">
        <v>262</v>
      </c>
      <c r="S4" s="171" t="s">
        <v>263</v>
      </c>
      <c r="T4" s="171" t="s">
        <v>103</v>
      </c>
      <c r="U4" s="171" t="s">
        <v>264</v>
      </c>
      <c r="V4" s="171" t="s">
        <v>264</v>
      </c>
      <c r="W4" s="191" t="s">
        <v>7</v>
      </c>
      <c r="X4" s="30" t="s">
        <v>173</v>
      </c>
      <c r="Y4" s="26" t="s">
        <v>173</v>
      </c>
      <c r="Z4" s="26" t="s">
        <v>174</v>
      </c>
      <c r="AA4" s="26" t="s">
        <v>175</v>
      </c>
      <c r="AB4" s="32">
        <f t="shared" ref="AB4:AB67" si="2">IF(COUNTIF(AU:AU,"*"&amp;D4&amp;"*")&gt;0,1,0)</f>
        <v>1</v>
      </c>
      <c r="AC4" s="25">
        <v>1</v>
      </c>
      <c r="AD4" s="32">
        <v>1</v>
      </c>
      <c r="AE4" s="32">
        <v>1</v>
      </c>
      <c r="AF4" s="192">
        <v>0.79861111111111105</v>
      </c>
      <c r="AG4" s="106"/>
      <c r="AH4" s="32">
        <f t="shared" si="0"/>
        <v>1</v>
      </c>
      <c r="AI4" s="106"/>
      <c r="AJ4" s="32">
        <v>1</v>
      </c>
      <c r="AK4" s="106"/>
      <c r="AL4" s="106"/>
      <c r="AM4" s="32">
        <f t="shared" si="1"/>
        <v>0</v>
      </c>
      <c r="AN4" s="106"/>
      <c r="AO4" s="106"/>
      <c r="AP4" s="32">
        <v>1</v>
      </c>
      <c r="AQ4" s="106"/>
      <c r="AS4" s="106" t="s">
        <v>1686</v>
      </c>
      <c r="AT4" s="106"/>
      <c r="AU4" s="94" t="s">
        <v>1707</v>
      </c>
    </row>
    <row r="5" spans="1:47">
      <c r="A5" s="105" t="s">
        <v>1708</v>
      </c>
      <c r="B5" s="105" t="s">
        <v>160</v>
      </c>
      <c r="C5" s="105" t="s">
        <v>73</v>
      </c>
      <c r="D5" s="105" t="s">
        <v>1709</v>
      </c>
      <c r="E5" s="105" t="s">
        <v>162</v>
      </c>
      <c r="F5" s="105" t="s">
        <v>1710</v>
      </c>
      <c r="G5" s="105" t="s">
        <v>1711</v>
      </c>
      <c r="H5" s="105" t="s">
        <v>1685</v>
      </c>
      <c r="I5" s="105">
        <v>202605.5</v>
      </c>
      <c r="J5" s="107">
        <v>5.27</v>
      </c>
      <c r="K5" s="105" t="s">
        <v>73</v>
      </c>
      <c r="L5" s="105" t="s">
        <v>1712</v>
      </c>
      <c r="M5" s="105" t="s">
        <v>1713</v>
      </c>
      <c r="N5" s="116" t="s">
        <v>1714</v>
      </c>
      <c r="O5" s="105"/>
      <c r="P5" s="171" t="s">
        <v>138</v>
      </c>
      <c r="Q5" s="171" t="s">
        <v>100</v>
      </c>
      <c r="R5" s="171" t="s">
        <v>262</v>
      </c>
      <c r="S5" s="171" t="s">
        <v>263</v>
      </c>
      <c r="T5" s="171" t="s">
        <v>103</v>
      </c>
      <c r="U5" s="171" t="s">
        <v>264</v>
      </c>
      <c r="V5" s="171" t="s">
        <v>264</v>
      </c>
      <c r="W5" s="191" t="s">
        <v>7</v>
      </c>
      <c r="X5" s="30" t="s">
        <v>173</v>
      </c>
      <c r="Y5" s="26" t="s">
        <v>173</v>
      </c>
      <c r="Z5" s="26" t="s">
        <v>174</v>
      </c>
      <c r="AA5" s="26" t="s">
        <v>175</v>
      </c>
      <c r="AB5" s="32">
        <f t="shared" si="2"/>
        <v>1</v>
      </c>
      <c r="AC5" s="25">
        <v>1</v>
      </c>
      <c r="AD5" s="32">
        <v>1</v>
      </c>
      <c r="AE5" s="32">
        <v>1</v>
      </c>
      <c r="AF5" s="192">
        <v>0.79861111111111105</v>
      </c>
      <c r="AG5" s="106"/>
      <c r="AH5" s="32">
        <f t="shared" si="0"/>
        <v>1</v>
      </c>
      <c r="AI5" s="106"/>
      <c r="AJ5" s="32">
        <v>1</v>
      </c>
      <c r="AK5" s="106"/>
      <c r="AL5" s="106"/>
      <c r="AM5" s="32">
        <f t="shared" si="1"/>
        <v>0</v>
      </c>
      <c r="AN5" s="106"/>
      <c r="AO5" s="106"/>
      <c r="AP5" s="32">
        <v>1</v>
      </c>
      <c r="AQ5" s="106"/>
      <c r="AS5" s="106" t="s">
        <v>1715</v>
      </c>
      <c r="AT5" s="106"/>
      <c r="AU5" s="94" t="s">
        <v>1333</v>
      </c>
    </row>
    <row r="6" spans="1:47">
      <c r="A6" s="105" t="s">
        <v>1716</v>
      </c>
      <c r="B6" s="105" t="s">
        <v>160</v>
      </c>
      <c r="C6" s="105" t="s">
        <v>73</v>
      </c>
      <c r="D6" s="105" t="s">
        <v>1717</v>
      </c>
      <c r="E6" s="105" t="s">
        <v>162</v>
      </c>
      <c r="F6" s="105" t="s">
        <v>1718</v>
      </c>
      <c r="G6" s="105" t="s">
        <v>1719</v>
      </c>
      <c r="H6" s="105" t="s">
        <v>1685</v>
      </c>
      <c r="I6" s="105">
        <v>202605.5</v>
      </c>
      <c r="J6" s="107">
        <v>5.27</v>
      </c>
      <c r="K6" s="105" t="s">
        <v>73</v>
      </c>
      <c r="L6" s="105" t="s">
        <v>1720</v>
      </c>
      <c r="M6" s="105" t="s">
        <v>1721</v>
      </c>
      <c r="N6" s="116" t="s">
        <v>1722</v>
      </c>
      <c r="O6" s="105"/>
      <c r="P6" s="171" t="s">
        <v>138</v>
      </c>
      <c r="Q6" s="171" t="s">
        <v>100</v>
      </c>
      <c r="R6" s="171" t="s">
        <v>262</v>
      </c>
      <c r="S6" s="171" t="s">
        <v>263</v>
      </c>
      <c r="T6" s="171" t="s">
        <v>103</v>
      </c>
      <c r="U6" s="171" t="s">
        <v>264</v>
      </c>
      <c r="V6" s="171" t="s">
        <v>264</v>
      </c>
      <c r="W6" s="191" t="s">
        <v>7</v>
      </c>
      <c r="X6" s="30" t="s">
        <v>173</v>
      </c>
      <c r="Y6" s="26" t="s">
        <v>173</v>
      </c>
      <c r="Z6" s="26" t="s">
        <v>174</v>
      </c>
      <c r="AA6" s="26" t="s">
        <v>175</v>
      </c>
      <c r="AB6" s="32">
        <f t="shared" si="2"/>
        <v>1</v>
      </c>
      <c r="AC6" s="25">
        <v>1</v>
      </c>
      <c r="AD6" s="32">
        <v>1</v>
      </c>
      <c r="AE6" s="32">
        <v>1</v>
      </c>
      <c r="AF6" s="192">
        <v>0.79861111111111105</v>
      </c>
      <c r="AG6" s="106"/>
      <c r="AH6" s="32">
        <f t="shared" si="0"/>
        <v>1</v>
      </c>
      <c r="AI6" s="106"/>
      <c r="AJ6" s="32">
        <v>1</v>
      </c>
      <c r="AK6" s="106"/>
      <c r="AL6" s="106"/>
      <c r="AM6" s="32">
        <f t="shared" si="1"/>
        <v>0</v>
      </c>
      <c r="AN6" s="106"/>
      <c r="AO6" s="106"/>
      <c r="AP6" s="32">
        <v>1</v>
      </c>
      <c r="AQ6" s="106"/>
      <c r="AS6" s="106" t="s">
        <v>1723</v>
      </c>
      <c r="AT6" s="106"/>
      <c r="AU6" s="94" t="s">
        <v>1337</v>
      </c>
    </row>
    <row r="7" spans="1:47">
      <c r="A7" s="105" t="s">
        <v>1724</v>
      </c>
      <c r="B7" s="105" t="s">
        <v>160</v>
      </c>
      <c r="C7" s="105" t="s">
        <v>73</v>
      </c>
      <c r="D7" s="105" t="s">
        <v>1725</v>
      </c>
      <c r="E7" s="105" t="s">
        <v>162</v>
      </c>
      <c r="F7" s="105" t="s">
        <v>1726</v>
      </c>
      <c r="G7" s="105" t="s">
        <v>1727</v>
      </c>
      <c r="H7" s="105" t="s">
        <v>1685</v>
      </c>
      <c r="I7" s="105">
        <v>202605.5</v>
      </c>
      <c r="J7" s="107">
        <v>5.27</v>
      </c>
      <c r="K7" s="105" t="s">
        <v>73</v>
      </c>
      <c r="L7" s="105" t="s">
        <v>1728</v>
      </c>
      <c r="M7" s="105" t="s">
        <v>1729</v>
      </c>
      <c r="N7" s="116" t="s">
        <v>1730</v>
      </c>
      <c r="O7" s="105"/>
      <c r="P7" s="171" t="s">
        <v>138</v>
      </c>
      <c r="Q7" s="171" t="s">
        <v>100</v>
      </c>
      <c r="R7" s="171" t="s">
        <v>262</v>
      </c>
      <c r="S7" s="171" t="s">
        <v>263</v>
      </c>
      <c r="T7" s="171" t="s">
        <v>103</v>
      </c>
      <c r="U7" s="171" t="s">
        <v>264</v>
      </c>
      <c r="V7" s="171" t="s">
        <v>264</v>
      </c>
      <c r="W7" s="191" t="s">
        <v>7</v>
      </c>
      <c r="X7" s="30" t="s">
        <v>173</v>
      </c>
      <c r="Y7" s="26" t="s">
        <v>173</v>
      </c>
      <c r="Z7" s="26" t="s">
        <v>174</v>
      </c>
      <c r="AA7" s="26" t="s">
        <v>175</v>
      </c>
      <c r="AB7" s="32">
        <f t="shared" si="2"/>
        <v>1</v>
      </c>
      <c r="AC7" s="25">
        <v>1</v>
      </c>
      <c r="AD7" s="32">
        <v>1</v>
      </c>
      <c r="AE7" s="32">
        <v>1</v>
      </c>
      <c r="AF7" s="192">
        <v>0.79861111111111105</v>
      </c>
      <c r="AG7" s="106"/>
      <c r="AH7" s="32">
        <f t="shared" si="0"/>
        <v>1</v>
      </c>
      <c r="AI7" s="106"/>
      <c r="AJ7" s="32">
        <v>1</v>
      </c>
      <c r="AK7" s="106"/>
      <c r="AL7" s="106"/>
      <c r="AM7" s="32">
        <f t="shared" si="1"/>
        <v>0</v>
      </c>
      <c r="AN7" s="106"/>
      <c r="AO7" s="106"/>
      <c r="AP7" s="32">
        <v>1</v>
      </c>
      <c r="AQ7" s="106"/>
      <c r="AS7" s="106" t="s">
        <v>1728</v>
      </c>
      <c r="AT7" s="106"/>
      <c r="AU7" s="94" t="s">
        <v>1341</v>
      </c>
    </row>
    <row r="8" spans="1:47">
      <c r="A8" s="105" t="s">
        <v>1731</v>
      </c>
      <c r="B8" s="105" t="s">
        <v>160</v>
      </c>
      <c r="C8" s="105" t="s">
        <v>73</v>
      </c>
      <c r="D8" s="105" t="s">
        <v>1732</v>
      </c>
      <c r="E8" s="105" t="s">
        <v>162</v>
      </c>
      <c r="F8" s="105" t="s">
        <v>1733</v>
      </c>
      <c r="G8" s="105" t="s">
        <v>1734</v>
      </c>
      <c r="H8" s="105" t="s">
        <v>1685</v>
      </c>
      <c r="I8" s="105">
        <v>202605.5</v>
      </c>
      <c r="J8" s="107">
        <v>5.27</v>
      </c>
      <c r="K8" s="105" t="s">
        <v>73</v>
      </c>
      <c r="L8" s="105" t="s">
        <v>1735</v>
      </c>
      <c r="M8" s="105" t="s">
        <v>1736</v>
      </c>
      <c r="N8" s="116" t="s">
        <v>1737</v>
      </c>
      <c r="O8" s="105"/>
      <c r="P8" s="171" t="s">
        <v>138</v>
      </c>
      <c r="Q8" s="171" t="s">
        <v>100</v>
      </c>
      <c r="R8" s="171" t="s">
        <v>262</v>
      </c>
      <c r="S8" s="171" t="s">
        <v>263</v>
      </c>
      <c r="T8" s="171" t="s">
        <v>103</v>
      </c>
      <c r="U8" s="171" t="s">
        <v>264</v>
      </c>
      <c r="V8" s="171" t="s">
        <v>264</v>
      </c>
      <c r="W8" s="191" t="s">
        <v>7</v>
      </c>
      <c r="X8" s="30" t="s">
        <v>173</v>
      </c>
      <c r="Y8" s="26" t="s">
        <v>173</v>
      </c>
      <c r="Z8" s="26" t="s">
        <v>174</v>
      </c>
      <c r="AA8" s="26" t="s">
        <v>175</v>
      </c>
      <c r="AB8" s="32">
        <f t="shared" si="2"/>
        <v>1</v>
      </c>
      <c r="AC8" s="25">
        <v>1</v>
      </c>
      <c r="AD8" s="32">
        <v>1</v>
      </c>
      <c r="AE8" s="32">
        <v>1</v>
      </c>
      <c r="AF8" s="192">
        <v>0.79861111111111105</v>
      </c>
      <c r="AG8" s="106"/>
      <c r="AH8" s="32">
        <f t="shared" si="0"/>
        <v>1</v>
      </c>
      <c r="AI8" s="106"/>
      <c r="AJ8" s="32">
        <v>1</v>
      </c>
      <c r="AK8" s="106"/>
      <c r="AL8" s="106"/>
      <c r="AM8" s="32">
        <f t="shared" si="1"/>
        <v>0</v>
      </c>
      <c r="AN8" s="106"/>
      <c r="AO8" s="106"/>
      <c r="AP8" s="32">
        <v>1</v>
      </c>
      <c r="AQ8" s="106"/>
      <c r="AS8" s="106" t="s">
        <v>1738</v>
      </c>
      <c r="AT8" s="106"/>
      <c r="AU8" s="94" t="s">
        <v>1345</v>
      </c>
    </row>
    <row r="9" spans="1:47">
      <c r="A9" s="105" t="s">
        <v>1739</v>
      </c>
      <c r="B9" s="105" t="s">
        <v>160</v>
      </c>
      <c r="C9" s="105" t="s">
        <v>73</v>
      </c>
      <c r="D9" s="105" t="s">
        <v>1740</v>
      </c>
      <c r="E9" s="105" t="s">
        <v>162</v>
      </c>
      <c r="F9" s="105" t="s">
        <v>1741</v>
      </c>
      <c r="G9" s="105" t="s">
        <v>1742</v>
      </c>
      <c r="H9" s="105" t="s">
        <v>1685</v>
      </c>
      <c r="I9" s="105">
        <v>202605.5</v>
      </c>
      <c r="J9" s="107">
        <v>5.27</v>
      </c>
      <c r="K9" s="105" t="s">
        <v>73</v>
      </c>
      <c r="L9" s="105" t="s">
        <v>1743</v>
      </c>
      <c r="M9" s="105" t="s">
        <v>1744</v>
      </c>
      <c r="N9" s="116" t="s">
        <v>1745</v>
      </c>
      <c r="O9" s="105"/>
      <c r="P9" s="171" t="s">
        <v>138</v>
      </c>
      <c r="Q9" s="171" t="s">
        <v>100</v>
      </c>
      <c r="R9" s="171" t="s">
        <v>262</v>
      </c>
      <c r="S9" s="171" t="s">
        <v>263</v>
      </c>
      <c r="T9" s="171" t="s">
        <v>103</v>
      </c>
      <c r="U9" s="171" t="s">
        <v>264</v>
      </c>
      <c r="V9" s="171" t="s">
        <v>264</v>
      </c>
      <c r="W9" s="191" t="s">
        <v>7</v>
      </c>
      <c r="X9" s="30" t="s">
        <v>173</v>
      </c>
      <c r="Y9" s="26" t="s">
        <v>173</v>
      </c>
      <c r="Z9" s="26" t="s">
        <v>174</v>
      </c>
      <c r="AA9" s="26" t="s">
        <v>175</v>
      </c>
      <c r="AB9" s="32">
        <f t="shared" si="2"/>
        <v>1</v>
      </c>
      <c r="AC9" s="25">
        <v>1</v>
      </c>
      <c r="AD9" s="32">
        <v>1</v>
      </c>
      <c r="AE9" s="32">
        <v>1</v>
      </c>
      <c r="AF9" s="192">
        <v>0.79861111111111105</v>
      </c>
      <c r="AG9" s="106"/>
      <c r="AH9" s="32">
        <f t="shared" si="0"/>
        <v>1</v>
      </c>
      <c r="AI9" s="106"/>
      <c r="AJ9" s="32">
        <v>1</v>
      </c>
      <c r="AK9" s="106"/>
      <c r="AL9" s="106"/>
      <c r="AM9" s="32">
        <f t="shared" si="1"/>
        <v>0</v>
      </c>
      <c r="AN9" s="106"/>
      <c r="AO9" s="106"/>
      <c r="AP9" s="32">
        <v>1</v>
      </c>
      <c r="AQ9" s="106"/>
      <c r="AS9" s="106" t="s">
        <v>1746</v>
      </c>
      <c r="AT9" s="106"/>
      <c r="AU9" s="94" t="s">
        <v>1325</v>
      </c>
    </row>
    <row r="10" spans="1:47">
      <c r="A10" s="105" t="s">
        <v>1747</v>
      </c>
      <c r="B10" s="105" t="s">
        <v>160</v>
      </c>
      <c r="C10" s="105" t="s">
        <v>73</v>
      </c>
      <c r="D10" s="105" t="s">
        <v>1748</v>
      </c>
      <c r="E10" s="105" t="s">
        <v>162</v>
      </c>
      <c r="F10" s="105" t="s">
        <v>1749</v>
      </c>
      <c r="G10" s="105" t="s">
        <v>1750</v>
      </c>
      <c r="H10" s="105" t="s">
        <v>1685</v>
      </c>
      <c r="I10" s="105">
        <v>202605.5</v>
      </c>
      <c r="J10" s="107">
        <v>5.27</v>
      </c>
      <c r="K10" s="105" t="s">
        <v>73</v>
      </c>
      <c r="L10" s="105" t="s">
        <v>1751</v>
      </c>
      <c r="M10" s="105" t="s">
        <v>1752</v>
      </c>
      <c r="N10" s="116" t="s">
        <v>1753</v>
      </c>
      <c r="O10" s="105"/>
      <c r="P10" s="171" t="s">
        <v>138</v>
      </c>
      <c r="Q10" s="171" t="s">
        <v>100</v>
      </c>
      <c r="R10" s="171" t="s">
        <v>262</v>
      </c>
      <c r="S10" s="171" t="s">
        <v>263</v>
      </c>
      <c r="T10" s="171" t="s">
        <v>103</v>
      </c>
      <c r="U10" s="171" t="s">
        <v>264</v>
      </c>
      <c r="V10" s="171" t="s">
        <v>264</v>
      </c>
      <c r="W10" s="191" t="s">
        <v>7</v>
      </c>
      <c r="X10" s="30" t="s">
        <v>173</v>
      </c>
      <c r="Y10" s="26" t="s">
        <v>173</v>
      </c>
      <c r="Z10" s="26" t="s">
        <v>174</v>
      </c>
      <c r="AA10" s="26" t="s">
        <v>175</v>
      </c>
      <c r="AB10" s="32">
        <f t="shared" si="2"/>
        <v>1</v>
      </c>
      <c r="AC10" s="25">
        <v>1</v>
      </c>
      <c r="AD10" s="32">
        <v>1</v>
      </c>
      <c r="AE10" s="32">
        <v>1</v>
      </c>
      <c r="AF10" s="192">
        <v>0.79861111111111105</v>
      </c>
      <c r="AG10" s="106"/>
      <c r="AH10" s="32">
        <f t="shared" si="0"/>
        <v>1</v>
      </c>
      <c r="AI10" s="106"/>
      <c r="AJ10" s="32">
        <v>1</v>
      </c>
      <c r="AK10" s="106"/>
      <c r="AL10" s="106"/>
      <c r="AM10" s="32">
        <f t="shared" si="1"/>
        <v>0</v>
      </c>
      <c r="AN10" s="106"/>
      <c r="AO10" s="106"/>
      <c r="AP10" s="32">
        <v>1</v>
      </c>
      <c r="AQ10" s="106"/>
      <c r="AS10" s="106" t="s">
        <v>1754</v>
      </c>
      <c r="AT10" s="106"/>
      <c r="AU10" s="94" t="s">
        <v>1329</v>
      </c>
    </row>
    <row r="11" spans="1:47">
      <c r="A11" s="105" t="s">
        <v>1755</v>
      </c>
      <c r="B11" s="105" t="s">
        <v>160</v>
      </c>
      <c r="C11" s="105" t="s">
        <v>73</v>
      </c>
      <c r="D11" s="105" t="s">
        <v>1756</v>
      </c>
      <c r="E11" s="105" t="s">
        <v>162</v>
      </c>
      <c r="F11" s="105" t="s">
        <v>1757</v>
      </c>
      <c r="G11" s="105" t="s">
        <v>1758</v>
      </c>
      <c r="H11" s="105" t="s">
        <v>1685</v>
      </c>
      <c r="I11" s="105">
        <v>202605.5</v>
      </c>
      <c r="J11" s="107">
        <v>5.27</v>
      </c>
      <c r="K11" s="105" t="s">
        <v>73</v>
      </c>
      <c r="L11" s="105" t="s">
        <v>1759</v>
      </c>
      <c r="M11" s="105" t="s">
        <v>1760</v>
      </c>
      <c r="N11" s="116" t="s">
        <v>1761</v>
      </c>
      <c r="O11" s="105"/>
      <c r="P11" s="171" t="s">
        <v>138</v>
      </c>
      <c r="Q11" s="171" t="s">
        <v>100</v>
      </c>
      <c r="R11" s="171" t="s">
        <v>262</v>
      </c>
      <c r="S11" s="171" t="s">
        <v>263</v>
      </c>
      <c r="T11" s="171" t="s">
        <v>103</v>
      </c>
      <c r="U11" s="171" t="s">
        <v>264</v>
      </c>
      <c r="V11" s="171" t="s">
        <v>264</v>
      </c>
      <c r="W11" s="191" t="s">
        <v>7</v>
      </c>
      <c r="X11" s="30" t="s">
        <v>173</v>
      </c>
      <c r="Y11" s="26" t="s">
        <v>173</v>
      </c>
      <c r="Z11" s="26" t="s">
        <v>174</v>
      </c>
      <c r="AA11" s="26" t="s">
        <v>175</v>
      </c>
      <c r="AB11" s="32">
        <f t="shared" si="2"/>
        <v>1</v>
      </c>
      <c r="AC11" s="25">
        <v>1</v>
      </c>
      <c r="AD11" s="32">
        <v>1</v>
      </c>
      <c r="AE11" s="32">
        <v>1</v>
      </c>
      <c r="AF11" s="192">
        <v>0.79861111111111105</v>
      </c>
      <c r="AG11" s="106"/>
      <c r="AH11" s="32">
        <f t="shared" si="0"/>
        <v>1</v>
      </c>
      <c r="AI11" s="106"/>
      <c r="AJ11" s="32">
        <v>1</v>
      </c>
      <c r="AK11" s="106"/>
      <c r="AL11" s="106"/>
      <c r="AM11" s="32">
        <f t="shared" si="1"/>
        <v>0</v>
      </c>
      <c r="AN11" s="106"/>
      <c r="AO11" s="106"/>
      <c r="AP11" s="32">
        <v>1</v>
      </c>
      <c r="AQ11" s="106"/>
      <c r="AS11" s="106" t="s">
        <v>1762</v>
      </c>
      <c r="AT11" s="106"/>
      <c r="AU11" s="94" t="s">
        <v>1349</v>
      </c>
    </row>
    <row r="12" spans="1:47">
      <c r="A12" s="105" t="s">
        <v>1763</v>
      </c>
      <c r="B12" s="105" t="s">
        <v>160</v>
      </c>
      <c r="C12" s="105" t="s">
        <v>73</v>
      </c>
      <c r="D12" s="105" t="s">
        <v>1764</v>
      </c>
      <c r="E12" s="105" t="s">
        <v>162</v>
      </c>
      <c r="F12" s="105" t="s">
        <v>1765</v>
      </c>
      <c r="G12" s="105" t="s">
        <v>1766</v>
      </c>
      <c r="H12" s="105" t="s">
        <v>1685</v>
      </c>
      <c r="I12" s="105">
        <v>202605.5</v>
      </c>
      <c r="J12" s="107">
        <v>5.27</v>
      </c>
      <c r="K12" s="105" t="s">
        <v>73</v>
      </c>
      <c r="L12" s="105" t="s">
        <v>1762</v>
      </c>
      <c r="M12" s="105" t="s">
        <v>1767</v>
      </c>
      <c r="N12" s="116" t="s">
        <v>1768</v>
      </c>
      <c r="O12" s="105"/>
      <c r="P12" s="171" t="s">
        <v>138</v>
      </c>
      <c r="Q12" s="171" t="s">
        <v>100</v>
      </c>
      <c r="R12" s="171" t="s">
        <v>262</v>
      </c>
      <c r="S12" s="171" t="s">
        <v>263</v>
      </c>
      <c r="T12" s="171" t="s">
        <v>103</v>
      </c>
      <c r="U12" s="171" t="s">
        <v>264</v>
      </c>
      <c r="V12" s="171" t="s">
        <v>264</v>
      </c>
      <c r="W12" s="191" t="s">
        <v>7</v>
      </c>
      <c r="X12" s="30" t="s">
        <v>173</v>
      </c>
      <c r="Y12" s="26" t="s">
        <v>173</v>
      </c>
      <c r="Z12" s="26" t="s">
        <v>174</v>
      </c>
      <c r="AA12" s="26" t="s">
        <v>175</v>
      </c>
      <c r="AB12" s="32">
        <f t="shared" si="2"/>
        <v>1</v>
      </c>
      <c r="AC12" s="25">
        <v>1</v>
      </c>
      <c r="AD12" s="32">
        <v>1</v>
      </c>
      <c r="AE12" s="32">
        <v>1</v>
      </c>
      <c r="AF12" s="192">
        <v>0.79861111111111105</v>
      </c>
      <c r="AG12" s="106"/>
      <c r="AH12" s="32">
        <f t="shared" si="0"/>
        <v>1</v>
      </c>
      <c r="AI12" s="106"/>
      <c r="AJ12" s="32">
        <v>1</v>
      </c>
      <c r="AK12" s="106"/>
      <c r="AL12" s="106"/>
      <c r="AM12" s="32">
        <f t="shared" si="1"/>
        <v>0</v>
      </c>
      <c r="AN12" s="106"/>
      <c r="AO12" s="106"/>
      <c r="AP12" s="32">
        <v>1</v>
      </c>
      <c r="AQ12" s="106"/>
      <c r="AS12" s="106" t="s">
        <v>1759</v>
      </c>
      <c r="AT12" s="106"/>
      <c r="AU12" s="94" t="s">
        <v>1353</v>
      </c>
    </row>
    <row r="13" spans="1:47">
      <c r="A13" s="105" t="s">
        <v>1769</v>
      </c>
      <c r="B13" s="105" t="s">
        <v>160</v>
      </c>
      <c r="C13" s="105" t="s">
        <v>73</v>
      </c>
      <c r="D13" s="105" t="s">
        <v>1770</v>
      </c>
      <c r="E13" s="105" t="s">
        <v>162</v>
      </c>
      <c r="F13" s="105" t="s">
        <v>1771</v>
      </c>
      <c r="G13" s="105" t="s">
        <v>1772</v>
      </c>
      <c r="H13" s="105" t="s">
        <v>1685</v>
      </c>
      <c r="I13" s="105">
        <v>202605.5</v>
      </c>
      <c r="J13" s="107">
        <v>5.27</v>
      </c>
      <c r="K13" s="105" t="s">
        <v>73</v>
      </c>
      <c r="L13" s="105" t="s">
        <v>1754</v>
      </c>
      <c r="M13" s="105" t="s">
        <v>1773</v>
      </c>
      <c r="N13" s="116" t="s">
        <v>1774</v>
      </c>
      <c r="O13" s="105"/>
      <c r="P13" s="171" t="s">
        <v>138</v>
      </c>
      <c r="Q13" s="171" t="s">
        <v>100</v>
      </c>
      <c r="R13" s="171" t="s">
        <v>262</v>
      </c>
      <c r="S13" s="171" t="s">
        <v>263</v>
      </c>
      <c r="T13" s="171" t="s">
        <v>103</v>
      </c>
      <c r="U13" s="171" t="s">
        <v>264</v>
      </c>
      <c r="V13" s="171" t="s">
        <v>264</v>
      </c>
      <c r="W13" s="191" t="s">
        <v>7</v>
      </c>
      <c r="X13" s="30" t="s">
        <v>173</v>
      </c>
      <c r="Y13" s="26" t="s">
        <v>173</v>
      </c>
      <c r="Z13" s="26" t="s">
        <v>174</v>
      </c>
      <c r="AA13" s="26" t="s">
        <v>175</v>
      </c>
      <c r="AB13" s="32">
        <f t="shared" si="2"/>
        <v>1</v>
      </c>
      <c r="AC13" s="25">
        <v>1</v>
      </c>
      <c r="AD13" s="32">
        <v>1</v>
      </c>
      <c r="AE13" s="32">
        <v>1</v>
      </c>
      <c r="AF13" s="192">
        <v>0.79861111111111105</v>
      </c>
      <c r="AG13" s="106"/>
      <c r="AH13" s="32">
        <f t="shared" si="0"/>
        <v>1</v>
      </c>
      <c r="AI13" s="106"/>
      <c r="AJ13" s="32">
        <v>1</v>
      </c>
      <c r="AK13" s="106"/>
      <c r="AL13" s="106"/>
      <c r="AM13" s="32">
        <f t="shared" si="1"/>
        <v>0</v>
      </c>
      <c r="AN13" s="106"/>
      <c r="AO13" s="106"/>
      <c r="AP13" s="32">
        <v>1</v>
      </c>
      <c r="AQ13" s="106"/>
      <c r="AS13" s="106" t="s">
        <v>1751</v>
      </c>
      <c r="AT13" s="106"/>
      <c r="AU13" s="94" t="s">
        <v>1775</v>
      </c>
    </row>
    <row r="14" spans="1:47">
      <c r="A14" s="105" t="s">
        <v>1776</v>
      </c>
      <c r="B14" s="105" t="s">
        <v>160</v>
      </c>
      <c r="C14" s="105" t="s">
        <v>73</v>
      </c>
      <c r="D14" s="105" t="s">
        <v>1777</v>
      </c>
      <c r="E14" s="105" t="s">
        <v>162</v>
      </c>
      <c r="F14" s="105" t="s">
        <v>1778</v>
      </c>
      <c r="G14" s="105" t="s">
        <v>1779</v>
      </c>
      <c r="H14" s="105" t="s">
        <v>1685</v>
      </c>
      <c r="I14" s="105">
        <v>202605.5</v>
      </c>
      <c r="J14" s="107">
        <v>5.27</v>
      </c>
      <c r="K14" s="105" t="s">
        <v>73</v>
      </c>
      <c r="L14" s="105" t="s">
        <v>1746</v>
      </c>
      <c r="M14" s="105" t="s">
        <v>1780</v>
      </c>
      <c r="N14" s="116" t="s">
        <v>1781</v>
      </c>
      <c r="O14" s="105"/>
      <c r="P14" s="171" t="s">
        <v>138</v>
      </c>
      <c r="Q14" s="171" t="s">
        <v>100</v>
      </c>
      <c r="R14" s="171" t="s">
        <v>262</v>
      </c>
      <c r="S14" s="171" t="s">
        <v>263</v>
      </c>
      <c r="T14" s="171" t="s">
        <v>103</v>
      </c>
      <c r="U14" s="171" t="s">
        <v>264</v>
      </c>
      <c r="V14" s="171" t="s">
        <v>264</v>
      </c>
      <c r="W14" s="191" t="s">
        <v>7</v>
      </c>
      <c r="X14" s="30" t="s">
        <v>173</v>
      </c>
      <c r="Y14" s="26" t="s">
        <v>173</v>
      </c>
      <c r="Z14" s="26" t="s">
        <v>174</v>
      </c>
      <c r="AA14" s="26" t="s">
        <v>175</v>
      </c>
      <c r="AB14" s="32">
        <f t="shared" si="2"/>
        <v>1</v>
      </c>
      <c r="AC14" s="25">
        <v>1</v>
      </c>
      <c r="AD14" s="32">
        <v>1</v>
      </c>
      <c r="AE14" s="32">
        <v>1</v>
      </c>
      <c r="AF14" s="192">
        <v>0.79861111111111105</v>
      </c>
      <c r="AG14" s="106"/>
      <c r="AH14" s="32">
        <f t="shared" si="0"/>
        <v>1</v>
      </c>
      <c r="AI14" s="106"/>
      <c r="AJ14" s="32">
        <v>1</v>
      </c>
      <c r="AK14" s="106"/>
      <c r="AL14" s="106"/>
      <c r="AM14" s="32">
        <f t="shared" si="1"/>
        <v>0</v>
      </c>
      <c r="AN14" s="106"/>
      <c r="AO14" s="106"/>
      <c r="AP14" s="32">
        <v>1</v>
      </c>
      <c r="AQ14" s="106"/>
      <c r="AS14" s="106" t="s">
        <v>1743</v>
      </c>
      <c r="AT14" s="106"/>
      <c r="AU14" s="94" t="s">
        <v>1285</v>
      </c>
    </row>
    <row r="15" spans="1:47">
      <c r="A15" s="105" t="s">
        <v>1782</v>
      </c>
      <c r="B15" s="105" t="s">
        <v>160</v>
      </c>
      <c r="C15" s="105" t="s">
        <v>73</v>
      </c>
      <c r="D15" s="105" t="s">
        <v>1783</v>
      </c>
      <c r="E15" s="105" t="s">
        <v>162</v>
      </c>
      <c r="F15" s="105" t="s">
        <v>1784</v>
      </c>
      <c r="G15" s="105" t="s">
        <v>1785</v>
      </c>
      <c r="H15" s="105" t="s">
        <v>1685</v>
      </c>
      <c r="I15" s="105">
        <v>202605.5</v>
      </c>
      <c r="J15" s="107">
        <v>5.27</v>
      </c>
      <c r="K15" s="105" t="s">
        <v>73</v>
      </c>
      <c r="L15" s="105" t="s">
        <v>1738</v>
      </c>
      <c r="M15" s="105" t="s">
        <v>1786</v>
      </c>
      <c r="N15" s="116" t="s">
        <v>1787</v>
      </c>
      <c r="O15" s="105"/>
      <c r="P15" s="171" t="s">
        <v>138</v>
      </c>
      <c r="Q15" s="171" t="s">
        <v>100</v>
      </c>
      <c r="R15" s="171" t="s">
        <v>262</v>
      </c>
      <c r="S15" s="171" t="s">
        <v>263</v>
      </c>
      <c r="T15" s="171" t="s">
        <v>103</v>
      </c>
      <c r="U15" s="171" t="s">
        <v>264</v>
      </c>
      <c r="V15" s="171" t="s">
        <v>264</v>
      </c>
      <c r="W15" s="191" t="s">
        <v>7</v>
      </c>
      <c r="X15" s="30" t="s">
        <v>173</v>
      </c>
      <c r="Y15" s="26" t="s">
        <v>173</v>
      </c>
      <c r="Z15" s="26" t="s">
        <v>174</v>
      </c>
      <c r="AA15" s="26" t="s">
        <v>175</v>
      </c>
      <c r="AB15" s="32">
        <f t="shared" si="2"/>
        <v>1</v>
      </c>
      <c r="AC15" s="25">
        <v>1</v>
      </c>
      <c r="AD15" s="32">
        <v>1</v>
      </c>
      <c r="AE15" s="32">
        <v>1</v>
      </c>
      <c r="AF15" s="192">
        <v>0.79861111111111105</v>
      </c>
      <c r="AG15" s="106"/>
      <c r="AH15" s="32">
        <f t="shared" si="0"/>
        <v>1</v>
      </c>
      <c r="AI15" s="106"/>
      <c r="AJ15" s="32">
        <v>1</v>
      </c>
      <c r="AK15" s="106"/>
      <c r="AL15" s="106"/>
      <c r="AM15" s="32">
        <f t="shared" si="1"/>
        <v>0</v>
      </c>
      <c r="AN15" s="106"/>
      <c r="AO15" s="106"/>
      <c r="AP15" s="32">
        <v>1</v>
      </c>
      <c r="AQ15" s="106"/>
      <c r="AS15" s="106" t="s">
        <v>1735</v>
      </c>
      <c r="AT15" s="106"/>
      <c r="AU15" s="94" t="s">
        <v>1289</v>
      </c>
    </row>
    <row r="16" spans="1:47">
      <c r="A16" s="105" t="s">
        <v>1788</v>
      </c>
      <c r="B16" s="105" t="s">
        <v>160</v>
      </c>
      <c r="C16" s="105" t="s">
        <v>73</v>
      </c>
      <c r="D16" s="105" t="s">
        <v>1789</v>
      </c>
      <c r="E16" s="105" t="s">
        <v>162</v>
      </c>
      <c r="F16" s="105" t="s">
        <v>1790</v>
      </c>
      <c r="G16" s="105" t="s">
        <v>1791</v>
      </c>
      <c r="H16" s="105" t="s">
        <v>1685</v>
      </c>
      <c r="I16" s="105">
        <v>202605.5</v>
      </c>
      <c r="J16" s="107">
        <v>5.27</v>
      </c>
      <c r="K16" s="105" t="s">
        <v>73</v>
      </c>
      <c r="L16" s="105" t="s">
        <v>1723</v>
      </c>
      <c r="M16" s="105" t="s">
        <v>1792</v>
      </c>
      <c r="N16" s="116" t="s">
        <v>1793</v>
      </c>
      <c r="O16" s="105"/>
      <c r="P16" s="171" t="s">
        <v>138</v>
      </c>
      <c r="Q16" s="171" t="s">
        <v>100</v>
      </c>
      <c r="R16" s="171" t="s">
        <v>262</v>
      </c>
      <c r="S16" s="171" t="s">
        <v>263</v>
      </c>
      <c r="T16" s="171" t="s">
        <v>103</v>
      </c>
      <c r="U16" s="171" t="s">
        <v>264</v>
      </c>
      <c r="V16" s="171" t="s">
        <v>264</v>
      </c>
      <c r="W16" s="191" t="s">
        <v>7</v>
      </c>
      <c r="X16" s="30" t="s">
        <v>173</v>
      </c>
      <c r="Y16" s="26" t="s">
        <v>173</v>
      </c>
      <c r="Z16" s="26" t="s">
        <v>174</v>
      </c>
      <c r="AA16" s="26" t="s">
        <v>175</v>
      </c>
      <c r="AB16" s="32">
        <f t="shared" si="2"/>
        <v>1</v>
      </c>
      <c r="AC16" s="25">
        <v>1</v>
      </c>
      <c r="AD16" s="32">
        <v>1</v>
      </c>
      <c r="AE16" s="32">
        <v>1</v>
      </c>
      <c r="AF16" s="192">
        <v>0.79861111111111105</v>
      </c>
      <c r="AG16" s="106"/>
      <c r="AH16" s="32">
        <f t="shared" si="0"/>
        <v>1</v>
      </c>
      <c r="AI16" s="106"/>
      <c r="AJ16" s="32">
        <v>1</v>
      </c>
      <c r="AK16" s="106"/>
      <c r="AL16" s="106"/>
      <c r="AM16" s="32">
        <f t="shared" si="1"/>
        <v>0</v>
      </c>
      <c r="AN16" s="106"/>
      <c r="AO16" s="106"/>
      <c r="AP16" s="32">
        <v>1</v>
      </c>
      <c r="AQ16" s="106"/>
      <c r="AS16" s="106" t="s">
        <v>1794</v>
      </c>
      <c r="AT16" s="106"/>
      <c r="AU16" s="94" t="s">
        <v>1293</v>
      </c>
    </row>
    <row r="17" spans="1:47">
      <c r="A17" s="105" t="s">
        <v>1795</v>
      </c>
      <c r="B17" s="105" t="s">
        <v>160</v>
      </c>
      <c r="C17" s="105" t="s">
        <v>73</v>
      </c>
      <c r="D17" s="105" t="s">
        <v>1796</v>
      </c>
      <c r="E17" s="105" t="s">
        <v>162</v>
      </c>
      <c r="F17" s="105" t="s">
        <v>1797</v>
      </c>
      <c r="G17" s="105" t="s">
        <v>1798</v>
      </c>
      <c r="H17" s="105" t="s">
        <v>1685</v>
      </c>
      <c r="I17" s="105">
        <v>202605.5</v>
      </c>
      <c r="J17" s="107">
        <v>5.27</v>
      </c>
      <c r="K17" s="105" t="s">
        <v>73</v>
      </c>
      <c r="L17" s="105" t="s">
        <v>1799</v>
      </c>
      <c r="M17" s="105" t="s">
        <v>1800</v>
      </c>
      <c r="N17" s="116" t="s">
        <v>1801</v>
      </c>
      <c r="O17" s="105"/>
      <c r="P17" s="171" t="s">
        <v>138</v>
      </c>
      <c r="Q17" s="171" t="s">
        <v>100</v>
      </c>
      <c r="R17" s="171" t="s">
        <v>262</v>
      </c>
      <c r="S17" s="171" t="s">
        <v>263</v>
      </c>
      <c r="T17" s="171" t="s">
        <v>103</v>
      </c>
      <c r="U17" s="171" t="s">
        <v>264</v>
      </c>
      <c r="V17" s="171" t="s">
        <v>264</v>
      </c>
      <c r="W17" s="191" t="s">
        <v>7</v>
      </c>
      <c r="X17" s="30" t="s">
        <v>173</v>
      </c>
      <c r="Y17" s="26" t="s">
        <v>173</v>
      </c>
      <c r="Z17" s="26" t="s">
        <v>174</v>
      </c>
      <c r="AA17" s="26" t="s">
        <v>175</v>
      </c>
      <c r="AB17" s="32">
        <f t="shared" si="2"/>
        <v>1</v>
      </c>
      <c r="AC17" s="25">
        <v>1</v>
      </c>
      <c r="AD17" s="32">
        <v>1</v>
      </c>
      <c r="AE17" s="32">
        <v>1</v>
      </c>
      <c r="AF17" s="192">
        <v>0.79861111111111105</v>
      </c>
      <c r="AG17" s="106"/>
      <c r="AH17" s="32">
        <f t="shared" si="0"/>
        <v>1</v>
      </c>
      <c r="AI17" s="106"/>
      <c r="AJ17" s="32">
        <v>1</v>
      </c>
      <c r="AK17" s="106"/>
      <c r="AL17" s="106"/>
      <c r="AM17" s="32">
        <f t="shared" si="1"/>
        <v>0</v>
      </c>
      <c r="AN17" s="106"/>
      <c r="AO17" s="106"/>
      <c r="AP17" s="32">
        <v>1</v>
      </c>
      <c r="AQ17" s="106"/>
      <c r="AS17" s="106" t="s">
        <v>1802</v>
      </c>
      <c r="AT17" s="106"/>
      <c r="AU17" s="94" t="s">
        <v>1297</v>
      </c>
    </row>
    <row r="18" spans="1:47">
      <c r="A18" s="105" t="s">
        <v>1803</v>
      </c>
      <c r="B18" s="105" t="s">
        <v>160</v>
      </c>
      <c r="C18" s="105" t="s">
        <v>73</v>
      </c>
      <c r="D18" s="105" t="s">
        <v>1804</v>
      </c>
      <c r="E18" s="105" t="s">
        <v>162</v>
      </c>
      <c r="F18" s="105" t="s">
        <v>1805</v>
      </c>
      <c r="G18" s="105" t="s">
        <v>1806</v>
      </c>
      <c r="H18" s="105" t="s">
        <v>1685</v>
      </c>
      <c r="I18" s="105">
        <v>202605.5</v>
      </c>
      <c r="J18" s="107">
        <v>5.27</v>
      </c>
      <c r="K18" s="105" t="s">
        <v>73</v>
      </c>
      <c r="L18" s="105" t="s">
        <v>1715</v>
      </c>
      <c r="M18" s="105" t="s">
        <v>1807</v>
      </c>
      <c r="N18" s="116" t="s">
        <v>1808</v>
      </c>
      <c r="O18" s="105"/>
      <c r="P18" s="171" t="s">
        <v>138</v>
      </c>
      <c r="Q18" s="171" t="s">
        <v>100</v>
      </c>
      <c r="R18" s="171" t="s">
        <v>262</v>
      </c>
      <c r="S18" s="171" t="s">
        <v>263</v>
      </c>
      <c r="T18" s="171" t="s">
        <v>103</v>
      </c>
      <c r="U18" s="171" t="s">
        <v>264</v>
      </c>
      <c r="V18" s="171" t="s">
        <v>264</v>
      </c>
      <c r="W18" s="191" t="s">
        <v>7</v>
      </c>
      <c r="X18" s="30" t="s">
        <v>173</v>
      </c>
      <c r="Y18" s="26" t="s">
        <v>173</v>
      </c>
      <c r="Z18" s="26" t="s">
        <v>174</v>
      </c>
      <c r="AA18" s="26" t="s">
        <v>175</v>
      </c>
      <c r="AB18" s="32">
        <f t="shared" si="2"/>
        <v>1</v>
      </c>
      <c r="AC18" s="25">
        <v>1</v>
      </c>
      <c r="AD18" s="32">
        <v>1</v>
      </c>
      <c r="AE18" s="32">
        <v>1</v>
      </c>
      <c r="AF18" s="192">
        <v>0.79861111111111105</v>
      </c>
      <c r="AG18" s="106"/>
      <c r="AH18" s="32">
        <f t="shared" si="0"/>
        <v>1</v>
      </c>
      <c r="AI18" s="106"/>
      <c r="AJ18" s="32">
        <v>1</v>
      </c>
      <c r="AK18" s="106"/>
      <c r="AL18" s="106"/>
      <c r="AM18" s="32">
        <f t="shared" si="1"/>
        <v>0</v>
      </c>
      <c r="AN18" s="106"/>
      <c r="AO18" s="106"/>
      <c r="AP18" s="32">
        <v>1</v>
      </c>
      <c r="AQ18" s="106"/>
      <c r="AS18" s="106" t="s">
        <v>1809</v>
      </c>
      <c r="AT18" s="106"/>
      <c r="AU18" s="94" t="s">
        <v>1309</v>
      </c>
    </row>
    <row r="19" spans="1:47">
      <c r="A19" s="105" t="s">
        <v>1810</v>
      </c>
      <c r="B19" s="105" t="s">
        <v>160</v>
      </c>
      <c r="C19" s="105" t="s">
        <v>73</v>
      </c>
      <c r="D19" s="105" t="s">
        <v>1811</v>
      </c>
      <c r="E19" s="105" t="s">
        <v>162</v>
      </c>
      <c r="F19" s="105" t="s">
        <v>1812</v>
      </c>
      <c r="G19" s="105" t="s">
        <v>1813</v>
      </c>
      <c r="H19" s="105" t="s">
        <v>1685</v>
      </c>
      <c r="I19" s="105">
        <v>202605.5</v>
      </c>
      <c r="J19" s="107">
        <v>5.27</v>
      </c>
      <c r="K19" s="105" t="s">
        <v>73</v>
      </c>
      <c r="L19" s="105" t="s">
        <v>1794</v>
      </c>
      <c r="M19" s="105" t="s">
        <v>1814</v>
      </c>
      <c r="N19" s="116" t="s">
        <v>1815</v>
      </c>
      <c r="O19" s="105"/>
      <c r="P19" s="171" t="s">
        <v>138</v>
      </c>
      <c r="Q19" s="171" t="s">
        <v>100</v>
      </c>
      <c r="R19" s="171" t="s">
        <v>262</v>
      </c>
      <c r="S19" s="171" t="s">
        <v>263</v>
      </c>
      <c r="T19" s="171" t="s">
        <v>103</v>
      </c>
      <c r="U19" s="171" t="s">
        <v>264</v>
      </c>
      <c r="V19" s="171" t="s">
        <v>264</v>
      </c>
      <c r="W19" s="191" t="s">
        <v>7</v>
      </c>
      <c r="X19" s="30" t="s">
        <v>173</v>
      </c>
      <c r="Y19" s="26" t="s">
        <v>173</v>
      </c>
      <c r="Z19" s="26" t="s">
        <v>174</v>
      </c>
      <c r="AA19" s="26" t="s">
        <v>175</v>
      </c>
      <c r="AB19" s="32">
        <f t="shared" si="2"/>
        <v>1</v>
      </c>
      <c r="AC19" s="25">
        <v>1</v>
      </c>
      <c r="AD19" s="32">
        <v>1</v>
      </c>
      <c r="AE19" s="32">
        <v>1</v>
      </c>
      <c r="AF19" s="192">
        <v>0.79861111111111105</v>
      </c>
      <c r="AG19" s="106"/>
      <c r="AH19" s="32">
        <f t="shared" si="0"/>
        <v>1</v>
      </c>
      <c r="AI19" s="106"/>
      <c r="AJ19" s="32">
        <v>1</v>
      </c>
      <c r="AK19" s="106"/>
      <c r="AL19" s="106"/>
      <c r="AM19" s="32">
        <f t="shared" si="1"/>
        <v>0</v>
      </c>
      <c r="AN19" s="106"/>
      <c r="AO19" s="106"/>
      <c r="AP19" s="32">
        <v>1</v>
      </c>
      <c r="AQ19" s="106"/>
      <c r="AR19" s="185" t="s">
        <v>194</v>
      </c>
      <c r="AS19" s="106" t="s">
        <v>1816</v>
      </c>
      <c r="AT19" s="106"/>
      <c r="AU19" s="94" t="s">
        <v>1313</v>
      </c>
    </row>
    <row r="20" spans="1:47">
      <c r="A20" s="105" t="s">
        <v>1817</v>
      </c>
      <c r="B20" s="105" t="s">
        <v>160</v>
      </c>
      <c r="C20" s="105" t="s">
        <v>73</v>
      </c>
      <c r="D20" s="105" t="s">
        <v>1818</v>
      </c>
      <c r="E20" s="105" t="s">
        <v>162</v>
      </c>
      <c r="F20" s="105" t="s">
        <v>1819</v>
      </c>
      <c r="G20" s="105" t="s">
        <v>1820</v>
      </c>
      <c r="H20" s="105" t="s">
        <v>1685</v>
      </c>
      <c r="I20" s="105">
        <v>202605.5</v>
      </c>
      <c r="J20" s="107">
        <v>5.27</v>
      </c>
      <c r="K20" s="105" t="s">
        <v>73</v>
      </c>
      <c r="L20" s="105" t="s">
        <v>1821</v>
      </c>
      <c r="M20" s="105" t="s">
        <v>1822</v>
      </c>
      <c r="N20" s="116" t="s">
        <v>1823</v>
      </c>
      <c r="O20" s="105"/>
      <c r="P20" s="171" t="s">
        <v>138</v>
      </c>
      <c r="Q20" s="171" t="s">
        <v>100</v>
      </c>
      <c r="R20" s="171" t="s">
        <v>262</v>
      </c>
      <c r="S20" s="171" t="s">
        <v>263</v>
      </c>
      <c r="T20" s="171" t="s">
        <v>103</v>
      </c>
      <c r="U20" s="171" t="s">
        <v>264</v>
      </c>
      <c r="V20" s="171" t="s">
        <v>264</v>
      </c>
      <c r="W20" s="191" t="s">
        <v>7</v>
      </c>
      <c r="X20" s="30" t="s">
        <v>173</v>
      </c>
      <c r="Y20" s="26" t="s">
        <v>173</v>
      </c>
      <c r="Z20" s="26" t="s">
        <v>174</v>
      </c>
      <c r="AA20" s="26" t="s">
        <v>175</v>
      </c>
      <c r="AB20" s="32">
        <f t="shared" si="2"/>
        <v>1</v>
      </c>
      <c r="AC20" s="25">
        <v>1</v>
      </c>
      <c r="AD20" s="32">
        <v>1</v>
      </c>
      <c r="AE20" s="32">
        <v>1</v>
      </c>
      <c r="AF20" s="192">
        <v>0.79861111111111105</v>
      </c>
      <c r="AG20" s="106"/>
      <c r="AH20" s="32">
        <f t="shared" si="0"/>
        <v>1</v>
      </c>
      <c r="AI20" s="106"/>
      <c r="AJ20" s="32">
        <v>1</v>
      </c>
      <c r="AK20" s="106"/>
      <c r="AL20" s="106"/>
      <c r="AM20" s="32">
        <f t="shared" si="1"/>
        <v>0</v>
      </c>
      <c r="AN20" s="106"/>
      <c r="AO20" s="106"/>
      <c r="AP20" s="32">
        <v>1</v>
      </c>
      <c r="AQ20" s="106"/>
      <c r="AS20" s="106" t="s">
        <v>1824</v>
      </c>
      <c r="AT20" s="106"/>
      <c r="AU20" s="94" t="s">
        <v>1825</v>
      </c>
    </row>
    <row r="21" spans="1:47">
      <c r="A21" s="105" t="s">
        <v>1826</v>
      </c>
      <c r="B21" s="105" t="s">
        <v>160</v>
      </c>
      <c r="C21" s="105" t="s">
        <v>73</v>
      </c>
      <c r="D21" s="105" t="s">
        <v>1827</v>
      </c>
      <c r="E21" s="105" t="s">
        <v>162</v>
      </c>
      <c r="F21" s="105" t="s">
        <v>1828</v>
      </c>
      <c r="G21" s="105" t="s">
        <v>1829</v>
      </c>
      <c r="H21" s="105" t="s">
        <v>1685</v>
      </c>
      <c r="I21" s="105">
        <v>202605.5</v>
      </c>
      <c r="J21" s="107">
        <v>5.27</v>
      </c>
      <c r="K21" s="105" t="s">
        <v>73</v>
      </c>
      <c r="L21" s="105" t="s">
        <v>1830</v>
      </c>
      <c r="M21" s="105" t="s">
        <v>1831</v>
      </c>
      <c r="N21" s="116" t="s">
        <v>1832</v>
      </c>
      <c r="O21" s="105"/>
      <c r="P21" s="171" t="s">
        <v>138</v>
      </c>
      <c r="Q21" s="171" t="s">
        <v>100</v>
      </c>
      <c r="R21" s="171" t="s">
        <v>262</v>
      </c>
      <c r="S21" s="171" t="s">
        <v>263</v>
      </c>
      <c r="T21" s="171" t="s">
        <v>103</v>
      </c>
      <c r="U21" s="171" t="s">
        <v>264</v>
      </c>
      <c r="V21" s="171" t="s">
        <v>264</v>
      </c>
      <c r="W21" s="191" t="s">
        <v>7</v>
      </c>
      <c r="X21" s="30" t="s">
        <v>173</v>
      </c>
      <c r="Y21" s="26" t="s">
        <v>173</v>
      </c>
      <c r="Z21" s="26" t="s">
        <v>174</v>
      </c>
      <c r="AA21" s="26" t="s">
        <v>175</v>
      </c>
      <c r="AB21" s="32">
        <f t="shared" si="2"/>
        <v>1</v>
      </c>
      <c r="AC21" s="25">
        <v>1</v>
      </c>
      <c r="AD21" s="32">
        <v>1</v>
      </c>
      <c r="AE21" s="32">
        <v>1</v>
      </c>
      <c r="AF21" s="192">
        <v>0.79861111111111105</v>
      </c>
      <c r="AG21" s="106"/>
      <c r="AH21" s="32">
        <f t="shared" si="0"/>
        <v>1</v>
      </c>
      <c r="AI21" s="106"/>
      <c r="AJ21" s="32">
        <v>1</v>
      </c>
      <c r="AK21" s="106"/>
      <c r="AL21" s="106"/>
      <c r="AM21" s="32">
        <f t="shared" si="1"/>
        <v>0</v>
      </c>
      <c r="AN21" s="106"/>
      <c r="AO21" s="106"/>
      <c r="AP21" s="32">
        <v>1</v>
      </c>
      <c r="AQ21" s="106"/>
      <c r="AS21" s="106" t="s">
        <v>1833</v>
      </c>
      <c r="AT21" s="106"/>
      <c r="AU21" s="94" t="s">
        <v>1834</v>
      </c>
    </row>
    <row r="22" spans="1:47">
      <c r="A22" s="105" t="s">
        <v>1835</v>
      </c>
      <c r="B22" s="105" t="s">
        <v>160</v>
      </c>
      <c r="C22" s="105" t="s">
        <v>73</v>
      </c>
      <c r="D22" s="105" t="s">
        <v>1836</v>
      </c>
      <c r="E22" s="105" t="s">
        <v>162</v>
      </c>
      <c r="F22" s="105" t="s">
        <v>1837</v>
      </c>
      <c r="G22" s="105" t="s">
        <v>1838</v>
      </c>
      <c r="H22" s="105" t="s">
        <v>1685</v>
      </c>
      <c r="I22" s="105">
        <v>202605.5</v>
      </c>
      <c r="J22" s="107">
        <v>5.27</v>
      </c>
      <c r="K22" s="105" t="s">
        <v>73</v>
      </c>
      <c r="L22" s="105" t="s">
        <v>1839</v>
      </c>
      <c r="M22" s="105" t="s">
        <v>1840</v>
      </c>
      <c r="N22" s="116" t="s">
        <v>1841</v>
      </c>
      <c r="O22" s="105"/>
      <c r="P22" s="171" t="s">
        <v>138</v>
      </c>
      <c r="Q22" s="171" t="s">
        <v>100</v>
      </c>
      <c r="R22" s="171" t="s">
        <v>262</v>
      </c>
      <c r="S22" s="171" t="s">
        <v>263</v>
      </c>
      <c r="T22" s="171" t="s">
        <v>103</v>
      </c>
      <c r="U22" s="171" t="s">
        <v>264</v>
      </c>
      <c r="V22" s="171" t="s">
        <v>264</v>
      </c>
      <c r="W22" s="193" t="s">
        <v>9</v>
      </c>
      <c r="X22" s="30" t="s">
        <v>173</v>
      </c>
      <c r="Y22" s="26" t="s">
        <v>173</v>
      </c>
      <c r="Z22" s="26" t="s">
        <v>174</v>
      </c>
      <c r="AA22" s="26" t="s">
        <v>175</v>
      </c>
      <c r="AB22" s="32">
        <v>1</v>
      </c>
      <c r="AC22" s="25">
        <v>1</v>
      </c>
      <c r="AD22" s="104">
        <v>1</v>
      </c>
      <c r="AE22" s="32">
        <v>1</v>
      </c>
      <c r="AF22" s="106"/>
      <c r="AG22" s="106"/>
      <c r="AH22" s="32">
        <f t="shared" si="0"/>
        <v>1</v>
      </c>
      <c r="AI22" s="106"/>
      <c r="AJ22" s="32">
        <v>1</v>
      </c>
      <c r="AK22" s="106"/>
      <c r="AL22" s="106"/>
      <c r="AM22" s="32">
        <f t="shared" si="1"/>
        <v>0</v>
      </c>
      <c r="AN22" s="106"/>
      <c r="AO22" s="106"/>
      <c r="AP22" s="32">
        <v>1</v>
      </c>
      <c r="AQ22" s="106"/>
      <c r="AS22" s="106" t="s">
        <v>1842</v>
      </c>
      <c r="AT22" s="106"/>
      <c r="AU22" s="94" t="s">
        <v>1843</v>
      </c>
    </row>
    <row r="23" spans="1:47">
      <c r="A23" s="105" t="s">
        <v>1844</v>
      </c>
      <c r="B23" s="105" t="s">
        <v>160</v>
      </c>
      <c r="C23" s="105" t="s">
        <v>73</v>
      </c>
      <c r="D23" s="105" t="s">
        <v>1845</v>
      </c>
      <c r="E23" s="105" t="s">
        <v>499</v>
      </c>
      <c r="F23" s="105" t="s">
        <v>1846</v>
      </c>
      <c r="G23" s="105" t="s">
        <v>1847</v>
      </c>
      <c r="H23" s="105" t="s">
        <v>1685</v>
      </c>
      <c r="I23" s="105">
        <v>202605.5</v>
      </c>
      <c r="J23" s="107">
        <v>5.27</v>
      </c>
      <c r="K23" s="105" t="s">
        <v>73</v>
      </c>
      <c r="L23" s="105" t="s">
        <v>1698</v>
      </c>
      <c r="M23" s="105" t="s">
        <v>1848</v>
      </c>
      <c r="N23" s="116" t="s">
        <v>1849</v>
      </c>
      <c r="O23" s="105"/>
      <c r="P23" s="171" t="s">
        <v>138</v>
      </c>
      <c r="Q23" s="171" t="s">
        <v>100</v>
      </c>
      <c r="R23" s="171" t="s">
        <v>262</v>
      </c>
      <c r="S23" s="171" t="s">
        <v>263</v>
      </c>
      <c r="T23" s="171" t="s">
        <v>103</v>
      </c>
      <c r="U23" s="171" t="s">
        <v>264</v>
      </c>
      <c r="V23" s="171" t="s">
        <v>264</v>
      </c>
      <c r="W23" s="191" t="s">
        <v>7</v>
      </c>
      <c r="X23" s="30" t="s">
        <v>173</v>
      </c>
      <c r="Y23" s="26" t="s">
        <v>173</v>
      </c>
      <c r="Z23" s="26" t="s">
        <v>174</v>
      </c>
      <c r="AA23" s="26" t="s">
        <v>175</v>
      </c>
      <c r="AB23" s="32">
        <f t="shared" si="2"/>
        <v>1</v>
      </c>
      <c r="AC23" s="25">
        <v>1</v>
      </c>
      <c r="AD23" s="32">
        <v>1</v>
      </c>
      <c r="AE23" s="32">
        <v>1</v>
      </c>
      <c r="AF23" s="192">
        <v>0.79861111111111105</v>
      </c>
      <c r="AG23" s="106"/>
      <c r="AH23" s="32">
        <f t="shared" si="0"/>
        <v>1</v>
      </c>
      <c r="AI23" s="106"/>
      <c r="AJ23" s="32">
        <v>1</v>
      </c>
      <c r="AK23" s="106"/>
      <c r="AL23" s="106"/>
      <c r="AM23" s="32">
        <f t="shared" si="1"/>
        <v>0</v>
      </c>
      <c r="AN23" s="106"/>
      <c r="AO23" s="106"/>
      <c r="AP23" s="32">
        <v>1</v>
      </c>
      <c r="AQ23" s="106"/>
      <c r="AS23" s="106" t="s">
        <v>1850</v>
      </c>
      <c r="AT23" s="106"/>
      <c r="AU23" s="94" t="s">
        <v>1851</v>
      </c>
    </row>
    <row r="24" spans="1:47">
      <c r="A24" s="105" t="s">
        <v>1852</v>
      </c>
      <c r="B24" s="105" t="s">
        <v>160</v>
      </c>
      <c r="C24" s="105" t="s">
        <v>73</v>
      </c>
      <c r="D24" s="105" t="s">
        <v>1853</v>
      </c>
      <c r="E24" s="105" t="s">
        <v>162</v>
      </c>
      <c r="F24" s="105" t="s">
        <v>1854</v>
      </c>
      <c r="G24" s="105" t="s">
        <v>1855</v>
      </c>
      <c r="H24" s="105" t="s">
        <v>1685</v>
      </c>
      <c r="I24" s="105">
        <v>202605.5</v>
      </c>
      <c r="J24" s="107">
        <v>5.27</v>
      </c>
      <c r="K24" s="105" t="s">
        <v>73</v>
      </c>
      <c r="L24" s="105" t="s">
        <v>1689</v>
      </c>
      <c r="M24" s="105" t="s">
        <v>1856</v>
      </c>
      <c r="N24" s="116" t="s">
        <v>1857</v>
      </c>
      <c r="O24" s="105"/>
      <c r="P24" s="171" t="s">
        <v>138</v>
      </c>
      <c r="Q24" s="171" t="s">
        <v>100</v>
      </c>
      <c r="R24" s="171" t="s">
        <v>262</v>
      </c>
      <c r="S24" s="171" t="s">
        <v>263</v>
      </c>
      <c r="T24" s="171" t="s">
        <v>103</v>
      </c>
      <c r="U24" s="171" t="s">
        <v>264</v>
      </c>
      <c r="V24" s="171" t="s">
        <v>264</v>
      </c>
      <c r="W24" s="191" t="s">
        <v>7</v>
      </c>
      <c r="X24" s="30" t="s">
        <v>173</v>
      </c>
      <c r="Y24" s="26" t="s">
        <v>173</v>
      </c>
      <c r="Z24" s="26" t="s">
        <v>174</v>
      </c>
      <c r="AA24" s="26" t="s">
        <v>175</v>
      </c>
      <c r="AB24" s="32">
        <f t="shared" si="2"/>
        <v>1</v>
      </c>
      <c r="AC24" s="25">
        <v>1</v>
      </c>
      <c r="AD24" s="32">
        <v>1</v>
      </c>
      <c r="AE24" s="32">
        <v>1</v>
      </c>
      <c r="AF24" s="192">
        <v>0.79861111111111105</v>
      </c>
      <c r="AG24" s="106"/>
      <c r="AH24" s="32">
        <f t="shared" si="0"/>
        <v>1</v>
      </c>
      <c r="AI24" s="106"/>
      <c r="AJ24" s="32">
        <v>1</v>
      </c>
      <c r="AK24" s="106"/>
      <c r="AL24" s="106"/>
      <c r="AM24" s="32">
        <f t="shared" si="1"/>
        <v>0</v>
      </c>
      <c r="AN24" s="106"/>
      <c r="AO24" s="106"/>
      <c r="AP24" s="32">
        <v>1</v>
      </c>
      <c r="AQ24" s="106"/>
      <c r="AS24" s="106" t="s">
        <v>1858</v>
      </c>
      <c r="AT24" s="106"/>
      <c r="AU24" s="94" t="s">
        <v>1859</v>
      </c>
    </row>
    <row r="25" spans="1:47">
      <c r="A25" s="105" t="s">
        <v>1860</v>
      </c>
      <c r="B25" s="105" t="s">
        <v>160</v>
      </c>
      <c r="C25" s="105" t="s">
        <v>73</v>
      </c>
      <c r="D25" s="105" t="s">
        <v>1861</v>
      </c>
      <c r="E25" s="105" t="s">
        <v>162</v>
      </c>
      <c r="F25" s="105" t="s">
        <v>1862</v>
      </c>
      <c r="G25" s="105" t="s">
        <v>1863</v>
      </c>
      <c r="H25" s="105" t="s">
        <v>1685</v>
      </c>
      <c r="I25" s="105">
        <v>202605.5</v>
      </c>
      <c r="J25" s="107">
        <v>5.27</v>
      </c>
      <c r="K25" s="105" t="s">
        <v>73</v>
      </c>
      <c r="L25" s="105" t="s">
        <v>1864</v>
      </c>
      <c r="M25" s="105" t="s">
        <v>1865</v>
      </c>
      <c r="N25" s="116" t="s">
        <v>1866</v>
      </c>
      <c r="O25" s="105"/>
      <c r="P25" s="171" t="s">
        <v>138</v>
      </c>
      <c r="Q25" s="171" t="s">
        <v>100</v>
      </c>
      <c r="R25" s="171" t="s">
        <v>262</v>
      </c>
      <c r="S25" s="171" t="s">
        <v>263</v>
      </c>
      <c r="T25" s="171" t="s">
        <v>103</v>
      </c>
      <c r="U25" s="171" t="s">
        <v>264</v>
      </c>
      <c r="V25" s="171" t="s">
        <v>264</v>
      </c>
      <c r="W25" s="191" t="s">
        <v>7</v>
      </c>
      <c r="X25" s="30" t="s">
        <v>173</v>
      </c>
      <c r="Y25" s="26" t="s">
        <v>173</v>
      </c>
      <c r="Z25" s="26" t="s">
        <v>174</v>
      </c>
      <c r="AA25" s="26" t="s">
        <v>175</v>
      </c>
      <c r="AB25" s="32">
        <f t="shared" si="2"/>
        <v>1</v>
      </c>
      <c r="AC25" s="25">
        <v>1</v>
      </c>
      <c r="AD25" s="32">
        <v>1</v>
      </c>
      <c r="AE25" s="32">
        <v>1</v>
      </c>
      <c r="AF25" s="192">
        <v>0.79861111111111105</v>
      </c>
      <c r="AG25" s="106"/>
      <c r="AH25" s="32">
        <f t="shared" si="0"/>
        <v>1</v>
      </c>
      <c r="AI25" s="106"/>
      <c r="AJ25" s="32">
        <v>1</v>
      </c>
      <c r="AK25" s="106"/>
      <c r="AL25" s="106"/>
      <c r="AM25" s="32">
        <f t="shared" si="1"/>
        <v>0</v>
      </c>
      <c r="AN25" s="106"/>
      <c r="AO25" s="106"/>
      <c r="AP25" s="32">
        <v>1</v>
      </c>
      <c r="AQ25" s="106"/>
      <c r="AS25" s="106" t="s">
        <v>1867</v>
      </c>
      <c r="AT25" s="106"/>
      <c r="AU25" s="94" t="s">
        <v>1448</v>
      </c>
    </row>
    <row r="26" spans="1:47">
      <c r="A26" s="105" t="s">
        <v>1868</v>
      </c>
      <c r="B26" s="105" t="s">
        <v>160</v>
      </c>
      <c r="C26" s="105" t="s">
        <v>73</v>
      </c>
      <c r="D26" s="105" t="s">
        <v>1869</v>
      </c>
      <c r="E26" s="105" t="s">
        <v>162</v>
      </c>
      <c r="F26" s="105" t="s">
        <v>1870</v>
      </c>
      <c r="G26" s="105" t="s">
        <v>1871</v>
      </c>
      <c r="H26" s="105" t="s">
        <v>1685</v>
      </c>
      <c r="I26" s="105">
        <v>202605.5</v>
      </c>
      <c r="J26" s="107">
        <v>5.27</v>
      </c>
      <c r="K26" s="105" t="s">
        <v>73</v>
      </c>
      <c r="L26" s="105" t="s">
        <v>1872</v>
      </c>
      <c r="M26" s="105" t="s">
        <v>1873</v>
      </c>
      <c r="N26" s="116" t="s">
        <v>1874</v>
      </c>
      <c r="O26" s="105"/>
      <c r="P26" s="171" t="s">
        <v>138</v>
      </c>
      <c r="Q26" s="171" t="s">
        <v>100</v>
      </c>
      <c r="R26" s="171" t="s">
        <v>262</v>
      </c>
      <c r="S26" s="171" t="s">
        <v>263</v>
      </c>
      <c r="T26" s="171" t="s">
        <v>103</v>
      </c>
      <c r="U26" s="171" t="s">
        <v>264</v>
      </c>
      <c r="V26" s="171" t="s">
        <v>264</v>
      </c>
      <c r="W26" s="191" t="s">
        <v>7</v>
      </c>
      <c r="X26" s="30" t="s">
        <v>173</v>
      </c>
      <c r="Y26" s="26" t="s">
        <v>173</v>
      </c>
      <c r="Z26" s="26" t="s">
        <v>174</v>
      </c>
      <c r="AA26" s="26" t="s">
        <v>175</v>
      </c>
      <c r="AB26" s="32">
        <f t="shared" si="2"/>
        <v>1</v>
      </c>
      <c r="AC26" s="25">
        <v>1</v>
      </c>
      <c r="AD26" s="32">
        <v>1</v>
      </c>
      <c r="AE26" s="32">
        <v>1</v>
      </c>
      <c r="AF26" s="192">
        <v>0.79861111111111105</v>
      </c>
      <c r="AG26" s="106"/>
      <c r="AH26" s="32">
        <f t="shared" si="0"/>
        <v>1</v>
      </c>
      <c r="AI26" s="106"/>
      <c r="AJ26" s="32">
        <v>1</v>
      </c>
      <c r="AK26" s="106"/>
      <c r="AL26" s="106"/>
      <c r="AM26" s="32">
        <f t="shared" si="1"/>
        <v>0</v>
      </c>
      <c r="AN26" s="106"/>
      <c r="AO26" s="106"/>
      <c r="AP26" s="32">
        <v>1</v>
      </c>
      <c r="AQ26" s="106"/>
      <c r="AS26" s="106" t="s">
        <v>1875</v>
      </c>
      <c r="AT26" s="106"/>
      <c r="AU26" s="94" t="s">
        <v>1452</v>
      </c>
    </row>
    <row r="27" spans="1:47">
      <c r="A27" s="105" t="s">
        <v>1876</v>
      </c>
      <c r="B27" s="105" t="s">
        <v>160</v>
      </c>
      <c r="C27" s="105" t="s">
        <v>73</v>
      </c>
      <c r="D27" s="105" t="s">
        <v>1877</v>
      </c>
      <c r="E27" s="105" t="s">
        <v>162</v>
      </c>
      <c r="F27" s="105" t="s">
        <v>1878</v>
      </c>
      <c r="G27" s="105" t="s">
        <v>1879</v>
      </c>
      <c r="H27" s="105" t="s">
        <v>1685</v>
      </c>
      <c r="I27" s="105">
        <v>202605.5</v>
      </c>
      <c r="J27" s="107">
        <v>5.27</v>
      </c>
      <c r="K27" s="105" t="s">
        <v>73</v>
      </c>
      <c r="L27" s="105" t="s">
        <v>1880</v>
      </c>
      <c r="M27" s="105" t="s">
        <v>1881</v>
      </c>
      <c r="N27" s="116" t="s">
        <v>1882</v>
      </c>
      <c r="O27" s="105"/>
      <c r="P27" s="177" t="s">
        <v>138</v>
      </c>
      <c r="Q27" s="177" t="s">
        <v>100</v>
      </c>
      <c r="R27" s="177" t="s">
        <v>262</v>
      </c>
      <c r="S27" s="177" t="s">
        <v>439</v>
      </c>
      <c r="T27" s="177" t="s">
        <v>103</v>
      </c>
      <c r="U27" s="177" t="s">
        <v>264</v>
      </c>
      <c r="V27" s="177" t="s">
        <v>264</v>
      </c>
      <c r="W27" s="191" t="s">
        <v>9</v>
      </c>
      <c r="X27" s="30" t="s">
        <v>173</v>
      </c>
      <c r="Y27" s="26" t="s">
        <v>173</v>
      </c>
      <c r="Z27" s="26" t="s">
        <v>174</v>
      </c>
      <c r="AA27" s="26" t="s">
        <v>175</v>
      </c>
      <c r="AB27" s="32">
        <f t="shared" si="2"/>
        <v>1</v>
      </c>
      <c r="AC27" s="25">
        <v>1</v>
      </c>
      <c r="AD27" s="104">
        <v>1</v>
      </c>
      <c r="AE27" s="32">
        <v>1</v>
      </c>
      <c r="AF27" s="106"/>
      <c r="AG27" s="106"/>
      <c r="AH27" s="32">
        <f t="shared" si="0"/>
        <v>1</v>
      </c>
      <c r="AI27" s="106"/>
      <c r="AJ27" s="32">
        <v>1</v>
      </c>
      <c r="AK27" s="106"/>
      <c r="AL27" s="106"/>
      <c r="AM27" s="32">
        <f t="shared" si="1"/>
        <v>0</v>
      </c>
      <c r="AN27" s="106"/>
      <c r="AO27" s="106"/>
      <c r="AP27" s="32">
        <v>1</v>
      </c>
      <c r="AQ27" s="106"/>
      <c r="AS27" s="106" t="s">
        <v>1883</v>
      </c>
      <c r="AT27" s="106"/>
      <c r="AU27" s="94" t="s">
        <v>1317</v>
      </c>
    </row>
    <row r="28" spans="1:47">
      <c r="A28" s="105" t="s">
        <v>1884</v>
      </c>
      <c r="B28" s="105" t="s">
        <v>160</v>
      </c>
      <c r="C28" s="105" t="s">
        <v>73</v>
      </c>
      <c r="D28" s="105" t="s">
        <v>1885</v>
      </c>
      <c r="E28" s="105" t="s">
        <v>162</v>
      </c>
      <c r="F28" s="105" t="s">
        <v>1886</v>
      </c>
      <c r="G28" s="105" t="s">
        <v>1887</v>
      </c>
      <c r="H28" s="105" t="s">
        <v>1685</v>
      </c>
      <c r="I28" s="105">
        <v>202605.5</v>
      </c>
      <c r="J28" s="107">
        <v>5.27</v>
      </c>
      <c r="K28" s="105" t="s">
        <v>73</v>
      </c>
      <c r="L28" s="105" t="s">
        <v>1888</v>
      </c>
      <c r="M28" s="105" t="s">
        <v>1889</v>
      </c>
      <c r="N28" s="116" t="s">
        <v>1890</v>
      </c>
      <c r="O28" s="105"/>
      <c r="P28" s="177" t="s">
        <v>138</v>
      </c>
      <c r="Q28" s="177" t="s">
        <v>100</v>
      </c>
      <c r="R28" s="177" t="s">
        <v>262</v>
      </c>
      <c r="S28" s="177" t="s">
        <v>439</v>
      </c>
      <c r="T28" s="177" t="s">
        <v>103</v>
      </c>
      <c r="U28" s="177" t="s">
        <v>264</v>
      </c>
      <c r="V28" s="177" t="s">
        <v>264</v>
      </c>
      <c r="W28" s="191" t="s">
        <v>9</v>
      </c>
      <c r="X28" s="30" t="s">
        <v>173</v>
      </c>
      <c r="Y28" s="26" t="s">
        <v>173</v>
      </c>
      <c r="Z28" s="26" t="s">
        <v>174</v>
      </c>
      <c r="AA28" s="26" t="s">
        <v>175</v>
      </c>
      <c r="AB28" s="32">
        <f t="shared" si="2"/>
        <v>1</v>
      </c>
      <c r="AC28" s="25">
        <v>1</v>
      </c>
      <c r="AD28" s="104">
        <v>1</v>
      </c>
      <c r="AE28" s="32">
        <v>1</v>
      </c>
      <c r="AF28" s="106"/>
      <c r="AG28" s="106"/>
      <c r="AH28" s="32">
        <f t="shared" si="0"/>
        <v>1</v>
      </c>
      <c r="AI28" s="106"/>
      <c r="AJ28" s="32">
        <v>1</v>
      </c>
      <c r="AK28" s="106"/>
      <c r="AL28" s="106"/>
      <c r="AM28" s="32">
        <f t="shared" si="1"/>
        <v>0</v>
      </c>
      <c r="AN28" s="106"/>
      <c r="AO28" s="106"/>
      <c r="AP28" s="32">
        <v>1</v>
      </c>
      <c r="AQ28" s="106"/>
      <c r="AS28" s="106" t="s">
        <v>1891</v>
      </c>
      <c r="AT28" s="106"/>
      <c r="AU28" s="94" t="s">
        <v>1321</v>
      </c>
    </row>
    <row r="29" spans="1:47">
      <c r="A29" s="105" t="s">
        <v>1892</v>
      </c>
      <c r="B29" s="105" t="s">
        <v>160</v>
      </c>
      <c r="C29" s="105" t="s">
        <v>73</v>
      </c>
      <c r="D29" s="105" t="s">
        <v>1893</v>
      </c>
      <c r="E29" s="105" t="s">
        <v>162</v>
      </c>
      <c r="F29" s="105" t="s">
        <v>1894</v>
      </c>
      <c r="G29" s="105" t="s">
        <v>1895</v>
      </c>
      <c r="H29" s="105" t="s">
        <v>1685</v>
      </c>
      <c r="I29" s="105">
        <v>202605.5</v>
      </c>
      <c r="J29" s="107">
        <v>5.27</v>
      </c>
      <c r="K29" s="105" t="s">
        <v>73</v>
      </c>
      <c r="L29" s="105" t="s">
        <v>1875</v>
      </c>
      <c r="M29" s="105" t="s">
        <v>1896</v>
      </c>
      <c r="N29" s="116" t="s">
        <v>1897</v>
      </c>
      <c r="O29" s="105"/>
      <c r="P29" s="177" t="s">
        <v>138</v>
      </c>
      <c r="Q29" s="177" t="s">
        <v>100</v>
      </c>
      <c r="R29" s="177" t="s">
        <v>262</v>
      </c>
      <c r="S29" s="177" t="s">
        <v>439</v>
      </c>
      <c r="T29" s="177" t="s">
        <v>103</v>
      </c>
      <c r="U29" s="177" t="s">
        <v>264</v>
      </c>
      <c r="V29" s="177" t="s">
        <v>264</v>
      </c>
      <c r="W29" s="191" t="s">
        <v>9</v>
      </c>
      <c r="X29" s="30" t="s">
        <v>173</v>
      </c>
      <c r="Y29" s="26" t="s">
        <v>173</v>
      </c>
      <c r="Z29" s="26" t="s">
        <v>174</v>
      </c>
      <c r="AA29" s="26" t="s">
        <v>175</v>
      </c>
      <c r="AB29" s="32">
        <f t="shared" si="2"/>
        <v>1</v>
      </c>
      <c r="AC29" s="25">
        <v>1</v>
      </c>
      <c r="AD29" s="104">
        <v>1</v>
      </c>
      <c r="AE29" s="32">
        <v>1</v>
      </c>
      <c r="AF29" s="106"/>
      <c r="AG29" s="106"/>
      <c r="AH29" s="32">
        <f t="shared" si="0"/>
        <v>1</v>
      </c>
      <c r="AI29" s="106"/>
      <c r="AJ29" s="32">
        <v>1</v>
      </c>
      <c r="AK29" s="106"/>
      <c r="AL29" s="106"/>
      <c r="AM29" s="32">
        <f t="shared" si="1"/>
        <v>0</v>
      </c>
      <c r="AN29" s="106"/>
      <c r="AO29" s="106"/>
      <c r="AP29" s="32">
        <v>1</v>
      </c>
      <c r="AQ29" s="106"/>
      <c r="AR29" s="185" t="s">
        <v>194</v>
      </c>
      <c r="AS29" s="106" t="s">
        <v>1898</v>
      </c>
      <c r="AT29" s="106"/>
      <c r="AU29" s="94" t="s">
        <v>1441</v>
      </c>
    </row>
    <row r="30" spans="1:47">
      <c r="A30" s="105" t="s">
        <v>1899</v>
      </c>
      <c r="B30" s="105" t="s">
        <v>160</v>
      </c>
      <c r="C30" s="105" t="s">
        <v>73</v>
      </c>
      <c r="D30" s="105" t="s">
        <v>1900</v>
      </c>
      <c r="E30" s="105" t="s">
        <v>162</v>
      </c>
      <c r="F30" s="105" t="s">
        <v>1901</v>
      </c>
      <c r="G30" s="105" t="s">
        <v>1902</v>
      </c>
      <c r="H30" s="105" t="s">
        <v>1685</v>
      </c>
      <c r="I30" s="105">
        <v>202605.5</v>
      </c>
      <c r="J30" s="107">
        <v>5.27</v>
      </c>
      <c r="K30" s="105" t="s">
        <v>73</v>
      </c>
      <c r="L30" s="105" t="s">
        <v>1903</v>
      </c>
      <c r="M30" s="105" t="s">
        <v>1904</v>
      </c>
      <c r="N30" s="116" t="s">
        <v>1905</v>
      </c>
      <c r="O30" s="105"/>
      <c r="P30" s="177" t="s">
        <v>138</v>
      </c>
      <c r="Q30" s="177" t="s">
        <v>100</v>
      </c>
      <c r="R30" s="177" t="s">
        <v>262</v>
      </c>
      <c r="S30" s="177" t="s">
        <v>439</v>
      </c>
      <c r="T30" s="177" t="s">
        <v>103</v>
      </c>
      <c r="U30" s="177" t="s">
        <v>264</v>
      </c>
      <c r="V30" s="177" t="s">
        <v>264</v>
      </c>
      <c r="W30" s="191" t="s">
        <v>9</v>
      </c>
      <c r="X30" s="30" t="s">
        <v>173</v>
      </c>
      <c r="Y30" s="26" t="s">
        <v>173</v>
      </c>
      <c r="Z30" s="26" t="s">
        <v>174</v>
      </c>
      <c r="AA30" s="26" t="s">
        <v>175</v>
      </c>
      <c r="AB30" s="32">
        <f t="shared" si="2"/>
        <v>1</v>
      </c>
      <c r="AC30" s="25">
        <v>1</v>
      </c>
      <c r="AD30" s="104">
        <v>1</v>
      </c>
      <c r="AE30" s="32">
        <v>1</v>
      </c>
      <c r="AF30" s="106"/>
      <c r="AG30" s="106"/>
      <c r="AH30" s="32">
        <f t="shared" si="0"/>
        <v>1</v>
      </c>
      <c r="AI30" s="106"/>
      <c r="AJ30" s="32">
        <v>1</v>
      </c>
      <c r="AK30" s="106"/>
      <c r="AL30" s="106"/>
      <c r="AM30" s="32">
        <f t="shared" si="1"/>
        <v>0</v>
      </c>
      <c r="AN30" s="106"/>
      <c r="AO30" s="106"/>
      <c r="AP30" s="32">
        <v>1</v>
      </c>
      <c r="AQ30" s="106"/>
      <c r="AS30" s="106" t="s">
        <v>1906</v>
      </c>
      <c r="AT30" s="106"/>
      <c r="AU30" s="94" t="s">
        <v>1445</v>
      </c>
    </row>
    <row r="31" spans="1:47">
      <c r="A31" s="105" t="s">
        <v>1907</v>
      </c>
      <c r="B31" s="105" t="s">
        <v>160</v>
      </c>
      <c r="C31" s="105" t="s">
        <v>73</v>
      </c>
      <c r="D31" s="105" t="s">
        <v>1908</v>
      </c>
      <c r="E31" s="105" t="s">
        <v>162</v>
      </c>
      <c r="F31" s="105" t="s">
        <v>1909</v>
      </c>
      <c r="G31" s="105" t="s">
        <v>1910</v>
      </c>
      <c r="H31" s="105" t="s">
        <v>1685</v>
      </c>
      <c r="I31" s="105">
        <v>202605.5</v>
      </c>
      <c r="J31" s="107">
        <v>5.27</v>
      </c>
      <c r="K31" s="105" t="s">
        <v>73</v>
      </c>
      <c r="L31" s="105" t="s">
        <v>1911</v>
      </c>
      <c r="M31" s="105" t="s">
        <v>1912</v>
      </c>
      <c r="N31" s="116" t="s">
        <v>1913</v>
      </c>
      <c r="O31" s="105"/>
      <c r="P31" s="177" t="s">
        <v>138</v>
      </c>
      <c r="Q31" s="177" t="s">
        <v>100</v>
      </c>
      <c r="R31" s="177" t="s">
        <v>262</v>
      </c>
      <c r="S31" s="177" t="s">
        <v>439</v>
      </c>
      <c r="T31" s="177" t="s">
        <v>103</v>
      </c>
      <c r="U31" s="177" t="s">
        <v>264</v>
      </c>
      <c r="V31" s="177" t="s">
        <v>264</v>
      </c>
      <c r="W31" s="191" t="s">
        <v>9</v>
      </c>
      <c r="X31" s="30" t="s">
        <v>173</v>
      </c>
      <c r="Y31" s="26" t="s">
        <v>173</v>
      </c>
      <c r="Z31" s="26" t="s">
        <v>174</v>
      </c>
      <c r="AA31" s="26" t="s">
        <v>175</v>
      </c>
      <c r="AB31" s="32">
        <f t="shared" si="2"/>
        <v>1</v>
      </c>
      <c r="AC31" s="25">
        <v>1</v>
      </c>
      <c r="AD31" s="104">
        <v>1</v>
      </c>
      <c r="AE31" s="32">
        <v>1</v>
      </c>
      <c r="AF31" s="106"/>
      <c r="AG31" s="106"/>
      <c r="AH31" s="32">
        <f t="shared" si="0"/>
        <v>1</v>
      </c>
      <c r="AI31" s="106"/>
      <c r="AJ31" s="32">
        <v>1</v>
      </c>
      <c r="AK31" s="106"/>
      <c r="AL31" s="106"/>
      <c r="AM31" s="32">
        <f t="shared" si="1"/>
        <v>0</v>
      </c>
      <c r="AN31" s="106"/>
      <c r="AO31" s="106"/>
      <c r="AP31" s="32">
        <v>1</v>
      </c>
      <c r="AQ31" s="106"/>
      <c r="AS31" s="106" t="s">
        <v>1914</v>
      </c>
      <c r="AT31" s="106"/>
      <c r="AU31" s="94" t="s">
        <v>1276</v>
      </c>
    </row>
    <row r="32" spans="1:47">
      <c r="A32" s="105" t="s">
        <v>1915</v>
      </c>
      <c r="B32" s="105" t="s">
        <v>160</v>
      </c>
      <c r="C32" s="105" t="s">
        <v>73</v>
      </c>
      <c r="D32" s="105" t="s">
        <v>1916</v>
      </c>
      <c r="E32" s="105" t="s">
        <v>162</v>
      </c>
      <c r="F32" s="105" t="s">
        <v>1917</v>
      </c>
      <c r="G32" s="105" t="s">
        <v>1918</v>
      </c>
      <c r="H32" s="105" t="s">
        <v>1685</v>
      </c>
      <c r="I32" s="105">
        <v>202605.5</v>
      </c>
      <c r="J32" s="107">
        <v>5.27</v>
      </c>
      <c r="K32" s="105" t="s">
        <v>73</v>
      </c>
      <c r="L32" s="105" t="s">
        <v>1919</v>
      </c>
      <c r="M32" s="105" t="s">
        <v>1920</v>
      </c>
      <c r="N32" s="116" t="s">
        <v>1921</v>
      </c>
      <c r="O32" s="105"/>
      <c r="P32" s="177" t="s">
        <v>138</v>
      </c>
      <c r="Q32" s="177" t="s">
        <v>100</v>
      </c>
      <c r="R32" s="177" t="s">
        <v>262</v>
      </c>
      <c r="S32" s="177" t="s">
        <v>439</v>
      </c>
      <c r="T32" s="177" t="s">
        <v>103</v>
      </c>
      <c r="U32" s="177" t="s">
        <v>264</v>
      </c>
      <c r="V32" s="177" t="s">
        <v>264</v>
      </c>
      <c r="W32" s="191" t="s">
        <v>9</v>
      </c>
      <c r="X32" s="30" t="s">
        <v>173</v>
      </c>
      <c r="Y32" s="26" t="s">
        <v>173</v>
      </c>
      <c r="Z32" s="26" t="s">
        <v>174</v>
      </c>
      <c r="AA32" s="26" t="s">
        <v>175</v>
      </c>
      <c r="AB32" s="32">
        <f t="shared" si="2"/>
        <v>1</v>
      </c>
      <c r="AC32" s="25">
        <v>1</v>
      </c>
      <c r="AD32" s="104">
        <v>1</v>
      </c>
      <c r="AE32" s="32">
        <v>1</v>
      </c>
      <c r="AF32" s="106"/>
      <c r="AG32" s="106"/>
      <c r="AH32" s="32">
        <f t="shared" si="0"/>
        <v>1</v>
      </c>
      <c r="AI32" s="106"/>
      <c r="AJ32" s="32">
        <v>1</v>
      </c>
      <c r="AK32" s="106"/>
      <c r="AL32" s="106"/>
      <c r="AM32" s="32">
        <f t="shared" si="1"/>
        <v>0</v>
      </c>
      <c r="AN32" s="106"/>
      <c r="AO32" s="106"/>
      <c r="AP32" s="32">
        <v>1</v>
      </c>
      <c r="AQ32" s="106"/>
      <c r="AS32" s="106" t="s">
        <v>1922</v>
      </c>
      <c r="AT32" s="106"/>
      <c r="AU32" s="94" t="s">
        <v>1280</v>
      </c>
    </row>
    <row r="33" spans="1:47">
      <c r="A33" s="105" t="s">
        <v>1923</v>
      </c>
      <c r="B33" s="105" t="s">
        <v>160</v>
      </c>
      <c r="C33" s="105" t="s">
        <v>73</v>
      </c>
      <c r="D33" s="105" t="s">
        <v>1924</v>
      </c>
      <c r="E33" s="105" t="s">
        <v>162</v>
      </c>
      <c r="F33" s="105" t="s">
        <v>1925</v>
      </c>
      <c r="G33" s="105" t="s">
        <v>1926</v>
      </c>
      <c r="H33" s="105" t="s">
        <v>1685</v>
      </c>
      <c r="I33" s="105">
        <v>202605.5</v>
      </c>
      <c r="J33" s="107">
        <v>5.27</v>
      </c>
      <c r="K33" s="105" t="s">
        <v>73</v>
      </c>
      <c r="L33" s="105" t="s">
        <v>1867</v>
      </c>
      <c r="M33" s="105" t="s">
        <v>1927</v>
      </c>
      <c r="N33" s="116" t="s">
        <v>1928</v>
      </c>
      <c r="O33" s="105"/>
      <c r="P33" s="177" t="s">
        <v>138</v>
      </c>
      <c r="Q33" s="177" t="s">
        <v>100</v>
      </c>
      <c r="R33" s="177" t="s">
        <v>262</v>
      </c>
      <c r="S33" s="177" t="s">
        <v>439</v>
      </c>
      <c r="T33" s="177" t="s">
        <v>103</v>
      </c>
      <c r="U33" s="177" t="s">
        <v>264</v>
      </c>
      <c r="V33" s="177" t="s">
        <v>264</v>
      </c>
      <c r="W33" s="191" t="s">
        <v>9</v>
      </c>
      <c r="X33" s="30" t="s">
        <v>173</v>
      </c>
      <c r="Y33" s="26" t="s">
        <v>173</v>
      </c>
      <c r="Z33" s="26" t="s">
        <v>174</v>
      </c>
      <c r="AA33" s="26" t="s">
        <v>175</v>
      </c>
      <c r="AB33" s="32">
        <f t="shared" si="2"/>
        <v>1</v>
      </c>
      <c r="AC33" s="25">
        <v>1</v>
      </c>
      <c r="AD33" s="104">
        <v>1</v>
      </c>
      <c r="AE33" s="32">
        <v>1</v>
      </c>
      <c r="AF33" s="106"/>
      <c r="AG33" s="106"/>
      <c r="AH33" s="32">
        <f t="shared" si="0"/>
        <v>1</v>
      </c>
      <c r="AI33" s="106"/>
      <c r="AJ33" s="32">
        <v>1</v>
      </c>
      <c r="AK33" s="106"/>
      <c r="AL33" s="106"/>
      <c r="AM33" s="32">
        <f t="shared" si="1"/>
        <v>0</v>
      </c>
      <c r="AN33" s="106"/>
      <c r="AO33" s="106"/>
      <c r="AP33" s="32">
        <v>1</v>
      </c>
      <c r="AQ33" s="106"/>
      <c r="AS33" s="106" t="s">
        <v>1929</v>
      </c>
      <c r="AT33" s="106"/>
      <c r="AU33" s="94" t="s">
        <v>1301</v>
      </c>
    </row>
    <row r="34" spans="1:47">
      <c r="A34" s="105" t="s">
        <v>1930</v>
      </c>
      <c r="B34" s="105" t="s">
        <v>160</v>
      </c>
      <c r="C34" s="105" t="s">
        <v>73</v>
      </c>
      <c r="D34" s="105" t="s">
        <v>1931</v>
      </c>
      <c r="E34" s="105" t="s">
        <v>499</v>
      </c>
      <c r="F34" s="105" t="s">
        <v>1932</v>
      </c>
      <c r="G34" s="105" t="s">
        <v>1933</v>
      </c>
      <c r="H34" s="105" t="s">
        <v>1685</v>
      </c>
      <c r="I34" s="105">
        <v>202605.5</v>
      </c>
      <c r="J34" s="107">
        <v>5.27</v>
      </c>
      <c r="K34" s="105" t="s">
        <v>73</v>
      </c>
      <c r="L34" s="105" t="s">
        <v>1934</v>
      </c>
      <c r="M34" s="105" t="s">
        <v>1935</v>
      </c>
      <c r="N34" s="116" t="s">
        <v>1936</v>
      </c>
      <c r="O34" s="105"/>
      <c r="P34" s="177" t="s">
        <v>138</v>
      </c>
      <c r="Q34" s="177" t="s">
        <v>100</v>
      </c>
      <c r="R34" s="177" t="s">
        <v>262</v>
      </c>
      <c r="S34" s="177" t="s">
        <v>439</v>
      </c>
      <c r="T34" s="177" t="s">
        <v>103</v>
      </c>
      <c r="U34" s="177" t="s">
        <v>264</v>
      </c>
      <c r="V34" s="177" t="s">
        <v>264</v>
      </c>
      <c r="W34" s="191" t="s">
        <v>9</v>
      </c>
      <c r="X34" s="30" t="s">
        <v>173</v>
      </c>
      <c r="Y34" s="26" t="s">
        <v>173</v>
      </c>
      <c r="Z34" s="26" t="s">
        <v>174</v>
      </c>
      <c r="AA34" s="26" t="s">
        <v>175</v>
      </c>
      <c r="AB34" s="32">
        <f t="shared" si="2"/>
        <v>1</v>
      </c>
      <c r="AC34" s="25">
        <v>1</v>
      </c>
      <c r="AD34" s="104">
        <v>1</v>
      </c>
      <c r="AE34" s="32">
        <v>1</v>
      </c>
      <c r="AF34" s="106"/>
      <c r="AG34" s="106"/>
      <c r="AH34" s="32">
        <f t="shared" si="0"/>
        <v>1</v>
      </c>
      <c r="AI34" s="106"/>
      <c r="AJ34" s="32">
        <v>1</v>
      </c>
      <c r="AK34" s="106"/>
      <c r="AL34" s="106"/>
      <c r="AM34" s="32">
        <f t="shared" si="1"/>
        <v>0</v>
      </c>
      <c r="AN34" s="106"/>
      <c r="AO34" s="106"/>
      <c r="AP34" s="32">
        <v>1</v>
      </c>
      <c r="AQ34" s="106"/>
      <c r="AS34" s="106" t="s">
        <v>1937</v>
      </c>
      <c r="AT34" s="106"/>
      <c r="AU34" s="94" t="s">
        <v>1305</v>
      </c>
    </row>
    <row r="35" spans="1:47">
      <c r="A35" s="105" t="s">
        <v>1938</v>
      </c>
      <c r="B35" s="105" t="s">
        <v>160</v>
      </c>
      <c r="C35" s="105" t="s">
        <v>73</v>
      </c>
      <c r="D35" s="105" t="s">
        <v>1939</v>
      </c>
      <c r="E35" s="105" t="s">
        <v>162</v>
      </c>
      <c r="F35" s="105" t="s">
        <v>1940</v>
      </c>
      <c r="G35" s="105" t="s">
        <v>1941</v>
      </c>
      <c r="H35" s="105" t="s">
        <v>1685</v>
      </c>
      <c r="I35" s="105">
        <v>202605.5</v>
      </c>
      <c r="J35" s="107">
        <v>5.27</v>
      </c>
      <c r="K35" s="105" t="s">
        <v>73</v>
      </c>
      <c r="L35" s="105" t="s">
        <v>1914</v>
      </c>
      <c r="M35" s="105" t="s">
        <v>1942</v>
      </c>
      <c r="N35" s="116" t="s">
        <v>1943</v>
      </c>
      <c r="O35" s="105"/>
      <c r="P35" s="177" t="s">
        <v>138</v>
      </c>
      <c r="Q35" s="177" t="s">
        <v>100</v>
      </c>
      <c r="R35" s="177" t="s">
        <v>262</v>
      </c>
      <c r="S35" s="177" t="s">
        <v>439</v>
      </c>
      <c r="T35" s="177" t="s">
        <v>103</v>
      </c>
      <c r="U35" s="177" t="s">
        <v>264</v>
      </c>
      <c r="V35" s="177" t="s">
        <v>264</v>
      </c>
      <c r="W35" s="191" t="s">
        <v>9</v>
      </c>
      <c r="X35" s="30" t="s">
        <v>173</v>
      </c>
      <c r="Y35" s="26" t="s">
        <v>173</v>
      </c>
      <c r="Z35" s="26" t="s">
        <v>174</v>
      </c>
      <c r="AA35" s="26" t="s">
        <v>175</v>
      </c>
      <c r="AB35" s="32">
        <f t="shared" si="2"/>
        <v>1</v>
      </c>
      <c r="AC35" s="25">
        <v>1</v>
      </c>
      <c r="AD35" s="104">
        <v>1</v>
      </c>
      <c r="AE35" s="32">
        <v>1</v>
      </c>
      <c r="AF35" s="106"/>
      <c r="AG35" s="106"/>
      <c r="AH35" s="32">
        <f t="shared" ref="AH35:AH66" si="3">IF(COUNTIF(AS:AS,"*"&amp;L35&amp;"*")&gt;0,1,0)</f>
        <v>1</v>
      </c>
      <c r="AI35" s="106"/>
      <c r="AJ35" s="32">
        <v>1</v>
      </c>
      <c r="AK35" s="106"/>
      <c r="AL35" s="106"/>
      <c r="AM35" s="32">
        <f t="shared" ref="AM35:AM66" si="4">IF(COUNTIF(AT:AT,"*"&amp;L35&amp;"*")&gt;0,1,0)</f>
        <v>0</v>
      </c>
      <c r="AN35" s="106"/>
      <c r="AO35" s="106"/>
      <c r="AP35" s="32">
        <v>1</v>
      </c>
      <c r="AQ35" s="106"/>
      <c r="AS35" s="106" t="s">
        <v>1944</v>
      </c>
      <c r="AT35" s="106"/>
      <c r="AU35" s="94" t="s">
        <v>1434</v>
      </c>
    </row>
    <row r="36" spans="1:47">
      <c r="A36" s="105" t="s">
        <v>1945</v>
      </c>
      <c r="B36" s="105" t="s">
        <v>160</v>
      </c>
      <c r="C36" s="105" t="s">
        <v>73</v>
      </c>
      <c r="D36" s="105" t="s">
        <v>1946</v>
      </c>
      <c r="E36" s="105" t="s">
        <v>162</v>
      </c>
      <c r="F36" s="105" t="s">
        <v>1947</v>
      </c>
      <c r="G36" s="105" t="s">
        <v>1948</v>
      </c>
      <c r="H36" s="105" t="s">
        <v>1685</v>
      </c>
      <c r="I36" s="105">
        <v>202605.5</v>
      </c>
      <c r="J36" s="107">
        <v>5.27</v>
      </c>
      <c r="K36" s="105" t="s">
        <v>73</v>
      </c>
      <c r="L36" s="105" t="s">
        <v>1858</v>
      </c>
      <c r="M36" s="105" t="s">
        <v>1949</v>
      </c>
      <c r="N36" s="116" t="s">
        <v>1950</v>
      </c>
      <c r="O36" s="105"/>
      <c r="P36" s="177" t="s">
        <v>138</v>
      </c>
      <c r="Q36" s="177" t="s">
        <v>100</v>
      </c>
      <c r="R36" s="177" t="s">
        <v>262</v>
      </c>
      <c r="S36" s="177" t="s">
        <v>439</v>
      </c>
      <c r="T36" s="177" t="s">
        <v>103</v>
      </c>
      <c r="U36" s="177" t="s">
        <v>264</v>
      </c>
      <c r="V36" s="177" t="s">
        <v>264</v>
      </c>
      <c r="W36" s="191" t="s">
        <v>9</v>
      </c>
      <c r="X36" s="30" t="s">
        <v>173</v>
      </c>
      <c r="Y36" s="26" t="s">
        <v>173</v>
      </c>
      <c r="Z36" s="26" t="s">
        <v>174</v>
      </c>
      <c r="AA36" s="26" t="s">
        <v>175</v>
      </c>
      <c r="AB36" s="32">
        <f t="shared" si="2"/>
        <v>1</v>
      </c>
      <c r="AC36" s="25">
        <v>1</v>
      </c>
      <c r="AD36" s="104">
        <v>1</v>
      </c>
      <c r="AE36" s="32">
        <v>1</v>
      </c>
      <c r="AF36" s="106"/>
      <c r="AG36" s="106"/>
      <c r="AH36" s="32">
        <f t="shared" si="3"/>
        <v>1</v>
      </c>
      <c r="AI36" s="106"/>
      <c r="AJ36" s="32">
        <v>1</v>
      </c>
      <c r="AK36" s="106"/>
      <c r="AL36" s="106"/>
      <c r="AM36" s="32">
        <f t="shared" si="4"/>
        <v>0</v>
      </c>
      <c r="AN36" s="106"/>
      <c r="AO36" s="106"/>
      <c r="AP36" s="32">
        <v>1</v>
      </c>
      <c r="AQ36" s="106"/>
      <c r="AS36" s="106" t="s">
        <v>1839</v>
      </c>
      <c r="AT36" s="106"/>
      <c r="AU36" s="94" t="s">
        <v>1438</v>
      </c>
    </row>
    <row r="37" spans="1:47">
      <c r="A37" s="105" t="s">
        <v>1951</v>
      </c>
      <c r="B37" s="105" t="s">
        <v>160</v>
      </c>
      <c r="C37" s="105" t="s">
        <v>73</v>
      </c>
      <c r="D37" s="105" t="s">
        <v>1952</v>
      </c>
      <c r="E37" s="105" t="s">
        <v>162</v>
      </c>
      <c r="F37" s="105" t="s">
        <v>1953</v>
      </c>
      <c r="G37" s="105" t="s">
        <v>1954</v>
      </c>
      <c r="H37" s="105" t="s">
        <v>1685</v>
      </c>
      <c r="I37" s="105">
        <v>202605.5</v>
      </c>
      <c r="J37" s="107">
        <v>5.27</v>
      </c>
      <c r="K37" s="105" t="s">
        <v>73</v>
      </c>
      <c r="L37" s="105" t="s">
        <v>1944</v>
      </c>
      <c r="M37" s="105" t="s">
        <v>1955</v>
      </c>
      <c r="N37" s="116" t="s">
        <v>1956</v>
      </c>
      <c r="O37" s="105"/>
      <c r="P37" s="177" t="s">
        <v>138</v>
      </c>
      <c r="Q37" s="177" t="s">
        <v>100</v>
      </c>
      <c r="R37" s="177" t="s">
        <v>262</v>
      </c>
      <c r="S37" s="177" t="s">
        <v>439</v>
      </c>
      <c r="T37" s="177" t="s">
        <v>103</v>
      </c>
      <c r="U37" s="177" t="s">
        <v>264</v>
      </c>
      <c r="V37" s="177" t="s">
        <v>264</v>
      </c>
      <c r="W37" s="191" t="s">
        <v>9</v>
      </c>
      <c r="X37" s="30" t="s">
        <v>173</v>
      </c>
      <c r="Y37" s="26" t="s">
        <v>173</v>
      </c>
      <c r="Z37" s="26" t="s">
        <v>174</v>
      </c>
      <c r="AA37" s="26" t="s">
        <v>175</v>
      </c>
      <c r="AB37" s="32">
        <f t="shared" si="2"/>
        <v>1</v>
      </c>
      <c r="AC37" s="25">
        <v>1</v>
      </c>
      <c r="AD37" s="104">
        <v>1</v>
      </c>
      <c r="AE37" s="32">
        <v>1</v>
      </c>
      <c r="AF37" s="106"/>
      <c r="AG37" s="106"/>
      <c r="AH37" s="32">
        <f t="shared" si="3"/>
        <v>1</v>
      </c>
      <c r="AI37" s="106"/>
      <c r="AJ37" s="32">
        <v>1</v>
      </c>
      <c r="AK37" s="106"/>
      <c r="AL37" s="106"/>
      <c r="AM37" s="32">
        <f t="shared" si="4"/>
        <v>0</v>
      </c>
      <c r="AN37" s="106"/>
      <c r="AO37" s="106"/>
      <c r="AP37" s="32">
        <v>1</v>
      </c>
      <c r="AQ37" s="106"/>
      <c r="AR37" s="185" t="s">
        <v>194</v>
      </c>
      <c r="AS37" s="106" t="s">
        <v>1957</v>
      </c>
      <c r="AT37" s="106"/>
      <c r="AU37" s="94" t="s">
        <v>1427</v>
      </c>
    </row>
    <row r="38" spans="1:47">
      <c r="A38" s="105" t="s">
        <v>1958</v>
      </c>
      <c r="B38" s="105" t="s">
        <v>160</v>
      </c>
      <c r="C38" s="105" t="s">
        <v>73</v>
      </c>
      <c r="D38" s="105" t="s">
        <v>1959</v>
      </c>
      <c r="E38" s="105" t="s">
        <v>162</v>
      </c>
      <c r="F38" s="105" t="s">
        <v>1960</v>
      </c>
      <c r="G38" s="105" t="s">
        <v>1961</v>
      </c>
      <c r="H38" s="105" t="s">
        <v>1685</v>
      </c>
      <c r="I38" s="105">
        <v>202605.5</v>
      </c>
      <c r="J38" s="107">
        <v>5.27</v>
      </c>
      <c r="K38" s="105" t="s">
        <v>73</v>
      </c>
      <c r="L38" s="105" t="s">
        <v>1937</v>
      </c>
      <c r="M38" s="105" t="s">
        <v>1962</v>
      </c>
      <c r="N38" s="116" t="s">
        <v>1963</v>
      </c>
      <c r="O38" s="105"/>
      <c r="P38" s="177" t="s">
        <v>138</v>
      </c>
      <c r="Q38" s="177" t="s">
        <v>100</v>
      </c>
      <c r="R38" s="177" t="s">
        <v>262</v>
      </c>
      <c r="S38" s="177" t="s">
        <v>439</v>
      </c>
      <c r="T38" s="177" t="s">
        <v>103</v>
      </c>
      <c r="U38" s="177" t="s">
        <v>264</v>
      </c>
      <c r="V38" s="177" t="s">
        <v>264</v>
      </c>
      <c r="W38" s="191" t="s">
        <v>9</v>
      </c>
      <c r="X38" s="30" t="s">
        <v>173</v>
      </c>
      <c r="Y38" s="26" t="s">
        <v>173</v>
      </c>
      <c r="Z38" s="26" t="s">
        <v>174</v>
      </c>
      <c r="AA38" s="26" t="s">
        <v>175</v>
      </c>
      <c r="AB38" s="32">
        <f t="shared" si="2"/>
        <v>1</v>
      </c>
      <c r="AC38" s="25">
        <v>1</v>
      </c>
      <c r="AD38" s="104">
        <v>1</v>
      </c>
      <c r="AE38" s="32">
        <v>1</v>
      </c>
      <c r="AF38" s="106"/>
      <c r="AG38" s="106"/>
      <c r="AH38" s="32">
        <f t="shared" si="3"/>
        <v>1</v>
      </c>
      <c r="AI38" s="106"/>
      <c r="AJ38" s="32">
        <v>1</v>
      </c>
      <c r="AK38" s="106"/>
      <c r="AL38" s="106"/>
      <c r="AM38" s="32">
        <f t="shared" si="4"/>
        <v>0</v>
      </c>
      <c r="AN38" s="106"/>
      <c r="AO38" s="106"/>
      <c r="AP38" s="32">
        <v>1</v>
      </c>
      <c r="AQ38" s="106"/>
      <c r="AS38" s="106" t="s">
        <v>1911</v>
      </c>
      <c r="AT38" s="106"/>
      <c r="AU38" s="94" t="s">
        <v>1431</v>
      </c>
    </row>
    <row r="39" spans="1:47">
      <c r="A39" s="105" t="s">
        <v>1964</v>
      </c>
      <c r="B39" s="105" t="s">
        <v>160</v>
      </c>
      <c r="C39" s="105" t="s">
        <v>73</v>
      </c>
      <c r="D39" s="105" t="s">
        <v>1965</v>
      </c>
      <c r="E39" s="105" t="s">
        <v>162</v>
      </c>
      <c r="F39" s="105" t="s">
        <v>1966</v>
      </c>
      <c r="G39" s="105" t="s">
        <v>1967</v>
      </c>
      <c r="H39" s="105" t="s">
        <v>1685</v>
      </c>
      <c r="I39" s="105">
        <v>202605.5</v>
      </c>
      <c r="J39" s="107">
        <v>5.27</v>
      </c>
      <c r="K39" s="105" t="s">
        <v>73</v>
      </c>
      <c r="L39" s="105" t="s">
        <v>1929</v>
      </c>
      <c r="M39" s="105" t="s">
        <v>1968</v>
      </c>
      <c r="N39" s="116" t="s">
        <v>1969</v>
      </c>
      <c r="O39" s="105"/>
      <c r="P39" s="177" t="s">
        <v>138</v>
      </c>
      <c r="Q39" s="177" t="s">
        <v>100</v>
      </c>
      <c r="R39" s="177" t="s">
        <v>262</v>
      </c>
      <c r="S39" s="177" t="s">
        <v>439</v>
      </c>
      <c r="T39" s="177" t="s">
        <v>103</v>
      </c>
      <c r="U39" s="177" t="s">
        <v>264</v>
      </c>
      <c r="V39" s="177" t="s">
        <v>264</v>
      </c>
      <c r="W39" s="191" t="s">
        <v>9</v>
      </c>
      <c r="X39" s="30" t="s">
        <v>173</v>
      </c>
      <c r="Y39" s="26" t="s">
        <v>173</v>
      </c>
      <c r="Z39" s="26" t="s">
        <v>174</v>
      </c>
      <c r="AA39" s="26" t="s">
        <v>175</v>
      </c>
      <c r="AB39" s="32">
        <f t="shared" si="2"/>
        <v>1</v>
      </c>
      <c r="AC39" s="25">
        <v>1</v>
      </c>
      <c r="AD39" s="104">
        <v>1</v>
      </c>
      <c r="AE39" s="32">
        <v>1</v>
      </c>
      <c r="AF39" s="106"/>
      <c r="AG39" s="106"/>
      <c r="AH39" s="32">
        <f t="shared" si="3"/>
        <v>1</v>
      </c>
      <c r="AI39" s="106"/>
      <c r="AJ39" s="32">
        <v>1</v>
      </c>
      <c r="AK39" s="106"/>
      <c r="AL39" s="106"/>
      <c r="AM39" s="32">
        <f t="shared" si="4"/>
        <v>0</v>
      </c>
      <c r="AN39" s="106"/>
      <c r="AO39" s="106"/>
      <c r="AP39" s="32">
        <v>1</v>
      </c>
      <c r="AQ39" s="106"/>
      <c r="AR39" s="185" t="s">
        <v>194</v>
      </c>
      <c r="AS39" s="106" t="s">
        <v>1903</v>
      </c>
      <c r="AT39" s="106"/>
      <c r="AU39" s="94" t="s">
        <v>1424</v>
      </c>
    </row>
    <row r="40" spans="1:47">
      <c r="A40" s="105" t="s">
        <v>1970</v>
      </c>
      <c r="B40" s="105" t="s">
        <v>160</v>
      </c>
      <c r="C40" s="105" t="s">
        <v>73</v>
      </c>
      <c r="D40" s="105" t="s">
        <v>1971</v>
      </c>
      <c r="E40" s="105" t="s">
        <v>162</v>
      </c>
      <c r="F40" s="105" t="s">
        <v>1972</v>
      </c>
      <c r="G40" s="105" t="s">
        <v>1973</v>
      </c>
      <c r="H40" s="105" t="s">
        <v>1685</v>
      </c>
      <c r="I40" s="105">
        <v>202605.5</v>
      </c>
      <c r="J40" s="107">
        <v>5.27</v>
      </c>
      <c r="K40" s="105" t="s">
        <v>73</v>
      </c>
      <c r="L40" s="105" t="s">
        <v>1922</v>
      </c>
      <c r="M40" s="105" t="s">
        <v>1974</v>
      </c>
      <c r="N40" s="116" t="s">
        <v>1975</v>
      </c>
      <c r="O40" s="105"/>
      <c r="P40" s="177" t="s">
        <v>138</v>
      </c>
      <c r="Q40" s="177" t="s">
        <v>100</v>
      </c>
      <c r="R40" s="177" t="s">
        <v>262</v>
      </c>
      <c r="S40" s="177" t="s">
        <v>439</v>
      </c>
      <c r="T40" s="177" t="s">
        <v>103</v>
      </c>
      <c r="U40" s="177" t="s">
        <v>264</v>
      </c>
      <c r="V40" s="177" t="s">
        <v>264</v>
      </c>
      <c r="W40" s="191" t="s">
        <v>9</v>
      </c>
      <c r="X40" s="30" t="s">
        <v>173</v>
      </c>
      <c r="Y40" s="26" t="s">
        <v>173</v>
      </c>
      <c r="Z40" s="26" t="s">
        <v>174</v>
      </c>
      <c r="AA40" s="26" t="s">
        <v>175</v>
      </c>
      <c r="AB40" s="32">
        <f t="shared" si="2"/>
        <v>1</v>
      </c>
      <c r="AC40" s="25">
        <v>1</v>
      </c>
      <c r="AD40" s="104">
        <v>1</v>
      </c>
      <c r="AE40" s="32">
        <v>1</v>
      </c>
      <c r="AF40" s="106"/>
      <c r="AG40" s="106"/>
      <c r="AH40" s="32">
        <f t="shared" si="3"/>
        <v>1</v>
      </c>
      <c r="AI40" s="106"/>
      <c r="AJ40" s="32">
        <v>1</v>
      </c>
      <c r="AK40" s="106"/>
      <c r="AL40" s="106"/>
      <c r="AM40" s="32">
        <f t="shared" si="4"/>
        <v>0</v>
      </c>
      <c r="AN40" s="106"/>
      <c r="AO40" s="106"/>
      <c r="AP40" s="32">
        <v>1</v>
      </c>
      <c r="AQ40" s="106"/>
      <c r="AS40" s="106" t="s">
        <v>1976</v>
      </c>
      <c r="AT40" s="106"/>
      <c r="AU40" s="94" t="s">
        <v>1420</v>
      </c>
    </row>
    <row r="41" spans="1:47">
      <c r="A41" s="105" t="s">
        <v>1977</v>
      </c>
      <c r="B41" s="105" t="s">
        <v>160</v>
      </c>
      <c r="C41" s="105" t="s">
        <v>73</v>
      </c>
      <c r="D41" s="105" t="s">
        <v>1978</v>
      </c>
      <c r="E41" s="105" t="s">
        <v>162</v>
      </c>
      <c r="F41" s="105" t="s">
        <v>1979</v>
      </c>
      <c r="G41" s="105" t="s">
        <v>1980</v>
      </c>
      <c r="H41" s="105" t="s">
        <v>1685</v>
      </c>
      <c r="I41" s="105">
        <v>202605.5</v>
      </c>
      <c r="J41" s="107">
        <v>5.27</v>
      </c>
      <c r="K41" s="105" t="s">
        <v>73</v>
      </c>
      <c r="L41" s="105" t="s">
        <v>1906</v>
      </c>
      <c r="M41" s="105" t="s">
        <v>1981</v>
      </c>
      <c r="N41" s="116" t="s">
        <v>1982</v>
      </c>
      <c r="O41" s="105"/>
      <c r="P41" s="177" t="s">
        <v>138</v>
      </c>
      <c r="Q41" s="177" t="s">
        <v>100</v>
      </c>
      <c r="R41" s="177" t="s">
        <v>262</v>
      </c>
      <c r="S41" s="177" t="s">
        <v>439</v>
      </c>
      <c r="T41" s="177" t="s">
        <v>103</v>
      </c>
      <c r="U41" s="177" t="s">
        <v>264</v>
      </c>
      <c r="V41" s="177" t="s">
        <v>264</v>
      </c>
      <c r="W41" s="191" t="s">
        <v>9</v>
      </c>
      <c r="X41" s="30" t="s">
        <v>173</v>
      </c>
      <c r="Y41" s="26" t="s">
        <v>173</v>
      </c>
      <c r="Z41" s="26" t="s">
        <v>174</v>
      </c>
      <c r="AA41" s="26" t="s">
        <v>175</v>
      </c>
      <c r="AB41" s="32">
        <f t="shared" si="2"/>
        <v>1</v>
      </c>
      <c r="AC41" s="25">
        <v>1</v>
      </c>
      <c r="AD41" s="104">
        <v>1</v>
      </c>
      <c r="AE41" s="32">
        <v>1</v>
      </c>
      <c r="AF41" s="106"/>
      <c r="AG41" s="106"/>
      <c r="AH41" s="32">
        <f t="shared" si="3"/>
        <v>1</v>
      </c>
      <c r="AI41" s="106"/>
      <c r="AJ41" s="32">
        <v>1</v>
      </c>
      <c r="AK41" s="106"/>
      <c r="AL41" s="106"/>
      <c r="AM41" s="32">
        <f t="shared" si="4"/>
        <v>0</v>
      </c>
      <c r="AN41" s="106"/>
      <c r="AO41" s="106"/>
      <c r="AP41" s="32">
        <v>1</v>
      </c>
      <c r="AQ41" s="106"/>
      <c r="AS41" s="106" t="s">
        <v>1983</v>
      </c>
      <c r="AT41" s="106"/>
      <c r="AU41" s="94" t="s">
        <v>1413</v>
      </c>
    </row>
    <row r="42" spans="1:47">
      <c r="A42" s="105" t="s">
        <v>1984</v>
      </c>
      <c r="B42" s="105" t="s">
        <v>160</v>
      </c>
      <c r="C42" s="105" t="s">
        <v>73</v>
      </c>
      <c r="D42" s="105" t="s">
        <v>1985</v>
      </c>
      <c r="E42" s="105" t="s">
        <v>162</v>
      </c>
      <c r="F42" s="105" t="s">
        <v>1986</v>
      </c>
      <c r="G42" s="105" t="s">
        <v>1987</v>
      </c>
      <c r="H42" s="105" t="s">
        <v>1685</v>
      </c>
      <c r="I42" s="105">
        <v>202605.5</v>
      </c>
      <c r="J42" s="107">
        <v>5.27</v>
      </c>
      <c r="K42" s="105" t="s">
        <v>73</v>
      </c>
      <c r="L42" s="105" t="s">
        <v>1988</v>
      </c>
      <c r="M42" s="105" t="s">
        <v>1989</v>
      </c>
      <c r="N42" s="116" t="s">
        <v>1990</v>
      </c>
      <c r="O42" s="105"/>
      <c r="P42" s="177" t="s">
        <v>138</v>
      </c>
      <c r="Q42" s="177" t="s">
        <v>100</v>
      </c>
      <c r="R42" s="177" t="s">
        <v>262</v>
      </c>
      <c r="S42" s="177" t="s">
        <v>439</v>
      </c>
      <c r="T42" s="177" t="s">
        <v>103</v>
      </c>
      <c r="U42" s="177" t="s">
        <v>264</v>
      </c>
      <c r="V42" s="177" t="s">
        <v>264</v>
      </c>
      <c r="W42" s="191" t="s">
        <v>9</v>
      </c>
      <c r="X42" s="30" t="s">
        <v>173</v>
      </c>
      <c r="Y42" s="26" t="s">
        <v>173</v>
      </c>
      <c r="Z42" s="26" t="s">
        <v>174</v>
      </c>
      <c r="AA42" s="26" t="s">
        <v>175</v>
      </c>
      <c r="AB42" s="32">
        <f t="shared" si="2"/>
        <v>1</v>
      </c>
      <c r="AC42" s="25">
        <v>1</v>
      </c>
      <c r="AD42" s="104">
        <v>1</v>
      </c>
      <c r="AE42" s="32">
        <v>1</v>
      </c>
      <c r="AF42" s="106"/>
      <c r="AG42" s="106"/>
      <c r="AH42" s="32">
        <f t="shared" si="3"/>
        <v>1</v>
      </c>
      <c r="AI42" s="106"/>
      <c r="AJ42" s="32">
        <v>1</v>
      </c>
      <c r="AK42" s="106"/>
      <c r="AL42" s="106"/>
      <c r="AM42" s="32">
        <f t="shared" si="4"/>
        <v>0</v>
      </c>
      <c r="AN42" s="106"/>
      <c r="AO42" s="106"/>
      <c r="AP42" s="32">
        <v>1</v>
      </c>
      <c r="AQ42" s="106"/>
      <c r="AR42" s="185" t="s">
        <v>194</v>
      </c>
      <c r="AS42" s="106" t="s">
        <v>1934</v>
      </c>
      <c r="AT42" s="106"/>
      <c r="AU42" s="94" t="s">
        <v>1417</v>
      </c>
    </row>
    <row r="43" spans="1:47">
      <c r="A43" s="105" t="s">
        <v>1991</v>
      </c>
      <c r="B43" s="105" t="s">
        <v>160</v>
      </c>
      <c r="C43" s="105" t="s">
        <v>73</v>
      </c>
      <c r="D43" s="105" t="s">
        <v>1992</v>
      </c>
      <c r="E43" s="105" t="s">
        <v>162</v>
      </c>
      <c r="F43" s="105" t="s">
        <v>1993</v>
      </c>
      <c r="G43" s="105" t="s">
        <v>1994</v>
      </c>
      <c r="H43" s="105" t="s">
        <v>1685</v>
      </c>
      <c r="I43" s="105">
        <v>202605.5</v>
      </c>
      <c r="J43" s="107">
        <v>5.27</v>
      </c>
      <c r="K43" s="105" t="s">
        <v>73</v>
      </c>
      <c r="L43" s="105" t="s">
        <v>1995</v>
      </c>
      <c r="M43" s="105" t="s">
        <v>1996</v>
      </c>
      <c r="N43" s="116" t="s">
        <v>1997</v>
      </c>
      <c r="O43" s="105"/>
      <c r="P43" s="177" t="s">
        <v>138</v>
      </c>
      <c r="Q43" s="177" t="s">
        <v>100</v>
      </c>
      <c r="R43" s="177" t="s">
        <v>262</v>
      </c>
      <c r="S43" s="177" t="s">
        <v>439</v>
      </c>
      <c r="T43" s="177" t="s">
        <v>103</v>
      </c>
      <c r="U43" s="177" t="s">
        <v>264</v>
      </c>
      <c r="V43" s="177" t="s">
        <v>264</v>
      </c>
      <c r="W43" s="191" t="s">
        <v>9</v>
      </c>
      <c r="X43" s="30" t="s">
        <v>173</v>
      </c>
      <c r="Y43" s="26" t="s">
        <v>173</v>
      </c>
      <c r="Z43" s="26" t="s">
        <v>174</v>
      </c>
      <c r="AA43" s="26" t="s">
        <v>175</v>
      </c>
      <c r="AB43" s="32">
        <f t="shared" si="2"/>
        <v>1</v>
      </c>
      <c r="AC43" s="25">
        <v>1</v>
      </c>
      <c r="AD43" s="104">
        <v>1</v>
      </c>
      <c r="AE43" s="32">
        <v>1</v>
      </c>
      <c r="AF43" s="106"/>
      <c r="AG43" s="106"/>
      <c r="AH43" s="32">
        <f t="shared" si="3"/>
        <v>1</v>
      </c>
      <c r="AI43" s="106"/>
      <c r="AJ43" s="32">
        <v>1</v>
      </c>
      <c r="AK43" s="106"/>
      <c r="AL43" s="106"/>
      <c r="AM43" s="32">
        <f t="shared" si="4"/>
        <v>0</v>
      </c>
      <c r="AN43" s="106"/>
      <c r="AO43" s="106"/>
      <c r="AP43" s="32">
        <v>1</v>
      </c>
      <c r="AQ43" s="106"/>
      <c r="AR43" s="185" t="s">
        <v>194</v>
      </c>
      <c r="AS43" s="106" t="s">
        <v>1880</v>
      </c>
      <c r="AT43" s="106"/>
      <c r="AU43" s="94" t="s">
        <v>1406</v>
      </c>
    </row>
    <row r="44" spans="1:47">
      <c r="A44" s="105" t="s">
        <v>1998</v>
      </c>
      <c r="B44" s="105" t="s">
        <v>160</v>
      </c>
      <c r="C44" s="105" t="s">
        <v>73</v>
      </c>
      <c r="D44" s="105" t="s">
        <v>1999</v>
      </c>
      <c r="E44" s="105" t="s">
        <v>162</v>
      </c>
      <c r="F44" s="105" t="s">
        <v>2000</v>
      </c>
      <c r="G44" s="105" t="s">
        <v>2001</v>
      </c>
      <c r="H44" s="105" t="s">
        <v>1685</v>
      </c>
      <c r="I44" s="105">
        <v>202605.5</v>
      </c>
      <c r="J44" s="107">
        <v>5.27</v>
      </c>
      <c r="K44" s="105" t="s">
        <v>73</v>
      </c>
      <c r="L44" s="105" t="s">
        <v>1850</v>
      </c>
      <c r="M44" s="105" t="s">
        <v>2002</v>
      </c>
      <c r="N44" s="116" t="s">
        <v>2003</v>
      </c>
      <c r="O44" s="105"/>
      <c r="P44" s="177" t="s">
        <v>138</v>
      </c>
      <c r="Q44" s="177" t="s">
        <v>100</v>
      </c>
      <c r="R44" s="177" t="s">
        <v>262</v>
      </c>
      <c r="S44" s="177" t="s">
        <v>439</v>
      </c>
      <c r="T44" s="177" t="s">
        <v>103</v>
      </c>
      <c r="U44" s="177" t="s">
        <v>264</v>
      </c>
      <c r="V44" s="177" t="s">
        <v>264</v>
      </c>
      <c r="W44" s="191" t="s">
        <v>9</v>
      </c>
      <c r="X44" s="30" t="s">
        <v>173</v>
      </c>
      <c r="Y44" s="26" t="s">
        <v>173</v>
      </c>
      <c r="Z44" s="26" t="s">
        <v>174</v>
      </c>
      <c r="AA44" s="26" t="s">
        <v>175</v>
      </c>
      <c r="AB44" s="32">
        <f t="shared" si="2"/>
        <v>1</v>
      </c>
      <c r="AC44" s="25">
        <v>1</v>
      </c>
      <c r="AD44" s="104">
        <v>1</v>
      </c>
      <c r="AE44" s="32">
        <v>1</v>
      </c>
      <c r="AF44" s="106"/>
      <c r="AG44" s="106"/>
      <c r="AH44" s="32">
        <f t="shared" si="3"/>
        <v>1</v>
      </c>
      <c r="AI44" s="106"/>
      <c r="AJ44" s="32">
        <v>1</v>
      </c>
      <c r="AK44" s="106"/>
      <c r="AL44" s="106"/>
      <c r="AM44" s="32">
        <f t="shared" si="4"/>
        <v>0</v>
      </c>
      <c r="AN44" s="106"/>
      <c r="AO44" s="106"/>
      <c r="AP44" s="32">
        <v>1</v>
      </c>
      <c r="AQ44" s="106"/>
      <c r="AR44" s="185" t="s">
        <v>194</v>
      </c>
      <c r="AS44" s="106" t="s">
        <v>1888</v>
      </c>
      <c r="AT44" s="106"/>
      <c r="AU44" s="94" t="s">
        <v>1410</v>
      </c>
    </row>
    <row r="45" spans="1:47">
      <c r="A45" s="105" t="s">
        <v>2004</v>
      </c>
      <c r="B45" s="105" t="s">
        <v>160</v>
      </c>
      <c r="C45" s="105" t="s">
        <v>73</v>
      </c>
      <c r="D45" s="105" t="s">
        <v>2005</v>
      </c>
      <c r="E45" s="105" t="s">
        <v>162</v>
      </c>
      <c r="F45" s="105" t="s">
        <v>2006</v>
      </c>
      <c r="G45" s="105" t="s">
        <v>2007</v>
      </c>
      <c r="H45" s="105" t="s">
        <v>1685</v>
      </c>
      <c r="I45" s="105">
        <v>202605.5</v>
      </c>
      <c r="J45" s="107">
        <v>5.27</v>
      </c>
      <c r="K45" s="105" t="s">
        <v>73</v>
      </c>
      <c r="L45" s="105" t="s">
        <v>1842</v>
      </c>
      <c r="M45" s="105" t="s">
        <v>2008</v>
      </c>
      <c r="N45" s="116" t="s">
        <v>2009</v>
      </c>
      <c r="O45" s="105"/>
      <c r="P45" s="177" t="s">
        <v>138</v>
      </c>
      <c r="Q45" s="177" t="s">
        <v>100</v>
      </c>
      <c r="R45" s="177" t="s">
        <v>262</v>
      </c>
      <c r="S45" s="177" t="s">
        <v>439</v>
      </c>
      <c r="T45" s="177" t="s">
        <v>103</v>
      </c>
      <c r="U45" s="177" t="s">
        <v>264</v>
      </c>
      <c r="V45" s="177" t="s">
        <v>264</v>
      </c>
      <c r="W45" s="191" t="s">
        <v>9</v>
      </c>
      <c r="X45" s="30" t="s">
        <v>173</v>
      </c>
      <c r="Y45" s="26" t="s">
        <v>173</v>
      </c>
      <c r="Z45" s="26" t="s">
        <v>174</v>
      </c>
      <c r="AA45" s="26" t="s">
        <v>175</v>
      </c>
      <c r="AB45" s="32">
        <f t="shared" si="2"/>
        <v>1</v>
      </c>
      <c r="AC45" s="25">
        <v>1</v>
      </c>
      <c r="AD45" s="104">
        <v>1</v>
      </c>
      <c r="AE45" s="32">
        <v>1</v>
      </c>
      <c r="AF45" s="106"/>
      <c r="AG45" s="106"/>
      <c r="AH45" s="32">
        <f t="shared" si="3"/>
        <v>1</v>
      </c>
      <c r="AI45" s="106"/>
      <c r="AJ45" s="32">
        <v>1</v>
      </c>
      <c r="AK45" s="106"/>
      <c r="AL45" s="106"/>
      <c r="AM45" s="32">
        <f t="shared" si="4"/>
        <v>0</v>
      </c>
      <c r="AN45" s="106"/>
      <c r="AO45" s="106"/>
      <c r="AP45" s="32">
        <v>1</v>
      </c>
      <c r="AQ45" s="106"/>
      <c r="AS45" s="106" t="s">
        <v>2010</v>
      </c>
      <c r="AT45" s="106"/>
      <c r="AU45" s="94" t="s">
        <v>1399</v>
      </c>
    </row>
    <row r="46" spans="1:47">
      <c r="A46" s="105" t="s">
        <v>2011</v>
      </c>
      <c r="B46" s="105" t="s">
        <v>160</v>
      </c>
      <c r="C46" s="105" t="s">
        <v>73</v>
      </c>
      <c r="D46" s="105" t="s">
        <v>2012</v>
      </c>
      <c r="E46" s="105" t="s">
        <v>162</v>
      </c>
      <c r="F46" s="105" t="s">
        <v>2013</v>
      </c>
      <c r="G46" s="105" t="s">
        <v>2014</v>
      </c>
      <c r="H46" s="105" t="s">
        <v>1685</v>
      </c>
      <c r="I46" s="105">
        <v>202605.5</v>
      </c>
      <c r="J46" s="107">
        <v>5.27</v>
      </c>
      <c r="K46" s="105" t="s">
        <v>73</v>
      </c>
      <c r="L46" s="105" t="s">
        <v>1833</v>
      </c>
      <c r="M46" s="105" t="s">
        <v>2015</v>
      </c>
      <c r="N46" s="116" t="s">
        <v>2016</v>
      </c>
      <c r="O46" s="105"/>
      <c r="P46" s="177" t="s">
        <v>138</v>
      </c>
      <c r="Q46" s="177" t="s">
        <v>100</v>
      </c>
      <c r="R46" s="177" t="s">
        <v>262</v>
      </c>
      <c r="S46" s="177" t="s">
        <v>439</v>
      </c>
      <c r="T46" s="177" t="s">
        <v>103</v>
      </c>
      <c r="U46" s="177" t="s">
        <v>264</v>
      </c>
      <c r="V46" s="177" t="s">
        <v>264</v>
      </c>
      <c r="W46" s="191" t="s">
        <v>9</v>
      </c>
      <c r="X46" s="30" t="s">
        <v>173</v>
      </c>
      <c r="Y46" s="26" t="s">
        <v>173</v>
      </c>
      <c r="Z46" s="26" t="s">
        <v>174</v>
      </c>
      <c r="AA46" s="26" t="s">
        <v>175</v>
      </c>
      <c r="AB46" s="32">
        <f t="shared" si="2"/>
        <v>1</v>
      </c>
      <c r="AC46" s="25">
        <v>1</v>
      </c>
      <c r="AD46" s="104">
        <v>1</v>
      </c>
      <c r="AE46" s="32">
        <v>1</v>
      </c>
      <c r="AF46" s="106"/>
      <c r="AG46" s="106"/>
      <c r="AH46" s="32">
        <f t="shared" si="3"/>
        <v>1</v>
      </c>
      <c r="AI46" s="106"/>
      <c r="AJ46" s="32">
        <v>1</v>
      </c>
      <c r="AK46" s="106"/>
      <c r="AL46" s="106"/>
      <c r="AM46" s="32">
        <f t="shared" si="4"/>
        <v>0</v>
      </c>
      <c r="AN46" s="106"/>
      <c r="AO46" s="106"/>
      <c r="AP46" s="32">
        <v>1</v>
      </c>
      <c r="AQ46" s="106"/>
      <c r="AR46" s="185" t="s">
        <v>194</v>
      </c>
      <c r="AS46" s="106" t="s">
        <v>2017</v>
      </c>
      <c r="AT46" s="106"/>
      <c r="AU46" s="94" t="s">
        <v>1403</v>
      </c>
    </row>
    <row r="47" spans="1:47">
      <c r="A47" s="105" t="s">
        <v>2018</v>
      </c>
      <c r="B47" s="105" t="s">
        <v>160</v>
      </c>
      <c r="C47" s="105" t="s">
        <v>73</v>
      </c>
      <c r="D47" s="105" t="s">
        <v>2019</v>
      </c>
      <c r="E47" s="105" t="s">
        <v>162</v>
      </c>
      <c r="F47" s="105" t="s">
        <v>2020</v>
      </c>
      <c r="G47" s="105" t="s">
        <v>2021</v>
      </c>
      <c r="H47" s="105" t="s">
        <v>1685</v>
      </c>
      <c r="I47" s="105">
        <v>202605.5</v>
      </c>
      <c r="J47" s="107">
        <v>5.27</v>
      </c>
      <c r="K47" s="105" t="s">
        <v>73</v>
      </c>
      <c r="L47" s="105" t="s">
        <v>1824</v>
      </c>
      <c r="M47" s="105" t="s">
        <v>2022</v>
      </c>
      <c r="N47" s="116" t="s">
        <v>2023</v>
      </c>
      <c r="O47" s="105"/>
      <c r="P47" s="177" t="s">
        <v>138</v>
      </c>
      <c r="Q47" s="177" t="s">
        <v>100</v>
      </c>
      <c r="R47" s="177" t="s">
        <v>262</v>
      </c>
      <c r="S47" s="177" t="s">
        <v>439</v>
      </c>
      <c r="T47" s="177" t="s">
        <v>103</v>
      </c>
      <c r="U47" s="177" t="s">
        <v>264</v>
      </c>
      <c r="V47" s="177" t="s">
        <v>264</v>
      </c>
      <c r="W47" s="191" t="s">
        <v>9</v>
      </c>
      <c r="X47" s="30" t="s">
        <v>173</v>
      </c>
      <c r="Y47" s="26" t="s">
        <v>173</v>
      </c>
      <c r="Z47" s="26" t="s">
        <v>174</v>
      </c>
      <c r="AA47" s="26" t="s">
        <v>175</v>
      </c>
      <c r="AB47" s="32">
        <f t="shared" si="2"/>
        <v>1</v>
      </c>
      <c r="AC47" s="25">
        <v>1</v>
      </c>
      <c r="AD47" s="104">
        <v>1</v>
      </c>
      <c r="AE47" s="32">
        <v>1</v>
      </c>
      <c r="AF47" s="106"/>
      <c r="AG47" s="106"/>
      <c r="AH47" s="32">
        <f t="shared" si="3"/>
        <v>1</v>
      </c>
      <c r="AI47" s="106"/>
      <c r="AJ47" s="32">
        <v>1</v>
      </c>
      <c r="AK47" s="106"/>
      <c r="AL47" s="106"/>
      <c r="AM47" s="32">
        <f t="shared" si="4"/>
        <v>0</v>
      </c>
      <c r="AN47" s="106"/>
      <c r="AO47" s="106"/>
      <c r="AP47" s="32">
        <v>1</v>
      </c>
      <c r="AQ47" s="106"/>
      <c r="AS47" s="106" t="s">
        <v>2024</v>
      </c>
      <c r="AT47" s="106"/>
      <c r="AU47" s="94" t="s">
        <v>1392</v>
      </c>
    </row>
    <row r="48" spans="1:47">
      <c r="A48" s="105" t="s">
        <v>2025</v>
      </c>
      <c r="B48" s="105" t="s">
        <v>160</v>
      </c>
      <c r="C48" s="105" t="s">
        <v>73</v>
      </c>
      <c r="D48" s="105" t="s">
        <v>2026</v>
      </c>
      <c r="E48" s="105" t="s">
        <v>162</v>
      </c>
      <c r="F48" s="105" t="s">
        <v>2027</v>
      </c>
      <c r="G48" s="105" t="s">
        <v>2028</v>
      </c>
      <c r="H48" s="105" t="s">
        <v>1685</v>
      </c>
      <c r="I48" s="105">
        <v>202605.5</v>
      </c>
      <c r="J48" s="107">
        <v>5.27</v>
      </c>
      <c r="K48" s="105" t="s">
        <v>73</v>
      </c>
      <c r="L48" s="105" t="s">
        <v>1816</v>
      </c>
      <c r="M48" s="105" t="s">
        <v>2029</v>
      </c>
      <c r="N48" s="116" t="s">
        <v>2030</v>
      </c>
      <c r="O48" s="105"/>
      <c r="P48" s="177" t="s">
        <v>138</v>
      </c>
      <c r="Q48" s="177" t="s">
        <v>100</v>
      </c>
      <c r="R48" s="177" t="s">
        <v>262</v>
      </c>
      <c r="S48" s="177" t="s">
        <v>439</v>
      </c>
      <c r="T48" s="177" t="s">
        <v>103</v>
      </c>
      <c r="U48" s="177" t="s">
        <v>264</v>
      </c>
      <c r="V48" s="177" t="s">
        <v>264</v>
      </c>
      <c r="W48" s="191" t="s">
        <v>9</v>
      </c>
      <c r="X48" s="30" t="s">
        <v>173</v>
      </c>
      <c r="Y48" s="26" t="s">
        <v>173</v>
      </c>
      <c r="Z48" s="26" t="s">
        <v>174</v>
      </c>
      <c r="AA48" s="26" t="s">
        <v>175</v>
      </c>
      <c r="AB48" s="32">
        <f t="shared" si="2"/>
        <v>1</v>
      </c>
      <c r="AC48" s="25">
        <v>1</v>
      </c>
      <c r="AD48" s="104">
        <v>1</v>
      </c>
      <c r="AE48" s="32">
        <v>1</v>
      </c>
      <c r="AF48" s="106"/>
      <c r="AG48" s="106"/>
      <c r="AH48" s="32">
        <f t="shared" si="3"/>
        <v>1</v>
      </c>
      <c r="AI48" s="106"/>
      <c r="AJ48" s="32">
        <v>1</v>
      </c>
      <c r="AK48" s="106"/>
      <c r="AL48" s="106"/>
      <c r="AM48" s="32">
        <f t="shared" si="4"/>
        <v>0</v>
      </c>
      <c r="AN48" s="106"/>
      <c r="AO48" s="106"/>
      <c r="AP48" s="32">
        <v>1</v>
      </c>
      <c r="AQ48" s="106"/>
      <c r="AS48" s="106" t="s">
        <v>2031</v>
      </c>
      <c r="AT48" s="106"/>
      <c r="AU48" s="94" t="s">
        <v>1396</v>
      </c>
    </row>
    <row r="49" spans="1:47">
      <c r="A49" s="105" t="s">
        <v>2032</v>
      </c>
      <c r="B49" s="105" t="s">
        <v>160</v>
      </c>
      <c r="C49" s="105" t="s">
        <v>73</v>
      </c>
      <c r="D49" s="105" t="s">
        <v>2033</v>
      </c>
      <c r="E49" s="105" t="s">
        <v>162</v>
      </c>
      <c r="F49" s="105" t="s">
        <v>2034</v>
      </c>
      <c r="G49" s="105" t="s">
        <v>2035</v>
      </c>
      <c r="H49" s="105" t="s">
        <v>1685</v>
      </c>
      <c r="I49" s="105">
        <v>202605.5</v>
      </c>
      <c r="J49" s="107">
        <v>5.27</v>
      </c>
      <c r="K49" s="105" t="s">
        <v>73</v>
      </c>
      <c r="L49" s="105" t="s">
        <v>1809</v>
      </c>
      <c r="M49" s="105" t="s">
        <v>2036</v>
      </c>
      <c r="N49" s="116" t="s">
        <v>2037</v>
      </c>
      <c r="O49" s="105"/>
      <c r="P49" s="177" t="s">
        <v>138</v>
      </c>
      <c r="Q49" s="177" t="s">
        <v>100</v>
      </c>
      <c r="R49" s="177" t="s">
        <v>262</v>
      </c>
      <c r="S49" s="177" t="s">
        <v>439</v>
      </c>
      <c r="T49" s="177" t="s">
        <v>103</v>
      </c>
      <c r="U49" s="177" t="s">
        <v>264</v>
      </c>
      <c r="V49" s="177" t="s">
        <v>264</v>
      </c>
      <c r="W49" s="191" t="s">
        <v>9</v>
      </c>
      <c r="X49" s="30" t="s">
        <v>173</v>
      </c>
      <c r="Y49" s="26" t="s">
        <v>173</v>
      </c>
      <c r="Z49" s="26" t="s">
        <v>174</v>
      </c>
      <c r="AA49" s="26" t="s">
        <v>175</v>
      </c>
      <c r="AB49" s="32">
        <f t="shared" si="2"/>
        <v>1</v>
      </c>
      <c r="AC49" s="25">
        <v>1</v>
      </c>
      <c r="AD49" s="104">
        <v>1</v>
      </c>
      <c r="AE49" s="32">
        <v>1</v>
      </c>
      <c r="AF49" s="106"/>
      <c r="AG49" s="106"/>
      <c r="AH49" s="32">
        <f t="shared" si="3"/>
        <v>1</v>
      </c>
      <c r="AI49" s="106"/>
      <c r="AJ49" s="32">
        <v>1</v>
      </c>
      <c r="AK49" s="106"/>
      <c r="AL49" s="106"/>
      <c r="AM49" s="32">
        <f t="shared" si="4"/>
        <v>0</v>
      </c>
      <c r="AN49" s="106"/>
      <c r="AO49" s="106"/>
      <c r="AP49" s="32">
        <v>1</v>
      </c>
      <c r="AQ49" s="106"/>
      <c r="AS49" s="106" t="s">
        <v>2038</v>
      </c>
      <c r="AT49" s="106"/>
      <c r="AU49" s="94" t="s">
        <v>1385</v>
      </c>
    </row>
    <row r="50" spans="1:47">
      <c r="A50" s="105" t="s">
        <v>2039</v>
      </c>
      <c r="B50" s="105" t="s">
        <v>160</v>
      </c>
      <c r="C50" s="105" t="s">
        <v>73</v>
      </c>
      <c r="D50" s="105" t="s">
        <v>2040</v>
      </c>
      <c r="E50" s="105" t="s">
        <v>162</v>
      </c>
      <c r="F50" s="105" t="s">
        <v>2041</v>
      </c>
      <c r="G50" s="105" t="s">
        <v>2042</v>
      </c>
      <c r="H50" s="105" t="s">
        <v>1685</v>
      </c>
      <c r="I50" s="105">
        <v>202605.5</v>
      </c>
      <c r="J50" s="107">
        <v>5.27</v>
      </c>
      <c r="K50" s="105" t="s">
        <v>73</v>
      </c>
      <c r="L50" s="105" t="s">
        <v>1802</v>
      </c>
      <c r="M50" s="105" t="s">
        <v>2043</v>
      </c>
      <c r="N50" s="116" t="s">
        <v>2044</v>
      </c>
      <c r="O50" s="105"/>
      <c r="P50" s="177" t="s">
        <v>138</v>
      </c>
      <c r="Q50" s="177" t="s">
        <v>100</v>
      </c>
      <c r="R50" s="177" t="s">
        <v>262</v>
      </c>
      <c r="S50" s="177" t="s">
        <v>439</v>
      </c>
      <c r="T50" s="177" t="s">
        <v>103</v>
      </c>
      <c r="U50" s="177" t="s">
        <v>264</v>
      </c>
      <c r="V50" s="177" t="s">
        <v>264</v>
      </c>
      <c r="W50" s="191" t="s">
        <v>9</v>
      </c>
      <c r="X50" s="30" t="s">
        <v>173</v>
      </c>
      <c r="Y50" s="26" t="s">
        <v>173</v>
      </c>
      <c r="Z50" s="26" t="s">
        <v>174</v>
      </c>
      <c r="AA50" s="26" t="s">
        <v>175</v>
      </c>
      <c r="AB50" s="32">
        <f t="shared" si="2"/>
        <v>1</v>
      </c>
      <c r="AC50" s="25">
        <v>1</v>
      </c>
      <c r="AD50" s="104">
        <v>1</v>
      </c>
      <c r="AE50" s="32">
        <v>1</v>
      </c>
      <c r="AF50" s="106"/>
      <c r="AG50" s="106"/>
      <c r="AH50" s="32">
        <f t="shared" si="3"/>
        <v>1</v>
      </c>
      <c r="AI50" s="106"/>
      <c r="AJ50" s="32">
        <v>1</v>
      </c>
      <c r="AK50" s="106"/>
      <c r="AL50" s="106"/>
      <c r="AM50" s="32">
        <f t="shared" si="4"/>
        <v>0</v>
      </c>
      <c r="AN50" s="106"/>
      <c r="AO50" s="106"/>
      <c r="AP50" s="32">
        <v>1</v>
      </c>
      <c r="AQ50" s="106"/>
      <c r="AS50" s="106" t="s">
        <v>2045</v>
      </c>
      <c r="AT50" s="106"/>
      <c r="AU50" s="94" t="s">
        <v>1389</v>
      </c>
    </row>
    <row r="51" spans="1:47">
      <c r="A51" s="105" t="s">
        <v>2046</v>
      </c>
      <c r="B51" s="105" t="s">
        <v>160</v>
      </c>
      <c r="C51" s="105" t="s">
        <v>73</v>
      </c>
      <c r="D51" s="105" t="s">
        <v>2047</v>
      </c>
      <c r="E51" s="105" t="s">
        <v>162</v>
      </c>
      <c r="F51" s="105" t="s">
        <v>2048</v>
      </c>
      <c r="G51" s="105" t="s">
        <v>2049</v>
      </c>
      <c r="H51" s="105" t="s">
        <v>2050</v>
      </c>
      <c r="I51" s="105">
        <v>202605.5</v>
      </c>
      <c r="J51" s="107">
        <v>5.27</v>
      </c>
      <c r="K51" s="105" t="s">
        <v>73</v>
      </c>
      <c r="L51" s="105" t="s">
        <v>1883</v>
      </c>
      <c r="M51" s="105" t="s">
        <v>2051</v>
      </c>
      <c r="N51" s="116" t="s">
        <v>2052</v>
      </c>
      <c r="O51" s="105"/>
      <c r="P51" s="177" t="s">
        <v>138</v>
      </c>
      <c r="Q51" s="177" t="s">
        <v>100</v>
      </c>
      <c r="R51" s="177" t="s">
        <v>262</v>
      </c>
      <c r="S51" s="177" t="s">
        <v>439</v>
      </c>
      <c r="T51" s="177" t="s">
        <v>103</v>
      </c>
      <c r="U51" s="177" t="s">
        <v>264</v>
      </c>
      <c r="V51" s="177" t="s">
        <v>264</v>
      </c>
      <c r="W51" s="191" t="s">
        <v>9</v>
      </c>
      <c r="X51" s="30" t="s">
        <v>173</v>
      </c>
      <c r="Y51" s="26" t="s">
        <v>173</v>
      </c>
      <c r="Z51" s="26" t="s">
        <v>174</v>
      </c>
      <c r="AA51" s="26" t="s">
        <v>175</v>
      </c>
      <c r="AB51" s="32">
        <f t="shared" si="2"/>
        <v>1</v>
      </c>
      <c r="AC51" s="25">
        <v>1</v>
      </c>
      <c r="AD51" s="104">
        <v>1</v>
      </c>
      <c r="AE51" s="32">
        <v>1</v>
      </c>
      <c r="AF51" s="106"/>
      <c r="AG51" s="106"/>
      <c r="AH51" s="32">
        <f t="shared" si="3"/>
        <v>1</v>
      </c>
      <c r="AI51" s="106"/>
      <c r="AJ51" s="32">
        <v>1</v>
      </c>
      <c r="AK51" s="106"/>
      <c r="AL51" s="106"/>
      <c r="AM51" s="32">
        <f t="shared" si="4"/>
        <v>0</v>
      </c>
      <c r="AN51" s="106"/>
      <c r="AO51" s="106"/>
      <c r="AP51" s="32">
        <v>1</v>
      </c>
      <c r="AQ51" s="106"/>
      <c r="AS51" s="106" t="s">
        <v>2053</v>
      </c>
      <c r="AT51" s="106"/>
      <c r="AU51" s="94" t="s">
        <v>1378</v>
      </c>
    </row>
    <row r="52" spans="1:47">
      <c r="A52" s="105" t="s">
        <v>2054</v>
      </c>
      <c r="B52" s="105" t="s">
        <v>160</v>
      </c>
      <c r="C52" s="105" t="s">
        <v>73</v>
      </c>
      <c r="D52" s="105" t="s">
        <v>2055</v>
      </c>
      <c r="E52" s="105" t="s">
        <v>162</v>
      </c>
      <c r="F52" s="105" t="s">
        <v>2056</v>
      </c>
      <c r="G52" s="105" t="s">
        <v>2057</v>
      </c>
      <c r="H52" s="105" t="s">
        <v>2050</v>
      </c>
      <c r="I52" s="105">
        <v>202605.5</v>
      </c>
      <c r="J52" s="107">
        <v>5.27</v>
      </c>
      <c r="K52" s="105" t="s">
        <v>73</v>
      </c>
      <c r="L52" s="105" t="s">
        <v>1898</v>
      </c>
      <c r="M52" s="105" t="s">
        <v>2058</v>
      </c>
      <c r="N52" s="116" t="s">
        <v>2059</v>
      </c>
      <c r="O52" s="105"/>
      <c r="P52" s="177" t="s">
        <v>138</v>
      </c>
      <c r="Q52" s="177" t="s">
        <v>100</v>
      </c>
      <c r="R52" s="177" t="s">
        <v>262</v>
      </c>
      <c r="S52" s="177" t="s">
        <v>439</v>
      </c>
      <c r="T52" s="177" t="s">
        <v>103</v>
      </c>
      <c r="U52" s="177" t="s">
        <v>264</v>
      </c>
      <c r="V52" s="177" t="s">
        <v>264</v>
      </c>
      <c r="W52" s="191" t="s">
        <v>9</v>
      </c>
      <c r="X52" s="30" t="s">
        <v>173</v>
      </c>
      <c r="Y52" s="26" t="s">
        <v>173</v>
      </c>
      <c r="Z52" s="26" t="s">
        <v>174</v>
      </c>
      <c r="AA52" s="26" t="s">
        <v>175</v>
      </c>
      <c r="AB52" s="32">
        <f t="shared" si="2"/>
        <v>1</v>
      </c>
      <c r="AC52" s="25">
        <v>1</v>
      </c>
      <c r="AD52" s="104">
        <v>1</v>
      </c>
      <c r="AE52" s="32">
        <v>1</v>
      </c>
      <c r="AF52" s="106"/>
      <c r="AG52" s="106"/>
      <c r="AH52" s="32">
        <f t="shared" si="3"/>
        <v>1</v>
      </c>
      <c r="AI52" s="106"/>
      <c r="AJ52" s="32">
        <v>1</v>
      </c>
      <c r="AK52" s="106"/>
      <c r="AL52" s="106"/>
      <c r="AM52" s="32">
        <f t="shared" si="4"/>
        <v>0</v>
      </c>
      <c r="AN52" s="106"/>
      <c r="AO52" s="106"/>
      <c r="AP52" s="32">
        <v>1</v>
      </c>
      <c r="AQ52" s="106"/>
      <c r="AS52" s="106" t="s">
        <v>2060</v>
      </c>
      <c r="AT52" s="106"/>
      <c r="AU52" s="94" t="s">
        <v>1382</v>
      </c>
    </row>
    <row r="53" spans="1:47">
      <c r="A53" s="105" t="s">
        <v>2061</v>
      </c>
      <c r="B53" s="105" t="s">
        <v>160</v>
      </c>
      <c r="C53" s="105" t="s">
        <v>73</v>
      </c>
      <c r="D53" s="105" t="s">
        <v>2062</v>
      </c>
      <c r="E53" s="105" t="s">
        <v>162</v>
      </c>
      <c r="F53" s="105" t="s">
        <v>2063</v>
      </c>
      <c r="G53" s="105" t="s">
        <v>2064</v>
      </c>
      <c r="H53" s="105" t="s">
        <v>2050</v>
      </c>
      <c r="I53" s="105">
        <v>202605.5</v>
      </c>
      <c r="J53" s="107">
        <v>5.27</v>
      </c>
      <c r="K53" s="105" t="s">
        <v>73</v>
      </c>
      <c r="L53" s="105" t="s">
        <v>1983</v>
      </c>
      <c r="M53" s="105" t="s">
        <v>2065</v>
      </c>
      <c r="N53" s="116" t="s">
        <v>2066</v>
      </c>
      <c r="O53" s="105"/>
      <c r="P53" s="177" t="s">
        <v>138</v>
      </c>
      <c r="Q53" s="177" t="s">
        <v>100</v>
      </c>
      <c r="R53" s="177" t="s">
        <v>262</v>
      </c>
      <c r="S53" s="177" t="s">
        <v>439</v>
      </c>
      <c r="T53" s="177" t="s">
        <v>103</v>
      </c>
      <c r="U53" s="177" t="s">
        <v>264</v>
      </c>
      <c r="V53" s="177" t="s">
        <v>264</v>
      </c>
      <c r="W53" s="191" t="s">
        <v>9</v>
      </c>
      <c r="X53" s="30" t="s">
        <v>173</v>
      </c>
      <c r="Y53" s="26" t="s">
        <v>173</v>
      </c>
      <c r="Z53" s="26" t="s">
        <v>174</v>
      </c>
      <c r="AA53" s="26" t="s">
        <v>175</v>
      </c>
      <c r="AB53" s="32">
        <f t="shared" si="2"/>
        <v>1</v>
      </c>
      <c r="AC53" s="25">
        <v>1</v>
      </c>
      <c r="AD53" s="104">
        <v>1</v>
      </c>
      <c r="AE53" s="32">
        <v>1</v>
      </c>
      <c r="AF53" s="106"/>
      <c r="AG53" s="106"/>
      <c r="AH53" s="32">
        <f t="shared" si="3"/>
        <v>1</v>
      </c>
      <c r="AI53" s="106"/>
      <c r="AJ53" s="32">
        <v>1</v>
      </c>
      <c r="AK53" s="106"/>
      <c r="AL53" s="106"/>
      <c r="AM53" s="32">
        <f t="shared" si="4"/>
        <v>0</v>
      </c>
      <c r="AN53" s="106"/>
      <c r="AO53" s="106"/>
      <c r="AP53" s="32">
        <v>1</v>
      </c>
      <c r="AQ53" s="106"/>
      <c r="AS53" s="106" t="s">
        <v>2067</v>
      </c>
      <c r="AT53" s="106"/>
      <c r="AU53" s="94" t="s">
        <v>1371</v>
      </c>
    </row>
    <row r="54" spans="1:47">
      <c r="A54" s="105" t="s">
        <v>2068</v>
      </c>
      <c r="B54" s="105" t="s">
        <v>160</v>
      </c>
      <c r="C54" s="105" t="s">
        <v>73</v>
      </c>
      <c r="D54" s="105" t="s">
        <v>2069</v>
      </c>
      <c r="E54" s="105" t="s">
        <v>162</v>
      </c>
      <c r="F54" s="105" t="s">
        <v>2070</v>
      </c>
      <c r="G54" s="105" t="s">
        <v>2071</v>
      </c>
      <c r="H54" s="105" t="s">
        <v>2050</v>
      </c>
      <c r="I54" s="105">
        <v>202605.5</v>
      </c>
      <c r="J54" s="107">
        <v>5.27</v>
      </c>
      <c r="K54" s="105" t="s">
        <v>73</v>
      </c>
      <c r="L54" s="105" t="s">
        <v>1891</v>
      </c>
      <c r="M54" s="105" t="s">
        <v>2072</v>
      </c>
      <c r="N54" s="116" t="s">
        <v>2073</v>
      </c>
      <c r="O54" s="105"/>
      <c r="P54" s="177" t="s">
        <v>138</v>
      </c>
      <c r="Q54" s="177" t="s">
        <v>100</v>
      </c>
      <c r="R54" s="177" t="s">
        <v>262</v>
      </c>
      <c r="S54" s="177" t="s">
        <v>439</v>
      </c>
      <c r="T54" s="177" t="s">
        <v>103</v>
      </c>
      <c r="U54" s="177" t="s">
        <v>264</v>
      </c>
      <c r="V54" s="177" t="s">
        <v>264</v>
      </c>
      <c r="W54" s="191" t="s">
        <v>9</v>
      </c>
      <c r="X54" s="30" t="s">
        <v>173</v>
      </c>
      <c r="Y54" s="26" t="s">
        <v>173</v>
      </c>
      <c r="Z54" s="26" t="s">
        <v>174</v>
      </c>
      <c r="AA54" s="26" t="s">
        <v>175</v>
      </c>
      <c r="AB54" s="32">
        <f t="shared" si="2"/>
        <v>1</v>
      </c>
      <c r="AC54" s="25">
        <v>1</v>
      </c>
      <c r="AD54" s="104">
        <v>1</v>
      </c>
      <c r="AE54" s="32">
        <v>1</v>
      </c>
      <c r="AF54" s="106"/>
      <c r="AG54" s="106"/>
      <c r="AH54" s="32">
        <f t="shared" si="3"/>
        <v>1</v>
      </c>
      <c r="AI54" s="106"/>
      <c r="AJ54" s="32">
        <v>1</v>
      </c>
      <c r="AK54" s="106"/>
      <c r="AL54" s="106"/>
      <c r="AM54" s="32">
        <f t="shared" si="4"/>
        <v>0</v>
      </c>
      <c r="AN54" s="106"/>
      <c r="AO54" s="106"/>
      <c r="AP54" s="32">
        <v>1</v>
      </c>
      <c r="AQ54" s="106"/>
      <c r="AS54" s="106" t="s">
        <v>2074</v>
      </c>
      <c r="AT54" s="106"/>
      <c r="AU54" s="94" t="s">
        <v>1375</v>
      </c>
    </row>
    <row r="55" spans="1:47">
      <c r="A55" s="105" t="s">
        <v>2075</v>
      </c>
      <c r="B55" s="105" t="s">
        <v>160</v>
      </c>
      <c r="C55" s="105" t="s">
        <v>73</v>
      </c>
      <c r="D55" s="105" t="s">
        <v>2076</v>
      </c>
      <c r="E55" s="105" t="s">
        <v>162</v>
      </c>
      <c r="F55" s="105" t="s">
        <v>2077</v>
      </c>
      <c r="G55" s="105" t="s">
        <v>2078</v>
      </c>
      <c r="H55" s="105" t="s">
        <v>2050</v>
      </c>
      <c r="I55" s="105">
        <v>202605.5</v>
      </c>
      <c r="J55" s="107">
        <v>5.27</v>
      </c>
      <c r="K55" s="105" t="s">
        <v>73</v>
      </c>
      <c r="L55" s="105" t="s">
        <v>2010</v>
      </c>
      <c r="M55" s="105" t="s">
        <v>2079</v>
      </c>
      <c r="N55" s="116" t="s">
        <v>2080</v>
      </c>
      <c r="O55" s="105"/>
      <c r="P55" s="177" t="s">
        <v>138</v>
      </c>
      <c r="Q55" s="177" t="s">
        <v>100</v>
      </c>
      <c r="R55" s="177" t="s">
        <v>262</v>
      </c>
      <c r="S55" s="177" t="s">
        <v>584</v>
      </c>
      <c r="T55" s="177" t="s">
        <v>103</v>
      </c>
      <c r="U55" s="177" t="s">
        <v>264</v>
      </c>
      <c r="V55" s="177" t="s">
        <v>264</v>
      </c>
      <c r="W55" s="191" t="s">
        <v>11</v>
      </c>
      <c r="X55" s="30" t="s">
        <v>173</v>
      </c>
      <c r="Y55" s="26" t="s">
        <v>173</v>
      </c>
      <c r="Z55" s="26" t="s">
        <v>174</v>
      </c>
      <c r="AA55" s="26" t="s">
        <v>175</v>
      </c>
      <c r="AB55" s="32">
        <f t="shared" si="2"/>
        <v>1</v>
      </c>
      <c r="AC55" s="25">
        <v>1</v>
      </c>
      <c r="AD55" s="104">
        <v>1</v>
      </c>
      <c r="AE55" s="32">
        <v>1</v>
      </c>
      <c r="AF55" s="106"/>
      <c r="AG55" s="106"/>
      <c r="AH55" s="32">
        <f t="shared" si="3"/>
        <v>1</v>
      </c>
      <c r="AI55" s="106"/>
      <c r="AJ55" s="32">
        <v>1</v>
      </c>
      <c r="AK55" s="106"/>
      <c r="AL55" s="106"/>
      <c r="AM55" s="32">
        <f t="shared" si="4"/>
        <v>0</v>
      </c>
      <c r="AN55" s="106"/>
      <c r="AO55" s="106"/>
      <c r="AP55" s="32">
        <v>1</v>
      </c>
      <c r="AQ55" s="106"/>
      <c r="AS55" s="106" t="s">
        <v>2081</v>
      </c>
      <c r="AT55" s="106"/>
      <c r="AU55" s="94" t="s">
        <v>1364</v>
      </c>
    </row>
    <row r="56" spans="1:47">
      <c r="A56" s="105" t="s">
        <v>2082</v>
      </c>
      <c r="B56" s="105" t="s">
        <v>160</v>
      </c>
      <c r="C56" s="105" t="s">
        <v>73</v>
      </c>
      <c r="D56" s="105" t="s">
        <v>2083</v>
      </c>
      <c r="E56" s="105" t="s">
        <v>162</v>
      </c>
      <c r="F56" s="105" t="s">
        <v>2084</v>
      </c>
      <c r="G56" s="105" t="s">
        <v>2085</v>
      </c>
      <c r="H56" s="105" t="s">
        <v>2050</v>
      </c>
      <c r="I56" s="105">
        <v>202605.5</v>
      </c>
      <c r="J56" s="107">
        <v>5.27</v>
      </c>
      <c r="K56" s="105" t="s">
        <v>73</v>
      </c>
      <c r="L56" s="105" t="s">
        <v>2086</v>
      </c>
      <c r="M56" s="105" t="s">
        <v>2087</v>
      </c>
      <c r="N56" s="116" t="s">
        <v>2088</v>
      </c>
      <c r="O56" s="105"/>
      <c r="P56" s="177" t="s">
        <v>138</v>
      </c>
      <c r="Q56" s="177" t="s">
        <v>100</v>
      </c>
      <c r="R56" s="177" t="s">
        <v>262</v>
      </c>
      <c r="S56" s="177" t="s">
        <v>584</v>
      </c>
      <c r="T56" s="177" t="s">
        <v>103</v>
      </c>
      <c r="U56" s="177" t="s">
        <v>264</v>
      </c>
      <c r="V56" s="177" t="s">
        <v>264</v>
      </c>
      <c r="W56" s="191" t="s">
        <v>11</v>
      </c>
      <c r="X56" s="30" t="s">
        <v>173</v>
      </c>
      <c r="Y56" s="26" t="s">
        <v>173</v>
      </c>
      <c r="Z56" s="26" t="s">
        <v>174</v>
      </c>
      <c r="AA56" s="26" t="s">
        <v>175</v>
      </c>
      <c r="AB56" s="32">
        <f t="shared" si="2"/>
        <v>1</v>
      </c>
      <c r="AC56" s="25">
        <v>1</v>
      </c>
      <c r="AD56" s="104">
        <v>1</v>
      </c>
      <c r="AE56" s="32">
        <v>1</v>
      </c>
      <c r="AF56" s="106"/>
      <c r="AG56" s="106"/>
      <c r="AH56" s="32">
        <f t="shared" si="3"/>
        <v>1</v>
      </c>
      <c r="AI56" s="106"/>
      <c r="AJ56" s="32">
        <v>1</v>
      </c>
      <c r="AK56" s="106"/>
      <c r="AL56" s="106"/>
      <c r="AM56" s="32">
        <f t="shared" si="4"/>
        <v>0</v>
      </c>
      <c r="AN56" s="106"/>
      <c r="AO56" s="106"/>
      <c r="AP56" s="32">
        <v>1</v>
      </c>
      <c r="AQ56" s="106"/>
      <c r="AS56" s="106" t="s">
        <v>2089</v>
      </c>
      <c r="AT56" s="106"/>
      <c r="AU56" s="94" t="s">
        <v>2090</v>
      </c>
    </row>
    <row r="57" spans="1:47">
      <c r="A57" s="105" t="s">
        <v>2091</v>
      </c>
      <c r="B57" s="105" t="s">
        <v>160</v>
      </c>
      <c r="C57" s="105" t="s">
        <v>73</v>
      </c>
      <c r="D57" s="105" t="s">
        <v>2092</v>
      </c>
      <c r="E57" s="105" t="s">
        <v>162</v>
      </c>
      <c r="F57" s="105" t="s">
        <v>2093</v>
      </c>
      <c r="G57" s="105" t="s">
        <v>2094</v>
      </c>
      <c r="H57" s="105" t="s">
        <v>2050</v>
      </c>
      <c r="I57" s="105">
        <v>202605.5</v>
      </c>
      <c r="J57" s="107">
        <v>5.27</v>
      </c>
      <c r="K57" s="105" t="s">
        <v>73</v>
      </c>
      <c r="L57" s="105" t="s">
        <v>2095</v>
      </c>
      <c r="M57" s="105" t="s">
        <v>2096</v>
      </c>
      <c r="N57" s="116" t="s">
        <v>2097</v>
      </c>
      <c r="O57" s="105"/>
      <c r="P57" s="177" t="s">
        <v>138</v>
      </c>
      <c r="Q57" s="177" t="s">
        <v>100</v>
      </c>
      <c r="R57" s="177" t="s">
        <v>262</v>
      </c>
      <c r="S57" s="177" t="s">
        <v>584</v>
      </c>
      <c r="T57" s="177" t="s">
        <v>103</v>
      </c>
      <c r="U57" s="177" t="s">
        <v>264</v>
      </c>
      <c r="V57" s="177" t="s">
        <v>264</v>
      </c>
      <c r="W57" s="191" t="s">
        <v>11</v>
      </c>
      <c r="X57" s="30" t="s">
        <v>173</v>
      </c>
      <c r="Y57" s="26" t="s">
        <v>173</v>
      </c>
      <c r="Z57" s="26" t="s">
        <v>174</v>
      </c>
      <c r="AA57" s="26" t="s">
        <v>175</v>
      </c>
      <c r="AB57" s="32">
        <f t="shared" si="2"/>
        <v>1</v>
      </c>
      <c r="AC57" s="25">
        <v>1</v>
      </c>
      <c r="AD57" s="104">
        <v>1</v>
      </c>
      <c r="AE57" s="32">
        <v>1</v>
      </c>
      <c r="AF57" s="106"/>
      <c r="AG57" s="106"/>
      <c r="AH57" s="32">
        <f t="shared" si="3"/>
        <v>1</v>
      </c>
      <c r="AI57" s="106"/>
      <c r="AJ57" s="32">
        <v>1</v>
      </c>
      <c r="AK57" s="106"/>
      <c r="AL57" s="106"/>
      <c r="AM57" s="32">
        <f t="shared" si="4"/>
        <v>0</v>
      </c>
      <c r="AN57" s="106"/>
      <c r="AO57" s="106"/>
      <c r="AP57" s="32">
        <v>1</v>
      </c>
      <c r="AQ57" s="106"/>
      <c r="AS57" s="106" t="s">
        <v>2098</v>
      </c>
      <c r="AT57" s="106"/>
      <c r="AU57" s="94" t="s">
        <v>1357</v>
      </c>
    </row>
    <row r="58" spans="1:47">
      <c r="A58" s="105" t="s">
        <v>2099</v>
      </c>
      <c r="B58" s="105" t="s">
        <v>160</v>
      </c>
      <c r="C58" s="105" t="s">
        <v>73</v>
      </c>
      <c r="D58" s="105" t="s">
        <v>2100</v>
      </c>
      <c r="E58" s="105" t="s">
        <v>162</v>
      </c>
      <c r="F58" s="105" t="s">
        <v>2101</v>
      </c>
      <c r="G58" s="105" t="s">
        <v>2102</v>
      </c>
      <c r="H58" s="105" t="s">
        <v>2050</v>
      </c>
      <c r="I58" s="105">
        <v>202605.5</v>
      </c>
      <c r="J58" s="107">
        <v>5.27</v>
      </c>
      <c r="K58" s="105" t="s">
        <v>73</v>
      </c>
      <c r="L58" s="105" t="s">
        <v>2038</v>
      </c>
      <c r="M58" s="105" t="s">
        <v>2103</v>
      </c>
      <c r="N58" s="116" t="s">
        <v>2104</v>
      </c>
      <c r="O58" s="105"/>
      <c r="P58" s="177" t="s">
        <v>138</v>
      </c>
      <c r="Q58" s="177" t="s">
        <v>100</v>
      </c>
      <c r="R58" s="177" t="s">
        <v>262</v>
      </c>
      <c r="S58" s="177" t="s">
        <v>584</v>
      </c>
      <c r="T58" s="177" t="s">
        <v>103</v>
      </c>
      <c r="U58" s="177" t="s">
        <v>264</v>
      </c>
      <c r="V58" s="177" t="s">
        <v>264</v>
      </c>
      <c r="W58" s="191" t="s">
        <v>11</v>
      </c>
      <c r="X58" s="30" t="s">
        <v>173</v>
      </c>
      <c r="Y58" s="26" t="s">
        <v>173</v>
      </c>
      <c r="Z58" s="26" t="s">
        <v>174</v>
      </c>
      <c r="AA58" s="26" t="s">
        <v>175</v>
      </c>
      <c r="AB58" s="32">
        <f t="shared" si="2"/>
        <v>1</v>
      </c>
      <c r="AC58" s="25">
        <v>1</v>
      </c>
      <c r="AD58" s="104">
        <v>1</v>
      </c>
      <c r="AE58" s="32">
        <v>1</v>
      </c>
      <c r="AF58" s="106"/>
      <c r="AG58" s="106"/>
      <c r="AH58" s="32">
        <f t="shared" si="3"/>
        <v>1</v>
      </c>
      <c r="AI58" s="106"/>
      <c r="AJ58" s="32">
        <v>1</v>
      </c>
      <c r="AK58" s="106"/>
      <c r="AL58" s="106"/>
      <c r="AM58" s="32">
        <f t="shared" si="4"/>
        <v>0</v>
      </c>
      <c r="AN58" s="106"/>
      <c r="AO58" s="106"/>
      <c r="AP58" s="32">
        <v>1</v>
      </c>
      <c r="AQ58" s="106"/>
      <c r="AS58" s="106" t="s">
        <v>2105</v>
      </c>
      <c r="AT58" s="106"/>
      <c r="AU58" s="94" t="s">
        <v>1361</v>
      </c>
    </row>
    <row r="59" spans="1:47">
      <c r="A59" s="105" t="s">
        <v>2106</v>
      </c>
      <c r="B59" s="105" t="s">
        <v>160</v>
      </c>
      <c r="C59" s="105" t="s">
        <v>73</v>
      </c>
      <c r="D59" s="105" t="s">
        <v>2107</v>
      </c>
      <c r="E59" s="105" t="s">
        <v>162</v>
      </c>
      <c r="F59" s="105" t="s">
        <v>2108</v>
      </c>
      <c r="G59" s="105" t="s">
        <v>2109</v>
      </c>
      <c r="H59" s="105" t="s">
        <v>2050</v>
      </c>
      <c r="I59" s="105">
        <v>202605.5</v>
      </c>
      <c r="J59" s="107">
        <v>5.27</v>
      </c>
      <c r="K59" s="105" t="s">
        <v>73</v>
      </c>
      <c r="L59" s="105" t="s">
        <v>2045</v>
      </c>
      <c r="M59" s="105" t="s">
        <v>2110</v>
      </c>
      <c r="N59" s="116" t="s">
        <v>2111</v>
      </c>
      <c r="O59" s="105"/>
      <c r="P59" s="177" t="s">
        <v>138</v>
      </c>
      <c r="Q59" s="177" t="s">
        <v>100</v>
      </c>
      <c r="R59" s="177" t="s">
        <v>262</v>
      </c>
      <c r="S59" s="177" t="s">
        <v>584</v>
      </c>
      <c r="T59" s="177" t="s">
        <v>103</v>
      </c>
      <c r="U59" s="177" t="s">
        <v>264</v>
      </c>
      <c r="V59" s="177" t="s">
        <v>264</v>
      </c>
      <c r="W59" s="191" t="s">
        <v>11</v>
      </c>
      <c r="X59" s="30" t="s">
        <v>173</v>
      </c>
      <c r="Y59" s="26" t="s">
        <v>173</v>
      </c>
      <c r="Z59" s="26" t="s">
        <v>174</v>
      </c>
      <c r="AA59" s="26" t="s">
        <v>175</v>
      </c>
      <c r="AB59" s="32">
        <f t="shared" si="2"/>
        <v>1</v>
      </c>
      <c r="AC59" s="25">
        <v>1</v>
      </c>
      <c r="AD59" s="104">
        <v>1</v>
      </c>
      <c r="AE59" s="32">
        <v>1</v>
      </c>
      <c r="AF59" s="106"/>
      <c r="AG59" s="106"/>
      <c r="AH59" s="32">
        <f t="shared" si="3"/>
        <v>1</v>
      </c>
      <c r="AI59" s="106"/>
      <c r="AJ59" s="32">
        <v>1</v>
      </c>
      <c r="AK59" s="106"/>
      <c r="AL59" s="106"/>
      <c r="AM59" s="32">
        <f t="shared" si="4"/>
        <v>0</v>
      </c>
      <c r="AN59" s="106"/>
      <c r="AO59" s="106"/>
      <c r="AP59" s="32">
        <v>1</v>
      </c>
      <c r="AQ59" s="106"/>
      <c r="AS59" s="106" t="s">
        <v>2112</v>
      </c>
      <c r="AT59" s="106"/>
      <c r="AU59" s="94" t="s">
        <v>943</v>
      </c>
    </row>
    <row r="60" spans="1:47">
      <c r="A60" s="105" t="s">
        <v>2113</v>
      </c>
      <c r="B60" s="105" t="s">
        <v>160</v>
      </c>
      <c r="C60" s="105" t="s">
        <v>73</v>
      </c>
      <c r="D60" s="105" t="s">
        <v>2114</v>
      </c>
      <c r="E60" s="105" t="s">
        <v>162</v>
      </c>
      <c r="F60" s="105" t="s">
        <v>2115</v>
      </c>
      <c r="G60" s="105" t="s">
        <v>2116</v>
      </c>
      <c r="H60" s="105" t="s">
        <v>2050</v>
      </c>
      <c r="I60" s="105">
        <v>202605.5</v>
      </c>
      <c r="J60" s="107">
        <v>5.27</v>
      </c>
      <c r="K60" s="105" t="s">
        <v>73</v>
      </c>
      <c r="L60" s="105" t="s">
        <v>2060</v>
      </c>
      <c r="M60" s="105" t="s">
        <v>2117</v>
      </c>
      <c r="N60" s="116" t="s">
        <v>2118</v>
      </c>
      <c r="O60" s="105"/>
      <c r="P60" s="177" t="s">
        <v>138</v>
      </c>
      <c r="Q60" s="177" t="s">
        <v>100</v>
      </c>
      <c r="R60" s="177" t="s">
        <v>262</v>
      </c>
      <c r="S60" s="177" t="s">
        <v>584</v>
      </c>
      <c r="T60" s="177" t="s">
        <v>103</v>
      </c>
      <c r="U60" s="177" t="s">
        <v>264</v>
      </c>
      <c r="V60" s="177" t="s">
        <v>264</v>
      </c>
      <c r="W60" s="191" t="s">
        <v>11</v>
      </c>
      <c r="X60" s="30" t="s">
        <v>173</v>
      </c>
      <c r="Y60" s="26" t="s">
        <v>173</v>
      </c>
      <c r="Z60" s="26" t="s">
        <v>174</v>
      </c>
      <c r="AA60" s="26" t="s">
        <v>175</v>
      </c>
      <c r="AB60" s="32">
        <f t="shared" si="2"/>
        <v>1</v>
      </c>
      <c r="AC60" s="25">
        <v>1</v>
      </c>
      <c r="AD60" s="104">
        <v>1</v>
      </c>
      <c r="AE60" s="32">
        <v>1</v>
      </c>
      <c r="AF60" s="106"/>
      <c r="AG60" s="106"/>
      <c r="AH60" s="32">
        <f t="shared" si="3"/>
        <v>1</v>
      </c>
      <c r="AI60" s="106"/>
      <c r="AJ60" s="32">
        <v>1</v>
      </c>
      <c r="AK60" s="106"/>
      <c r="AL60" s="106"/>
      <c r="AM60" s="32">
        <f t="shared" si="4"/>
        <v>0</v>
      </c>
      <c r="AN60" s="106"/>
      <c r="AO60" s="106"/>
      <c r="AP60" s="32">
        <v>1</v>
      </c>
      <c r="AQ60" s="106"/>
      <c r="AS60" s="106" t="s">
        <v>2119</v>
      </c>
      <c r="AT60" s="106"/>
      <c r="AU60" s="94" t="s">
        <v>947</v>
      </c>
    </row>
    <row r="61" spans="1:47">
      <c r="A61" s="105" t="s">
        <v>2120</v>
      </c>
      <c r="B61" s="105" t="s">
        <v>160</v>
      </c>
      <c r="C61" s="105" t="s">
        <v>73</v>
      </c>
      <c r="D61" s="105" t="s">
        <v>2121</v>
      </c>
      <c r="E61" s="105" t="s">
        <v>162</v>
      </c>
      <c r="F61" s="105" t="s">
        <v>2122</v>
      </c>
      <c r="G61" s="105" t="s">
        <v>2123</v>
      </c>
      <c r="H61" s="105" t="s">
        <v>2050</v>
      </c>
      <c r="I61" s="105">
        <v>202605.5</v>
      </c>
      <c r="J61" s="107">
        <v>5.27</v>
      </c>
      <c r="K61" s="105" t="s">
        <v>73</v>
      </c>
      <c r="L61" s="105" t="s">
        <v>2124</v>
      </c>
      <c r="M61" s="105" t="s">
        <v>2125</v>
      </c>
      <c r="N61" s="116" t="s">
        <v>2126</v>
      </c>
      <c r="O61" s="105"/>
      <c r="P61" s="177" t="s">
        <v>138</v>
      </c>
      <c r="Q61" s="177" t="s">
        <v>100</v>
      </c>
      <c r="R61" s="177" t="s">
        <v>262</v>
      </c>
      <c r="S61" s="177" t="s">
        <v>584</v>
      </c>
      <c r="T61" s="177" t="s">
        <v>103</v>
      </c>
      <c r="U61" s="177" t="s">
        <v>264</v>
      </c>
      <c r="V61" s="177" t="s">
        <v>264</v>
      </c>
      <c r="W61" s="191" t="s">
        <v>11</v>
      </c>
      <c r="X61" s="30" t="s">
        <v>173</v>
      </c>
      <c r="Y61" s="26" t="s">
        <v>173</v>
      </c>
      <c r="Z61" s="26" t="s">
        <v>174</v>
      </c>
      <c r="AA61" s="26" t="s">
        <v>175</v>
      </c>
      <c r="AB61" s="32">
        <f t="shared" si="2"/>
        <v>1</v>
      </c>
      <c r="AC61" s="25">
        <v>1</v>
      </c>
      <c r="AD61" s="104">
        <v>1</v>
      </c>
      <c r="AE61" s="32">
        <v>1</v>
      </c>
      <c r="AF61" s="106"/>
      <c r="AG61" s="106"/>
      <c r="AH61" s="32">
        <f t="shared" si="3"/>
        <v>1</v>
      </c>
      <c r="AI61" s="106"/>
      <c r="AJ61" s="32">
        <v>1</v>
      </c>
      <c r="AK61" s="106"/>
      <c r="AL61" s="106"/>
      <c r="AM61" s="32">
        <f t="shared" si="4"/>
        <v>0</v>
      </c>
      <c r="AN61" s="106"/>
      <c r="AO61" s="106"/>
      <c r="AP61" s="32">
        <v>1</v>
      </c>
      <c r="AQ61" s="106"/>
      <c r="AS61" s="106" t="s">
        <v>2127</v>
      </c>
      <c r="AT61" s="106"/>
      <c r="AU61" s="94" t="s">
        <v>873</v>
      </c>
    </row>
    <row r="62" spans="1:47">
      <c r="A62" s="105" t="s">
        <v>2128</v>
      </c>
      <c r="B62" s="105" t="s">
        <v>160</v>
      </c>
      <c r="C62" s="105" t="s">
        <v>73</v>
      </c>
      <c r="D62" s="105" t="s">
        <v>2129</v>
      </c>
      <c r="E62" s="105" t="s">
        <v>162</v>
      </c>
      <c r="F62" s="105" t="s">
        <v>2130</v>
      </c>
      <c r="G62" s="105" t="s">
        <v>2131</v>
      </c>
      <c r="H62" s="105" t="s">
        <v>2050</v>
      </c>
      <c r="I62" s="105">
        <v>202605.5</v>
      </c>
      <c r="J62" s="107">
        <v>5.27</v>
      </c>
      <c r="K62" s="105" t="s">
        <v>73</v>
      </c>
      <c r="L62" s="105" t="s">
        <v>2132</v>
      </c>
      <c r="M62" s="105" t="s">
        <v>2133</v>
      </c>
      <c r="N62" s="116" t="s">
        <v>2134</v>
      </c>
      <c r="O62" s="105"/>
      <c r="P62" s="177" t="s">
        <v>138</v>
      </c>
      <c r="Q62" s="177" t="s">
        <v>100</v>
      </c>
      <c r="R62" s="177" t="s">
        <v>262</v>
      </c>
      <c r="S62" s="177" t="s">
        <v>584</v>
      </c>
      <c r="T62" s="177" t="s">
        <v>103</v>
      </c>
      <c r="U62" s="177" t="s">
        <v>264</v>
      </c>
      <c r="V62" s="177" t="s">
        <v>264</v>
      </c>
      <c r="W62" s="191" t="s">
        <v>11</v>
      </c>
      <c r="X62" s="30" t="s">
        <v>173</v>
      </c>
      <c r="Y62" s="26" t="s">
        <v>173</v>
      </c>
      <c r="Z62" s="26" t="s">
        <v>174</v>
      </c>
      <c r="AA62" s="26" t="s">
        <v>175</v>
      </c>
      <c r="AB62" s="32">
        <f t="shared" si="2"/>
        <v>1</v>
      </c>
      <c r="AC62" s="25">
        <v>1</v>
      </c>
      <c r="AD62" s="104">
        <v>1</v>
      </c>
      <c r="AE62" s="32">
        <v>1</v>
      </c>
      <c r="AF62" s="106"/>
      <c r="AG62" s="106"/>
      <c r="AH62" s="32">
        <f t="shared" si="3"/>
        <v>1</v>
      </c>
      <c r="AI62" s="106"/>
      <c r="AJ62" s="32">
        <v>1</v>
      </c>
      <c r="AK62" s="106"/>
      <c r="AL62" s="106"/>
      <c r="AM62" s="32">
        <f t="shared" si="4"/>
        <v>0</v>
      </c>
      <c r="AN62" s="106"/>
      <c r="AO62" s="106"/>
      <c r="AP62" s="32">
        <v>1</v>
      </c>
      <c r="AQ62" s="106"/>
      <c r="AS62" s="106" t="s">
        <v>2135</v>
      </c>
      <c r="AT62" s="106"/>
      <c r="AU62" s="94" t="s">
        <v>877</v>
      </c>
    </row>
    <row r="63" spans="1:47">
      <c r="A63" s="105" t="s">
        <v>2136</v>
      </c>
      <c r="B63" s="105" t="s">
        <v>160</v>
      </c>
      <c r="C63" s="105" t="s">
        <v>73</v>
      </c>
      <c r="D63" s="105" t="s">
        <v>2137</v>
      </c>
      <c r="E63" s="105" t="s">
        <v>162</v>
      </c>
      <c r="F63" s="105" t="s">
        <v>2138</v>
      </c>
      <c r="G63" s="105" t="s">
        <v>2139</v>
      </c>
      <c r="H63" s="105" t="s">
        <v>2050</v>
      </c>
      <c r="I63" s="105">
        <v>202605.5</v>
      </c>
      <c r="J63" s="107">
        <v>5.27</v>
      </c>
      <c r="K63" s="105" t="s">
        <v>73</v>
      </c>
      <c r="L63" s="105" t="s">
        <v>2140</v>
      </c>
      <c r="M63" s="105" t="s">
        <v>2141</v>
      </c>
      <c r="N63" s="116" t="s">
        <v>2142</v>
      </c>
      <c r="O63" s="105"/>
      <c r="P63" s="177" t="s">
        <v>138</v>
      </c>
      <c r="Q63" s="177" t="s">
        <v>100</v>
      </c>
      <c r="R63" s="177" t="s">
        <v>262</v>
      </c>
      <c r="S63" s="177" t="s">
        <v>584</v>
      </c>
      <c r="T63" s="177" t="s">
        <v>103</v>
      </c>
      <c r="U63" s="177" t="s">
        <v>264</v>
      </c>
      <c r="V63" s="177" t="s">
        <v>264</v>
      </c>
      <c r="W63" s="191" t="s">
        <v>11</v>
      </c>
      <c r="X63" s="30" t="s">
        <v>173</v>
      </c>
      <c r="Y63" s="26" t="s">
        <v>173</v>
      </c>
      <c r="Z63" s="26" t="s">
        <v>174</v>
      </c>
      <c r="AA63" s="26" t="s">
        <v>175</v>
      </c>
      <c r="AB63" s="32">
        <f t="shared" si="2"/>
        <v>1</v>
      </c>
      <c r="AC63" s="25">
        <v>1</v>
      </c>
      <c r="AD63" s="104">
        <v>1</v>
      </c>
      <c r="AE63" s="32">
        <v>1</v>
      </c>
      <c r="AF63" s="106"/>
      <c r="AG63" s="106"/>
      <c r="AH63" s="32">
        <f t="shared" si="3"/>
        <v>1</v>
      </c>
      <c r="AI63" s="106"/>
      <c r="AJ63" s="32">
        <v>1</v>
      </c>
      <c r="AK63" s="106"/>
      <c r="AL63" s="106"/>
      <c r="AM63" s="32">
        <f t="shared" si="4"/>
        <v>0</v>
      </c>
      <c r="AN63" s="106"/>
      <c r="AO63" s="106"/>
      <c r="AP63" s="32">
        <v>1</v>
      </c>
      <c r="AQ63" s="106"/>
      <c r="AS63" s="106" t="s">
        <v>2095</v>
      </c>
      <c r="AT63" s="106"/>
      <c r="AU63" s="94" t="s">
        <v>2143</v>
      </c>
    </row>
    <row r="64" spans="1:47">
      <c r="A64" s="105" t="s">
        <v>2144</v>
      </c>
      <c r="B64" s="105" t="s">
        <v>160</v>
      </c>
      <c r="C64" s="105" t="s">
        <v>73</v>
      </c>
      <c r="D64" s="105" t="s">
        <v>2145</v>
      </c>
      <c r="E64" s="105" t="s">
        <v>162</v>
      </c>
      <c r="F64" s="105" t="s">
        <v>2146</v>
      </c>
      <c r="G64" s="105" t="s">
        <v>2147</v>
      </c>
      <c r="H64" s="105" t="s">
        <v>2050</v>
      </c>
      <c r="I64" s="105">
        <v>202605.5</v>
      </c>
      <c r="J64" s="107">
        <v>5.27</v>
      </c>
      <c r="K64" s="105" t="s">
        <v>73</v>
      </c>
      <c r="L64" s="105" t="s">
        <v>2017</v>
      </c>
      <c r="M64" s="105" t="s">
        <v>2148</v>
      </c>
      <c r="N64" s="116" t="s">
        <v>2149</v>
      </c>
      <c r="O64" s="105"/>
      <c r="P64" s="177" t="s">
        <v>138</v>
      </c>
      <c r="Q64" s="177" t="s">
        <v>100</v>
      </c>
      <c r="R64" s="177" t="s">
        <v>262</v>
      </c>
      <c r="S64" s="177" t="s">
        <v>584</v>
      </c>
      <c r="T64" s="177" t="s">
        <v>103</v>
      </c>
      <c r="U64" s="177" t="s">
        <v>264</v>
      </c>
      <c r="V64" s="177" t="s">
        <v>264</v>
      </c>
      <c r="W64" s="191" t="s">
        <v>11</v>
      </c>
      <c r="X64" s="30" t="s">
        <v>173</v>
      </c>
      <c r="Y64" s="26" t="s">
        <v>173</v>
      </c>
      <c r="Z64" s="26" t="s">
        <v>174</v>
      </c>
      <c r="AA64" s="26" t="s">
        <v>175</v>
      </c>
      <c r="AB64" s="32">
        <f t="shared" si="2"/>
        <v>1</v>
      </c>
      <c r="AC64" s="25">
        <v>1</v>
      </c>
      <c r="AD64" s="104">
        <v>1</v>
      </c>
      <c r="AE64" s="32">
        <v>1</v>
      </c>
      <c r="AF64" s="106"/>
      <c r="AG64" s="106"/>
      <c r="AH64" s="32">
        <f t="shared" si="3"/>
        <v>1</v>
      </c>
      <c r="AI64" s="106"/>
      <c r="AJ64" s="32">
        <v>1</v>
      </c>
      <c r="AK64" s="106"/>
      <c r="AL64" s="106"/>
      <c r="AM64" s="32">
        <f t="shared" si="4"/>
        <v>0</v>
      </c>
      <c r="AN64" s="106"/>
      <c r="AO64" s="106"/>
      <c r="AP64" s="32">
        <v>1</v>
      </c>
      <c r="AQ64" s="106"/>
      <c r="AS64" s="106" t="s">
        <v>2086</v>
      </c>
      <c r="AT64" s="106"/>
      <c r="AU64" s="94" t="s">
        <v>2150</v>
      </c>
    </row>
    <row r="65" spans="1:47">
      <c r="A65" s="105" t="s">
        <v>2151</v>
      </c>
      <c r="B65" s="105" t="s">
        <v>160</v>
      </c>
      <c r="C65" s="105" t="s">
        <v>73</v>
      </c>
      <c r="D65" s="105" t="s">
        <v>2152</v>
      </c>
      <c r="E65" s="105" t="s">
        <v>162</v>
      </c>
      <c r="F65" s="105" t="s">
        <v>2153</v>
      </c>
      <c r="G65" s="105" t="s">
        <v>2154</v>
      </c>
      <c r="H65" s="105" t="s">
        <v>2050</v>
      </c>
      <c r="I65" s="105">
        <v>202605.5</v>
      </c>
      <c r="J65" s="107">
        <v>5.27</v>
      </c>
      <c r="K65" s="105" t="s">
        <v>73</v>
      </c>
      <c r="L65" s="105" t="s">
        <v>2155</v>
      </c>
      <c r="M65" s="105" t="s">
        <v>2156</v>
      </c>
      <c r="N65" s="116" t="s">
        <v>2157</v>
      </c>
      <c r="O65" s="105"/>
      <c r="P65" s="177" t="s">
        <v>138</v>
      </c>
      <c r="Q65" s="177" t="s">
        <v>100</v>
      </c>
      <c r="R65" s="177" t="s">
        <v>262</v>
      </c>
      <c r="S65" s="177" t="s">
        <v>584</v>
      </c>
      <c r="T65" s="177" t="s">
        <v>103</v>
      </c>
      <c r="U65" s="177" t="s">
        <v>264</v>
      </c>
      <c r="V65" s="177" t="s">
        <v>264</v>
      </c>
      <c r="W65" s="191" t="s">
        <v>11</v>
      </c>
      <c r="X65" s="30" t="s">
        <v>173</v>
      </c>
      <c r="Y65" s="26" t="s">
        <v>173</v>
      </c>
      <c r="Z65" s="26" t="s">
        <v>174</v>
      </c>
      <c r="AA65" s="26" t="s">
        <v>175</v>
      </c>
      <c r="AB65" s="32">
        <f t="shared" si="2"/>
        <v>1</v>
      </c>
      <c r="AC65" s="25">
        <v>1</v>
      </c>
      <c r="AD65" s="104">
        <v>1</v>
      </c>
      <c r="AE65" s="32">
        <v>1</v>
      </c>
      <c r="AF65" s="106"/>
      <c r="AG65" s="106"/>
      <c r="AH65" s="32">
        <f t="shared" si="3"/>
        <v>1</v>
      </c>
      <c r="AI65" s="106"/>
      <c r="AJ65" s="32">
        <v>1</v>
      </c>
      <c r="AK65" s="106"/>
      <c r="AL65" s="106"/>
      <c r="AM65" s="32">
        <f t="shared" si="4"/>
        <v>0</v>
      </c>
      <c r="AN65" s="106"/>
      <c r="AO65" s="106"/>
      <c r="AP65" s="32">
        <v>1</v>
      </c>
      <c r="AQ65" s="106"/>
      <c r="AS65" s="106" t="s">
        <v>2155</v>
      </c>
      <c r="AT65" s="106"/>
      <c r="AU65" s="94" t="s">
        <v>2158</v>
      </c>
    </row>
    <row r="66" spans="1:47">
      <c r="A66" s="105" t="s">
        <v>2159</v>
      </c>
      <c r="B66" s="105" t="s">
        <v>160</v>
      </c>
      <c r="C66" s="105" t="s">
        <v>73</v>
      </c>
      <c r="D66" s="105" t="s">
        <v>2160</v>
      </c>
      <c r="E66" s="105" t="s">
        <v>162</v>
      </c>
      <c r="F66" s="105" t="s">
        <v>2161</v>
      </c>
      <c r="G66" s="105" t="s">
        <v>2162</v>
      </c>
      <c r="H66" s="105" t="s">
        <v>2050</v>
      </c>
      <c r="I66" s="105">
        <v>202605.5</v>
      </c>
      <c r="J66" s="107">
        <v>5.27</v>
      </c>
      <c r="K66" s="105" t="s">
        <v>73</v>
      </c>
      <c r="L66" s="105" t="s">
        <v>2053</v>
      </c>
      <c r="M66" s="105" t="s">
        <v>2163</v>
      </c>
      <c r="N66" s="116" t="s">
        <v>2164</v>
      </c>
      <c r="O66" s="105"/>
      <c r="P66" s="177" t="s">
        <v>138</v>
      </c>
      <c r="Q66" s="177" t="s">
        <v>100</v>
      </c>
      <c r="R66" s="177" t="s">
        <v>262</v>
      </c>
      <c r="S66" s="177" t="s">
        <v>584</v>
      </c>
      <c r="T66" s="177" t="s">
        <v>103</v>
      </c>
      <c r="U66" s="177" t="s">
        <v>264</v>
      </c>
      <c r="V66" s="177" t="s">
        <v>264</v>
      </c>
      <c r="W66" s="191" t="s">
        <v>11</v>
      </c>
      <c r="X66" s="30" t="s">
        <v>173</v>
      </c>
      <c r="Y66" s="26" t="s">
        <v>173</v>
      </c>
      <c r="Z66" s="26" t="s">
        <v>174</v>
      </c>
      <c r="AA66" s="26" t="s">
        <v>175</v>
      </c>
      <c r="AB66" s="32">
        <f t="shared" si="2"/>
        <v>1</v>
      </c>
      <c r="AC66" s="25">
        <v>1</v>
      </c>
      <c r="AD66" s="104">
        <v>1</v>
      </c>
      <c r="AE66" s="32">
        <v>1</v>
      </c>
      <c r="AF66" s="106"/>
      <c r="AG66" s="106"/>
      <c r="AH66" s="32">
        <f t="shared" si="3"/>
        <v>1</v>
      </c>
      <c r="AI66" s="106"/>
      <c r="AJ66" s="32">
        <v>1</v>
      </c>
      <c r="AK66" s="106"/>
      <c r="AL66" s="106"/>
      <c r="AM66" s="32">
        <f t="shared" si="4"/>
        <v>0</v>
      </c>
      <c r="AN66" s="106"/>
      <c r="AO66" s="106"/>
      <c r="AP66" s="32">
        <v>1</v>
      </c>
      <c r="AQ66" s="106"/>
      <c r="AS66" s="106" t="s">
        <v>2165</v>
      </c>
      <c r="AT66" s="106"/>
      <c r="AU66" s="94" t="s">
        <v>2166</v>
      </c>
    </row>
    <row r="67" spans="1:47">
      <c r="A67" s="105" t="s">
        <v>2167</v>
      </c>
      <c r="B67" s="105" t="s">
        <v>160</v>
      </c>
      <c r="C67" s="105" t="s">
        <v>73</v>
      </c>
      <c r="D67" s="105" t="s">
        <v>855</v>
      </c>
      <c r="E67" s="105" t="s">
        <v>499</v>
      </c>
      <c r="F67" s="105" t="s">
        <v>2168</v>
      </c>
      <c r="G67" s="105" t="s">
        <v>2169</v>
      </c>
      <c r="H67" s="105" t="s">
        <v>2050</v>
      </c>
      <c r="I67" s="105">
        <v>202605.5</v>
      </c>
      <c r="J67" s="107">
        <v>5.27</v>
      </c>
      <c r="K67" s="105" t="s">
        <v>73</v>
      </c>
      <c r="L67" s="105" t="s">
        <v>2119</v>
      </c>
      <c r="M67" s="105" t="s">
        <v>2170</v>
      </c>
      <c r="N67" s="116" t="s">
        <v>2171</v>
      </c>
      <c r="O67" s="105"/>
      <c r="P67" s="177" t="s">
        <v>138</v>
      </c>
      <c r="Q67" s="177" t="s">
        <v>100</v>
      </c>
      <c r="R67" s="177" t="s">
        <v>262</v>
      </c>
      <c r="S67" s="177" t="s">
        <v>584</v>
      </c>
      <c r="T67" s="177" t="s">
        <v>103</v>
      </c>
      <c r="U67" s="177" t="s">
        <v>264</v>
      </c>
      <c r="V67" s="177" t="s">
        <v>264</v>
      </c>
      <c r="W67" s="191" t="s">
        <v>11</v>
      </c>
      <c r="X67" s="30" t="s">
        <v>173</v>
      </c>
      <c r="Y67" s="26" t="s">
        <v>173</v>
      </c>
      <c r="Z67" s="26" t="s">
        <v>174</v>
      </c>
      <c r="AA67" s="26" t="s">
        <v>175</v>
      </c>
      <c r="AB67" s="32">
        <f t="shared" si="2"/>
        <v>1</v>
      </c>
      <c r="AC67" s="25">
        <v>1</v>
      </c>
      <c r="AD67" s="104">
        <v>1</v>
      </c>
      <c r="AE67" s="32">
        <v>1</v>
      </c>
      <c r="AF67" s="106"/>
      <c r="AG67" s="106"/>
      <c r="AH67" s="32">
        <f t="shared" ref="AH67:AH98" si="5">IF(COUNTIF(AS:AS,"*"&amp;L67&amp;"*")&gt;0,1,0)</f>
        <v>1</v>
      </c>
      <c r="AI67" s="106"/>
      <c r="AJ67" s="32">
        <v>1</v>
      </c>
      <c r="AK67" s="106"/>
      <c r="AL67" s="106"/>
      <c r="AM67" s="32">
        <f t="shared" ref="AM67:AM98" si="6">IF(COUNTIF(AT:AT,"*"&amp;L67&amp;"*")&gt;0,1,0)</f>
        <v>0</v>
      </c>
      <c r="AN67" s="106"/>
      <c r="AO67" s="106"/>
      <c r="AP67" s="32">
        <v>1</v>
      </c>
      <c r="AQ67" s="106"/>
      <c r="AS67" s="106" t="s">
        <v>2172</v>
      </c>
      <c r="AT67" s="106"/>
      <c r="AU67" s="94" t="s">
        <v>971</v>
      </c>
    </row>
    <row r="68" spans="1:47">
      <c r="A68" s="105" t="s">
        <v>2173</v>
      </c>
      <c r="B68" s="105" t="s">
        <v>160</v>
      </c>
      <c r="C68" s="105" t="s">
        <v>73</v>
      </c>
      <c r="D68" s="105" t="s">
        <v>2174</v>
      </c>
      <c r="E68" s="105" t="s">
        <v>162</v>
      </c>
      <c r="F68" s="105" t="s">
        <v>2175</v>
      </c>
      <c r="G68" s="105" t="s">
        <v>2176</v>
      </c>
      <c r="H68" s="105" t="s">
        <v>165</v>
      </c>
      <c r="I68" s="105">
        <v>202605.5</v>
      </c>
      <c r="J68" s="107">
        <v>5.27</v>
      </c>
      <c r="K68" s="105" t="s">
        <v>73</v>
      </c>
      <c r="L68" s="105" t="s">
        <v>2105</v>
      </c>
      <c r="M68" s="105" t="s">
        <v>2177</v>
      </c>
      <c r="N68" s="116" t="s">
        <v>2178</v>
      </c>
      <c r="O68" s="105"/>
      <c r="P68" s="177" t="s">
        <v>138</v>
      </c>
      <c r="Q68" s="177" t="s">
        <v>100</v>
      </c>
      <c r="R68" s="177" t="s">
        <v>262</v>
      </c>
      <c r="S68" s="177" t="s">
        <v>584</v>
      </c>
      <c r="T68" s="177" t="s">
        <v>103</v>
      </c>
      <c r="U68" s="177" t="s">
        <v>264</v>
      </c>
      <c r="V68" s="177" t="s">
        <v>264</v>
      </c>
      <c r="W68" s="191" t="s">
        <v>11</v>
      </c>
      <c r="X68" s="30" t="s">
        <v>173</v>
      </c>
      <c r="Y68" s="26" t="s">
        <v>173</v>
      </c>
      <c r="Z68" s="26" t="s">
        <v>174</v>
      </c>
      <c r="AA68" s="26" t="s">
        <v>175</v>
      </c>
      <c r="AB68" s="32">
        <f t="shared" ref="AB68:AB131" si="7">IF(COUNTIF(AU:AU,"*"&amp;D68&amp;"*")&gt;0,1,0)</f>
        <v>1</v>
      </c>
      <c r="AC68" s="25">
        <v>1</v>
      </c>
      <c r="AD68" s="104">
        <v>1</v>
      </c>
      <c r="AE68" s="32">
        <v>1</v>
      </c>
      <c r="AF68" s="106"/>
      <c r="AG68" s="106"/>
      <c r="AH68" s="32">
        <f t="shared" si="5"/>
        <v>1</v>
      </c>
      <c r="AI68" s="106"/>
      <c r="AJ68" s="32">
        <v>1</v>
      </c>
      <c r="AK68" s="106"/>
      <c r="AL68" s="106"/>
      <c r="AM68" s="32">
        <f t="shared" si="6"/>
        <v>0</v>
      </c>
      <c r="AN68" s="106"/>
      <c r="AO68" s="106"/>
      <c r="AP68" s="32">
        <v>1</v>
      </c>
      <c r="AQ68" s="106"/>
      <c r="AS68" s="106" t="s">
        <v>2132</v>
      </c>
      <c r="AT68" s="106"/>
      <c r="AU68" s="94" t="s">
        <v>975</v>
      </c>
    </row>
    <row r="69" spans="1:47">
      <c r="A69" s="105" t="s">
        <v>2179</v>
      </c>
      <c r="B69" s="105" t="s">
        <v>160</v>
      </c>
      <c r="C69" s="105" t="s">
        <v>73</v>
      </c>
      <c r="D69" s="105" t="s">
        <v>2180</v>
      </c>
      <c r="E69" s="105" t="s">
        <v>162</v>
      </c>
      <c r="F69" s="105" t="s">
        <v>2181</v>
      </c>
      <c r="G69" s="105" t="s">
        <v>2182</v>
      </c>
      <c r="H69" s="105" t="s">
        <v>165</v>
      </c>
      <c r="I69" s="105">
        <v>202605.5</v>
      </c>
      <c r="J69" s="107">
        <v>5.27</v>
      </c>
      <c r="K69" s="105" t="s">
        <v>73</v>
      </c>
      <c r="L69" s="105" t="s">
        <v>2172</v>
      </c>
      <c r="M69" s="105" t="s">
        <v>2183</v>
      </c>
      <c r="N69" s="116" t="s">
        <v>2184</v>
      </c>
      <c r="O69" s="105"/>
      <c r="P69" s="177" t="s">
        <v>138</v>
      </c>
      <c r="Q69" s="177" t="s">
        <v>100</v>
      </c>
      <c r="R69" s="177" t="s">
        <v>262</v>
      </c>
      <c r="S69" s="177" t="s">
        <v>584</v>
      </c>
      <c r="T69" s="177" t="s">
        <v>103</v>
      </c>
      <c r="U69" s="177" t="s">
        <v>264</v>
      </c>
      <c r="V69" s="177" t="s">
        <v>264</v>
      </c>
      <c r="W69" s="191" t="s">
        <v>11</v>
      </c>
      <c r="X69" s="30" t="s">
        <v>173</v>
      </c>
      <c r="Y69" s="26" t="s">
        <v>173</v>
      </c>
      <c r="Z69" s="26" t="s">
        <v>174</v>
      </c>
      <c r="AA69" s="26" t="s">
        <v>175</v>
      </c>
      <c r="AB69" s="32">
        <f t="shared" si="7"/>
        <v>1</v>
      </c>
      <c r="AC69" s="25">
        <v>1</v>
      </c>
      <c r="AD69" s="104">
        <v>1</v>
      </c>
      <c r="AE69" s="32">
        <v>1</v>
      </c>
      <c r="AF69" s="106"/>
      <c r="AG69" s="106"/>
      <c r="AH69" s="32">
        <f t="shared" si="5"/>
        <v>1</v>
      </c>
      <c r="AI69" s="106"/>
      <c r="AJ69" s="32">
        <v>1</v>
      </c>
      <c r="AK69" s="106"/>
      <c r="AL69" s="106"/>
      <c r="AM69" s="32">
        <f t="shared" si="6"/>
        <v>0</v>
      </c>
      <c r="AN69" s="106"/>
      <c r="AO69" s="106"/>
      <c r="AP69" s="32">
        <v>1</v>
      </c>
      <c r="AQ69" s="106"/>
      <c r="AS69" s="106" t="s">
        <v>2124</v>
      </c>
      <c r="AT69" s="106"/>
      <c r="AU69" s="94" t="s">
        <v>2185</v>
      </c>
    </row>
    <row r="70" spans="1:47">
      <c r="A70" s="105" t="s">
        <v>2186</v>
      </c>
      <c r="B70" s="105" t="s">
        <v>160</v>
      </c>
      <c r="C70" s="105" t="s">
        <v>73</v>
      </c>
      <c r="D70" s="105" t="s">
        <v>2187</v>
      </c>
      <c r="E70" s="105" t="s">
        <v>162</v>
      </c>
      <c r="F70" s="105" t="s">
        <v>2188</v>
      </c>
      <c r="G70" s="105" t="s">
        <v>2189</v>
      </c>
      <c r="H70" s="105" t="s">
        <v>165</v>
      </c>
      <c r="I70" s="105">
        <v>202605.5</v>
      </c>
      <c r="J70" s="107">
        <v>5.27</v>
      </c>
      <c r="K70" s="105" t="s">
        <v>73</v>
      </c>
      <c r="L70" s="105" t="s">
        <v>2098</v>
      </c>
      <c r="M70" s="105" t="s">
        <v>2190</v>
      </c>
      <c r="N70" s="116" t="s">
        <v>2191</v>
      </c>
      <c r="O70" s="105"/>
      <c r="P70" s="177" t="s">
        <v>138</v>
      </c>
      <c r="Q70" s="177" t="s">
        <v>100</v>
      </c>
      <c r="R70" s="177" t="s">
        <v>262</v>
      </c>
      <c r="S70" s="177" t="s">
        <v>584</v>
      </c>
      <c r="T70" s="177" t="s">
        <v>103</v>
      </c>
      <c r="U70" s="177" t="s">
        <v>264</v>
      </c>
      <c r="V70" s="177" t="s">
        <v>264</v>
      </c>
      <c r="W70" s="191" t="s">
        <v>11</v>
      </c>
      <c r="X70" s="30" t="s">
        <v>173</v>
      </c>
      <c r="Y70" s="26" t="s">
        <v>173</v>
      </c>
      <c r="Z70" s="26" t="s">
        <v>174</v>
      </c>
      <c r="AA70" s="26" t="s">
        <v>175</v>
      </c>
      <c r="AB70" s="32">
        <f t="shared" si="7"/>
        <v>1</v>
      </c>
      <c r="AC70" s="25">
        <v>1</v>
      </c>
      <c r="AD70" s="104">
        <v>1</v>
      </c>
      <c r="AE70" s="32">
        <v>1</v>
      </c>
      <c r="AF70" s="106"/>
      <c r="AG70" s="106"/>
      <c r="AH70" s="32">
        <f t="shared" si="5"/>
        <v>1</v>
      </c>
      <c r="AI70" s="106"/>
      <c r="AJ70" s="32">
        <v>1</v>
      </c>
      <c r="AK70" s="106"/>
      <c r="AL70" s="106"/>
      <c r="AM70" s="32">
        <f t="shared" si="6"/>
        <v>0</v>
      </c>
      <c r="AN70" s="106"/>
      <c r="AO70" s="106"/>
      <c r="AP70" s="32">
        <v>1</v>
      </c>
      <c r="AQ70" s="106"/>
      <c r="AS70" s="106" t="s">
        <v>2192</v>
      </c>
      <c r="AT70" s="106"/>
      <c r="AU70" s="94" t="s">
        <v>2193</v>
      </c>
    </row>
    <row r="71" spans="1:47">
      <c r="A71" s="105" t="s">
        <v>2194</v>
      </c>
      <c r="B71" s="105" t="s">
        <v>160</v>
      </c>
      <c r="C71" s="105" t="s">
        <v>73</v>
      </c>
      <c r="D71" s="105" t="s">
        <v>2195</v>
      </c>
      <c r="E71" s="105" t="s">
        <v>162</v>
      </c>
      <c r="F71" s="105" t="s">
        <v>2196</v>
      </c>
      <c r="G71" s="105" t="s">
        <v>2197</v>
      </c>
      <c r="H71" s="105" t="s">
        <v>165</v>
      </c>
      <c r="I71" s="105">
        <v>202605.5</v>
      </c>
      <c r="J71" s="107">
        <v>5.27</v>
      </c>
      <c r="K71" s="105" t="s">
        <v>73</v>
      </c>
      <c r="L71" s="105" t="s">
        <v>2165</v>
      </c>
      <c r="M71" s="105" t="s">
        <v>2198</v>
      </c>
      <c r="N71" s="116" t="s">
        <v>2199</v>
      </c>
      <c r="O71" s="105"/>
      <c r="P71" s="177" t="s">
        <v>138</v>
      </c>
      <c r="Q71" s="177" t="s">
        <v>100</v>
      </c>
      <c r="R71" s="177" t="s">
        <v>262</v>
      </c>
      <c r="S71" s="177" t="s">
        <v>584</v>
      </c>
      <c r="T71" s="177" t="s">
        <v>103</v>
      </c>
      <c r="U71" s="177" t="s">
        <v>264</v>
      </c>
      <c r="V71" s="177" t="s">
        <v>264</v>
      </c>
      <c r="W71" s="191" t="s">
        <v>11</v>
      </c>
      <c r="X71" s="30" t="s">
        <v>173</v>
      </c>
      <c r="Y71" s="26" t="s">
        <v>173</v>
      </c>
      <c r="Z71" s="26" t="s">
        <v>174</v>
      </c>
      <c r="AA71" s="26" t="s">
        <v>175</v>
      </c>
      <c r="AB71" s="32">
        <f t="shared" si="7"/>
        <v>1</v>
      </c>
      <c r="AC71" s="25">
        <v>1</v>
      </c>
      <c r="AD71" s="104">
        <v>1</v>
      </c>
      <c r="AE71" s="32">
        <v>1</v>
      </c>
      <c r="AF71" s="106"/>
      <c r="AG71" s="106"/>
      <c r="AH71" s="32">
        <f t="shared" si="5"/>
        <v>1</v>
      </c>
      <c r="AI71" s="106"/>
      <c r="AJ71" s="32">
        <v>1</v>
      </c>
      <c r="AK71" s="106"/>
      <c r="AL71" s="106"/>
      <c r="AM71" s="32">
        <f t="shared" si="6"/>
        <v>0</v>
      </c>
      <c r="AN71" s="106"/>
      <c r="AO71" s="106"/>
      <c r="AP71" s="32">
        <v>1</v>
      </c>
      <c r="AQ71" s="106"/>
      <c r="AS71" s="106" t="s">
        <v>2200</v>
      </c>
      <c r="AT71" s="106"/>
      <c r="AU71" s="94" t="s">
        <v>2201</v>
      </c>
    </row>
    <row r="72" spans="1:47">
      <c r="A72" s="105" t="s">
        <v>2202</v>
      </c>
      <c r="B72" s="105" t="s">
        <v>160</v>
      </c>
      <c r="C72" s="105" t="s">
        <v>73</v>
      </c>
      <c r="D72" s="105" t="s">
        <v>2203</v>
      </c>
      <c r="E72" s="105" t="s">
        <v>162</v>
      </c>
      <c r="F72" s="105" t="s">
        <v>2204</v>
      </c>
      <c r="G72" s="105" t="s">
        <v>2205</v>
      </c>
      <c r="H72" s="105" t="s">
        <v>165</v>
      </c>
      <c r="I72" s="105">
        <v>202605.5</v>
      </c>
      <c r="J72" s="107">
        <v>5.27</v>
      </c>
      <c r="K72" s="105" t="s">
        <v>73</v>
      </c>
      <c r="L72" s="105" t="s">
        <v>2200</v>
      </c>
      <c r="M72" s="105" t="s">
        <v>2206</v>
      </c>
      <c r="N72" s="116" t="s">
        <v>2207</v>
      </c>
      <c r="O72" s="105"/>
      <c r="P72" s="177" t="s">
        <v>138</v>
      </c>
      <c r="Q72" s="177" t="s">
        <v>100</v>
      </c>
      <c r="R72" s="177" t="s">
        <v>262</v>
      </c>
      <c r="S72" s="177" t="s">
        <v>584</v>
      </c>
      <c r="T72" s="177" t="s">
        <v>103</v>
      </c>
      <c r="U72" s="177" t="s">
        <v>264</v>
      </c>
      <c r="V72" s="177" t="s">
        <v>264</v>
      </c>
      <c r="W72" s="191" t="s">
        <v>11</v>
      </c>
      <c r="X72" s="30" t="s">
        <v>173</v>
      </c>
      <c r="Y72" s="26" t="s">
        <v>173</v>
      </c>
      <c r="Z72" s="26" t="s">
        <v>174</v>
      </c>
      <c r="AA72" s="26" t="s">
        <v>175</v>
      </c>
      <c r="AB72" s="32">
        <f t="shared" si="7"/>
        <v>1</v>
      </c>
      <c r="AC72" s="25">
        <v>1</v>
      </c>
      <c r="AD72" s="104">
        <v>1</v>
      </c>
      <c r="AE72" s="32">
        <v>1</v>
      </c>
      <c r="AF72" s="106"/>
      <c r="AG72" s="106"/>
      <c r="AH72" s="32">
        <f t="shared" si="5"/>
        <v>1</v>
      </c>
      <c r="AI72" s="106"/>
      <c r="AJ72" s="32">
        <v>1</v>
      </c>
      <c r="AK72" s="106"/>
      <c r="AL72" s="106"/>
      <c r="AM72" s="32">
        <f t="shared" si="6"/>
        <v>0</v>
      </c>
      <c r="AN72" s="106"/>
      <c r="AO72" s="106"/>
      <c r="AP72" s="32">
        <v>1</v>
      </c>
      <c r="AQ72" s="106"/>
      <c r="AS72" s="106" t="s">
        <v>2208</v>
      </c>
      <c r="AT72" s="106"/>
      <c r="AU72" s="94" t="s">
        <v>2209</v>
      </c>
    </row>
    <row r="73" spans="1:47">
      <c r="A73" s="105" t="s">
        <v>2210</v>
      </c>
      <c r="B73" s="105" t="s">
        <v>160</v>
      </c>
      <c r="C73" s="105" t="s">
        <v>73</v>
      </c>
      <c r="D73" s="105" t="s">
        <v>2211</v>
      </c>
      <c r="E73" s="105" t="s">
        <v>162</v>
      </c>
      <c r="F73" s="105" t="s">
        <v>2212</v>
      </c>
      <c r="G73" s="105" t="s">
        <v>2213</v>
      </c>
      <c r="H73" s="105" t="s">
        <v>165</v>
      </c>
      <c r="I73" s="105">
        <v>202605.5</v>
      </c>
      <c r="J73" s="107">
        <v>5.27</v>
      </c>
      <c r="K73" s="105" t="s">
        <v>73</v>
      </c>
      <c r="L73" s="105" t="s">
        <v>2192</v>
      </c>
      <c r="M73" s="105" t="s">
        <v>2214</v>
      </c>
      <c r="N73" s="116" t="s">
        <v>2215</v>
      </c>
      <c r="O73" s="105"/>
      <c r="P73" s="177" t="s">
        <v>138</v>
      </c>
      <c r="Q73" s="177" t="s">
        <v>100</v>
      </c>
      <c r="R73" s="177" t="s">
        <v>262</v>
      </c>
      <c r="S73" s="177" t="s">
        <v>584</v>
      </c>
      <c r="T73" s="177" t="s">
        <v>103</v>
      </c>
      <c r="U73" s="177" t="s">
        <v>264</v>
      </c>
      <c r="V73" s="177" t="s">
        <v>264</v>
      </c>
      <c r="W73" s="191" t="s">
        <v>11</v>
      </c>
      <c r="X73" s="30" t="s">
        <v>173</v>
      </c>
      <c r="Y73" s="26" t="s">
        <v>173</v>
      </c>
      <c r="Z73" s="26" t="s">
        <v>174</v>
      </c>
      <c r="AA73" s="26" t="s">
        <v>175</v>
      </c>
      <c r="AB73" s="32">
        <f t="shared" si="7"/>
        <v>1</v>
      </c>
      <c r="AC73" s="25">
        <v>1</v>
      </c>
      <c r="AD73" s="104">
        <v>1</v>
      </c>
      <c r="AE73" s="32">
        <v>1</v>
      </c>
      <c r="AF73" s="106"/>
      <c r="AG73" s="106"/>
      <c r="AH73" s="32">
        <f t="shared" si="5"/>
        <v>1</v>
      </c>
      <c r="AI73" s="106"/>
      <c r="AJ73" s="32">
        <v>1</v>
      </c>
      <c r="AK73" s="106"/>
      <c r="AL73" s="106"/>
      <c r="AM73" s="32">
        <f t="shared" si="6"/>
        <v>0</v>
      </c>
      <c r="AN73" s="106"/>
      <c r="AO73" s="106"/>
      <c r="AP73" s="32">
        <v>1</v>
      </c>
      <c r="AQ73" s="106"/>
      <c r="AS73" s="106" t="s">
        <v>2216</v>
      </c>
      <c r="AT73" s="106"/>
      <c r="AU73" s="94" t="s">
        <v>2217</v>
      </c>
    </row>
    <row r="74" spans="1:47">
      <c r="A74" s="105" t="s">
        <v>2218</v>
      </c>
      <c r="B74" s="105" t="s">
        <v>160</v>
      </c>
      <c r="C74" s="105" t="s">
        <v>73</v>
      </c>
      <c r="D74" s="105" t="s">
        <v>2219</v>
      </c>
      <c r="E74" s="105" t="s">
        <v>162</v>
      </c>
      <c r="F74" s="105" t="s">
        <v>2220</v>
      </c>
      <c r="G74" s="105" t="s">
        <v>2221</v>
      </c>
      <c r="H74" s="105" t="s">
        <v>165</v>
      </c>
      <c r="I74" s="105">
        <v>202605.5</v>
      </c>
      <c r="J74" s="107">
        <v>5.27</v>
      </c>
      <c r="K74" s="105" t="s">
        <v>73</v>
      </c>
      <c r="L74" s="105" t="s">
        <v>2089</v>
      </c>
      <c r="M74" s="105" t="s">
        <v>2222</v>
      </c>
      <c r="N74" s="116" t="s">
        <v>2223</v>
      </c>
      <c r="O74" s="105"/>
      <c r="P74" s="177" t="s">
        <v>138</v>
      </c>
      <c r="Q74" s="177" t="s">
        <v>100</v>
      </c>
      <c r="R74" s="177" t="s">
        <v>262</v>
      </c>
      <c r="S74" s="177" t="s">
        <v>584</v>
      </c>
      <c r="T74" s="177" t="s">
        <v>103</v>
      </c>
      <c r="U74" s="177" t="s">
        <v>264</v>
      </c>
      <c r="V74" s="177" t="s">
        <v>264</v>
      </c>
      <c r="W74" s="191" t="s">
        <v>11</v>
      </c>
      <c r="X74" s="30" t="s">
        <v>173</v>
      </c>
      <c r="Y74" s="26" t="s">
        <v>173</v>
      </c>
      <c r="Z74" s="26" t="s">
        <v>174</v>
      </c>
      <c r="AA74" s="26" t="s">
        <v>175</v>
      </c>
      <c r="AB74" s="32">
        <f t="shared" si="7"/>
        <v>1</v>
      </c>
      <c r="AC74" s="25">
        <v>1</v>
      </c>
      <c r="AD74" s="104">
        <v>1</v>
      </c>
      <c r="AE74" s="32">
        <v>1</v>
      </c>
      <c r="AF74" s="106"/>
      <c r="AG74" s="106"/>
      <c r="AH74" s="32">
        <f t="shared" si="5"/>
        <v>1</v>
      </c>
      <c r="AI74" s="106"/>
      <c r="AJ74" s="32">
        <v>1</v>
      </c>
      <c r="AK74" s="106"/>
      <c r="AL74" s="106"/>
      <c r="AM74" s="32">
        <f t="shared" si="6"/>
        <v>0</v>
      </c>
      <c r="AN74" s="106"/>
      <c r="AO74" s="106"/>
      <c r="AP74" s="32">
        <v>1</v>
      </c>
      <c r="AQ74" s="106"/>
      <c r="AS74" s="106" t="s">
        <v>2224</v>
      </c>
      <c r="AT74" s="106"/>
      <c r="AU74" s="94" t="s">
        <v>2225</v>
      </c>
    </row>
    <row r="75" spans="1:47">
      <c r="A75" s="105" t="s">
        <v>2226</v>
      </c>
      <c r="B75" s="105" t="s">
        <v>160</v>
      </c>
      <c r="C75" s="105" t="s">
        <v>73</v>
      </c>
      <c r="D75" s="105" t="s">
        <v>2227</v>
      </c>
      <c r="E75" s="105" t="s">
        <v>162</v>
      </c>
      <c r="F75" s="105" t="s">
        <v>2228</v>
      </c>
      <c r="G75" s="105" t="s">
        <v>2229</v>
      </c>
      <c r="H75" s="105" t="s">
        <v>165</v>
      </c>
      <c r="I75" s="105">
        <v>202605.5</v>
      </c>
      <c r="J75" s="107">
        <v>5.27</v>
      </c>
      <c r="K75" s="105" t="s">
        <v>73</v>
      </c>
      <c r="L75" s="105" t="s">
        <v>2024</v>
      </c>
      <c r="M75" s="105" t="s">
        <v>2230</v>
      </c>
      <c r="N75" s="116" t="s">
        <v>2231</v>
      </c>
      <c r="O75" s="105"/>
      <c r="P75" s="177" t="s">
        <v>138</v>
      </c>
      <c r="Q75" s="177" t="s">
        <v>100</v>
      </c>
      <c r="R75" s="177" t="s">
        <v>262</v>
      </c>
      <c r="S75" s="177" t="s">
        <v>584</v>
      </c>
      <c r="T75" s="177" t="s">
        <v>103</v>
      </c>
      <c r="U75" s="177" t="s">
        <v>264</v>
      </c>
      <c r="V75" s="177" t="s">
        <v>264</v>
      </c>
      <c r="W75" s="191" t="s">
        <v>11</v>
      </c>
      <c r="X75" s="30" t="s">
        <v>173</v>
      </c>
      <c r="Y75" s="26" t="s">
        <v>173</v>
      </c>
      <c r="Z75" s="26" t="s">
        <v>174</v>
      </c>
      <c r="AA75" s="26" t="s">
        <v>175</v>
      </c>
      <c r="AB75" s="32">
        <f t="shared" si="7"/>
        <v>1</v>
      </c>
      <c r="AC75" s="25">
        <v>1</v>
      </c>
      <c r="AD75" s="104">
        <v>1</v>
      </c>
      <c r="AE75" s="32">
        <v>1</v>
      </c>
      <c r="AF75" s="106"/>
      <c r="AG75" s="106"/>
      <c r="AH75" s="32">
        <f t="shared" si="5"/>
        <v>1</v>
      </c>
      <c r="AI75" s="106"/>
      <c r="AJ75" s="32">
        <v>1</v>
      </c>
      <c r="AK75" s="106"/>
      <c r="AL75" s="106"/>
      <c r="AM75" s="32">
        <f t="shared" si="6"/>
        <v>0</v>
      </c>
      <c r="AN75" s="106"/>
      <c r="AO75" s="106"/>
      <c r="AP75" s="32">
        <v>1</v>
      </c>
      <c r="AQ75" s="106"/>
      <c r="AS75" s="106" t="s">
        <v>2232</v>
      </c>
      <c r="AT75" s="106"/>
      <c r="AU75" s="94" t="s">
        <v>2233</v>
      </c>
    </row>
    <row r="76" spans="1:47">
      <c r="A76" s="105" t="s">
        <v>2234</v>
      </c>
      <c r="B76" s="105" t="s">
        <v>160</v>
      </c>
      <c r="C76" s="105" t="s">
        <v>73</v>
      </c>
      <c r="D76" s="105" t="s">
        <v>2235</v>
      </c>
      <c r="E76" s="105" t="s">
        <v>162</v>
      </c>
      <c r="F76" s="105" t="s">
        <v>2236</v>
      </c>
      <c r="G76" s="105" t="s">
        <v>2237</v>
      </c>
      <c r="H76" s="105" t="s">
        <v>165</v>
      </c>
      <c r="I76" s="105">
        <v>202605.5</v>
      </c>
      <c r="J76" s="107">
        <v>5.27</v>
      </c>
      <c r="K76" s="105" t="s">
        <v>73</v>
      </c>
      <c r="L76" s="105" t="s">
        <v>2031</v>
      </c>
      <c r="M76" s="105" t="s">
        <v>2238</v>
      </c>
      <c r="N76" s="116" t="s">
        <v>2239</v>
      </c>
      <c r="O76" s="105"/>
      <c r="P76" s="177" t="s">
        <v>138</v>
      </c>
      <c r="Q76" s="177" t="s">
        <v>100</v>
      </c>
      <c r="R76" s="177" t="s">
        <v>262</v>
      </c>
      <c r="S76" s="177" t="s">
        <v>584</v>
      </c>
      <c r="T76" s="177" t="s">
        <v>103</v>
      </c>
      <c r="U76" s="177" t="s">
        <v>264</v>
      </c>
      <c r="V76" s="177" t="s">
        <v>264</v>
      </c>
      <c r="W76" s="191" t="s">
        <v>11</v>
      </c>
      <c r="X76" s="30" t="s">
        <v>173</v>
      </c>
      <c r="Y76" s="26" t="s">
        <v>173</v>
      </c>
      <c r="Z76" s="26" t="s">
        <v>174</v>
      </c>
      <c r="AA76" s="26" t="s">
        <v>175</v>
      </c>
      <c r="AB76" s="32">
        <f t="shared" si="7"/>
        <v>1</v>
      </c>
      <c r="AC76" s="25">
        <v>1</v>
      </c>
      <c r="AD76" s="104">
        <v>1</v>
      </c>
      <c r="AE76" s="32">
        <v>1</v>
      </c>
      <c r="AF76" s="106"/>
      <c r="AG76" s="106"/>
      <c r="AH76" s="32">
        <f t="shared" si="5"/>
        <v>1</v>
      </c>
      <c r="AI76" s="106"/>
      <c r="AJ76" s="32">
        <v>1</v>
      </c>
      <c r="AK76" s="106"/>
      <c r="AL76" s="106"/>
      <c r="AM76" s="32">
        <f t="shared" si="6"/>
        <v>0</v>
      </c>
      <c r="AN76" s="106"/>
      <c r="AO76" s="106"/>
      <c r="AP76" s="32">
        <v>1</v>
      </c>
      <c r="AQ76" s="106"/>
      <c r="AS76" s="106" t="s">
        <v>2240</v>
      </c>
      <c r="AT76" s="106"/>
      <c r="AU76" s="94" t="s">
        <v>2241</v>
      </c>
    </row>
    <row r="77" spans="1:47">
      <c r="A77" s="105" t="s">
        <v>2242</v>
      </c>
      <c r="B77" s="105" t="s">
        <v>160</v>
      </c>
      <c r="C77" s="105" t="s">
        <v>73</v>
      </c>
      <c r="D77" s="105" t="s">
        <v>2243</v>
      </c>
      <c r="E77" s="105" t="s">
        <v>162</v>
      </c>
      <c r="F77" s="105" t="s">
        <v>2244</v>
      </c>
      <c r="G77" s="105" t="s">
        <v>2245</v>
      </c>
      <c r="H77" s="105" t="s">
        <v>165</v>
      </c>
      <c r="I77" s="105">
        <v>202605.5</v>
      </c>
      <c r="J77" s="107">
        <v>5.27</v>
      </c>
      <c r="K77" s="105" t="s">
        <v>73</v>
      </c>
      <c r="L77" s="105" t="s">
        <v>2067</v>
      </c>
      <c r="M77" s="105" t="s">
        <v>2246</v>
      </c>
      <c r="N77" s="116" t="s">
        <v>2247</v>
      </c>
      <c r="O77" s="105"/>
      <c r="P77" s="177" t="s">
        <v>138</v>
      </c>
      <c r="Q77" s="177" t="s">
        <v>100</v>
      </c>
      <c r="R77" s="177" t="s">
        <v>262</v>
      </c>
      <c r="S77" s="177" t="s">
        <v>584</v>
      </c>
      <c r="T77" s="177" t="s">
        <v>103</v>
      </c>
      <c r="U77" s="177" t="s">
        <v>264</v>
      </c>
      <c r="V77" s="177" t="s">
        <v>264</v>
      </c>
      <c r="W77" s="191" t="s">
        <v>11</v>
      </c>
      <c r="X77" s="30" t="s">
        <v>173</v>
      </c>
      <c r="Y77" s="26" t="s">
        <v>173</v>
      </c>
      <c r="Z77" s="26" t="s">
        <v>174</v>
      </c>
      <c r="AA77" s="26" t="s">
        <v>175</v>
      </c>
      <c r="AB77" s="32">
        <f t="shared" si="7"/>
        <v>1</v>
      </c>
      <c r="AC77" s="25">
        <v>1</v>
      </c>
      <c r="AD77" s="104">
        <v>1</v>
      </c>
      <c r="AE77" s="32">
        <v>1</v>
      </c>
      <c r="AF77" s="106"/>
      <c r="AG77" s="106"/>
      <c r="AH77" s="32">
        <f t="shared" si="5"/>
        <v>1</v>
      </c>
      <c r="AI77" s="106"/>
      <c r="AJ77" s="32">
        <v>1</v>
      </c>
      <c r="AK77" s="106"/>
      <c r="AL77" s="106"/>
      <c r="AM77" s="32">
        <f t="shared" si="6"/>
        <v>0</v>
      </c>
      <c r="AN77" s="106"/>
      <c r="AO77" s="106"/>
      <c r="AP77" s="32">
        <v>1</v>
      </c>
      <c r="AQ77" s="106"/>
      <c r="AS77" s="106" t="s">
        <v>2248</v>
      </c>
      <c r="AT77" s="106"/>
      <c r="AU77" s="94" t="s">
        <v>2249</v>
      </c>
    </row>
    <row r="78" spans="1:47">
      <c r="A78" s="105" t="s">
        <v>2250</v>
      </c>
      <c r="B78" s="105" t="s">
        <v>160</v>
      </c>
      <c r="C78" s="105" t="s">
        <v>73</v>
      </c>
      <c r="D78" s="105" t="s">
        <v>2251</v>
      </c>
      <c r="E78" s="105" t="s">
        <v>162</v>
      </c>
      <c r="F78" s="105" t="s">
        <v>2252</v>
      </c>
      <c r="G78" s="105" t="s">
        <v>2253</v>
      </c>
      <c r="H78" s="105" t="s">
        <v>165</v>
      </c>
      <c r="I78" s="105">
        <v>202605.5</v>
      </c>
      <c r="J78" s="107">
        <v>5.27</v>
      </c>
      <c r="K78" s="105" t="s">
        <v>73</v>
      </c>
      <c r="L78" s="105" t="s">
        <v>2127</v>
      </c>
      <c r="M78" s="105" t="s">
        <v>2254</v>
      </c>
      <c r="N78" s="116" t="s">
        <v>2255</v>
      </c>
      <c r="O78" s="105"/>
      <c r="P78" s="177" t="s">
        <v>138</v>
      </c>
      <c r="Q78" s="177" t="s">
        <v>100</v>
      </c>
      <c r="R78" s="177" t="s">
        <v>262</v>
      </c>
      <c r="S78" s="177" t="s">
        <v>584</v>
      </c>
      <c r="T78" s="177" t="s">
        <v>103</v>
      </c>
      <c r="U78" s="177" t="s">
        <v>264</v>
      </c>
      <c r="V78" s="177" t="s">
        <v>264</v>
      </c>
      <c r="W78" s="191" t="s">
        <v>11</v>
      </c>
      <c r="X78" s="30" t="s">
        <v>173</v>
      </c>
      <c r="Y78" s="26" t="s">
        <v>173</v>
      </c>
      <c r="Z78" s="26" t="s">
        <v>174</v>
      </c>
      <c r="AA78" s="26" t="s">
        <v>175</v>
      </c>
      <c r="AB78" s="32">
        <f t="shared" si="7"/>
        <v>1</v>
      </c>
      <c r="AC78" s="25">
        <v>1</v>
      </c>
      <c r="AD78" s="104">
        <v>1</v>
      </c>
      <c r="AE78" s="32">
        <v>1</v>
      </c>
      <c r="AF78" s="106"/>
      <c r="AG78" s="106"/>
      <c r="AH78" s="32">
        <f t="shared" si="5"/>
        <v>1</v>
      </c>
      <c r="AI78" s="106"/>
      <c r="AJ78" s="32">
        <v>1</v>
      </c>
      <c r="AK78" s="106"/>
      <c r="AL78" s="106"/>
      <c r="AM78" s="32">
        <f t="shared" si="6"/>
        <v>0</v>
      </c>
      <c r="AN78" s="106"/>
      <c r="AO78" s="106"/>
      <c r="AP78" s="32">
        <v>1</v>
      </c>
      <c r="AQ78" s="106"/>
      <c r="AS78" s="106" t="s">
        <v>2256</v>
      </c>
      <c r="AT78" s="106"/>
      <c r="AU78" s="94" t="s">
        <v>2257</v>
      </c>
    </row>
    <row r="79" spans="1:47">
      <c r="A79" s="105" t="s">
        <v>2258</v>
      </c>
      <c r="B79" s="105" t="s">
        <v>160</v>
      </c>
      <c r="C79" s="105" t="s">
        <v>73</v>
      </c>
      <c r="D79" s="105" t="s">
        <v>2259</v>
      </c>
      <c r="E79" s="105" t="s">
        <v>162</v>
      </c>
      <c r="F79" s="105" t="s">
        <v>2260</v>
      </c>
      <c r="G79" s="105" t="s">
        <v>2261</v>
      </c>
      <c r="H79" s="105" t="s">
        <v>165</v>
      </c>
      <c r="I79" s="105">
        <v>202605.5</v>
      </c>
      <c r="J79" s="107">
        <v>5.27</v>
      </c>
      <c r="K79" s="105" t="s">
        <v>73</v>
      </c>
      <c r="L79" s="105" t="s">
        <v>1976</v>
      </c>
      <c r="M79" s="105" t="s">
        <v>2262</v>
      </c>
      <c r="N79" s="116" t="s">
        <v>2263</v>
      </c>
      <c r="O79" s="105"/>
      <c r="P79" s="177" t="s">
        <v>138</v>
      </c>
      <c r="Q79" s="177" t="s">
        <v>100</v>
      </c>
      <c r="R79" s="177" t="s">
        <v>262</v>
      </c>
      <c r="S79" s="177" t="s">
        <v>584</v>
      </c>
      <c r="T79" s="177" t="s">
        <v>103</v>
      </c>
      <c r="U79" s="177" t="s">
        <v>264</v>
      </c>
      <c r="V79" s="177" t="s">
        <v>264</v>
      </c>
      <c r="W79" s="193" t="s">
        <v>9</v>
      </c>
      <c r="X79" s="30" t="s">
        <v>173</v>
      </c>
      <c r="Y79" s="26" t="s">
        <v>173</v>
      </c>
      <c r="Z79" s="26" t="s">
        <v>174</v>
      </c>
      <c r="AA79" s="26" t="s">
        <v>175</v>
      </c>
      <c r="AB79" s="32">
        <v>1</v>
      </c>
      <c r="AC79" s="25">
        <v>1</v>
      </c>
      <c r="AD79" s="104">
        <v>1</v>
      </c>
      <c r="AE79" s="32">
        <v>1</v>
      </c>
      <c r="AF79" s="106"/>
      <c r="AG79" s="106"/>
      <c r="AH79" s="32">
        <f t="shared" si="5"/>
        <v>1</v>
      </c>
      <c r="AI79" s="106"/>
      <c r="AJ79" s="32">
        <v>1</v>
      </c>
      <c r="AK79" s="106"/>
      <c r="AL79" s="106"/>
      <c r="AM79" s="32">
        <f t="shared" si="6"/>
        <v>0</v>
      </c>
      <c r="AN79" s="106"/>
      <c r="AO79" s="106"/>
      <c r="AP79" s="32">
        <v>1</v>
      </c>
      <c r="AQ79" s="106"/>
      <c r="AS79" s="106" t="s">
        <v>2264</v>
      </c>
      <c r="AT79" s="106"/>
      <c r="AU79" s="75" t="s">
        <v>964</v>
      </c>
    </row>
    <row r="80" spans="1:47">
      <c r="A80" s="105" t="s">
        <v>2265</v>
      </c>
      <c r="B80" s="105" t="s">
        <v>160</v>
      </c>
      <c r="C80" s="105" t="s">
        <v>73</v>
      </c>
      <c r="D80" s="105" t="s">
        <v>2266</v>
      </c>
      <c r="E80" s="105" t="s">
        <v>162</v>
      </c>
      <c r="F80" s="105" t="s">
        <v>2267</v>
      </c>
      <c r="G80" s="105" t="s">
        <v>2268</v>
      </c>
      <c r="H80" s="105" t="s">
        <v>165</v>
      </c>
      <c r="I80" s="105">
        <v>202605.5</v>
      </c>
      <c r="J80" s="107">
        <v>5.27</v>
      </c>
      <c r="K80" s="105" t="s">
        <v>73</v>
      </c>
      <c r="L80" s="105" t="s">
        <v>2135</v>
      </c>
      <c r="M80" s="105" t="s">
        <v>2269</v>
      </c>
      <c r="N80" s="116" t="s">
        <v>2270</v>
      </c>
      <c r="O80" s="105"/>
      <c r="P80" s="177" t="s">
        <v>138</v>
      </c>
      <c r="Q80" s="177" t="s">
        <v>100</v>
      </c>
      <c r="R80" s="177" t="s">
        <v>262</v>
      </c>
      <c r="S80" s="177" t="s">
        <v>584</v>
      </c>
      <c r="T80" s="177" t="s">
        <v>103</v>
      </c>
      <c r="U80" s="177" t="s">
        <v>264</v>
      </c>
      <c r="V80" s="177" t="s">
        <v>264</v>
      </c>
      <c r="W80" s="191" t="s">
        <v>11</v>
      </c>
      <c r="X80" s="30" t="s">
        <v>173</v>
      </c>
      <c r="Y80" s="26" t="s">
        <v>173</v>
      </c>
      <c r="Z80" s="26" t="s">
        <v>174</v>
      </c>
      <c r="AA80" s="26" t="s">
        <v>175</v>
      </c>
      <c r="AB80" s="32">
        <f t="shared" si="7"/>
        <v>1</v>
      </c>
      <c r="AC80" s="25">
        <v>1</v>
      </c>
      <c r="AD80" s="104">
        <v>1</v>
      </c>
      <c r="AE80" s="32">
        <v>1</v>
      </c>
      <c r="AF80" s="106"/>
      <c r="AG80" s="106"/>
      <c r="AH80" s="32">
        <f t="shared" si="5"/>
        <v>1</v>
      </c>
      <c r="AI80" s="106"/>
      <c r="AJ80" s="32">
        <v>1</v>
      </c>
      <c r="AK80" s="106"/>
      <c r="AL80" s="106"/>
      <c r="AM80" s="32">
        <f t="shared" si="6"/>
        <v>0</v>
      </c>
      <c r="AN80" s="106"/>
      <c r="AO80" s="106"/>
      <c r="AP80" s="32">
        <v>1</v>
      </c>
      <c r="AQ80" s="106"/>
      <c r="AS80" s="106" t="s">
        <v>2271</v>
      </c>
      <c r="AT80" s="106"/>
      <c r="AU80" s="75" t="s">
        <v>914</v>
      </c>
    </row>
    <row r="81" spans="1:47">
      <c r="A81" s="105" t="s">
        <v>2272</v>
      </c>
      <c r="B81" s="105" t="s">
        <v>160</v>
      </c>
      <c r="C81" s="105" t="s">
        <v>73</v>
      </c>
      <c r="D81" s="105" t="s">
        <v>2273</v>
      </c>
      <c r="E81" s="105" t="s">
        <v>162</v>
      </c>
      <c r="F81" s="105" t="s">
        <v>2274</v>
      </c>
      <c r="G81" s="105" t="s">
        <v>2275</v>
      </c>
      <c r="H81" s="105" t="s">
        <v>165</v>
      </c>
      <c r="I81" s="105">
        <v>202605.5</v>
      </c>
      <c r="J81" s="107">
        <v>5.27</v>
      </c>
      <c r="K81" s="105" t="s">
        <v>73</v>
      </c>
      <c r="L81" s="105" t="s">
        <v>2081</v>
      </c>
      <c r="M81" s="105" t="s">
        <v>2276</v>
      </c>
      <c r="N81" s="116" t="s">
        <v>2277</v>
      </c>
      <c r="O81" s="105"/>
      <c r="P81" s="177" t="s">
        <v>138</v>
      </c>
      <c r="Q81" s="177" t="s">
        <v>100</v>
      </c>
      <c r="R81" s="177" t="s">
        <v>262</v>
      </c>
      <c r="S81" s="177" t="s">
        <v>584</v>
      </c>
      <c r="T81" s="177" t="s">
        <v>103</v>
      </c>
      <c r="U81" s="177" t="s">
        <v>264</v>
      </c>
      <c r="V81" s="177" t="s">
        <v>264</v>
      </c>
      <c r="W81" s="191" t="s">
        <v>11</v>
      </c>
      <c r="X81" s="30" t="s">
        <v>173</v>
      </c>
      <c r="Y81" s="26" t="s">
        <v>173</v>
      </c>
      <c r="Z81" s="26" t="s">
        <v>174</v>
      </c>
      <c r="AA81" s="26" t="s">
        <v>175</v>
      </c>
      <c r="AB81" s="32">
        <f t="shared" si="7"/>
        <v>1</v>
      </c>
      <c r="AC81" s="25">
        <v>1</v>
      </c>
      <c r="AD81" s="104">
        <v>1</v>
      </c>
      <c r="AE81" s="32">
        <v>1</v>
      </c>
      <c r="AF81" s="106"/>
      <c r="AG81" s="106"/>
      <c r="AH81" s="32">
        <f t="shared" si="5"/>
        <v>1</v>
      </c>
      <c r="AI81" s="106"/>
      <c r="AJ81" s="32">
        <v>1</v>
      </c>
      <c r="AK81" s="106"/>
      <c r="AL81" s="106"/>
      <c r="AM81" s="32">
        <f t="shared" si="6"/>
        <v>0</v>
      </c>
      <c r="AN81" s="106"/>
      <c r="AO81" s="106"/>
      <c r="AP81" s="32">
        <v>1</v>
      </c>
      <c r="AQ81" s="106"/>
      <c r="AS81" s="106" t="s">
        <v>2278</v>
      </c>
      <c r="AT81" s="106"/>
      <c r="AU81" s="75" t="s">
        <v>957</v>
      </c>
    </row>
    <row r="82" spans="1:47">
      <c r="A82" s="105" t="s">
        <v>2279</v>
      </c>
      <c r="B82" s="105" t="s">
        <v>160</v>
      </c>
      <c r="C82" s="105" t="s">
        <v>73</v>
      </c>
      <c r="D82" s="105" t="s">
        <v>2280</v>
      </c>
      <c r="E82" s="105" t="s">
        <v>162</v>
      </c>
      <c r="F82" s="105" t="s">
        <v>2281</v>
      </c>
      <c r="G82" s="105" t="s">
        <v>2282</v>
      </c>
      <c r="H82" s="105" t="s">
        <v>165</v>
      </c>
      <c r="I82" s="105">
        <v>202605.5</v>
      </c>
      <c r="J82" s="107">
        <v>5.27</v>
      </c>
      <c r="K82" s="105" t="s">
        <v>73</v>
      </c>
      <c r="L82" s="105" t="s">
        <v>2112</v>
      </c>
      <c r="M82" s="105" t="s">
        <v>2283</v>
      </c>
      <c r="N82" s="116" t="s">
        <v>2284</v>
      </c>
      <c r="O82" s="105"/>
      <c r="P82" s="177" t="s">
        <v>138</v>
      </c>
      <c r="Q82" s="177" t="s">
        <v>100</v>
      </c>
      <c r="R82" s="177" t="s">
        <v>262</v>
      </c>
      <c r="S82" s="177" t="s">
        <v>584</v>
      </c>
      <c r="T82" s="177" t="s">
        <v>103</v>
      </c>
      <c r="U82" s="177" t="s">
        <v>264</v>
      </c>
      <c r="V82" s="177" t="s">
        <v>264</v>
      </c>
      <c r="W82" s="191" t="s">
        <v>11</v>
      </c>
      <c r="X82" s="30" t="s">
        <v>173</v>
      </c>
      <c r="Y82" s="26" t="s">
        <v>173</v>
      </c>
      <c r="Z82" s="26" t="s">
        <v>174</v>
      </c>
      <c r="AA82" s="26" t="s">
        <v>175</v>
      </c>
      <c r="AB82" s="32">
        <f t="shared" si="7"/>
        <v>1</v>
      </c>
      <c r="AC82" s="25">
        <v>1</v>
      </c>
      <c r="AD82" s="104">
        <v>1</v>
      </c>
      <c r="AE82" s="32">
        <v>1</v>
      </c>
      <c r="AF82" s="106"/>
      <c r="AG82" s="106"/>
      <c r="AH82" s="32">
        <f t="shared" si="5"/>
        <v>1</v>
      </c>
      <c r="AI82" s="106"/>
      <c r="AJ82" s="32">
        <v>1</v>
      </c>
      <c r="AK82" s="106"/>
      <c r="AL82" s="106"/>
      <c r="AM82" s="32">
        <f t="shared" si="6"/>
        <v>0</v>
      </c>
      <c r="AN82" s="106"/>
      <c r="AO82" s="106"/>
      <c r="AP82" s="32">
        <v>1</v>
      </c>
      <c r="AQ82" s="106"/>
      <c r="AS82" s="106" t="s">
        <v>2285</v>
      </c>
      <c r="AT82" s="106"/>
      <c r="AU82" s="75" t="s">
        <v>1042</v>
      </c>
    </row>
    <row r="83" spans="1:47">
      <c r="A83" s="105" t="s">
        <v>2286</v>
      </c>
      <c r="B83" s="105" t="s">
        <v>160</v>
      </c>
      <c r="C83" s="105" t="s">
        <v>73</v>
      </c>
      <c r="D83" s="105" t="s">
        <v>2287</v>
      </c>
      <c r="E83" s="105" t="s">
        <v>162</v>
      </c>
      <c r="F83" s="105" t="s">
        <v>2288</v>
      </c>
      <c r="G83" s="105" t="s">
        <v>2289</v>
      </c>
      <c r="H83" s="105" t="s">
        <v>165</v>
      </c>
      <c r="I83" s="105">
        <v>202605.5</v>
      </c>
      <c r="J83" s="107">
        <v>5.27</v>
      </c>
      <c r="K83" s="105" t="s">
        <v>73</v>
      </c>
      <c r="L83" s="105" t="s">
        <v>2074</v>
      </c>
      <c r="M83" s="105" t="s">
        <v>2290</v>
      </c>
      <c r="N83" s="116" t="s">
        <v>2291</v>
      </c>
      <c r="O83" s="105"/>
      <c r="P83" s="177" t="s">
        <v>138</v>
      </c>
      <c r="Q83" s="177" t="s">
        <v>100</v>
      </c>
      <c r="R83" s="177" t="s">
        <v>262</v>
      </c>
      <c r="S83" s="177" t="s">
        <v>584</v>
      </c>
      <c r="T83" s="177" t="s">
        <v>103</v>
      </c>
      <c r="U83" s="177" t="s">
        <v>264</v>
      </c>
      <c r="V83" s="177" t="s">
        <v>264</v>
      </c>
      <c r="W83" s="191" t="s">
        <v>11</v>
      </c>
      <c r="X83" s="30" t="s">
        <v>173</v>
      </c>
      <c r="Y83" s="26" t="s">
        <v>173</v>
      </c>
      <c r="Z83" s="26" t="s">
        <v>174</v>
      </c>
      <c r="AA83" s="26" t="s">
        <v>175</v>
      </c>
      <c r="AB83" s="32">
        <f t="shared" si="7"/>
        <v>1</v>
      </c>
      <c r="AC83" s="25">
        <v>1</v>
      </c>
      <c r="AD83" s="104">
        <v>1</v>
      </c>
      <c r="AE83" s="32">
        <v>1</v>
      </c>
      <c r="AF83" s="106"/>
      <c r="AG83" s="106"/>
      <c r="AH83" s="32">
        <f t="shared" si="5"/>
        <v>1</v>
      </c>
      <c r="AI83" s="106"/>
      <c r="AJ83" s="32">
        <v>1</v>
      </c>
      <c r="AK83" s="106"/>
      <c r="AL83" s="106"/>
      <c r="AM83" s="32">
        <f t="shared" si="6"/>
        <v>0</v>
      </c>
      <c r="AN83" s="106"/>
      <c r="AO83" s="106"/>
      <c r="AP83" s="32">
        <v>1</v>
      </c>
      <c r="AQ83" s="106"/>
      <c r="AS83" s="106" t="s">
        <v>2292</v>
      </c>
      <c r="AT83" s="106"/>
      <c r="AU83" s="75" t="s">
        <v>993</v>
      </c>
    </row>
    <row r="84" spans="1:47">
      <c r="A84" s="105" t="s">
        <v>2293</v>
      </c>
      <c r="B84" s="105" t="s">
        <v>160</v>
      </c>
      <c r="C84" s="105" t="s">
        <v>73</v>
      </c>
      <c r="D84" s="105" t="s">
        <v>2294</v>
      </c>
      <c r="E84" s="105" t="s">
        <v>162</v>
      </c>
      <c r="F84" s="105" t="s">
        <v>2295</v>
      </c>
      <c r="G84" s="105" t="s">
        <v>2296</v>
      </c>
      <c r="H84" s="105" t="s">
        <v>165</v>
      </c>
      <c r="I84" s="105">
        <v>202605.5</v>
      </c>
      <c r="J84" s="107">
        <v>5.27</v>
      </c>
      <c r="K84" s="105" t="s">
        <v>73</v>
      </c>
      <c r="L84" s="105" t="s">
        <v>1957</v>
      </c>
      <c r="M84" s="105" t="s">
        <v>2297</v>
      </c>
      <c r="N84" s="116" t="s">
        <v>2298</v>
      </c>
      <c r="O84" s="105"/>
      <c r="P84" s="177" t="s">
        <v>138</v>
      </c>
      <c r="Q84" s="177" t="s">
        <v>100</v>
      </c>
      <c r="R84" s="177" t="s">
        <v>262</v>
      </c>
      <c r="S84" s="177" t="s">
        <v>753</v>
      </c>
      <c r="T84" s="177" t="s">
        <v>103</v>
      </c>
      <c r="U84" s="177" t="s">
        <v>264</v>
      </c>
      <c r="V84" s="177" t="s">
        <v>264</v>
      </c>
      <c r="W84" s="193" t="s">
        <v>9</v>
      </c>
      <c r="X84" s="30" t="s">
        <v>173</v>
      </c>
      <c r="Y84" s="26" t="s">
        <v>173</v>
      </c>
      <c r="Z84" s="26" t="s">
        <v>174</v>
      </c>
      <c r="AA84" s="26" t="s">
        <v>175</v>
      </c>
      <c r="AB84" s="32">
        <v>1</v>
      </c>
      <c r="AC84" s="25">
        <v>1</v>
      </c>
      <c r="AD84" s="104">
        <v>1</v>
      </c>
      <c r="AE84" s="32">
        <v>1</v>
      </c>
      <c r="AF84" s="106"/>
      <c r="AG84" s="106"/>
      <c r="AH84" s="32">
        <f t="shared" si="5"/>
        <v>1</v>
      </c>
      <c r="AI84" s="106"/>
      <c r="AJ84" s="32">
        <v>1</v>
      </c>
      <c r="AK84" s="106"/>
      <c r="AL84" s="106"/>
      <c r="AM84" s="32">
        <f t="shared" si="6"/>
        <v>0</v>
      </c>
      <c r="AN84" s="106"/>
      <c r="AO84" s="106"/>
      <c r="AP84" s="32">
        <v>1</v>
      </c>
      <c r="AQ84" s="106"/>
      <c r="AS84" s="106" t="s">
        <v>2299</v>
      </c>
      <c r="AT84" s="106"/>
      <c r="AU84" s="75" t="s">
        <v>1048</v>
      </c>
    </row>
    <row r="85" spans="1:47">
      <c r="A85" s="105" t="s">
        <v>2300</v>
      </c>
      <c r="B85" s="105" t="s">
        <v>160</v>
      </c>
      <c r="C85" s="105" t="s">
        <v>73</v>
      </c>
      <c r="D85" s="105" t="s">
        <v>2301</v>
      </c>
      <c r="E85" s="105" t="s">
        <v>162</v>
      </c>
      <c r="F85" s="105" t="s">
        <v>2302</v>
      </c>
      <c r="G85" s="105" t="s">
        <v>2303</v>
      </c>
      <c r="H85" s="105" t="s">
        <v>165</v>
      </c>
      <c r="I85" s="105">
        <v>202605.5</v>
      </c>
      <c r="J85" s="107">
        <v>5.27</v>
      </c>
      <c r="K85" s="105" t="s">
        <v>73</v>
      </c>
      <c r="L85" s="105" t="s">
        <v>2232</v>
      </c>
      <c r="M85" s="105" t="s">
        <v>2304</v>
      </c>
      <c r="N85" s="116" t="s">
        <v>2305</v>
      </c>
      <c r="O85" s="105"/>
      <c r="P85" s="177" t="s">
        <v>138</v>
      </c>
      <c r="Q85" s="177" t="s">
        <v>100</v>
      </c>
      <c r="R85" s="177" t="s">
        <v>262</v>
      </c>
      <c r="S85" s="177" t="s">
        <v>753</v>
      </c>
      <c r="T85" s="177" t="s">
        <v>103</v>
      </c>
      <c r="U85" s="177" t="s">
        <v>264</v>
      </c>
      <c r="V85" s="177" t="s">
        <v>264</v>
      </c>
      <c r="W85" s="191" t="s">
        <v>13</v>
      </c>
      <c r="X85" s="30" t="s">
        <v>173</v>
      </c>
      <c r="Y85" s="26" t="s">
        <v>173</v>
      </c>
      <c r="Z85" s="26" t="s">
        <v>174</v>
      </c>
      <c r="AA85" s="26" t="s">
        <v>175</v>
      </c>
      <c r="AB85" s="32">
        <f t="shared" si="7"/>
        <v>1</v>
      </c>
      <c r="AC85" s="25">
        <v>1</v>
      </c>
      <c r="AD85" s="104">
        <v>1</v>
      </c>
      <c r="AE85" s="32">
        <v>1</v>
      </c>
      <c r="AF85" s="106"/>
      <c r="AG85" s="106"/>
      <c r="AH85" s="32">
        <f t="shared" si="5"/>
        <v>1</v>
      </c>
      <c r="AI85" s="106"/>
      <c r="AJ85" s="32">
        <v>1</v>
      </c>
      <c r="AK85" s="106"/>
      <c r="AL85" s="106"/>
      <c r="AM85" s="32">
        <f t="shared" si="6"/>
        <v>0</v>
      </c>
      <c r="AN85" s="106"/>
      <c r="AO85" s="106"/>
      <c r="AP85" s="32">
        <v>1</v>
      </c>
      <c r="AQ85" s="106"/>
      <c r="AS85" s="106" t="s">
        <v>2306</v>
      </c>
      <c r="AT85" s="106"/>
      <c r="AU85" s="75" t="s">
        <v>1062</v>
      </c>
    </row>
    <row r="86" spans="1:47">
      <c r="A86" s="105" t="s">
        <v>2307</v>
      </c>
      <c r="B86" s="105" t="s">
        <v>160</v>
      </c>
      <c r="C86" s="105" t="s">
        <v>73</v>
      </c>
      <c r="D86" s="105" t="s">
        <v>2308</v>
      </c>
      <c r="E86" s="105" t="s">
        <v>162</v>
      </c>
      <c r="F86" s="105" t="s">
        <v>2309</v>
      </c>
      <c r="G86" s="105" t="s">
        <v>2310</v>
      </c>
      <c r="H86" s="105" t="s">
        <v>165</v>
      </c>
      <c r="I86" s="105">
        <v>202605.5</v>
      </c>
      <c r="J86" s="107">
        <v>5.27</v>
      </c>
      <c r="K86" s="105" t="s">
        <v>73</v>
      </c>
      <c r="L86" s="105" t="s">
        <v>2224</v>
      </c>
      <c r="M86" s="105" t="s">
        <v>2311</v>
      </c>
      <c r="N86" s="116" t="s">
        <v>2312</v>
      </c>
      <c r="O86" s="105"/>
      <c r="P86" s="177" t="s">
        <v>138</v>
      </c>
      <c r="Q86" s="177" t="s">
        <v>100</v>
      </c>
      <c r="R86" s="177" t="s">
        <v>262</v>
      </c>
      <c r="S86" s="177" t="s">
        <v>753</v>
      </c>
      <c r="T86" s="177" t="s">
        <v>103</v>
      </c>
      <c r="U86" s="177" t="s">
        <v>264</v>
      </c>
      <c r="V86" s="177" t="s">
        <v>264</v>
      </c>
      <c r="W86" s="191" t="s">
        <v>13</v>
      </c>
      <c r="X86" s="30" t="s">
        <v>173</v>
      </c>
      <c r="Y86" s="26" t="s">
        <v>173</v>
      </c>
      <c r="Z86" s="26" t="s">
        <v>174</v>
      </c>
      <c r="AA86" s="26" t="s">
        <v>175</v>
      </c>
      <c r="AB86" s="32">
        <f t="shared" si="7"/>
        <v>1</v>
      </c>
      <c r="AC86" s="25">
        <v>1</v>
      </c>
      <c r="AD86" s="104">
        <v>1</v>
      </c>
      <c r="AE86" s="32">
        <v>1</v>
      </c>
      <c r="AF86" s="106"/>
      <c r="AG86" s="106"/>
      <c r="AH86" s="32">
        <f t="shared" si="5"/>
        <v>1</v>
      </c>
      <c r="AI86" s="106"/>
      <c r="AJ86" s="32">
        <v>1</v>
      </c>
      <c r="AK86" s="106"/>
      <c r="AL86" s="106"/>
      <c r="AM86" s="32">
        <f t="shared" si="6"/>
        <v>0</v>
      </c>
      <c r="AN86" s="106"/>
      <c r="AO86" s="106"/>
      <c r="AP86" s="32">
        <v>1</v>
      </c>
      <c r="AQ86" s="106"/>
      <c r="AS86" s="106" t="s">
        <v>2313</v>
      </c>
      <c r="AT86" s="106"/>
      <c r="AU86" s="75" t="s">
        <v>987</v>
      </c>
    </row>
    <row r="87" spans="1:47">
      <c r="A87" s="105" t="s">
        <v>2314</v>
      </c>
      <c r="B87" s="105" t="s">
        <v>160</v>
      </c>
      <c r="C87" s="105" t="s">
        <v>73</v>
      </c>
      <c r="D87" s="105" t="s">
        <v>2315</v>
      </c>
      <c r="E87" s="105" t="s">
        <v>162</v>
      </c>
      <c r="F87" s="105" t="s">
        <v>2316</v>
      </c>
      <c r="G87" s="105" t="s">
        <v>2317</v>
      </c>
      <c r="H87" s="105" t="s">
        <v>165</v>
      </c>
      <c r="I87" s="105">
        <v>202605.5</v>
      </c>
      <c r="J87" s="107">
        <v>5.27</v>
      </c>
      <c r="K87" s="105" t="s">
        <v>73</v>
      </c>
      <c r="L87" s="105" t="s">
        <v>2318</v>
      </c>
      <c r="M87" s="105" t="s">
        <v>2319</v>
      </c>
      <c r="N87" s="116" t="s">
        <v>2320</v>
      </c>
      <c r="O87" s="105"/>
      <c r="P87" s="177" t="s">
        <v>138</v>
      </c>
      <c r="Q87" s="177" t="s">
        <v>100</v>
      </c>
      <c r="R87" s="177" t="s">
        <v>262</v>
      </c>
      <c r="S87" s="177" t="s">
        <v>753</v>
      </c>
      <c r="T87" s="177" t="s">
        <v>103</v>
      </c>
      <c r="U87" s="177" t="s">
        <v>264</v>
      </c>
      <c r="V87" s="177" t="s">
        <v>264</v>
      </c>
      <c r="W87" s="191" t="s">
        <v>13</v>
      </c>
      <c r="X87" s="30" t="s">
        <v>173</v>
      </c>
      <c r="Y87" s="26" t="s">
        <v>173</v>
      </c>
      <c r="Z87" s="26" t="s">
        <v>174</v>
      </c>
      <c r="AA87" s="26" t="s">
        <v>175</v>
      </c>
      <c r="AB87" s="32">
        <f t="shared" si="7"/>
        <v>1</v>
      </c>
      <c r="AC87" s="25">
        <v>1</v>
      </c>
      <c r="AD87" s="104">
        <v>1</v>
      </c>
      <c r="AE87" s="32">
        <v>1</v>
      </c>
      <c r="AF87" s="106"/>
      <c r="AG87" s="106"/>
      <c r="AH87" s="32">
        <f t="shared" si="5"/>
        <v>1</v>
      </c>
      <c r="AI87" s="106"/>
      <c r="AJ87" s="32">
        <v>1</v>
      </c>
      <c r="AK87" s="106"/>
      <c r="AL87" s="106"/>
      <c r="AM87" s="32">
        <f t="shared" si="6"/>
        <v>0</v>
      </c>
      <c r="AN87" s="106"/>
      <c r="AO87" s="106"/>
      <c r="AP87" s="32">
        <v>1</v>
      </c>
      <c r="AQ87" s="106"/>
      <c r="AS87" s="106" t="s">
        <v>2321</v>
      </c>
      <c r="AT87" s="106"/>
      <c r="AU87" s="75" t="s">
        <v>936</v>
      </c>
    </row>
    <row r="88" spans="1:47">
      <c r="A88" s="105" t="s">
        <v>2322</v>
      </c>
      <c r="B88" s="105" t="s">
        <v>160</v>
      </c>
      <c r="C88" s="105" t="s">
        <v>73</v>
      </c>
      <c r="D88" s="105" t="s">
        <v>2323</v>
      </c>
      <c r="E88" s="105" t="s">
        <v>162</v>
      </c>
      <c r="F88" s="105" t="s">
        <v>2324</v>
      </c>
      <c r="G88" s="105" t="s">
        <v>2325</v>
      </c>
      <c r="H88" s="105" t="s">
        <v>165</v>
      </c>
      <c r="I88" s="105">
        <v>202605.5</v>
      </c>
      <c r="J88" s="107">
        <v>5.27</v>
      </c>
      <c r="K88" s="105" t="s">
        <v>73</v>
      </c>
      <c r="L88" s="105" t="s">
        <v>2326</v>
      </c>
      <c r="M88" s="105" t="s">
        <v>2327</v>
      </c>
      <c r="N88" s="116" t="s">
        <v>2328</v>
      </c>
      <c r="O88" s="105"/>
      <c r="P88" s="177" t="s">
        <v>138</v>
      </c>
      <c r="Q88" s="177" t="s">
        <v>100</v>
      </c>
      <c r="R88" s="177" t="s">
        <v>262</v>
      </c>
      <c r="S88" s="177" t="s">
        <v>753</v>
      </c>
      <c r="T88" s="177" t="s">
        <v>103</v>
      </c>
      <c r="U88" s="177" t="s">
        <v>264</v>
      </c>
      <c r="V88" s="177" t="s">
        <v>264</v>
      </c>
      <c r="W88" s="191" t="s">
        <v>13</v>
      </c>
      <c r="X88" s="30" t="s">
        <v>173</v>
      </c>
      <c r="Y88" s="26" t="s">
        <v>173</v>
      </c>
      <c r="Z88" s="26" t="s">
        <v>174</v>
      </c>
      <c r="AA88" s="26" t="s">
        <v>175</v>
      </c>
      <c r="AB88" s="32">
        <f t="shared" si="7"/>
        <v>1</v>
      </c>
      <c r="AC88" s="25">
        <v>1</v>
      </c>
      <c r="AD88" s="104">
        <v>1</v>
      </c>
      <c r="AE88" s="32">
        <v>1</v>
      </c>
      <c r="AF88" s="106"/>
      <c r="AG88" s="106"/>
      <c r="AH88" s="32">
        <f t="shared" si="5"/>
        <v>1</v>
      </c>
      <c r="AI88" s="106"/>
      <c r="AJ88" s="32">
        <v>1</v>
      </c>
      <c r="AK88" s="106"/>
      <c r="AL88" s="106"/>
      <c r="AM88" s="32">
        <f t="shared" si="6"/>
        <v>0</v>
      </c>
      <c r="AN88" s="106"/>
      <c r="AO88" s="106"/>
      <c r="AP88" s="32">
        <v>1</v>
      </c>
      <c r="AQ88" s="106"/>
      <c r="AS88" s="106" t="s">
        <v>2329</v>
      </c>
      <c r="AT88" s="106"/>
      <c r="AU88" s="75" t="s">
        <v>985</v>
      </c>
    </row>
    <row r="89" spans="1:47">
      <c r="A89" s="105" t="s">
        <v>2330</v>
      </c>
      <c r="B89" s="105" t="s">
        <v>160</v>
      </c>
      <c r="C89" s="105" t="s">
        <v>73</v>
      </c>
      <c r="D89" s="105" t="s">
        <v>2331</v>
      </c>
      <c r="E89" s="105" t="s">
        <v>162</v>
      </c>
      <c r="F89" s="105" t="s">
        <v>2332</v>
      </c>
      <c r="G89" s="105" t="s">
        <v>2333</v>
      </c>
      <c r="H89" s="105" t="s">
        <v>165</v>
      </c>
      <c r="I89" s="105">
        <v>202605.5</v>
      </c>
      <c r="J89" s="107">
        <v>5.27</v>
      </c>
      <c r="K89" s="105" t="s">
        <v>73</v>
      </c>
      <c r="L89" s="105" t="s">
        <v>2334</v>
      </c>
      <c r="M89" s="105" t="s">
        <v>2335</v>
      </c>
      <c r="N89" s="116" t="s">
        <v>2336</v>
      </c>
      <c r="O89" s="105"/>
      <c r="P89" s="177" t="s">
        <v>138</v>
      </c>
      <c r="Q89" s="177" t="s">
        <v>100</v>
      </c>
      <c r="R89" s="177" t="s">
        <v>262</v>
      </c>
      <c r="S89" s="177" t="s">
        <v>753</v>
      </c>
      <c r="T89" s="177" t="s">
        <v>103</v>
      </c>
      <c r="U89" s="177" t="s">
        <v>264</v>
      </c>
      <c r="V89" s="177" t="s">
        <v>264</v>
      </c>
      <c r="W89" s="191" t="s">
        <v>13</v>
      </c>
      <c r="X89" s="30" t="s">
        <v>173</v>
      </c>
      <c r="Y89" s="26" t="s">
        <v>173</v>
      </c>
      <c r="Z89" s="26" t="s">
        <v>174</v>
      </c>
      <c r="AA89" s="26" t="s">
        <v>175</v>
      </c>
      <c r="AB89" s="32">
        <f t="shared" si="7"/>
        <v>1</v>
      </c>
      <c r="AC89" s="25">
        <v>1</v>
      </c>
      <c r="AD89" s="104">
        <v>1</v>
      </c>
      <c r="AE89" s="32">
        <v>1</v>
      </c>
      <c r="AF89" s="106"/>
      <c r="AG89" s="106"/>
      <c r="AH89" s="32">
        <f t="shared" si="5"/>
        <v>1</v>
      </c>
      <c r="AI89" s="106"/>
      <c r="AJ89" s="32">
        <v>1</v>
      </c>
      <c r="AK89" s="106"/>
      <c r="AL89" s="106"/>
      <c r="AM89" s="32">
        <f t="shared" si="6"/>
        <v>0</v>
      </c>
      <c r="AN89" s="106"/>
      <c r="AO89" s="106"/>
      <c r="AP89" s="32">
        <v>1</v>
      </c>
      <c r="AQ89" s="106"/>
      <c r="AS89" s="106" t="s">
        <v>2337</v>
      </c>
      <c r="AT89" s="106"/>
      <c r="AU89" s="75" t="s">
        <v>1011</v>
      </c>
    </row>
    <row r="90" spans="1:47">
      <c r="A90" s="105" t="s">
        <v>2338</v>
      </c>
      <c r="B90" s="105" t="s">
        <v>160</v>
      </c>
      <c r="C90" s="105" t="s">
        <v>73</v>
      </c>
      <c r="D90" s="105" t="s">
        <v>2339</v>
      </c>
      <c r="E90" s="105" t="s">
        <v>162</v>
      </c>
      <c r="F90" s="105" t="s">
        <v>2340</v>
      </c>
      <c r="G90" s="105" t="s">
        <v>2341</v>
      </c>
      <c r="H90" s="105" t="s">
        <v>165</v>
      </c>
      <c r="I90" s="105">
        <v>202605.5</v>
      </c>
      <c r="J90" s="107">
        <v>5.27</v>
      </c>
      <c r="K90" s="105" t="s">
        <v>73</v>
      </c>
      <c r="L90" s="105" t="s">
        <v>2337</v>
      </c>
      <c r="M90" s="105" t="s">
        <v>2342</v>
      </c>
      <c r="N90" s="116" t="s">
        <v>2343</v>
      </c>
      <c r="O90" s="105"/>
      <c r="P90" s="177" t="s">
        <v>138</v>
      </c>
      <c r="Q90" s="177" t="s">
        <v>100</v>
      </c>
      <c r="R90" s="177" t="s">
        <v>262</v>
      </c>
      <c r="S90" s="177" t="s">
        <v>753</v>
      </c>
      <c r="T90" s="177" t="s">
        <v>103</v>
      </c>
      <c r="U90" s="177" t="s">
        <v>264</v>
      </c>
      <c r="V90" s="177" t="s">
        <v>264</v>
      </c>
      <c r="W90" s="191" t="s">
        <v>13</v>
      </c>
      <c r="X90" s="30" t="s">
        <v>173</v>
      </c>
      <c r="Y90" s="26" t="s">
        <v>173</v>
      </c>
      <c r="Z90" s="26" t="s">
        <v>174</v>
      </c>
      <c r="AA90" s="26" t="s">
        <v>175</v>
      </c>
      <c r="AB90" s="32">
        <f t="shared" si="7"/>
        <v>1</v>
      </c>
      <c r="AC90" s="25">
        <v>1</v>
      </c>
      <c r="AD90" s="104">
        <v>1</v>
      </c>
      <c r="AE90" s="32">
        <v>1</v>
      </c>
      <c r="AF90" s="106"/>
      <c r="AG90" s="106"/>
      <c r="AH90" s="32">
        <f t="shared" si="5"/>
        <v>1</v>
      </c>
      <c r="AI90" s="106"/>
      <c r="AJ90" s="32">
        <v>1</v>
      </c>
      <c r="AK90" s="106"/>
      <c r="AL90" s="106"/>
      <c r="AM90" s="32">
        <f t="shared" si="6"/>
        <v>0</v>
      </c>
      <c r="AN90" s="106"/>
      <c r="AO90" s="106"/>
      <c r="AP90" s="32">
        <v>1</v>
      </c>
      <c r="AQ90" s="106"/>
      <c r="AS90" s="106" t="s">
        <v>2334</v>
      </c>
      <c r="AT90" s="106"/>
      <c r="AU90" s="75" t="s">
        <v>922</v>
      </c>
    </row>
    <row r="91" spans="1:47">
      <c r="A91" s="105" t="s">
        <v>2344</v>
      </c>
      <c r="B91" s="105" t="s">
        <v>160</v>
      </c>
      <c r="C91" s="105" t="s">
        <v>73</v>
      </c>
      <c r="D91" s="105" t="s">
        <v>2345</v>
      </c>
      <c r="E91" s="105" t="s">
        <v>162</v>
      </c>
      <c r="F91" s="105" t="s">
        <v>2346</v>
      </c>
      <c r="G91" s="105" t="s">
        <v>2347</v>
      </c>
      <c r="H91" s="105" t="s">
        <v>165</v>
      </c>
      <c r="I91" s="105">
        <v>202605.5</v>
      </c>
      <c r="J91" s="107">
        <v>5.27</v>
      </c>
      <c r="K91" s="105" t="s">
        <v>73</v>
      </c>
      <c r="L91" s="105" t="s">
        <v>2329</v>
      </c>
      <c r="M91" s="105" t="s">
        <v>2348</v>
      </c>
      <c r="N91" s="116" t="s">
        <v>2349</v>
      </c>
      <c r="O91" s="105"/>
      <c r="P91" s="177" t="s">
        <v>138</v>
      </c>
      <c r="Q91" s="177" t="s">
        <v>100</v>
      </c>
      <c r="R91" s="177" t="s">
        <v>262</v>
      </c>
      <c r="S91" s="177" t="s">
        <v>753</v>
      </c>
      <c r="T91" s="177" t="s">
        <v>103</v>
      </c>
      <c r="U91" s="177" t="s">
        <v>264</v>
      </c>
      <c r="V91" s="177" t="s">
        <v>264</v>
      </c>
      <c r="W91" s="191" t="s">
        <v>13</v>
      </c>
      <c r="X91" s="30" t="s">
        <v>173</v>
      </c>
      <c r="Y91" s="26" t="s">
        <v>173</v>
      </c>
      <c r="Z91" s="26" t="s">
        <v>174</v>
      </c>
      <c r="AA91" s="26" t="s">
        <v>175</v>
      </c>
      <c r="AB91" s="32">
        <f t="shared" si="7"/>
        <v>1</v>
      </c>
      <c r="AC91" s="25">
        <v>1</v>
      </c>
      <c r="AD91" s="104">
        <v>1</v>
      </c>
      <c r="AE91" s="32">
        <v>1</v>
      </c>
      <c r="AF91" s="106"/>
      <c r="AG91" s="106"/>
      <c r="AH91" s="32">
        <f t="shared" si="5"/>
        <v>1</v>
      </c>
      <c r="AI91" s="106"/>
      <c r="AJ91" s="32">
        <v>1</v>
      </c>
      <c r="AK91" s="106"/>
      <c r="AL91" s="106"/>
      <c r="AM91" s="32">
        <f t="shared" si="6"/>
        <v>0</v>
      </c>
      <c r="AN91" s="106"/>
      <c r="AO91" s="106"/>
      <c r="AP91" s="32">
        <v>1</v>
      </c>
      <c r="AQ91" s="106"/>
      <c r="AS91" s="106" t="s">
        <v>2326</v>
      </c>
      <c r="AT91" s="106"/>
      <c r="AU91" s="75" t="s">
        <v>1003</v>
      </c>
    </row>
    <row r="92" spans="1:47">
      <c r="A92" s="105" t="s">
        <v>2350</v>
      </c>
      <c r="B92" s="105" t="s">
        <v>160</v>
      </c>
      <c r="C92" s="105" t="s">
        <v>73</v>
      </c>
      <c r="D92" s="105" t="s">
        <v>2351</v>
      </c>
      <c r="E92" s="105" t="s">
        <v>162</v>
      </c>
      <c r="F92" s="105" t="s">
        <v>2352</v>
      </c>
      <c r="G92" s="105" t="s">
        <v>2353</v>
      </c>
      <c r="H92" s="105" t="s">
        <v>165</v>
      </c>
      <c r="I92" s="105">
        <v>202605.5</v>
      </c>
      <c r="J92" s="107">
        <v>5.27</v>
      </c>
      <c r="K92" s="105" t="s">
        <v>73</v>
      </c>
      <c r="L92" s="105" t="s">
        <v>2321</v>
      </c>
      <c r="M92" s="105" t="s">
        <v>2354</v>
      </c>
      <c r="N92" s="116" t="s">
        <v>2355</v>
      </c>
      <c r="O92" s="105"/>
      <c r="P92" s="177" t="s">
        <v>138</v>
      </c>
      <c r="Q92" s="177" t="s">
        <v>100</v>
      </c>
      <c r="R92" s="177" t="s">
        <v>262</v>
      </c>
      <c r="S92" s="177" t="s">
        <v>753</v>
      </c>
      <c r="T92" s="177" t="s">
        <v>103</v>
      </c>
      <c r="U92" s="177" t="s">
        <v>264</v>
      </c>
      <c r="V92" s="177" t="s">
        <v>264</v>
      </c>
      <c r="W92" s="191" t="s">
        <v>13</v>
      </c>
      <c r="X92" s="30" t="s">
        <v>173</v>
      </c>
      <c r="Y92" s="26" t="s">
        <v>173</v>
      </c>
      <c r="Z92" s="26" t="s">
        <v>174</v>
      </c>
      <c r="AA92" s="26" t="s">
        <v>175</v>
      </c>
      <c r="AB92" s="32">
        <f t="shared" si="7"/>
        <v>1</v>
      </c>
      <c r="AC92" s="25">
        <v>1</v>
      </c>
      <c r="AD92" s="104">
        <v>1</v>
      </c>
      <c r="AE92" s="32">
        <v>1</v>
      </c>
      <c r="AF92" s="106"/>
      <c r="AG92" s="106"/>
      <c r="AH92" s="32">
        <f t="shared" si="5"/>
        <v>1</v>
      </c>
      <c r="AI92" s="106"/>
      <c r="AJ92" s="32">
        <v>1</v>
      </c>
      <c r="AK92" s="106"/>
      <c r="AL92" s="106"/>
      <c r="AM92" s="32">
        <f t="shared" si="6"/>
        <v>0</v>
      </c>
      <c r="AN92" s="106"/>
      <c r="AO92" s="106"/>
      <c r="AP92" s="32">
        <v>1</v>
      </c>
      <c r="AQ92" s="106"/>
      <c r="AS92" s="106" t="s">
        <v>2356</v>
      </c>
      <c r="AT92" s="106"/>
      <c r="AU92" s="75" t="s">
        <v>995</v>
      </c>
    </row>
    <row r="93" spans="1:47">
      <c r="A93" s="105" t="s">
        <v>2357</v>
      </c>
      <c r="B93" s="105" t="s">
        <v>160</v>
      </c>
      <c r="C93" s="105" t="s">
        <v>73</v>
      </c>
      <c r="D93" s="105" t="s">
        <v>2358</v>
      </c>
      <c r="E93" s="105" t="s">
        <v>162</v>
      </c>
      <c r="F93" s="105" t="s">
        <v>2359</v>
      </c>
      <c r="G93" s="105" t="s">
        <v>2360</v>
      </c>
      <c r="H93" s="105" t="s">
        <v>165</v>
      </c>
      <c r="I93" s="105">
        <v>202605.5</v>
      </c>
      <c r="J93" s="107">
        <v>5.27</v>
      </c>
      <c r="K93" s="105" t="s">
        <v>73</v>
      </c>
      <c r="L93" s="105" t="s">
        <v>2313</v>
      </c>
      <c r="M93" s="105" t="s">
        <v>2361</v>
      </c>
      <c r="N93" s="116" t="s">
        <v>2362</v>
      </c>
      <c r="O93" s="105"/>
      <c r="P93" s="177" t="s">
        <v>138</v>
      </c>
      <c r="Q93" s="177" t="s">
        <v>100</v>
      </c>
      <c r="R93" s="177" t="s">
        <v>262</v>
      </c>
      <c r="S93" s="177" t="s">
        <v>753</v>
      </c>
      <c r="T93" s="177" t="s">
        <v>103</v>
      </c>
      <c r="U93" s="177" t="s">
        <v>264</v>
      </c>
      <c r="V93" s="177" t="s">
        <v>264</v>
      </c>
      <c r="W93" s="191" t="s">
        <v>13</v>
      </c>
      <c r="X93" s="30" t="s">
        <v>173</v>
      </c>
      <c r="Y93" s="26" t="s">
        <v>173</v>
      </c>
      <c r="Z93" s="26" t="s">
        <v>174</v>
      </c>
      <c r="AA93" s="26" t="s">
        <v>175</v>
      </c>
      <c r="AB93" s="32">
        <f t="shared" si="7"/>
        <v>1</v>
      </c>
      <c r="AC93" s="25">
        <v>1</v>
      </c>
      <c r="AD93" s="104">
        <v>1</v>
      </c>
      <c r="AE93" s="32">
        <v>1</v>
      </c>
      <c r="AF93" s="106"/>
      <c r="AG93" s="106"/>
      <c r="AH93" s="32">
        <f t="shared" si="5"/>
        <v>1</v>
      </c>
      <c r="AI93" s="106"/>
      <c r="AJ93" s="32">
        <v>1</v>
      </c>
      <c r="AK93" s="106"/>
      <c r="AL93" s="106"/>
      <c r="AM93" s="32">
        <f t="shared" si="6"/>
        <v>0</v>
      </c>
      <c r="AN93" s="106"/>
      <c r="AO93" s="106"/>
      <c r="AP93" s="194" t="s">
        <v>405</v>
      </c>
      <c r="AQ93" s="104">
        <v>1</v>
      </c>
      <c r="AR93" s="185" t="s">
        <v>194</v>
      </c>
      <c r="AS93" s="106" t="s">
        <v>2363</v>
      </c>
      <c r="AT93" s="106"/>
      <c r="AU93" s="75" t="s">
        <v>1018</v>
      </c>
    </row>
    <row r="94" spans="1:47">
      <c r="A94" s="105" t="s">
        <v>2364</v>
      </c>
      <c r="B94" s="105" t="s">
        <v>160</v>
      </c>
      <c r="C94" s="105" t="s">
        <v>73</v>
      </c>
      <c r="D94" s="105" t="s">
        <v>2365</v>
      </c>
      <c r="E94" s="105" t="s">
        <v>162</v>
      </c>
      <c r="F94" s="105" t="s">
        <v>2366</v>
      </c>
      <c r="G94" s="105" t="s">
        <v>2367</v>
      </c>
      <c r="H94" s="105" t="s">
        <v>165</v>
      </c>
      <c r="I94" s="105">
        <v>202605.5</v>
      </c>
      <c r="J94" s="107">
        <v>5.27</v>
      </c>
      <c r="K94" s="105" t="s">
        <v>73</v>
      </c>
      <c r="L94" s="105" t="s">
        <v>2306</v>
      </c>
      <c r="M94" s="105" t="s">
        <v>2368</v>
      </c>
      <c r="N94" s="116" t="s">
        <v>2369</v>
      </c>
      <c r="O94" s="105"/>
      <c r="P94" s="177" t="s">
        <v>138</v>
      </c>
      <c r="Q94" s="177" t="s">
        <v>100</v>
      </c>
      <c r="R94" s="177" t="s">
        <v>262</v>
      </c>
      <c r="S94" s="177" t="s">
        <v>753</v>
      </c>
      <c r="T94" s="177" t="s">
        <v>103</v>
      </c>
      <c r="U94" s="177" t="s">
        <v>264</v>
      </c>
      <c r="V94" s="177" t="s">
        <v>264</v>
      </c>
      <c r="W94" s="191" t="s">
        <v>13</v>
      </c>
      <c r="X94" s="30" t="s">
        <v>173</v>
      </c>
      <c r="Y94" s="26" t="s">
        <v>173</v>
      </c>
      <c r="Z94" s="26" t="s">
        <v>174</v>
      </c>
      <c r="AA94" s="26" t="s">
        <v>175</v>
      </c>
      <c r="AB94" s="32">
        <f t="shared" si="7"/>
        <v>1</v>
      </c>
      <c r="AC94" s="25">
        <v>1</v>
      </c>
      <c r="AD94" s="104">
        <v>1</v>
      </c>
      <c r="AE94" s="32">
        <v>1</v>
      </c>
      <c r="AF94" s="106"/>
      <c r="AG94" s="106"/>
      <c r="AH94" s="32">
        <f t="shared" si="5"/>
        <v>1</v>
      </c>
      <c r="AI94" s="106"/>
      <c r="AJ94" s="32">
        <v>1</v>
      </c>
      <c r="AK94" s="106"/>
      <c r="AL94" s="106"/>
      <c r="AM94" s="32">
        <f t="shared" si="6"/>
        <v>0</v>
      </c>
      <c r="AN94" s="106"/>
      <c r="AO94" s="106"/>
      <c r="AP94" s="32">
        <v>1</v>
      </c>
      <c r="AQ94" s="106"/>
      <c r="AS94" s="106" t="s">
        <v>2370</v>
      </c>
      <c r="AT94" s="106"/>
      <c r="AU94" s="75" t="s">
        <v>929</v>
      </c>
    </row>
    <row r="95" spans="1:47">
      <c r="A95" s="105" t="s">
        <v>2371</v>
      </c>
      <c r="B95" s="105" t="s">
        <v>160</v>
      </c>
      <c r="C95" s="105" t="s">
        <v>73</v>
      </c>
      <c r="D95" s="105" t="s">
        <v>2372</v>
      </c>
      <c r="E95" s="105" t="s">
        <v>162</v>
      </c>
      <c r="F95" s="105" t="s">
        <v>2373</v>
      </c>
      <c r="G95" s="105" t="s">
        <v>2374</v>
      </c>
      <c r="H95" s="105" t="s">
        <v>165</v>
      </c>
      <c r="I95" s="105">
        <v>202605.5</v>
      </c>
      <c r="J95" s="107">
        <v>5.27</v>
      </c>
      <c r="K95" s="105" t="s">
        <v>73</v>
      </c>
      <c r="L95" s="105" t="s">
        <v>2299</v>
      </c>
      <c r="M95" s="105" t="s">
        <v>2375</v>
      </c>
      <c r="N95" s="116" t="s">
        <v>2376</v>
      </c>
      <c r="O95" s="105"/>
      <c r="P95" s="177" t="s">
        <v>138</v>
      </c>
      <c r="Q95" s="177" t="s">
        <v>100</v>
      </c>
      <c r="R95" s="177" t="s">
        <v>262</v>
      </c>
      <c r="S95" s="177" t="s">
        <v>753</v>
      </c>
      <c r="T95" s="177" t="s">
        <v>103</v>
      </c>
      <c r="U95" s="177" t="s">
        <v>264</v>
      </c>
      <c r="V95" s="177" t="s">
        <v>264</v>
      </c>
      <c r="W95" s="191" t="s">
        <v>13</v>
      </c>
      <c r="X95" s="30" t="s">
        <v>173</v>
      </c>
      <c r="Y95" s="26" t="s">
        <v>173</v>
      </c>
      <c r="Z95" s="26" t="s">
        <v>174</v>
      </c>
      <c r="AA95" s="26" t="s">
        <v>175</v>
      </c>
      <c r="AB95" s="32">
        <f t="shared" si="7"/>
        <v>1</v>
      </c>
      <c r="AC95" s="25">
        <v>1</v>
      </c>
      <c r="AD95" s="104">
        <v>1</v>
      </c>
      <c r="AE95" s="32">
        <v>1</v>
      </c>
      <c r="AF95" s="106"/>
      <c r="AG95" s="106"/>
      <c r="AH95" s="32">
        <f t="shared" si="5"/>
        <v>1</v>
      </c>
      <c r="AI95" s="106"/>
      <c r="AJ95" s="32">
        <v>1</v>
      </c>
      <c r="AK95" s="106"/>
      <c r="AL95" s="106"/>
      <c r="AM95" s="32">
        <f t="shared" si="6"/>
        <v>0</v>
      </c>
      <c r="AN95" s="106"/>
      <c r="AO95" s="106"/>
      <c r="AP95" s="32">
        <v>1</v>
      </c>
      <c r="AQ95" s="106"/>
      <c r="AS95" s="106" t="s">
        <v>2377</v>
      </c>
      <c r="AT95" s="106"/>
      <c r="AU95" s="75" t="s">
        <v>979</v>
      </c>
    </row>
    <row r="96" spans="1:47">
      <c r="A96" s="105" t="s">
        <v>2378</v>
      </c>
      <c r="B96" s="105" t="s">
        <v>160</v>
      </c>
      <c r="C96" s="105" t="s">
        <v>73</v>
      </c>
      <c r="D96" s="105" t="s">
        <v>2379</v>
      </c>
      <c r="E96" s="105" t="s">
        <v>162</v>
      </c>
      <c r="F96" s="105" t="s">
        <v>2380</v>
      </c>
      <c r="G96" s="105" t="s">
        <v>2381</v>
      </c>
      <c r="H96" s="105" t="s">
        <v>165</v>
      </c>
      <c r="I96" s="105">
        <v>202605.5</v>
      </c>
      <c r="J96" s="107">
        <v>5.27</v>
      </c>
      <c r="K96" s="105" t="s">
        <v>73</v>
      </c>
      <c r="L96" s="105" t="s">
        <v>2382</v>
      </c>
      <c r="M96" s="105" t="s">
        <v>2383</v>
      </c>
      <c r="N96" s="116" t="s">
        <v>2384</v>
      </c>
      <c r="O96" s="105"/>
      <c r="P96" s="177" t="s">
        <v>138</v>
      </c>
      <c r="Q96" s="177" t="s">
        <v>100</v>
      </c>
      <c r="R96" s="177" t="s">
        <v>262</v>
      </c>
      <c r="S96" s="177" t="s">
        <v>753</v>
      </c>
      <c r="T96" s="177" t="s">
        <v>103</v>
      </c>
      <c r="U96" s="177" t="s">
        <v>264</v>
      </c>
      <c r="V96" s="177" t="s">
        <v>264</v>
      </c>
      <c r="W96" s="191" t="s">
        <v>13</v>
      </c>
      <c r="X96" s="30" t="s">
        <v>173</v>
      </c>
      <c r="Y96" s="26" t="s">
        <v>173</v>
      </c>
      <c r="Z96" s="26" t="s">
        <v>174</v>
      </c>
      <c r="AA96" s="26" t="s">
        <v>175</v>
      </c>
      <c r="AB96" s="32">
        <f t="shared" si="7"/>
        <v>1</v>
      </c>
      <c r="AC96" s="25">
        <v>1</v>
      </c>
      <c r="AD96" s="104">
        <v>1</v>
      </c>
      <c r="AE96" s="32">
        <v>1</v>
      </c>
      <c r="AF96" s="106"/>
      <c r="AG96" s="106"/>
      <c r="AH96" s="32">
        <f t="shared" si="5"/>
        <v>1</v>
      </c>
      <c r="AI96" s="106"/>
      <c r="AJ96" s="32">
        <v>1</v>
      </c>
      <c r="AK96" s="106"/>
      <c r="AL96" s="106"/>
      <c r="AM96" s="32">
        <f t="shared" si="6"/>
        <v>0</v>
      </c>
      <c r="AN96" s="106"/>
      <c r="AO96" s="106"/>
      <c r="AP96" s="32">
        <v>1</v>
      </c>
      <c r="AQ96" s="106"/>
      <c r="AS96" s="106" t="s">
        <v>2382</v>
      </c>
      <c r="AT96" s="106"/>
      <c r="AU96" s="75" t="s">
        <v>1001</v>
      </c>
    </row>
    <row r="97" spans="1:47">
      <c r="A97" s="105" t="s">
        <v>2385</v>
      </c>
      <c r="B97" s="105" t="s">
        <v>160</v>
      </c>
      <c r="C97" s="105" t="s">
        <v>73</v>
      </c>
      <c r="D97" s="105" t="s">
        <v>2386</v>
      </c>
      <c r="E97" s="105" t="s">
        <v>162</v>
      </c>
      <c r="F97" s="105" t="s">
        <v>2387</v>
      </c>
      <c r="G97" s="105" t="s">
        <v>2388</v>
      </c>
      <c r="H97" s="105" t="s">
        <v>165</v>
      </c>
      <c r="I97" s="105">
        <v>202605.5</v>
      </c>
      <c r="J97" s="107">
        <v>5.27</v>
      </c>
      <c r="K97" s="105" t="s">
        <v>73</v>
      </c>
      <c r="L97" s="105" t="s">
        <v>2256</v>
      </c>
      <c r="M97" s="105" t="s">
        <v>2389</v>
      </c>
      <c r="N97" s="116" t="s">
        <v>2390</v>
      </c>
      <c r="O97" s="105"/>
      <c r="P97" s="177" t="s">
        <v>138</v>
      </c>
      <c r="Q97" s="177" t="s">
        <v>100</v>
      </c>
      <c r="R97" s="177" t="s">
        <v>262</v>
      </c>
      <c r="S97" s="177" t="s">
        <v>753</v>
      </c>
      <c r="T97" s="177" t="s">
        <v>103</v>
      </c>
      <c r="U97" s="177" t="s">
        <v>264</v>
      </c>
      <c r="V97" s="177" t="s">
        <v>264</v>
      </c>
      <c r="W97" s="191" t="s">
        <v>13</v>
      </c>
      <c r="X97" s="30" t="s">
        <v>173</v>
      </c>
      <c r="Y97" s="26" t="s">
        <v>173</v>
      </c>
      <c r="Z97" s="26" t="s">
        <v>174</v>
      </c>
      <c r="AA97" s="26" t="s">
        <v>175</v>
      </c>
      <c r="AB97" s="32">
        <f t="shared" si="7"/>
        <v>1</v>
      </c>
      <c r="AC97" s="25">
        <v>1</v>
      </c>
      <c r="AD97" s="104">
        <v>1</v>
      </c>
      <c r="AE97" s="32">
        <v>1</v>
      </c>
      <c r="AF97" s="106"/>
      <c r="AG97" s="106"/>
      <c r="AH97" s="32">
        <f t="shared" si="5"/>
        <v>1</v>
      </c>
      <c r="AI97" s="106"/>
      <c r="AJ97" s="32">
        <v>1</v>
      </c>
      <c r="AK97" s="106"/>
      <c r="AL97" s="106"/>
      <c r="AM97" s="32">
        <f t="shared" si="6"/>
        <v>0</v>
      </c>
      <c r="AN97" s="106"/>
      <c r="AO97" s="106"/>
      <c r="AP97" s="32">
        <v>1</v>
      </c>
      <c r="AQ97" s="106"/>
      <c r="AS97" s="106" t="s">
        <v>2318</v>
      </c>
      <c r="AT97" s="106"/>
      <c r="AU97" s="75" t="s">
        <v>1009</v>
      </c>
    </row>
    <row r="98" spans="1:47">
      <c r="A98" s="105" t="s">
        <v>2391</v>
      </c>
      <c r="B98" s="105" t="s">
        <v>160</v>
      </c>
      <c r="C98" s="105" t="s">
        <v>73</v>
      </c>
      <c r="D98" s="105" t="s">
        <v>2392</v>
      </c>
      <c r="E98" s="105" t="s">
        <v>162</v>
      </c>
      <c r="F98" s="105" t="s">
        <v>2393</v>
      </c>
      <c r="G98" s="105" t="s">
        <v>2394</v>
      </c>
      <c r="H98" s="105" t="s">
        <v>165</v>
      </c>
      <c r="I98" s="105">
        <v>202605.5</v>
      </c>
      <c r="J98" s="107">
        <v>5.27</v>
      </c>
      <c r="K98" s="105" t="s">
        <v>73</v>
      </c>
      <c r="L98" s="105" t="s">
        <v>2377</v>
      </c>
      <c r="M98" s="105" t="s">
        <v>2395</v>
      </c>
      <c r="N98" s="116" t="s">
        <v>2396</v>
      </c>
      <c r="O98" s="105"/>
      <c r="P98" s="177" t="s">
        <v>138</v>
      </c>
      <c r="Q98" s="177" t="s">
        <v>100</v>
      </c>
      <c r="R98" s="177" t="s">
        <v>262</v>
      </c>
      <c r="S98" s="177" t="s">
        <v>753</v>
      </c>
      <c r="T98" s="177" t="s">
        <v>103</v>
      </c>
      <c r="U98" s="177" t="s">
        <v>264</v>
      </c>
      <c r="V98" s="177" t="s">
        <v>264</v>
      </c>
      <c r="W98" s="191" t="s">
        <v>13</v>
      </c>
      <c r="X98" s="30" t="s">
        <v>173</v>
      </c>
      <c r="Y98" s="26" t="s">
        <v>173</v>
      </c>
      <c r="Z98" s="26" t="s">
        <v>174</v>
      </c>
      <c r="AA98" s="26" t="s">
        <v>175</v>
      </c>
      <c r="AB98" s="32">
        <f t="shared" si="7"/>
        <v>1</v>
      </c>
      <c r="AC98" s="25">
        <v>1</v>
      </c>
      <c r="AD98" s="104">
        <v>1</v>
      </c>
      <c r="AE98" s="32">
        <v>1</v>
      </c>
      <c r="AF98" s="106"/>
      <c r="AG98" s="106"/>
      <c r="AH98" s="32">
        <f t="shared" si="5"/>
        <v>1</v>
      </c>
      <c r="AI98" s="106"/>
      <c r="AJ98" s="32">
        <v>1</v>
      </c>
      <c r="AK98" s="106"/>
      <c r="AL98" s="106"/>
      <c r="AM98" s="32">
        <f t="shared" si="6"/>
        <v>0</v>
      </c>
      <c r="AN98" s="106"/>
      <c r="AO98" s="106"/>
      <c r="AP98" s="32">
        <v>1</v>
      </c>
      <c r="AQ98" s="106"/>
      <c r="AS98" s="106" t="s">
        <v>2397</v>
      </c>
      <c r="AT98" s="106"/>
      <c r="AU98" s="75" t="s">
        <v>1034</v>
      </c>
    </row>
    <row r="99" spans="1:47">
      <c r="A99" s="105" t="s">
        <v>2398</v>
      </c>
      <c r="B99" s="105" t="s">
        <v>160</v>
      </c>
      <c r="C99" s="105" t="s">
        <v>73</v>
      </c>
      <c r="D99" s="105" t="s">
        <v>2399</v>
      </c>
      <c r="E99" s="105" t="s">
        <v>162</v>
      </c>
      <c r="F99" s="105" t="s">
        <v>2400</v>
      </c>
      <c r="G99" s="105" t="s">
        <v>2401</v>
      </c>
      <c r="H99" s="105" t="s">
        <v>165</v>
      </c>
      <c r="I99" s="105">
        <v>202605.5</v>
      </c>
      <c r="J99" s="107">
        <v>5.27</v>
      </c>
      <c r="K99" s="105" t="s">
        <v>73</v>
      </c>
      <c r="L99" s="105" t="s">
        <v>2292</v>
      </c>
      <c r="M99" s="105" t="s">
        <v>2402</v>
      </c>
      <c r="N99" s="116" t="s">
        <v>2403</v>
      </c>
      <c r="O99" s="105"/>
      <c r="P99" s="177" t="s">
        <v>138</v>
      </c>
      <c r="Q99" s="177" t="s">
        <v>100</v>
      </c>
      <c r="R99" s="177" t="s">
        <v>262</v>
      </c>
      <c r="S99" s="177" t="s">
        <v>753</v>
      </c>
      <c r="T99" s="177" t="s">
        <v>103</v>
      </c>
      <c r="U99" s="177" t="s">
        <v>264</v>
      </c>
      <c r="V99" s="177" t="s">
        <v>264</v>
      </c>
      <c r="W99" s="191" t="s">
        <v>13</v>
      </c>
      <c r="X99" s="30" t="s">
        <v>173</v>
      </c>
      <c r="Y99" s="26" t="s">
        <v>173</v>
      </c>
      <c r="Z99" s="26" t="s">
        <v>174</v>
      </c>
      <c r="AA99" s="26" t="s">
        <v>175</v>
      </c>
      <c r="AB99" s="32">
        <f t="shared" si="7"/>
        <v>1</v>
      </c>
      <c r="AC99" s="25">
        <v>1</v>
      </c>
      <c r="AD99" s="104">
        <v>1</v>
      </c>
      <c r="AE99" s="32">
        <v>1</v>
      </c>
      <c r="AF99" s="106"/>
      <c r="AG99" s="106"/>
      <c r="AH99" s="32">
        <f t="shared" ref="AH99:AH130" si="8">IF(COUNTIF(AS:AS,"*"&amp;L99&amp;"*")&gt;0,1,0)</f>
        <v>1</v>
      </c>
      <c r="AI99" s="106"/>
      <c r="AJ99" s="32">
        <v>1</v>
      </c>
      <c r="AK99" s="106"/>
      <c r="AL99" s="106"/>
      <c r="AM99" s="32">
        <f t="shared" ref="AM99:AM130" si="9">IF(COUNTIF(AT:AT,"*"&amp;L99&amp;"*")&gt;0,1,0)</f>
        <v>0</v>
      </c>
      <c r="AN99" s="106"/>
      <c r="AO99" s="106"/>
      <c r="AP99" s="32">
        <v>1</v>
      </c>
      <c r="AQ99" s="106"/>
      <c r="AS99" s="106" t="s">
        <v>2404</v>
      </c>
      <c r="AT99" s="106"/>
      <c r="AU99" s="75" t="s">
        <v>950</v>
      </c>
    </row>
    <row r="100" spans="1:47">
      <c r="A100" s="105" t="s">
        <v>2405</v>
      </c>
      <c r="B100" s="105" t="s">
        <v>160</v>
      </c>
      <c r="C100" s="105" t="s">
        <v>73</v>
      </c>
      <c r="D100" s="105" t="s">
        <v>2406</v>
      </c>
      <c r="E100" s="105" t="s">
        <v>162</v>
      </c>
      <c r="F100" s="105" t="s">
        <v>2407</v>
      </c>
      <c r="G100" s="105" t="s">
        <v>2408</v>
      </c>
      <c r="H100" s="105" t="s">
        <v>165</v>
      </c>
      <c r="I100" s="105">
        <v>202605.5</v>
      </c>
      <c r="J100" s="107">
        <v>5.27</v>
      </c>
      <c r="K100" s="105" t="s">
        <v>73</v>
      </c>
      <c r="L100" s="105" t="s">
        <v>2208</v>
      </c>
      <c r="M100" s="105" t="s">
        <v>2409</v>
      </c>
      <c r="N100" s="116" t="s">
        <v>2410</v>
      </c>
      <c r="O100" s="105"/>
      <c r="P100" s="177" t="s">
        <v>138</v>
      </c>
      <c r="Q100" s="177" t="s">
        <v>100</v>
      </c>
      <c r="R100" s="177" t="s">
        <v>262</v>
      </c>
      <c r="S100" s="177" t="s">
        <v>753</v>
      </c>
      <c r="T100" s="177" t="s">
        <v>103</v>
      </c>
      <c r="U100" s="177" t="s">
        <v>264</v>
      </c>
      <c r="V100" s="177" t="s">
        <v>264</v>
      </c>
      <c r="W100" s="191" t="s">
        <v>13</v>
      </c>
      <c r="X100" s="30" t="s">
        <v>173</v>
      </c>
      <c r="Y100" s="26" t="s">
        <v>173</v>
      </c>
      <c r="Z100" s="26" t="s">
        <v>174</v>
      </c>
      <c r="AA100" s="26" t="s">
        <v>175</v>
      </c>
      <c r="AB100" s="32">
        <f t="shared" si="7"/>
        <v>1</v>
      </c>
      <c r="AC100" s="25">
        <v>1</v>
      </c>
      <c r="AD100" s="104">
        <v>1</v>
      </c>
      <c r="AE100" s="32">
        <v>1</v>
      </c>
      <c r="AF100" s="106"/>
      <c r="AG100" s="106"/>
      <c r="AH100" s="32">
        <f t="shared" si="8"/>
        <v>1</v>
      </c>
      <c r="AI100" s="106"/>
      <c r="AJ100" s="32">
        <v>1</v>
      </c>
      <c r="AK100" s="106"/>
      <c r="AL100" s="106"/>
      <c r="AM100" s="32">
        <f t="shared" si="9"/>
        <v>0</v>
      </c>
      <c r="AN100" s="106"/>
      <c r="AO100" s="106"/>
      <c r="AP100" s="32">
        <v>1</v>
      </c>
      <c r="AQ100" s="106"/>
      <c r="AS100" s="106" t="s">
        <v>2411</v>
      </c>
      <c r="AT100" s="106"/>
      <c r="AU100" s="75" t="s">
        <v>1026</v>
      </c>
    </row>
    <row r="101" spans="1:47">
      <c r="A101" s="105" t="s">
        <v>2412</v>
      </c>
      <c r="B101" s="105" t="s">
        <v>160</v>
      </c>
      <c r="C101" s="105" t="s">
        <v>73</v>
      </c>
      <c r="D101" s="105" t="s">
        <v>2413</v>
      </c>
      <c r="E101" s="105" t="s">
        <v>162</v>
      </c>
      <c r="F101" s="105" t="s">
        <v>2414</v>
      </c>
      <c r="G101" s="105" t="s">
        <v>2415</v>
      </c>
      <c r="H101" s="105" t="s">
        <v>165</v>
      </c>
      <c r="I101" s="105">
        <v>202605.5</v>
      </c>
      <c r="J101" s="107">
        <v>5.27</v>
      </c>
      <c r="K101" s="105" t="s">
        <v>73</v>
      </c>
      <c r="L101" s="105" t="s">
        <v>2356</v>
      </c>
      <c r="M101" s="105" t="s">
        <v>2416</v>
      </c>
      <c r="N101" s="116" t="s">
        <v>2417</v>
      </c>
      <c r="O101" s="105"/>
      <c r="P101" s="177" t="s">
        <v>138</v>
      </c>
      <c r="Q101" s="177" t="s">
        <v>100</v>
      </c>
      <c r="R101" s="177" t="s">
        <v>262</v>
      </c>
      <c r="S101" s="177" t="s">
        <v>753</v>
      </c>
      <c r="T101" s="177" t="s">
        <v>103</v>
      </c>
      <c r="U101" s="177" t="s">
        <v>264</v>
      </c>
      <c r="V101" s="177" t="s">
        <v>264</v>
      </c>
      <c r="W101" s="191" t="s">
        <v>13</v>
      </c>
      <c r="X101" s="30" t="s">
        <v>173</v>
      </c>
      <c r="Y101" s="26" t="s">
        <v>173</v>
      </c>
      <c r="Z101" s="26" t="s">
        <v>174</v>
      </c>
      <c r="AA101" s="26" t="s">
        <v>175</v>
      </c>
      <c r="AB101" s="32">
        <f t="shared" si="7"/>
        <v>1</v>
      </c>
      <c r="AC101" s="25">
        <v>1</v>
      </c>
      <c r="AD101" s="104">
        <v>1</v>
      </c>
      <c r="AE101" s="32">
        <v>1</v>
      </c>
      <c r="AF101" s="106"/>
      <c r="AG101" s="106"/>
      <c r="AH101" s="32">
        <f t="shared" si="8"/>
        <v>1</v>
      </c>
      <c r="AI101" s="106"/>
      <c r="AJ101" s="32">
        <v>1</v>
      </c>
      <c r="AK101" s="106"/>
      <c r="AL101" s="106"/>
      <c r="AM101" s="32">
        <f t="shared" si="9"/>
        <v>0</v>
      </c>
      <c r="AN101" s="106"/>
      <c r="AO101" s="106"/>
      <c r="AP101" s="32">
        <v>1</v>
      </c>
      <c r="AQ101" s="106"/>
      <c r="AS101" s="106" t="s">
        <v>2418</v>
      </c>
      <c r="AT101" s="106"/>
      <c r="AU101" s="75" t="s">
        <v>1066</v>
      </c>
    </row>
    <row r="102" spans="1:47">
      <c r="A102" s="105" t="s">
        <v>2419</v>
      </c>
      <c r="B102" s="105" t="s">
        <v>160</v>
      </c>
      <c r="C102" s="105" t="s">
        <v>73</v>
      </c>
      <c r="D102" s="105" t="s">
        <v>2420</v>
      </c>
      <c r="E102" s="105" t="s">
        <v>162</v>
      </c>
      <c r="F102" s="105" t="s">
        <v>2421</v>
      </c>
      <c r="G102" s="105" t="s">
        <v>2422</v>
      </c>
      <c r="H102" s="105" t="s">
        <v>165</v>
      </c>
      <c r="I102" s="105">
        <v>202605.5</v>
      </c>
      <c r="J102" s="107">
        <v>5.27</v>
      </c>
      <c r="K102" s="105" t="s">
        <v>73</v>
      </c>
      <c r="L102" s="105" t="s">
        <v>2370</v>
      </c>
      <c r="M102" s="105" t="s">
        <v>2423</v>
      </c>
      <c r="N102" s="116" t="s">
        <v>2424</v>
      </c>
      <c r="O102" s="105"/>
      <c r="P102" s="177" t="s">
        <v>138</v>
      </c>
      <c r="Q102" s="177" t="s">
        <v>100</v>
      </c>
      <c r="R102" s="177" t="s">
        <v>262</v>
      </c>
      <c r="S102" s="177" t="s">
        <v>753</v>
      </c>
      <c r="T102" s="177" t="s">
        <v>103</v>
      </c>
      <c r="U102" s="177" t="s">
        <v>264</v>
      </c>
      <c r="V102" s="177" t="s">
        <v>264</v>
      </c>
      <c r="W102" s="191" t="s">
        <v>13</v>
      </c>
      <c r="X102" s="30" t="s">
        <v>173</v>
      </c>
      <c r="Y102" s="26" t="s">
        <v>173</v>
      </c>
      <c r="Z102" s="26" t="s">
        <v>174</v>
      </c>
      <c r="AA102" s="26" t="s">
        <v>175</v>
      </c>
      <c r="AB102" s="32">
        <f t="shared" si="7"/>
        <v>1</v>
      </c>
      <c r="AC102" s="25">
        <v>1</v>
      </c>
      <c r="AD102" s="104">
        <v>1</v>
      </c>
      <c r="AE102" s="32">
        <v>1</v>
      </c>
      <c r="AF102" s="106"/>
      <c r="AG102" s="106"/>
      <c r="AH102" s="32">
        <f t="shared" si="8"/>
        <v>1</v>
      </c>
      <c r="AI102" s="106"/>
      <c r="AJ102" s="32">
        <v>1</v>
      </c>
      <c r="AK102" s="106"/>
      <c r="AL102" s="106"/>
      <c r="AM102" s="32">
        <f t="shared" si="9"/>
        <v>0</v>
      </c>
      <c r="AN102" s="106"/>
      <c r="AO102" s="106"/>
      <c r="AP102" s="32">
        <v>1</v>
      </c>
      <c r="AQ102" s="106"/>
      <c r="AS102" s="106" t="s">
        <v>2425</v>
      </c>
      <c r="AT102" s="106"/>
      <c r="AU102" s="75" t="s">
        <v>1007</v>
      </c>
    </row>
    <row r="103" spans="1:47">
      <c r="A103" s="105" t="s">
        <v>2426</v>
      </c>
      <c r="B103" s="105" t="s">
        <v>160</v>
      </c>
      <c r="C103" s="105" t="s">
        <v>73</v>
      </c>
      <c r="D103" s="105" t="s">
        <v>2427</v>
      </c>
      <c r="E103" s="105" t="s">
        <v>162</v>
      </c>
      <c r="F103" s="105" t="s">
        <v>2428</v>
      </c>
      <c r="G103" s="105" t="s">
        <v>2429</v>
      </c>
      <c r="H103" s="105" t="s">
        <v>165</v>
      </c>
      <c r="I103" s="105">
        <v>202605.5</v>
      </c>
      <c r="J103" s="107">
        <v>5.27</v>
      </c>
      <c r="K103" s="105" t="s">
        <v>73</v>
      </c>
      <c r="L103" s="105" t="s">
        <v>2363</v>
      </c>
      <c r="M103" s="105" t="s">
        <v>2430</v>
      </c>
      <c r="N103" s="116" t="s">
        <v>2431</v>
      </c>
      <c r="O103" s="105"/>
      <c r="P103" s="177" t="s">
        <v>138</v>
      </c>
      <c r="Q103" s="177" t="s">
        <v>100</v>
      </c>
      <c r="R103" s="177" t="s">
        <v>262</v>
      </c>
      <c r="S103" s="177" t="s">
        <v>753</v>
      </c>
      <c r="T103" s="177" t="s">
        <v>103</v>
      </c>
      <c r="U103" s="177" t="s">
        <v>264</v>
      </c>
      <c r="V103" s="177" t="s">
        <v>264</v>
      </c>
      <c r="W103" s="191" t="s">
        <v>13</v>
      </c>
      <c r="X103" s="30" t="s">
        <v>173</v>
      </c>
      <c r="Y103" s="26" t="s">
        <v>173</v>
      </c>
      <c r="Z103" s="26" t="s">
        <v>174</v>
      </c>
      <c r="AA103" s="26" t="s">
        <v>175</v>
      </c>
      <c r="AB103" s="32">
        <f t="shared" si="7"/>
        <v>1</v>
      </c>
      <c r="AC103" s="25">
        <v>1</v>
      </c>
      <c r="AD103" s="104">
        <v>1</v>
      </c>
      <c r="AE103" s="32">
        <v>1</v>
      </c>
      <c r="AF103" s="106"/>
      <c r="AG103" s="106"/>
      <c r="AH103" s="32">
        <f t="shared" si="8"/>
        <v>1</v>
      </c>
      <c r="AI103" s="106"/>
      <c r="AJ103" s="32">
        <v>1</v>
      </c>
      <c r="AK103" s="106"/>
      <c r="AL103" s="106"/>
      <c r="AM103" s="32">
        <f t="shared" si="9"/>
        <v>0</v>
      </c>
      <c r="AN103" s="106"/>
      <c r="AO103" s="106"/>
      <c r="AP103" s="32">
        <v>1</v>
      </c>
      <c r="AQ103" s="106"/>
      <c r="AS103" s="106" t="s">
        <v>2432</v>
      </c>
      <c r="AT103" s="106"/>
      <c r="AU103" s="75" t="s">
        <v>1072</v>
      </c>
    </row>
    <row r="104" spans="1:47">
      <c r="A104" s="105" t="s">
        <v>2433</v>
      </c>
      <c r="B104" s="105" t="s">
        <v>160</v>
      </c>
      <c r="C104" s="105" t="s">
        <v>73</v>
      </c>
      <c r="D104" s="105" t="s">
        <v>2434</v>
      </c>
      <c r="E104" s="105" t="s">
        <v>162</v>
      </c>
      <c r="F104" s="105" t="s">
        <v>2435</v>
      </c>
      <c r="G104" s="105" t="s">
        <v>2436</v>
      </c>
      <c r="H104" s="105" t="s">
        <v>165</v>
      </c>
      <c r="I104" s="105">
        <v>202605.5</v>
      </c>
      <c r="J104" s="107">
        <v>5.27</v>
      </c>
      <c r="K104" s="105" t="s">
        <v>73</v>
      </c>
      <c r="L104" s="105" t="s">
        <v>2271</v>
      </c>
      <c r="M104" s="105" t="s">
        <v>2437</v>
      </c>
      <c r="N104" s="116" t="s">
        <v>2438</v>
      </c>
      <c r="O104" s="105"/>
      <c r="P104" s="177" t="s">
        <v>138</v>
      </c>
      <c r="Q104" s="177" t="s">
        <v>100</v>
      </c>
      <c r="R104" s="177" t="s">
        <v>262</v>
      </c>
      <c r="S104" s="177" t="s">
        <v>753</v>
      </c>
      <c r="T104" s="177" t="s">
        <v>103</v>
      </c>
      <c r="U104" s="177" t="s">
        <v>264</v>
      </c>
      <c r="V104" s="177" t="s">
        <v>264</v>
      </c>
      <c r="W104" s="191" t="s">
        <v>13</v>
      </c>
      <c r="X104" s="30" t="s">
        <v>173</v>
      </c>
      <c r="Y104" s="26" t="s">
        <v>173</v>
      </c>
      <c r="Z104" s="26" t="s">
        <v>174</v>
      </c>
      <c r="AA104" s="26" t="s">
        <v>175</v>
      </c>
      <c r="AB104" s="32">
        <f t="shared" si="7"/>
        <v>1</v>
      </c>
      <c r="AC104" s="25">
        <v>1</v>
      </c>
      <c r="AD104" s="104">
        <v>1</v>
      </c>
      <c r="AE104" s="32">
        <v>1</v>
      </c>
      <c r="AF104" s="106"/>
      <c r="AG104" s="106"/>
      <c r="AH104" s="32">
        <f t="shared" si="8"/>
        <v>1</v>
      </c>
      <c r="AI104" s="106"/>
      <c r="AJ104" s="32">
        <v>1</v>
      </c>
      <c r="AK104" s="106"/>
      <c r="AL104" s="106"/>
      <c r="AM104" s="32">
        <f t="shared" si="9"/>
        <v>0</v>
      </c>
      <c r="AN104" s="106"/>
      <c r="AO104" s="106"/>
      <c r="AP104" s="32">
        <v>1</v>
      </c>
      <c r="AQ104" s="106"/>
      <c r="AS104" s="106" t="s">
        <v>2439</v>
      </c>
      <c r="AT104" s="106"/>
      <c r="AU104" s="75" t="s">
        <v>954</v>
      </c>
    </row>
    <row r="105" spans="1:47">
      <c r="A105" s="105" t="s">
        <v>2440</v>
      </c>
      <c r="B105" s="105" t="s">
        <v>160</v>
      </c>
      <c r="C105" s="105" t="s">
        <v>73</v>
      </c>
      <c r="D105" s="105" t="s">
        <v>2441</v>
      </c>
      <c r="E105" s="105" t="s">
        <v>162</v>
      </c>
      <c r="F105" s="105" t="s">
        <v>2442</v>
      </c>
      <c r="G105" s="105" t="s">
        <v>2443</v>
      </c>
      <c r="H105" s="105" t="s">
        <v>165</v>
      </c>
      <c r="I105" s="105">
        <v>202605.5</v>
      </c>
      <c r="J105" s="107">
        <v>5.27</v>
      </c>
      <c r="K105" s="105" t="s">
        <v>73</v>
      </c>
      <c r="L105" s="105" t="s">
        <v>2285</v>
      </c>
      <c r="M105" s="105" t="s">
        <v>2444</v>
      </c>
      <c r="N105" s="116" t="s">
        <v>2445</v>
      </c>
      <c r="O105" s="105"/>
      <c r="P105" s="177" t="s">
        <v>138</v>
      </c>
      <c r="Q105" s="177" t="s">
        <v>100</v>
      </c>
      <c r="R105" s="177" t="s">
        <v>262</v>
      </c>
      <c r="S105" s="177" t="s">
        <v>753</v>
      </c>
      <c r="T105" s="177" t="s">
        <v>103</v>
      </c>
      <c r="U105" s="177" t="s">
        <v>264</v>
      </c>
      <c r="V105" s="177" t="s">
        <v>264</v>
      </c>
      <c r="W105" s="191" t="s">
        <v>13</v>
      </c>
      <c r="X105" s="30" t="s">
        <v>173</v>
      </c>
      <c r="Y105" s="26" t="s">
        <v>173</v>
      </c>
      <c r="Z105" s="26" t="s">
        <v>174</v>
      </c>
      <c r="AA105" s="26" t="s">
        <v>175</v>
      </c>
      <c r="AB105" s="32">
        <f t="shared" si="7"/>
        <v>1</v>
      </c>
      <c r="AC105" s="25">
        <v>1</v>
      </c>
      <c r="AD105" s="104">
        <v>1</v>
      </c>
      <c r="AE105" s="32">
        <v>1</v>
      </c>
      <c r="AF105" s="106"/>
      <c r="AG105" s="106"/>
      <c r="AH105" s="32">
        <f t="shared" si="8"/>
        <v>1</v>
      </c>
      <c r="AI105" s="106"/>
      <c r="AJ105" s="32">
        <v>1</v>
      </c>
      <c r="AK105" s="106"/>
      <c r="AL105" s="106"/>
      <c r="AM105" s="32">
        <f t="shared" si="9"/>
        <v>0</v>
      </c>
      <c r="AN105" s="106"/>
      <c r="AO105" s="106"/>
      <c r="AP105" s="32">
        <v>1</v>
      </c>
      <c r="AQ105" s="106"/>
      <c r="AS105" s="106" t="s">
        <v>2446</v>
      </c>
      <c r="AT105" s="106"/>
      <c r="AU105" s="75" t="s">
        <v>1078</v>
      </c>
    </row>
    <row r="106" spans="1:47">
      <c r="A106" s="105" t="s">
        <v>2447</v>
      </c>
      <c r="B106" s="105" t="s">
        <v>160</v>
      </c>
      <c r="C106" s="105" t="s">
        <v>73</v>
      </c>
      <c r="D106" s="105" t="s">
        <v>2448</v>
      </c>
      <c r="E106" s="105" t="s">
        <v>162</v>
      </c>
      <c r="F106" s="105" t="s">
        <v>2449</v>
      </c>
      <c r="G106" s="105" t="s">
        <v>2450</v>
      </c>
      <c r="H106" s="105" t="s">
        <v>165</v>
      </c>
      <c r="I106" s="105">
        <v>202605.5</v>
      </c>
      <c r="J106" s="107">
        <v>5.27</v>
      </c>
      <c r="K106" s="105" t="s">
        <v>73</v>
      </c>
      <c r="L106" s="105" t="s">
        <v>2240</v>
      </c>
      <c r="M106" s="105" t="s">
        <v>2451</v>
      </c>
      <c r="N106" s="116" t="s">
        <v>2452</v>
      </c>
      <c r="O106" s="105"/>
      <c r="P106" s="177" t="s">
        <v>138</v>
      </c>
      <c r="Q106" s="177" t="s">
        <v>100</v>
      </c>
      <c r="R106" s="177" t="s">
        <v>262</v>
      </c>
      <c r="S106" s="177" t="s">
        <v>753</v>
      </c>
      <c r="T106" s="177" t="s">
        <v>103</v>
      </c>
      <c r="U106" s="177" t="s">
        <v>264</v>
      </c>
      <c r="V106" s="177" t="s">
        <v>264</v>
      </c>
      <c r="W106" s="191" t="s">
        <v>13</v>
      </c>
      <c r="X106" s="30" t="s">
        <v>173</v>
      </c>
      <c r="Y106" s="26" t="s">
        <v>173</v>
      </c>
      <c r="Z106" s="26" t="s">
        <v>174</v>
      </c>
      <c r="AA106" s="26" t="s">
        <v>175</v>
      </c>
      <c r="AB106" s="32">
        <f t="shared" si="7"/>
        <v>1</v>
      </c>
      <c r="AC106" s="25">
        <v>1</v>
      </c>
      <c r="AD106" s="104">
        <v>1</v>
      </c>
      <c r="AE106" s="32">
        <v>1</v>
      </c>
      <c r="AF106" s="106"/>
      <c r="AG106" s="106"/>
      <c r="AH106" s="32">
        <f t="shared" si="8"/>
        <v>1</v>
      </c>
      <c r="AI106" s="106"/>
      <c r="AJ106" s="32">
        <v>1</v>
      </c>
      <c r="AK106" s="106"/>
      <c r="AL106" s="106"/>
      <c r="AM106" s="32">
        <f t="shared" si="9"/>
        <v>0</v>
      </c>
      <c r="AN106" s="106"/>
      <c r="AO106" s="106"/>
      <c r="AP106" s="32">
        <v>1</v>
      </c>
      <c r="AQ106" s="106"/>
      <c r="AS106" s="106" t="s">
        <v>2453</v>
      </c>
      <c r="AT106" s="106"/>
      <c r="AU106" s="75" t="s">
        <v>1085</v>
      </c>
    </row>
    <row r="107" spans="1:47">
      <c r="A107" s="105" t="s">
        <v>2454</v>
      </c>
      <c r="B107" s="105" t="s">
        <v>160</v>
      </c>
      <c r="C107" s="105" t="s">
        <v>73</v>
      </c>
      <c r="D107" s="105" t="s">
        <v>2455</v>
      </c>
      <c r="E107" s="105" t="s">
        <v>162</v>
      </c>
      <c r="F107" s="105" t="s">
        <v>2456</v>
      </c>
      <c r="G107" s="105" t="s">
        <v>2457</v>
      </c>
      <c r="H107" s="105" t="s">
        <v>165</v>
      </c>
      <c r="I107" s="105">
        <v>202605.5</v>
      </c>
      <c r="J107" s="107">
        <v>5.27</v>
      </c>
      <c r="K107" s="105" t="s">
        <v>73</v>
      </c>
      <c r="L107" s="105" t="s">
        <v>2278</v>
      </c>
      <c r="M107" s="105" t="s">
        <v>2458</v>
      </c>
      <c r="N107" s="116" t="s">
        <v>2459</v>
      </c>
      <c r="O107" s="105"/>
      <c r="P107" s="177" t="s">
        <v>138</v>
      </c>
      <c r="Q107" s="177" t="s">
        <v>100</v>
      </c>
      <c r="R107" s="177" t="s">
        <v>262</v>
      </c>
      <c r="S107" s="177" t="s">
        <v>753</v>
      </c>
      <c r="T107" s="177" t="s">
        <v>103</v>
      </c>
      <c r="U107" s="177" t="s">
        <v>264</v>
      </c>
      <c r="V107" s="177" t="s">
        <v>264</v>
      </c>
      <c r="W107" s="191" t="s">
        <v>13</v>
      </c>
      <c r="X107" s="30" t="s">
        <v>173</v>
      </c>
      <c r="Y107" s="26" t="s">
        <v>173</v>
      </c>
      <c r="Z107" s="26" t="s">
        <v>174</v>
      </c>
      <c r="AA107" s="26" t="s">
        <v>175</v>
      </c>
      <c r="AB107" s="32">
        <f t="shared" si="7"/>
        <v>1</v>
      </c>
      <c r="AC107" s="25">
        <v>1</v>
      </c>
      <c r="AD107" s="104">
        <v>1</v>
      </c>
      <c r="AE107" s="32">
        <v>1</v>
      </c>
      <c r="AF107" s="106"/>
      <c r="AG107" s="106"/>
      <c r="AH107" s="32">
        <f t="shared" si="8"/>
        <v>1</v>
      </c>
      <c r="AI107" s="106"/>
      <c r="AJ107" s="32">
        <v>1</v>
      </c>
      <c r="AK107" s="106"/>
      <c r="AL107" s="106"/>
      <c r="AM107" s="32">
        <f t="shared" si="9"/>
        <v>0</v>
      </c>
      <c r="AN107" s="106"/>
      <c r="AO107" s="106"/>
      <c r="AP107" s="32">
        <v>1</v>
      </c>
      <c r="AQ107" s="106"/>
      <c r="AS107" s="106" t="s">
        <v>2460</v>
      </c>
      <c r="AT107" s="106"/>
      <c r="AU107" s="75" t="s">
        <v>968</v>
      </c>
    </row>
    <row r="108" spans="1:47">
      <c r="A108" s="105" t="s">
        <v>2461</v>
      </c>
      <c r="B108" s="105" t="s">
        <v>160</v>
      </c>
      <c r="C108" s="105" t="s">
        <v>73</v>
      </c>
      <c r="D108" s="105" t="s">
        <v>2462</v>
      </c>
      <c r="E108" s="105" t="s">
        <v>162</v>
      </c>
      <c r="F108" s="105" t="s">
        <v>2463</v>
      </c>
      <c r="G108" s="105" t="s">
        <v>2464</v>
      </c>
      <c r="H108" s="105" t="s">
        <v>165</v>
      </c>
      <c r="I108" s="105">
        <v>202605.5</v>
      </c>
      <c r="J108" s="107">
        <v>5.27</v>
      </c>
      <c r="K108" s="105" t="s">
        <v>73</v>
      </c>
      <c r="L108" s="105" t="s">
        <v>2248</v>
      </c>
      <c r="M108" s="105" t="s">
        <v>2465</v>
      </c>
      <c r="N108" s="116" t="s">
        <v>2466</v>
      </c>
      <c r="O108" s="105"/>
      <c r="P108" s="177" t="s">
        <v>138</v>
      </c>
      <c r="Q108" s="177" t="s">
        <v>100</v>
      </c>
      <c r="R108" s="177" t="s">
        <v>262</v>
      </c>
      <c r="S108" s="177" t="s">
        <v>753</v>
      </c>
      <c r="T108" s="177" t="s">
        <v>103</v>
      </c>
      <c r="U108" s="177" t="s">
        <v>264</v>
      </c>
      <c r="V108" s="177" t="s">
        <v>264</v>
      </c>
      <c r="W108" s="191" t="s">
        <v>13</v>
      </c>
      <c r="X108" s="30" t="s">
        <v>173</v>
      </c>
      <c r="Y108" s="26" t="s">
        <v>173</v>
      </c>
      <c r="Z108" s="26" t="s">
        <v>174</v>
      </c>
      <c r="AA108" s="26" t="s">
        <v>175</v>
      </c>
      <c r="AB108" s="32">
        <f t="shared" si="7"/>
        <v>1</v>
      </c>
      <c r="AC108" s="25">
        <v>1</v>
      </c>
      <c r="AD108" s="104">
        <v>1</v>
      </c>
      <c r="AE108" s="32">
        <v>1</v>
      </c>
      <c r="AF108" s="106"/>
      <c r="AG108" s="106"/>
      <c r="AH108" s="32">
        <f t="shared" si="8"/>
        <v>1</v>
      </c>
      <c r="AI108" s="106"/>
      <c r="AJ108" s="32">
        <v>1</v>
      </c>
      <c r="AK108" s="106"/>
      <c r="AL108" s="106"/>
      <c r="AM108" s="32">
        <f t="shared" si="9"/>
        <v>0</v>
      </c>
      <c r="AN108" s="106"/>
      <c r="AO108" s="106"/>
      <c r="AP108" s="32">
        <v>1</v>
      </c>
      <c r="AQ108" s="106"/>
      <c r="AS108" s="106" t="s">
        <v>2467</v>
      </c>
      <c r="AT108" s="106"/>
      <c r="AU108" s="75" t="s">
        <v>999</v>
      </c>
    </row>
    <row r="109" spans="1:47">
      <c r="A109" s="105" t="s">
        <v>2468</v>
      </c>
      <c r="B109" s="105" t="s">
        <v>160</v>
      </c>
      <c r="C109" s="105" t="s">
        <v>73</v>
      </c>
      <c r="D109" s="105" t="s">
        <v>2469</v>
      </c>
      <c r="E109" s="105" t="s">
        <v>162</v>
      </c>
      <c r="F109" s="105" t="s">
        <v>2470</v>
      </c>
      <c r="G109" s="105" t="s">
        <v>2471</v>
      </c>
      <c r="H109" s="105" t="s">
        <v>165</v>
      </c>
      <c r="I109" s="105">
        <v>202605.5</v>
      </c>
      <c r="J109" s="107">
        <v>5.27</v>
      </c>
      <c r="K109" s="105" t="s">
        <v>73</v>
      </c>
      <c r="L109" s="105" t="s">
        <v>2216</v>
      </c>
      <c r="M109" s="105" t="s">
        <v>2472</v>
      </c>
      <c r="N109" s="116" t="s">
        <v>2473</v>
      </c>
      <c r="O109" s="105"/>
      <c r="P109" s="177" t="s">
        <v>138</v>
      </c>
      <c r="Q109" s="177" t="s">
        <v>100</v>
      </c>
      <c r="R109" s="177" t="s">
        <v>262</v>
      </c>
      <c r="S109" s="177" t="s">
        <v>753</v>
      </c>
      <c r="T109" s="177" t="s">
        <v>103</v>
      </c>
      <c r="U109" s="177" t="s">
        <v>264</v>
      </c>
      <c r="V109" s="177" t="s">
        <v>264</v>
      </c>
      <c r="W109" s="191" t="s">
        <v>13</v>
      </c>
      <c r="X109" s="30" t="s">
        <v>173</v>
      </c>
      <c r="Y109" s="26" t="s">
        <v>173</v>
      </c>
      <c r="Z109" s="26" t="s">
        <v>174</v>
      </c>
      <c r="AA109" s="26" t="s">
        <v>175</v>
      </c>
      <c r="AB109" s="32">
        <f t="shared" si="7"/>
        <v>1</v>
      </c>
      <c r="AC109" s="25">
        <v>1</v>
      </c>
      <c r="AD109" s="104">
        <v>1</v>
      </c>
      <c r="AE109" s="32">
        <v>1</v>
      </c>
      <c r="AF109" s="106"/>
      <c r="AG109" s="106"/>
      <c r="AH109" s="32">
        <f t="shared" si="8"/>
        <v>1</v>
      </c>
      <c r="AI109" s="106"/>
      <c r="AJ109" s="32">
        <v>1</v>
      </c>
      <c r="AK109" s="106"/>
      <c r="AL109" s="106"/>
      <c r="AM109" s="32">
        <f t="shared" si="9"/>
        <v>0</v>
      </c>
      <c r="AN109" s="106"/>
      <c r="AO109" s="106"/>
      <c r="AP109" s="32">
        <v>1</v>
      </c>
      <c r="AQ109" s="106"/>
      <c r="AS109" s="106" t="s">
        <v>2474</v>
      </c>
      <c r="AT109" s="106"/>
      <c r="AU109" s="75" t="s">
        <v>991</v>
      </c>
    </row>
    <row r="110" spans="1:47">
      <c r="A110" s="105" t="s">
        <v>2475</v>
      </c>
      <c r="B110" s="105" t="s">
        <v>160</v>
      </c>
      <c r="C110" s="105" t="s">
        <v>73</v>
      </c>
      <c r="D110" s="105" t="s">
        <v>2476</v>
      </c>
      <c r="E110" s="105" t="s">
        <v>162</v>
      </c>
      <c r="F110" s="105" t="s">
        <v>2477</v>
      </c>
      <c r="G110" s="105" t="s">
        <v>2478</v>
      </c>
      <c r="H110" s="105" t="s">
        <v>165</v>
      </c>
      <c r="I110" s="105">
        <v>202605.5</v>
      </c>
      <c r="J110" s="107">
        <v>5.27</v>
      </c>
      <c r="K110" s="105" t="s">
        <v>73</v>
      </c>
      <c r="L110" s="105" t="s">
        <v>2264</v>
      </c>
      <c r="M110" s="105" t="s">
        <v>2479</v>
      </c>
      <c r="N110" s="116" t="s">
        <v>2480</v>
      </c>
      <c r="O110" s="105"/>
      <c r="P110" s="177" t="s">
        <v>138</v>
      </c>
      <c r="Q110" s="177" t="s">
        <v>100</v>
      </c>
      <c r="R110" s="177" t="s">
        <v>262</v>
      </c>
      <c r="S110" s="177" t="s">
        <v>753</v>
      </c>
      <c r="T110" s="177" t="s">
        <v>103</v>
      </c>
      <c r="U110" s="177" t="s">
        <v>264</v>
      </c>
      <c r="V110" s="177" t="s">
        <v>264</v>
      </c>
      <c r="W110" s="191" t="s">
        <v>13</v>
      </c>
      <c r="X110" s="30" t="s">
        <v>173</v>
      </c>
      <c r="Y110" s="26" t="s">
        <v>173</v>
      </c>
      <c r="Z110" s="26" t="s">
        <v>174</v>
      </c>
      <c r="AA110" s="26" t="s">
        <v>175</v>
      </c>
      <c r="AB110" s="32">
        <f t="shared" si="7"/>
        <v>1</v>
      </c>
      <c r="AC110" s="25">
        <v>1</v>
      </c>
      <c r="AD110" s="104">
        <v>1</v>
      </c>
      <c r="AE110" s="32">
        <v>1</v>
      </c>
      <c r="AF110" s="106"/>
      <c r="AG110" s="106"/>
      <c r="AH110" s="32">
        <f t="shared" si="8"/>
        <v>1</v>
      </c>
      <c r="AI110" s="106"/>
      <c r="AJ110" s="32">
        <v>1</v>
      </c>
      <c r="AK110" s="106"/>
      <c r="AL110" s="106"/>
      <c r="AM110" s="32">
        <f t="shared" si="9"/>
        <v>0</v>
      </c>
      <c r="AN110" s="106"/>
      <c r="AO110" s="106"/>
      <c r="AP110" s="32">
        <v>1</v>
      </c>
      <c r="AQ110" s="106"/>
      <c r="AS110" s="106" t="s">
        <v>2481</v>
      </c>
      <c r="AT110" s="106"/>
      <c r="AU110" s="75" t="s">
        <v>1022</v>
      </c>
    </row>
    <row r="111" spans="1:47">
      <c r="A111" s="105" t="s">
        <v>2482</v>
      </c>
      <c r="B111" s="105" t="s">
        <v>160</v>
      </c>
      <c r="C111" s="105" t="s">
        <v>73</v>
      </c>
      <c r="D111" s="105" t="s">
        <v>2483</v>
      </c>
      <c r="E111" s="105" t="s">
        <v>162</v>
      </c>
      <c r="F111" s="105" t="s">
        <v>2484</v>
      </c>
      <c r="G111" s="105" t="s">
        <v>2485</v>
      </c>
      <c r="H111" s="105" t="s">
        <v>165</v>
      </c>
      <c r="I111" s="105">
        <v>202605.5</v>
      </c>
      <c r="J111" s="107">
        <v>5.27</v>
      </c>
      <c r="K111" s="105" t="s">
        <v>73</v>
      </c>
      <c r="L111" s="105" t="s">
        <v>2486</v>
      </c>
      <c r="M111" s="105" t="s">
        <v>2487</v>
      </c>
      <c r="N111" s="116" t="s">
        <v>2488</v>
      </c>
      <c r="O111" s="105"/>
      <c r="P111" s="177" t="s">
        <v>138</v>
      </c>
      <c r="Q111" s="177" t="s">
        <v>100</v>
      </c>
      <c r="R111" s="177" t="s">
        <v>262</v>
      </c>
      <c r="S111" s="177" t="s">
        <v>920</v>
      </c>
      <c r="T111" s="177" t="s">
        <v>103</v>
      </c>
      <c r="U111" s="177" t="s">
        <v>264</v>
      </c>
      <c r="V111" s="177" t="s">
        <v>264</v>
      </c>
      <c r="W111" s="191" t="s">
        <v>15</v>
      </c>
      <c r="X111" s="30" t="s">
        <v>173</v>
      </c>
      <c r="Y111" s="26" t="s">
        <v>173</v>
      </c>
      <c r="Z111" s="26" t="s">
        <v>174</v>
      </c>
      <c r="AA111" s="26" t="s">
        <v>175</v>
      </c>
      <c r="AB111" s="32">
        <f t="shared" si="7"/>
        <v>1</v>
      </c>
      <c r="AC111" s="25">
        <v>1</v>
      </c>
      <c r="AD111" s="104">
        <v>1</v>
      </c>
      <c r="AE111" s="32">
        <v>1</v>
      </c>
      <c r="AF111" s="106"/>
      <c r="AG111" s="106"/>
      <c r="AH111" s="32">
        <f t="shared" si="8"/>
        <v>1</v>
      </c>
      <c r="AI111" s="106"/>
      <c r="AJ111" s="32">
        <v>1</v>
      </c>
      <c r="AK111" s="106"/>
      <c r="AL111" s="106"/>
      <c r="AM111" s="32">
        <f t="shared" si="9"/>
        <v>0</v>
      </c>
      <c r="AN111" s="106"/>
      <c r="AO111" s="106"/>
      <c r="AP111" s="32">
        <v>1</v>
      </c>
      <c r="AQ111" s="106"/>
      <c r="AS111" s="106" t="s">
        <v>2489</v>
      </c>
      <c r="AT111" s="106"/>
      <c r="AU111" s="75" t="s">
        <v>933</v>
      </c>
    </row>
    <row r="112" spans="1:47">
      <c r="A112" s="105" t="s">
        <v>2490</v>
      </c>
      <c r="B112" s="105" t="s">
        <v>160</v>
      </c>
      <c r="C112" s="105" t="s">
        <v>73</v>
      </c>
      <c r="D112" s="105" t="s">
        <v>2491</v>
      </c>
      <c r="E112" s="105" t="s">
        <v>162</v>
      </c>
      <c r="F112" s="105" t="s">
        <v>2492</v>
      </c>
      <c r="G112" s="105" t="s">
        <v>2493</v>
      </c>
      <c r="H112" s="105" t="s">
        <v>165</v>
      </c>
      <c r="I112" s="105">
        <v>202605.5</v>
      </c>
      <c r="J112" s="107">
        <v>5.27</v>
      </c>
      <c r="K112" s="105" t="s">
        <v>73</v>
      </c>
      <c r="L112" s="105" t="s">
        <v>2494</v>
      </c>
      <c r="M112" s="105" t="s">
        <v>2495</v>
      </c>
      <c r="N112" s="116" t="s">
        <v>2496</v>
      </c>
      <c r="O112" s="105"/>
      <c r="P112" s="177" t="s">
        <v>138</v>
      </c>
      <c r="Q112" s="177" t="s">
        <v>100</v>
      </c>
      <c r="R112" s="177" t="s">
        <v>262</v>
      </c>
      <c r="S112" s="177" t="s">
        <v>920</v>
      </c>
      <c r="T112" s="177" t="s">
        <v>103</v>
      </c>
      <c r="U112" s="177" t="s">
        <v>264</v>
      </c>
      <c r="V112" s="177" t="s">
        <v>264</v>
      </c>
      <c r="W112" s="191" t="s">
        <v>15</v>
      </c>
      <c r="X112" s="30" t="s">
        <v>173</v>
      </c>
      <c r="Y112" s="26" t="s">
        <v>173</v>
      </c>
      <c r="Z112" s="26" t="s">
        <v>174</v>
      </c>
      <c r="AA112" s="26" t="s">
        <v>175</v>
      </c>
      <c r="AB112" s="32">
        <f t="shared" si="7"/>
        <v>1</v>
      </c>
      <c r="AC112" s="25">
        <v>1</v>
      </c>
      <c r="AD112" s="104">
        <v>1</v>
      </c>
      <c r="AE112" s="32">
        <v>1</v>
      </c>
      <c r="AF112" s="106"/>
      <c r="AG112" s="106"/>
      <c r="AH112" s="32">
        <f t="shared" si="8"/>
        <v>1</v>
      </c>
      <c r="AI112" s="106"/>
      <c r="AJ112" s="32">
        <v>1</v>
      </c>
      <c r="AK112" s="106"/>
      <c r="AL112" s="106"/>
      <c r="AM112" s="32">
        <f t="shared" si="9"/>
        <v>0</v>
      </c>
      <c r="AN112" s="106"/>
      <c r="AO112" s="106"/>
      <c r="AP112" s="32">
        <v>1</v>
      </c>
      <c r="AQ112" s="106"/>
      <c r="AS112" s="106" t="s">
        <v>2497</v>
      </c>
      <c r="AT112" s="106"/>
      <c r="AU112" s="75" t="s">
        <v>1046</v>
      </c>
    </row>
    <row r="113" spans="1:47">
      <c r="A113" s="105" t="s">
        <v>2498</v>
      </c>
      <c r="B113" s="105" t="s">
        <v>160</v>
      </c>
      <c r="C113" s="105" t="s">
        <v>73</v>
      </c>
      <c r="D113" s="105" t="s">
        <v>2499</v>
      </c>
      <c r="E113" s="105" t="s">
        <v>162</v>
      </c>
      <c r="F113" s="105" t="s">
        <v>2500</v>
      </c>
      <c r="G113" s="105" t="s">
        <v>2501</v>
      </c>
      <c r="H113" s="105" t="s">
        <v>165</v>
      </c>
      <c r="I113" s="105">
        <v>202605.5</v>
      </c>
      <c r="J113" s="107">
        <v>5.27</v>
      </c>
      <c r="K113" s="105" t="s">
        <v>73</v>
      </c>
      <c r="L113" s="105" t="s">
        <v>2502</v>
      </c>
      <c r="M113" s="105" t="s">
        <v>2503</v>
      </c>
      <c r="N113" s="116" t="s">
        <v>2504</v>
      </c>
      <c r="O113" s="105"/>
      <c r="P113" s="177" t="s">
        <v>138</v>
      </c>
      <c r="Q113" s="177" t="s">
        <v>100</v>
      </c>
      <c r="R113" s="177" t="s">
        <v>262</v>
      </c>
      <c r="S113" s="177" t="s">
        <v>920</v>
      </c>
      <c r="T113" s="177" t="s">
        <v>103</v>
      </c>
      <c r="U113" s="177" t="s">
        <v>264</v>
      </c>
      <c r="V113" s="177" t="s">
        <v>264</v>
      </c>
      <c r="W113" s="191" t="s">
        <v>15</v>
      </c>
      <c r="X113" s="30" t="s">
        <v>173</v>
      </c>
      <c r="Y113" s="26" t="s">
        <v>173</v>
      </c>
      <c r="Z113" s="26" t="s">
        <v>174</v>
      </c>
      <c r="AA113" s="26" t="s">
        <v>175</v>
      </c>
      <c r="AB113" s="32">
        <f t="shared" si="7"/>
        <v>1</v>
      </c>
      <c r="AC113" s="25">
        <v>1</v>
      </c>
      <c r="AD113" s="104">
        <v>1</v>
      </c>
      <c r="AE113" s="32">
        <v>1</v>
      </c>
      <c r="AF113" s="106"/>
      <c r="AG113" s="106"/>
      <c r="AH113" s="32">
        <f t="shared" si="8"/>
        <v>1</v>
      </c>
      <c r="AI113" s="106"/>
      <c r="AJ113" s="32">
        <v>1</v>
      </c>
      <c r="AK113" s="106"/>
      <c r="AL113" s="106"/>
      <c r="AM113" s="32">
        <f t="shared" si="9"/>
        <v>0</v>
      </c>
      <c r="AN113" s="106"/>
      <c r="AO113" s="106"/>
      <c r="AP113" s="32">
        <v>1</v>
      </c>
      <c r="AQ113" s="106"/>
      <c r="AR113" s="185" t="s">
        <v>194</v>
      </c>
      <c r="AS113" s="106" t="s">
        <v>2486</v>
      </c>
      <c r="AT113" s="106"/>
      <c r="AU113" s="75" t="s">
        <v>1038</v>
      </c>
    </row>
    <row r="114" spans="1:47">
      <c r="A114" s="105" t="s">
        <v>2505</v>
      </c>
      <c r="B114" s="105" t="s">
        <v>160</v>
      </c>
      <c r="C114" s="105" t="s">
        <v>73</v>
      </c>
      <c r="D114" s="105" t="s">
        <v>2506</v>
      </c>
      <c r="E114" s="105" t="s">
        <v>499</v>
      </c>
      <c r="F114" s="105" t="s">
        <v>2507</v>
      </c>
      <c r="G114" s="105" t="s">
        <v>2508</v>
      </c>
      <c r="H114" s="105" t="s">
        <v>165</v>
      </c>
      <c r="I114" s="105">
        <v>202605.5</v>
      </c>
      <c r="J114" s="107">
        <v>5.27</v>
      </c>
      <c r="K114" s="105" t="s">
        <v>73</v>
      </c>
      <c r="L114" s="105" t="s">
        <v>2509</v>
      </c>
      <c r="M114" s="105" t="s">
        <v>2510</v>
      </c>
      <c r="N114" s="116" t="s">
        <v>2511</v>
      </c>
      <c r="O114" s="105"/>
      <c r="P114" s="177" t="s">
        <v>138</v>
      </c>
      <c r="Q114" s="177" t="s">
        <v>100</v>
      </c>
      <c r="R114" s="177" t="s">
        <v>262</v>
      </c>
      <c r="S114" s="177" t="s">
        <v>920</v>
      </c>
      <c r="T114" s="177" t="s">
        <v>103</v>
      </c>
      <c r="U114" s="177" t="s">
        <v>264</v>
      </c>
      <c r="V114" s="177" t="s">
        <v>264</v>
      </c>
      <c r="W114" s="191" t="s">
        <v>15</v>
      </c>
      <c r="X114" s="30" t="s">
        <v>173</v>
      </c>
      <c r="Y114" s="26" t="s">
        <v>173</v>
      </c>
      <c r="Z114" s="26" t="s">
        <v>174</v>
      </c>
      <c r="AA114" s="26" t="s">
        <v>175</v>
      </c>
      <c r="AB114" s="32">
        <f t="shared" si="7"/>
        <v>1</v>
      </c>
      <c r="AC114" s="25">
        <v>1</v>
      </c>
      <c r="AD114" s="104">
        <v>1</v>
      </c>
      <c r="AE114" s="32">
        <v>1</v>
      </c>
      <c r="AF114" s="106"/>
      <c r="AG114" s="106"/>
      <c r="AH114" s="32">
        <f t="shared" si="8"/>
        <v>1</v>
      </c>
      <c r="AI114" s="106"/>
      <c r="AJ114" s="32">
        <v>1</v>
      </c>
      <c r="AK114" s="106"/>
      <c r="AL114" s="106"/>
      <c r="AM114" s="32">
        <f t="shared" si="9"/>
        <v>0</v>
      </c>
      <c r="AN114" s="106"/>
      <c r="AO114" s="106"/>
      <c r="AP114" s="32">
        <v>1</v>
      </c>
      <c r="AQ114" s="106"/>
      <c r="AR114" s="185" t="s">
        <v>194</v>
      </c>
      <c r="AS114" s="106" t="s">
        <v>2512</v>
      </c>
      <c r="AT114" s="106"/>
      <c r="AU114" s="75" t="s">
        <v>940</v>
      </c>
    </row>
    <row r="115" spans="1:47">
      <c r="A115" s="105" t="s">
        <v>2513</v>
      </c>
      <c r="B115" s="105" t="s">
        <v>160</v>
      </c>
      <c r="C115" s="105" t="s">
        <v>73</v>
      </c>
      <c r="D115" s="105" t="s">
        <v>2514</v>
      </c>
      <c r="E115" s="105" t="s">
        <v>162</v>
      </c>
      <c r="F115" s="105" t="s">
        <v>2515</v>
      </c>
      <c r="G115" s="105" t="s">
        <v>2516</v>
      </c>
      <c r="H115" s="105" t="s">
        <v>165</v>
      </c>
      <c r="I115" s="105">
        <v>202605.5</v>
      </c>
      <c r="J115" s="107">
        <v>5.27</v>
      </c>
      <c r="K115" s="105" t="s">
        <v>73</v>
      </c>
      <c r="L115" s="105" t="s">
        <v>2512</v>
      </c>
      <c r="M115" s="105" t="s">
        <v>2517</v>
      </c>
      <c r="N115" s="116" t="s">
        <v>2518</v>
      </c>
      <c r="O115" s="105"/>
      <c r="P115" s="177" t="s">
        <v>138</v>
      </c>
      <c r="Q115" s="177" t="s">
        <v>100</v>
      </c>
      <c r="R115" s="177" t="s">
        <v>262</v>
      </c>
      <c r="S115" s="177" t="s">
        <v>920</v>
      </c>
      <c r="T115" s="177" t="s">
        <v>103</v>
      </c>
      <c r="U115" s="177" t="s">
        <v>264</v>
      </c>
      <c r="V115" s="177" t="s">
        <v>264</v>
      </c>
      <c r="W115" s="191" t="s">
        <v>15</v>
      </c>
      <c r="X115" s="30" t="s">
        <v>173</v>
      </c>
      <c r="Y115" s="26" t="s">
        <v>173</v>
      </c>
      <c r="Z115" s="26" t="s">
        <v>174</v>
      </c>
      <c r="AA115" s="26" t="s">
        <v>175</v>
      </c>
      <c r="AB115" s="32">
        <f t="shared" si="7"/>
        <v>1</v>
      </c>
      <c r="AC115" s="25">
        <v>1</v>
      </c>
      <c r="AD115" s="104">
        <v>1</v>
      </c>
      <c r="AE115" s="32">
        <v>1</v>
      </c>
      <c r="AF115" s="106"/>
      <c r="AG115" s="106"/>
      <c r="AH115" s="32">
        <f t="shared" si="8"/>
        <v>1</v>
      </c>
      <c r="AI115" s="106"/>
      <c r="AJ115" s="32">
        <v>1</v>
      </c>
      <c r="AK115" s="106"/>
      <c r="AL115" s="106"/>
      <c r="AM115" s="32">
        <f t="shared" si="9"/>
        <v>0</v>
      </c>
      <c r="AN115" s="106"/>
      <c r="AO115" s="106"/>
      <c r="AP115" s="32">
        <v>1</v>
      </c>
      <c r="AQ115" s="106"/>
      <c r="AS115" s="106" t="s">
        <v>2519</v>
      </c>
      <c r="AT115" s="106"/>
      <c r="AU115" s="75" t="s">
        <v>961</v>
      </c>
    </row>
    <row r="116" spans="1:47">
      <c r="A116" s="105" t="s">
        <v>2520</v>
      </c>
      <c r="B116" s="105" t="s">
        <v>160</v>
      </c>
      <c r="C116" s="105" t="s">
        <v>73</v>
      </c>
      <c r="D116" s="105" t="s">
        <v>2521</v>
      </c>
      <c r="E116" s="105" t="s">
        <v>162</v>
      </c>
      <c r="F116" s="105" t="s">
        <v>2522</v>
      </c>
      <c r="G116" s="105" t="s">
        <v>2523</v>
      </c>
      <c r="H116" s="105" t="s">
        <v>165</v>
      </c>
      <c r="I116" s="105">
        <v>202605.5</v>
      </c>
      <c r="J116" s="107">
        <v>5.27</v>
      </c>
      <c r="K116" s="105" t="s">
        <v>73</v>
      </c>
      <c r="L116" s="105" t="s">
        <v>2497</v>
      </c>
      <c r="M116" s="105" t="s">
        <v>2524</v>
      </c>
      <c r="N116" s="116" t="s">
        <v>2525</v>
      </c>
      <c r="O116" s="105"/>
      <c r="P116" s="177" t="s">
        <v>138</v>
      </c>
      <c r="Q116" s="177" t="s">
        <v>100</v>
      </c>
      <c r="R116" s="177" t="s">
        <v>262</v>
      </c>
      <c r="S116" s="177" t="s">
        <v>920</v>
      </c>
      <c r="T116" s="177" t="s">
        <v>103</v>
      </c>
      <c r="U116" s="177" t="s">
        <v>264</v>
      </c>
      <c r="V116" s="177" t="s">
        <v>264</v>
      </c>
      <c r="W116" s="191" t="s">
        <v>15</v>
      </c>
      <c r="X116" s="30" t="s">
        <v>173</v>
      </c>
      <c r="Y116" s="26" t="s">
        <v>173</v>
      </c>
      <c r="Z116" s="26" t="s">
        <v>174</v>
      </c>
      <c r="AA116" s="26" t="s">
        <v>175</v>
      </c>
      <c r="AB116" s="32">
        <f t="shared" si="7"/>
        <v>1</v>
      </c>
      <c r="AC116" s="25">
        <v>1</v>
      </c>
      <c r="AD116" s="104">
        <v>1</v>
      </c>
      <c r="AE116" s="32">
        <v>1</v>
      </c>
      <c r="AF116" s="106"/>
      <c r="AG116" s="106"/>
      <c r="AH116" s="32">
        <f t="shared" si="8"/>
        <v>1</v>
      </c>
      <c r="AI116" s="106"/>
      <c r="AJ116" s="32">
        <v>1</v>
      </c>
      <c r="AK116" s="106"/>
      <c r="AL116" s="106"/>
      <c r="AM116" s="32">
        <f t="shared" si="9"/>
        <v>0</v>
      </c>
      <c r="AN116" s="106"/>
      <c r="AO116" s="106"/>
      <c r="AP116" s="32">
        <v>1</v>
      </c>
      <c r="AQ116" s="106"/>
      <c r="AS116" s="106" t="s">
        <v>2526</v>
      </c>
      <c r="AT116" s="106"/>
      <c r="AU116" s="75" t="s">
        <v>1059</v>
      </c>
    </row>
    <row r="117" spans="1:47">
      <c r="A117" s="105" t="s">
        <v>2527</v>
      </c>
      <c r="B117" s="105" t="s">
        <v>160</v>
      </c>
      <c r="C117" s="105" t="s">
        <v>73</v>
      </c>
      <c r="D117" s="105" t="s">
        <v>2528</v>
      </c>
      <c r="E117" s="105" t="s">
        <v>162</v>
      </c>
      <c r="F117" s="105" t="s">
        <v>2529</v>
      </c>
      <c r="G117" s="105" t="s">
        <v>2530</v>
      </c>
      <c r="H117" s="105" t="s">
        <v>165</v>
      </c>
      <c r="I117" s="105">
        <v>202605.5</v>
      </c>
      <c r="J117" s="107">
        <v>5.27</v>
      </c>
      <c r="K117" s="105" t="s">
        <v>73</v>
      </c>
      <c r="L117" s="105" t="s">
        <v>2489</v>
      </c>
      <c r="M117" s="105" t="s">
        <v>2531</v>
      </c>
      <c r="N117" s="116" t="s">
        <v>2532</v>
      </c>
      <c r="O117" s="105"/>
      <c r="P117" s="177" t="s">
        <v>138</v>
      </c>
      <c r="Q117" s="177" t="s">
        <v>100</v>
      </c>
      <c r="R117" s="177" t="s">
        <v>262</v>
      </c>
      <c r="S117" s="177" t="s">
        <v>920</v>
      </c>
      <c r="T117" s="177" t="s">
        <v>103</v>
      </c>
      <c r="U117" s="177" t="s">
        <v>264</v>
      </c>
      <c r="V117" s="177" t="s">
        <v>264</v>
      </c>
      <c r="W117" s="191" t="s">
        <v>15</v>
      </c>
      <c r="X117" s="30" t="s">
        <v>173</v>
      </c>
      <c r="Y117" s="26" t="s">
        <v>173</v>
      </c>
      <c r="Z117" s="26" t="s">
        <v>174</v>
      </c>
      <c r="AA117" s="26" t="s">
        <v>175</v>
      </c>
      <c r="AB117" s="32">
        <f t="shared" si="7"/>
        <v>1</v>
      </c>
      <c r="AC117" s="25">
        <v>1</v>
      </c>
      <c r="AD117" s="104">
        <v>1</v>
      </c>
      <c r="AE117" s="32">
        <v>1</v>
      </c>
      <c r="AF117" s="106"/>
      <c r="AG117" s="106"/>
      <c r="AH117" s="32">
        <f t="shared" si="8"/>
        <v>1</v>
      </c>
      <c r="AI117" s="106"/>
      <c r="AJ117" s="32">
        <v>1</v>
      </c>
      <c r="AK117" s="106"/>
      <c r="AL117" s="106"/>
      <c r="AM117" s="32">
        <f t="shared" si="9"/>
        <v>0</v>
      </c>
      <c r="AN117" s="106"/>
      <c r="AO117" s="106"/>
      <c r="AP117" s="32">
        <v>1</v>
      </c>
      <c r="AQ117" s="106"/>
      <c r="AS117" s="106" t="s">
        <v>2533</v>
      </c>
      <c r="AT117" s="106"/>
      <c r="AU117" s="75" t="s">
        <v>1053</v>
      </c>
    </row>
    <row r="118" spans="1:47">
      <c r="A118" s="105" t="s">
        <v>2534</v>
      </c>
      <c r="B118" s="105" t="s">
        <v>160</v>
      </c>
      <c r="C118" s="105" t="s">
        <v>73</v>
      </c>
      <c r="D118" s="105" t="s">
        <v>2535</v>
      </c>
      <c r="E118" s="105" t="s">
        <v>162</v>
      </c>
      <c r="F118" s="105" t="s">
        <v>2536</v>
      </c>
      <c r="G118" s="105" t="s">
        <v>2537</v>
      </c>
      <c r="H118" s="105" t="s">
        <v>165</v>
      </c>
      <c r="I118" s="105">
        <v>202605.5</v>
      </c>
      <c r="J118" s="107">
        <v>5.27</v>
      </c>
      <c r="K118" s="105" t="s">
        <v>73</v>
      </c>
      <c r="L118" s="105" t="s">
        <v>2481</v>
      </c>
      <c r="M118" s="105" t="s">
        <v>2538</v>
      </c>
      <c r="N118" s="116" t="s">
        <v>2539</v>
      </c>
      <c r="O118" s="105"/>
      <c r="P118" s="177" t="s">
        <v>138</v>
      </c>
      <c r="Q118" s="177" t="s">
        <v>100</v>
      </c>
      <c r="R118" s="177" t="s">
        <v>262</v>
      </c>
      <c r="S118" s="177" t="s">
        <v>920</v>
      </c>
      <c r="T118" s="177" t="s">
        <v>103</v>
      </c>
      <c r="U118" s="177" t="s">
        <v>264</v>
      </c>
      <c r="V118" s="177" t="s">
        <v>264</v>
      </c>
      <c r="W118" s="191" t="s">
        <v>15</v>
      </c>
      <c r="X118" s="30" t="s">
        <v>173</v>
      </c>
      <c r="Y118" s="26" t="s">
        <v>173</v>
      </c>
      <c r="Z118" s="26" t="s">
        <v>174</v>
      </c>
      <c r="AA118" s="26" t="s">
        <v>175</v>
      </c>
      <c r="AB118" s="32">
        <f t="shared" si="7"/>
        <v>1</v>
      </c>
      <c r="AC118" s="25">
        <v>1</v>
      </c>
      <c r="AD118" s="104">
        <v>1</v>
      </c>
      <c r="AE118" s="32">
        <v>1</v>
      </c>
      <c r="AF118" s="106"/>
      <c r="AG118" s="106"/>
      <c r="AH118" s="32">
        <f t="shared" si="8"/>
        <v>1</v>
      </c>
      <c r="AI118" s="106"/>
      <c r="AJ118" s="32">
        <v>1</v>
      </c>
      <c r="AK118" s="106"/>
      <c r="AL118" s="106"/>
      <c r="AM118" s="32">
        <f t="shared" si="9"/>
        <v>0</v>
      </c>
      <c r="AN118" s="106"/>
      <c r="AO118" s="106"/>
      <c r="AP118" s="32">
        <v>1</v>
      </c>
      <c r="AQ118" s="106"/>
      <c r="AS118" s="106" t="s">
        <v>2502</v>
      </c>
      <c r="AT118" s="106"/>
      <c r="AU118" s="75" t="s">
        <v>1030</v>
      </c>
    </row>
    <row r="119" spans="1:47">
      <c r="A119" s="105" t="s">
        <v>2540</v>
      </c>
      <c r="B119" s="105" t="s">
        <v>160</v>
      </c>
      <c r="C119" s="105" t="s">
        <v>73</v>
      </c>
      <c r="D119" s="105" t="s">
        <v>2541</v>
      </c>
      <c r="E119" s="105" t="s">
        <v>162</v>
      </c>
      <c r="F119" s="105" t="s">
        <v>2542</v>
      </c>
      <c r="G119" s="105" t="s">
        <v>2543</v>
      </c>
      <c r="H119" s="105" t="s">
        <v>165</v>
      </c>
      <c r="I119" s="105">
        <v>202605.5</v>
      </c>
      <c r="J119" s="107">
        <v>5.27</v>
      </c>
      <c r="K119" s="105" t="s">
        <v>73</v>
      </c>
      <c r="L119" s="105" t="s">
        <v>2474</v>
      </c>
      <c r="M119" s="105" t="s">
        <v>2544</v>
      </c>
      <c r="N119" s="116" t="s">
        <v>2545</v>
      </c>
      <c r="O119" s="105"/>
      <c r="P119" s="177" t="s">
        <v>138</v>
      </c>
      <c r="Q119" s="177" t="s">
        <v>100</v>
      </c>
      <c r="R119" s="177" t="s">
        <v>262</v>
      </c>
      <c r="S119" s="177" t="s">
        <v>920</v>
      </c>
      <c r="T119" s="177" t="s">
        <v>103</v>
      </c>
      <c r="U119" s="177" t="s">
        <v>264</v>
      </c>
      <c r="V119" s="177" t="s">
        <v>264</v>
      </c>
      <c r="W119" s="191" t="s">
        <v>15</v>
      </c>
      <c r="X119" s="30" t="s">
        <v>173</v>
      </c>
      <c r="Y119" s="26" t="s">
        <v>173</v>
      </c>
      <c r="Z119" s="26" t="s">
        <v>174</v>
      </c>
      <c r="AA119" s="26" t="s">
        <v>175</v>
      </c>
      <c r="AB119" s="32">
        <f t="shared" si="7"/>
        <v>1</v>
      </c>
      <c r="AC119" s="25">
        <v>1</v>
      </c>
      <c r="AD119" s="104">
        <v>1</v>
      </c>
      <c r="AE119" s="32">
        <v>1</v>
      </c>
      <c r="AF119" s="106"/>
      <c r="AG119" s="106"/>
      <c r="AH119" s="32">
        <f t="shared" si="8"/>
        <v>1</v>
      </c>
      <c r="AI119" s="106"/>
      <c r="AJ119" s="32">
        <v>1</v>
      </c>
      <c r="AK119" s="106"/>
      <c r="AL119" s="106"/>
      <c r="AM119" s="32">
        <f t="shared" si="9"/>
        <v>0</v>
      </c>
      <c r="AN119" s="106"/>
      <c r="AO119" s="106"/>
      <c r="AP119" s="32">
        <v>1</v>
      </c>
      <c r="AQ119" s="106"/>
      <c r="AS119" s="106" t="s">
        <v>2494</v>
      </c>
      <c r="AT119" s="106"/>
      <c r="AU119" s="75" t="s">
        <v>1015</v>
      </c>
    </row>
    <row r="120" spans="1:47">
      <c r="A120" s="105" t="s">
        <v>2546</v>
      </c>
      <c r="B120" s="105" t="s">
        <v>160</v>
      </c>
      <c r="C120" s="105" t="s">
        <v>73</v>
      </c>
      <c r="D120" s="105" t="s">
        <v>2547</v>
      </c>
      <c r="E120" s="105" t="s">
        <v>162</v>
      </c>
      <c r="F120" s="105" t="s">
        <v>2548</v>
      </c>
      <c r="G120" s="105" t="s">
        <v>2549</v>
      </c>
      <c r="H120" s="105" t="s">
        <v>165</v>
      </c>
      <c r="I120" s="105">
        <v>202605.5</v>
      </c>
      <c r="J120" s="107">
        <v>5.27</v>
      </c>
      <c r="K120" s="105" t="s">
        <v>73</v>
      </c>
      <c r="L120" s="105" t="s">
        <v>2411</v>
      </c>
      <c r="M120" s="105" t="s">
        <v>2550</v>
      </c>
      <c r="N120" s="116" t="s">
        <v>2551</v>
      </c>
      <c r="O120" s="105"/>
      <c r="P120" s="177" t="s">
        <v>138</v>
      </c>
      <c r="Q120" s="177" t="s">
        <v>100</v>
      </c>
      <c r="R120" s="177" t="s">
        <v>262</v>
      </c>
      <c r="S120" s="177" t="s">
        <v>920</v>
      </c>
      <c r="T120" s="177" t="s">
        <v>103</v>
      </c>
      <c r="U120" s="177" t="s">
        <v>264</v>
      </c>
      <c r="V120" s="177" t="s">
        <v>264</v>
      </c>
      <c r="W120" s="191" t="s">
        <v>15</v>
      </c>
      <c r="X120" s="30" t="s">
        <v>173</v>
      </c>
      <c r="Y120" s="26" t="s">
        <v>173</v>
      </c>
      <c r="Z120" s="26" t="s">
        <v>174</v>
      </c>
      <c r="AA120" s="26" t="s">
        <v>175</v>
      </c>
      <c r="AB120" s="32">
        <f t="shared" si="7"/>
        <v>1</v>
      </c>
      <c r="AC120" s="25">
        <v>1</v>
      </c>
      <c r="AD120" s="104">
        <v>1</v>
      </c>
      <c r="AE120" s="32">
        <v>1</v>
      </c>
      <c r="AF120" s="106"/>
      <c r="AG120" s="106"/>
      <c r="AH120" s="32">
        <f t="shared" si="8"/>
        <v>1</v>
      </c>
      <c r="AI120" s="106"/>
      <c r="AJ120" s="32">
        <v>1</v>
      </c>
      <c r="AK120" s="106"/>
      <c r="AL120" s="106"/>
      <c r="AM120" s="32">
        <f t="shared" si="9"/>
        <v>0</v>
      </c>
      <c r="AN120" s="106"/>
      <c r="AO120" s="106"/>
      <c r="AP120" s="32">
        <v>1</v>
      </c>
      <c r="AQ120" s="106"/>
      <c r="AS120" s="106" t="s">
        <v>2552</v>
      </c>
      <c r="AT120" s="106"/>
      <c r="AU120" s="75" t="s">
        <v>926</v>
      </c>
    </row>
    <row r="121" spans="1:47">
      <c r="A121" s="105" t="s">
        <v>2553</v>
      </c>
      <c r="B121" s="105" t="s">
        <v>160</v>
      </c>
      <c r="C121" s="105" t="s">
        <v>73</v>
      </c>
      <c r="D121" s="105" t="s">
        <v>2554</v>
      </c>
      <c r="E121" s="105" t="s">
        <v>162</v>
      </c>
      <c r="F121" s="105" t="s">
        <v>2555</v>
      </c>
      <c r="G121" s="105" t="s">
        <v>2556</v>
      </c>
      <c r="H121" s="105" t="s">
        <v>165</v>
      </c>
      <c r="I121" s="105">
        <v>202605.5</v>
      </c>
      <c r="J121" s="107">
        <v>5.27</v>
      </c>
      <c r="K121" s="105" t="s">
        <v>73</v>
      </c>
      <c r="L121" s="105" t="s">
        <v>2467</v>
      </c>
      <c r="M121" s="105" t="s">
        <v>2557</v>
      </c>
      <c r="N121" s="116" t="s">
        <v>2558</v>
      </c>
      <c r="O121" s="105"/>
      <c r="P121" s="177" t="s">
        <v>138</v>
      </c>
      <c r="Q121" s="177" t="s">
        <v>100</v>
      </c>
      <c r="R121" s="177" t="s">
        <v>262</v>
      </c>
      <c r="S121" s="177" t="s">
        <v>920</v>
      </c>
      <c r="T121" s="177" t="s">
        <v>103</v>
      </c>
      <c r="U121" s="177" t="s">
        <v>264</v>
      </c>
      <c r="V121" s="177" t="s">
        <v>264</v>
      </c>
      <c r="W121" s="191" t="s">
        <v>15</v>
      </c>
      <c r="X121" s="30" t="s">
        <v>173</v>
      </c>
      <c r="Y121" s="26" t="s">
        <v>173</v>
      </c>
      <c r="Z121" s="26" t="s">
        <v>174</v>
      </c>
      <c r="AA121" s="26" t="s">
        <v>175</v>
      </c>
      <c r="AB121" s="32">
        <f t="shared" si="7"/>
        <v>1</v>
      </c>
      <c r="AC121" s="25">
        <v>1</v>
      </c>
      <c r="AD121" s="104">
        <v>1</v>
      </c>
      <c r="AE121" s="32">
        <v>1</v>
      </c>
      <c r="AF121" s="106"/>
      <c r="AG121" s="106"/>
      <c r="AH121" s="32">
        <f t="shared" si="8"/>
        <v>1</v>
      </c>
      <c r="AI121" s="106"/>
      <c r="AJ121" s="32">
        <v>1</v>
      </c>
      <c r="AK121" s="106"/>
      <c r="AL121" s="106"/>
      <c r="AM121" s="32">
        <f t="shared" si="9"/>
        <v>0</v>
      </c>
      <c r="AN121" s="106"/>
      <c r="AO121" s="106"/>
      <c r="AP121" s="32">
        <v>1</v>
      </c>
      <c r="AQ121" s="106"/>
      <c r="AS121" s="106" t="s">
        <v>2509</v>
      </c>
      <c r="AT121" s="106"/>
      <c r="AU121" s="75" t="s">
        <v>918</v>
      </c>
    </row>
    <row r="122" spans="1:47">
      <c r="A122" s="105" t="s">
        <v>2559</v>
      </c>
      <c r="B122" s="105" t="s">
        <v>160</v>
      </c>
      <c r="C122" s="105" t="s">
        <v>73</v>
      </c>
      <c r="D122" s="105" t="s">
        <v>2560</v>
      </c>
      <c r="E122" s="105" t="s">
        <v>162</v>
      </c>
      <c r="F122" s="105" t="s">
        <v>2561</v>
      </c>
      <c r="G122" s="105" t="s">
        <v>2562</v>
      </c>
      <c r="H122" s="105" t="s">
        <v>165</v>
      </c>
      <c r="I122" s="105">
        <v>202605.5</v>
      </c>
      <c r="J122" s="107">
        <v>5.27</v>
      </c>
      <c r="K122" s="105" t="s">
        <v>73</v>
      </c>
      <c r="L122" s="105" t="s">
        <v>2460</v>
      </c>
      <c r="M122" s="105" t="s">
        <v>2563</v>
      </c>
      <c r="N122" s="116" t="s">
        <v>2564</v>
      </c>
      <c r="O122" s="105"/>
      <c r="P122" s="177" t="s">
        <v>138</v>
      </c>
      <c r="Q122" s="177" t="s">
        <v>100</v>
      </c>
      <c r="R122" s="177" t="s">
        <v>262</v>
      </c>
      <c r="S122" s="177" t="s">
        <v>920</v>
      </c>
      <c r="T122" s="177" t="s">
        <v>103</v>
      </c>
      <c r="U122" s="177" t="s">
        <v>264</v>
      </c>
      <c r="V122" s="177" t="s">
        <v>264</v>
      </c>
      <c r="W122" s="191" t="s">
        <v>15</v>
      </c>
      <c r="X122" s="30" t="s">
        <v>173</v>
      </c>
      <c r="Y122" s="26" t="s">
        <v>173</v>
      </c>
      <c r="Z122" s="26" t="s">
        <v>174</v>
      </c>
      <c r="AA122" s="26" t="s">
        <v>175</v>
      </c>
      <c r="AB122" s="32">
        <f t="shared" si="7"/>
        <v>1</v>
      </c>
      <c r="AC122" s="25">
        <v>1</v>
      </c>
      <c r="AD122" s="104">
        <v>1</v>
      </c>
      <c r="AE122" s="32">
        <v>1</v>
      </c>
      <c r="AF122" s="106"/>
      <c r="AG122" s="106"/>
      <c r="AH122" s="32">
        <f t="shared" si="8"/>
        <v>1</v>
      </c>
      <c r="AI122" s="106"/>
      <c r="AJ122" s="32">
        <v>1</v>
      </c>
      <c r="AK122" s="106"/>
      <c r="AL122" s="106"/>
      <c r="AM122" s="32">
        <f t="shared" si="9"/>
        <v>0</v>
      </c>
      <c r="AN122" s="106"/>
      <c r="AO122" s="106"/>
      <c r="AP122" s="32">
        <v>1</v>
      </c>
      <c r="AQ122" s="106"/>
      <c r="AR122" s="185" t="s">
        <v>194</v>
      </c>
      <c r="AS122" s="106" t="s">
        <v>2565</v>
      </c>
      <c r="AT122" s="106"/>
      <c r="AU122" s="75" t="s">
        <v>983</v>
      </c>
    </row>
    <row r="123" spans="1:47">
      <c r="A123" s="105" t="s">
        <v>2566</v>
      </c>
      <c r="B123" s="105" t="s">
        <v>160</v>
      </c>
      <c r="C123" s="105" t="s">
        <v>73</v>
      </c>
      <c r="D123" s="105" t="s">
        <v>2567</v>
      </c>
      <c r="E123" s="105" t="s">
        <v>162</v>
      </c>
      <c r="F123" s="105" t="s">
        <v>2568</v>
      </c>
      <c r="G123" s="105" t="s">
        <v>2569</v>
      </c>
      <c r="H123" s="105" t="s">
        <v>165</v>
      </c>
      <c r="I123" s="105">
        <v>202605.5</v>
      </c>
      <c r="J123" s="107">
        <v>5.27</v>
      </c>
      <c r="K123" s="105" t="s">
        <v>73</v>
      </c>
      <c r="L123" s="105" t="s">
        <v>2453</v>
      </c>
      <c r="M123" s="105" t="s">
        <v>2570</v>
      </c>
      <c r="N123" s="116" t="s">
        <v>2571</v>
      </c>
      <c r="O123" s="105"/>
      <c r="P123" s="177" t="s">
        <v>138</v>
      </c>
      <c r="Q123" s="177" t="s">
        <v>100</v>
      </c>
      <c r="R123" s="177" t="s">
        <v>262</v>
      </c>
      <c r="S123" s="177" t="s">
        <v>920</v>
      </c>
      <c r="T123" s="177" t="s">
        <v>103</v>
      </c>
      <c r="U123" s="177" t="s">
        <v>264</v>
      </c>
      <c r="V123" s="177" t="s">
        <v>264</v>
      </c>
      <c r="W123" s="191" t="s">
        <v>15</v>
      </c>
      <c r="X123" s="30" t="s">
        <v>173</v>
      </c>
      <c r="Y123" s="26" t="s">
        <v>173</v>
      </c>
      <c r="Z123" s="26" t="s">
        <v>174</v>
      </c>
      <c r="AA123" s="26" t="s">
        <v>175</v>
      </c>
      <c r="AB123" s="32">
        <f t="shared" si="7"/>
        <v>1</v>
      </c>
      <c r="AC123" s="25">
        <v>1</v>
      </c>
      <c r="AD123" s="104">
        <v>1</v>
      </c>
      <c r="AE123" s="32">
        <v>1</v>
      </c>
      <c r="AF123" s="106"/>
      <c r="AG123" s="106"/>
      <c r="AH123" s="32">
        <f t="shared" si="8"/>
        <v>1</v>
      </c>
      <c r="AI123" s="106"/>
      <c r="AJ123" s="32">
        <v>1</v>
      </c>
      <c r="AK123" s="106"/>
      <c r="AL123" s="106"/>
      <c r="AM123" s="32">
        <f t="shared" si="9"/>
        <v>0</v>
      </c>
      <c r="AN123" s="106"/>
      <c r="AO123" s="106"/>
      <c r="AP123" s="32">
        <v>1</v>
      </c>
      <c r="AQ123" s="106"/>
      <c r="AS123" s="106" t="s">
        <v>2572</v>
      </c>
      <c r="AT123" s="106"/>
      <c r="AU123" s="195" t="s">
        <v>2573</v>
      </c>
    </row>
    <row r="124" spans="1:47">
      <c r="A124" s="105" t="s">
        <v>2574</v>
      </c>
      <c r="B124" s="105" t="s">
        <v>160</v>
      </c>
      <c r="C124" s="105" t="s">
        <v>73</v>
      </c>
      <c r="D124" s="105" t="s">
        <v>2575</v>
      </c>
      <c r="E124" s="105" t="s">
        <v>162</v>
      </c>
      <c r="F124" s="105" t="s">
        <v>2576</v>
      </c>
      <c r="G124" s="105" t="s">
        <v>2577</v>
      </c>
      <c r="H124" s="105" t="s">
        <v>165</v>
      </c>
      <c r="I124" s="105">
        <v>202605.5</v>
      </c>
      <c r="J124" s="107">
        <v>5.27</v>
      </c>
      <c r="K124" s="105" t="s">
        <v>73</v>
      </c>
      <c r="L124" s="105" t="s">
        <v>2446</v>
      </c>
      <c r="M124" s="105" t="s">
        <v>2578</v>
      </c>
      <c r="N124" s="116" t="s">
        <v>2579</v>
      </c>
      <c r="O124" s="105"/>
      <c r="P124" s="177" t="s">
        <v>138</v>
      </c>
      <c r="Q124" s="177" t="s">
        <v>100</v>
      </c>
      <c r="R124" s="177" t="s">
        <v>262</v>
      </c>
      <c r="S124" s="177" t="s">
        <v>920</v>
      </c>
      <c r="T124" s="177" t="s">
        <v>103</v>
      </c>
      <c r="U124" s="177" t="s">
        <v>264</v>
      </c>
      <c r="V124" s="177" t="s">
        <v>264</v>
      </c>
      <c r="W124" s="191" t="s">
        <v>15</v>
      </c>
      <c r="X124" s="30" t="s">
        <v>173</v>
      </c>
      <c r="Y124" s="26" t="s">
        <v>173</v>
      </c>
      <c r="Z124" s="26" t="s">
        <v>174</v>
      </c>
      <c r="AA124" s="26" t="s">
        <v>175</v>
      </c>
      <c r="AB124" s="32">
        <f t="shared" si="7"/>
        <v>1</v>
      </c>
      <c r="AC124" s="25">
        <v>1</v>
      </c>
      <c r="AD124" s="104">
        <v>1</v>
      </c>
      <c r="AE124" s="32">
        <v>1</v>
      </c>
      <c r="AF124" s="106"/>
      <c r="AG124" s="106"/>
      <c r="AH124" s="32">
        <f t="shared" si="8"/>
        <v>1</v>
      </c>
      <c r="AI124" s="106"/>
      <c r="AJ124" s="32">
        <v>1</v>
      </c>
      <c r="AK124" s="106"/>
      <c r="AL124" s="106"/>
      <c r="AM124" s="32">
        <f t="shared" si="9"/>
        <v>0</v>
      </c>
      <c r="AN124" s="106"/>
      <c r="AO124" s="106"/>
      <c r="AP124" s="32">
        <v>1</v>
      </c>
      <c r="AQ124" s="106"/>
      <c r="AS124" s="106" t="s">
        <v>2580</v>
      </c>
      <c r="AT124" s="106"/>
      <c r="AU124" s="195" t="s">
        <v>2575</v>
      </c>
    </row>
    <row r="125" spans="1:47">
      <c r="A125" s="105" t="s">
        <v>2581</v>
      </c>
      <c r="B125" s="105" t="s">
        <v>160</v>
      </c>
      <c r="C125" s="105" t="s">
        <v>73</v>
      </c>
      <c r="D125" s="105" t="s">
        <v>2582</v>
      </c>
      <c r="E125" s="105" t="s">
        <v>162</v>
      </c>
      <c r="F125" s="105" t="s">
        <v>2583</v>
      </c>
      <c r="G125" s="105" t="s">
        <v>2584</v>
      </c>
      <c r="H125" s="105" t="s">
        <v>165</v>
      </c>
      <c r="I125" s="105">
        <v>202605.5</v>
      </c>
      <c r="J125" s="107">
        <v>5.27</v>
      </c>
      <c r="K125" s="105" t="s">
        <v>73</v>
      </c>
      <c r="L125" s="105" t="s">
        <v>2439</v>
      </c>
      <c r="M125" s="105" t="s">
        <v>2585</v>
      </c>
      <c r="N125" s="116" t="s">
        <v>2586</v>
      </c>
      <c r="O125" s="105"/>
      <c r="P125" s="177" t="s">
        <v>138</v>
      </c>
      <c r="Q125" s="177" t="s">
        <v>100</v>
      </c>
      <c r="R125" s="177" t="s">
        <v>262</v>
      </c>
      <c r="S125" s="177" t="s">
        <v>920</v>
      </c>
      <c r="T125" s="177" t="s">
        <v>103</v>
      </c>
      <c r="U125" s="177" t="s">
        <v>264</v>
      </c>
      <c r="V125" s="177" t="s">
        <v>264</v>
      </c>
      <c r="W125" s="191" t="s">
        <v>15</v>
      </c>
      <c r="X125" s="30" t="s">
        <v>173</v>
      </c>
      <c r="Y125" s="26" t="s">
        <v>173</v>
      </c>
      <c r="Z125" s="26" t="s">
        <v>174</v>
      </c>
      <c r="AA125" s="26" t="s">
        <v>175</v>
      </c>
      <c r="AB125" s="32">
        <f t="shared" si="7"/>
        <v>1</v>
      </c>
      <c r="AC125" s="25">
        <v>1</v>
      </c>
      <c r="AD125" s="104">
        <v>1</v>
      </c>
      <c r="AE125" s="32">
        <v>1</v>
      </c>
      <c r="AF125" s="106"/>
      <c r="AG125" s="106"/>
      <c r="AH125" s="32">
        <f t="shared" si="8"/>
        <v>1</v>
      </c>
      <c r="AI125" s="106"/>
      <c r="AJ125" s="32">
        <v>1</v>
      </c>
      <c r="AK125" s="106"/>
      <c r="AL125" s="106"/>
      <c r="AM125" s="32">
        <f t="shared" si="9"/>
        <v>0</v>
      </c>
      <c r="AN125" s="106"/>
      <c r="AO125" s="106"/>
      <c r="AP125" s="32">
        <v>1</v>
      </c>
      <c r="AQ125" s="106"/>
      <c r="AS125" s="106" t="s">
        <v>2587</v>
      </c>
      <c r="AT125" s="106"/>
      <c r="AU125" s="195" t="s">
        <v>2491</v>
      </c>
    </row>
    <row r="126" spans="1:47">
      <c r="A126" s="105" t="s">
        <v>2588</v>
      </c>
      <c r="B126" s="105" t="s">
        <v>160</v>
      </c>
      <c r="C126" s="105" t="s">
        <v>73</v>
      </c>
      <c r="D126" s="105" t="s">
        <v>2573</v>
      </c>
      <c r="E126" s="105" t="s">
        <v>162</v>
      </c>
      <c r="F126" s="105" t="s">
        <v>2589</v>
      </c>
      <c r="G126" s="105" t="s">
        <v>2590</v>
      </c>
      <c r="H126" s="105" t="s">
        <v>165</v>
      </c>
      <c r="I126" s="105">
        <v>202605.5</v>
      </c>
      <c r="J126" s="107">
        <v>5.27</v>
      </c>
      <c r="K126" s="105" t="s">
        <v>73</v>
      </c>
      <c r="L126" s="105" t="s">
        <v>2432</v>
      </c>
      <c r="M126" s="105" t="s">
        <v>2591</v>
      </c>
      <c r="N126" s="116" t="s">
        <v>2592</v>
      </c>
      <c r="O126" s="105"/>
      <c r="P126" s="177" t="s">
        <v>138</v>
      </c>
      <c r="Q126" s="177" t="s">
        <v>100</v>
      </c>
      <c r="R126" s="177" t="s">
        <v>262</v>
      </c>
      <c r="S126" s="177" t="s">
        <v>920</v>
      </c>
      <c r="T126" s="177" t="s">
        <v>103</v>
      </c>
      <c r="U126" s="177" t="s">
        <v>264</v>
      </c>
      <c r="V126" s="177" t="s">
        <v>264</v>
      </c>
      <c r="W126" s="191" t="s">
        <v>15</v>
      </c>
      <c r="X126" s="30" t="s">
        <v>173</v>
      </c>
      <c r="Y126" s="26" t="s">
        <v>173</v>
      </c>
      <c r="Z126" s="26" t="s">
        <v>174</v>
      </c>
      <c r="AA126" s="26" t="s">
        <v>175</v>
      </c>
      <c r="AB126" s="32">
        <f t="shared" si="7"/>
        <v>1</v>
      </c>
      <c r="AC126" s="25">
        <v>1</v>
      </c>
      <c r="AD126" s="104">
        <v>1</v>
      </c>
      <c r="AE126" s="32">
        <v>1</v>
      </c>
      <c r="AF126" s="106"/>
      <c r="AG126" s="106"/>
      <c r="AH126" s="32">
        <f t="shared" si="8"/>
        <v>1</v>
      </c>
      <c r="AI126" s="106"/>
      <c r="AJ126" s="32">
        <v>1</v>
      </c>
      <c r="AK126" s="106"/>
      <c r="AL126" s="106"/>
      <c r="AM126" s="32">
        <f t="shared" si="9"/>
        <v>0</v>
      </c>
      <c r="AN126" s="106"/>
      <c r="AO126" s="106"/>
      <c r="AP126" s="32">
        <v>1</v>
      </c>
      <c r="AQ126" s="106"/>
      <c r="AS126" s="106" t="s">
        <v>2593</v>
      </c>
      <c r="AT126" s="106"/>
      <c r="AU126" s="195" t="s">
        <v>2582</v>
      </c>
    </row>
    <row r="127" spans="1:47">
      <c r="A127" s="105" t="s">
        <v>2594</v>
      </c>
      <c r="B127" s="105" t="s">
        <v>160</v>
      </c>
      <c r="C127" s="105" t="s">
        <v>73</v>
      </c>
      <c r="D127" s="105" t="s">
        <v>2595</v>
      </c>
      <c r="E127" s="105" t="s">
        <v>162</v>
      </c>
      <c r="F127" s="105" t="s">
        <v>2596</v>
      </c>
      <c r="G127" s="105" t="s">
        <v>2597</v>
      </c>
      <c r="H127" s="105" t="s">
        <v>165</v>
      </c>
      <c r="I127" s="105">
        <v>202605.5</v>
      </c>
      <c r="J127" s="107">
        <v>5.27</v>
      </c>
      <c r="K127" s="105" t="s">
        <v>73</v>
      </c>
      <c r="L127" s="105" t="s">
        <v>2425</v>
      </c>
      <c r="M127" s="105" t="s">
        <v>2598</v>
      </c>
      <c r="N127" s="116" t="s">
        <v>2599</v>
      </c>
      <c r="O127" s="105"/>
      <c r="P127" s="177" t="s">
        <v>138</v>
      </c>
      <c r="Q127" s="177" t="s">
        <v>100</v>
      </c>
      <c r="R127" s="177" t="s">
        <v>262</v>
      </c>
      <c r="S127" s="177" t="s">
        <v>920</v>
      </c>
      <c r="T127" s="177" t="s">
        <v>103</v>
      </c>
      <c r="U127" s="177" t="s">
        <v>264</v>
      </c>
      <c r="V127" s="177" t="s">
        <v>264</v>
      </c>
      <c r="W127" s="191" t="s">
        <v>15</v>
      </c>
      <c r="X127" s="30" t="s">
        <v>173</v>
      </c>
      <c r="Y127" s="26" t="s">
        <v>173</v>
      </c>
      <c r="Z127" s="26" t="s">
        <v>174</v>
      </c>
      <c r="AA127" s="26" t="s">
        <v>175</v>
      </c>
      <c r="AB127" s="32">
        <f t="shared" si="7"/>
        <v>1</v>
      </c>
      <c r="AC127" s="25">
        <v>1</v>
      </c>
      <c r="AD127" s="104">
        <v>1</v>
      </c>
      <c r="AE127" s="32">
        <v>1</v>
      </c>
      <c r="AF127" s="106"/>
      <c r="AG127" s="106"/>
      <c r="AH127" s="32">
        <f t="shared" si="8"/>
        <v>1</v>
      </c>
      <c r="AI127" s="106"/>
      <c r="AJ127" s="32">
        <v>1</v>
      </c>
      <c r="AK127" s="106"/>
      <c r="AL127" s="106"/>
      <c r="AM127" s="32">
        <f t="shared" si="9"/>
        <v>0</v>
      </c>
      <c r="AN127" s="106"/>
      <c r="AO127" s="106"/>
      <c r="AP127" s="32">
        <v>1</v>
      </c>
      <c r="AQ127" s="106"/>
      <c r="AS127" s="106" t="s">
        <v>2600</v>
      </c>
      <c r="AT127" s="106"/>
      <c r="AU127" s="195" t="s">
        <v>2601</v>
      </c>
    </row>
    <row r="128" spans="1:47">
      <c r="A128" s="105" t="s">
        <v>2602</v>
      </c>
      <c r="B128" s="105" t="s">
        <v>160</v>
      </c>
      <c r="C128" s="105" t="s">
        <v>73</v>
      </c>
      <c r="D128" s="105" t="s">
        <v>2603</v>
      </c>
      <c r="E128" s="105" t="s">
        <v>499</v>
      </c>
      <c r="F128" s="105" t="s">
        <v>2604</v>
      </c>
      <c r="G128" s="105" t="s">
        <v>2605</v>
      </c>
      <c r="H128" s="105" t="s">
        <v>165</v>
      </c>
      <c r="I128" s="105">
        <v>202605.5</v>
      </c>
      <c r="J128" s="107">
        <v>5.27</v>
      </c>
      <c r="K128" s="105" t="s">
        <v>73</v>
      </c>
      <c r="L128" s="105" t="s">
        <v>2533</v>
      </c>
      <c r="M128" s="105" t="s">
        <v>2606</v>
      </c>
      <c r="N128" s="116" t="s">
        <v>2607</v>
      </c>
      <c r="O128" s="105"/>
      <c r="P128" s="177" t="s">
        <v>138</v>
      </c>
      <c r="Q128" s="177" t="s">
        <v>100</v>
      </c>
      <c r="R128" s="177" t="s">
        <v>262</v>
      </c>
      <c r="S128" s="177" t="s">
        <v>920</v>
      </c>
      <c r="T128" s="177" t="s">
        <v>103</v>
      </c>
      <c r="U128" s="177" t="s">
        <v>264</v>
      </c>
      <c r="V128" s="177" t="s">
        <v>264</v>
      </c>
      <c r="W128" s="191" t="s">
        <v>15</v>
      </c>
      <c r="X128" s="30" t="s">
        <v>173</v>
      </c>
      <c r="Y128" s="26" t="s">
        <v>173</v>
      </c>
      <c r="Z128" s="26" t="s">
        <v>174</v>
      </c>
      <c r="AA128" s="26" t="s">
        <v>175</v>
      </c>
      <c r="AB128" s="32">
        <f t="shared" si="7"/>
        <v>1</v>
      </c>
      <c r="AC128" s="25">
        <v>1</v>
      </c>
      <c r="AD128" s="104">
        <v>1</v>
      </c>
      <c r="AE128" s="32">
        <v>1</v>
      </c>
      <c r="AF128" s="106"/>
      <c r="AG128" s="106"/>
      <c r="AH128" s="32">
        <f t="shared" si="8"/>
        <v>1</v>
      </c>
      <c r="AI128" s="106"/>
      <c r="AJ128" s="32">
        <v>1</v>
      </c>
      <c r="AK128" s="106"/>
      <c r="AL128" s="106"/>
      <c r="AM128" s="32">
        <f t="shared" si="9"/>
        <v>0</v>
      </c>
      <c r="AN128" s="106"/>
      <c r="AO128" s="106"/>
      <c r="AP128" s="32">
        <v>1</v>
      </c>
      <c r="AQ128" s="106"/>
      <c r="AS128" s="106" t="s">
        <v>2608</v>
      </c>
      <c r="AT128" s="106"/>
      <c r="AU128" s="195" t="s">
        <v>2560</v>
      </c>
    </row>
    <row r="129" spans="1:47">
      <c r="A129" s="105" t="s">
        <v>2609</v>
      </c>
      <c r="B129" s="105" t="s">
        <v>160</v>
      </c>
      <c r="C129" s="105" t="s">
        <v>73</v>
      </c>
      <c r="D129" s="105" t="s">
        <v>2601</v>
      </c>
      <c r="E129" s="105" t="s">
        <v>162</v>
      </c>
      <c r="F129" s="105" t="s">
        <v>2610</v>
      </c>
      <c r="G129" s="105" t="s">
        <v>2611</v>
      </c>
      <c r="H129" s="105" t="s">
        <v>165</v>
      </c>
      <c r="I129" s="105">
        <v>202605.5</v>
      </c>
      <c r="J129" s="107">
        <v>5.27</v>
      </c>
      <c r="K129" s="105" t="s">
        <v>73</v>
      </c>
      <c r="L129" s="105" t="s">
        <v>2526</v>
      </c>
      <c r="M129" s="105" t="s">
        <v>2612</v>
      </c>
      <c r="N129" s="116" t="s">
        <v>2613</v>
      </c>
      <c r="O129" s="105"/>
      <c r="P129" s="177" t="s">
        <v>138</v>
      </c>
      <c r="Q129" s="177" t="s">
        <v>100</v>
      </c>
      <c r="R129" s="177" t="s">
        <v>262</v>
      </c>
      <c r="S129" s="177" t="s">
        <v>920</v>
      </c>
      <c r="T129" s="177" t="s">
        <v>103</v>
      </c>
      <c r="U129" s="177" t="s">
        <v>264</v>
      </c>
      <c r="V129" s="177" t="s">
        <v>264</v>
      </c>
      <c r="W129" s="191" t="s">
        <v>15</v>
      </c>
      <c r="X129" s="30" t="s">
        <v>173</v>
      </c>
      <c r="Y129" s="26" t="s">
        <v>173</v>
      </c>
      <c r="Z129" s="26" t="s">
        <v>174</v>
      </c>
      <c r="AA129" s="26" t="s">
        <v>175</v>
      </c>
      <c r="AB129" s="32">
        <f t="shared" si="7"/>
        <v>1</v>
      </c>
      <c r="AC129" s="25">
        <v>1</v>
      </c>
      <c r="AD129" s="104">
        <v>1</v>
      </c>
      <c r="AE129" s="32">
        <v>1</v>
      </c>
      <c r="AF129" s="106"/>
      <c r="AG129" s="106"/>
      <c r="AH129" s="32">
        <f t="shared" si="8"/>
        <v>1</v>
      </c>
      <c r="AI129" s="106"/>
      <c r="AJ129" s="32">
        <v>1</v>
      </c>
      <c r="AK129" s="106"/>
      <c r="AL129" s="106"/>
      <c r="AM129" s="32">
        <f t="shared" si="9"/>
        <v>0</v>
      </c>
      <c r="AN129" s="106"/>
      <c r="AO129" s="106"/>
      <c r="AP129" s="32">
        <v>1</v>
      </c>
      <c r="AQ129" s="106"/>
      <c r="AS129" s="106" t="s">
        <v>2614</v>
      </c>
      <c r="AT129" s="106"/>
      <c r="AU129" s="195" t="s">
        <v>2567</v>
      </c>
    </row>
    <row r="130" spans="1:47">
      <c r="A130" s="105" t="s">
        <v>2615</v>
      </c>
      <c r="B130" s="105" t="s">
        <v>160</v>
      </c>
      <c r="C130" s="105" t="s">
        <v>73</v>
      </c>
      <c r="D130" s="105" t="s">
        <v>2616</v>
      </c>
      <c r="E130" s="105" t="s">
        <v>162</v>
      </c>
      <c r="F130" s="105" t="s">
        <v>2617</v>
      </c>
      <c r="G130" s="105" t="s">
        <v>2618</v>
      </c>
      <c r="H130" s="105" t="s">
        <v>165</v>
      </c>
      <c r="I130" s="105">
        <v>202605.5</v>
      </c>
      <c r="J130" s="107">
        <v>5.27</v>
      </c>
      <c r="K130" s="105" t="s">
        <v>73</v>
      </c>
      <c r="L130" s="105" t="s">
        <v>2404</v>
      </c>
      <c r="M130" s="105" t="s">
        <v>2619</v>
      </c>
      <c r="N130" s="116" t="s">
        <v>2620</v>
      </c>
      <c r="O130" s="105"/>
      <c r="P130" s="177" t="s">
        <v>138</v>
      </c>
      <c r="Q130" s="177" t="s">
        <v>100</v>
      </c>
      <c r="R130" s="177" t="s">
        <v>262</v>
      </c>
      <c r="S130" s="177" t="s">
        <v>920</v>
      </c>
      <c r="T130" s="177" t="s">
        <v>103</v>
      </c>
      <c r="U130" s="177" t="s">
        <v>264</v>
      </c>
      <c r="V130" s="177" t="s">
        <v>264</v>
      </c>
      <c r="W130" s="191" t="s">
        <v>15</v>
      </c>
      <c r="X130" s="30" t="s">
        <v>173</v>
      </c>
      <c r="Y130" s="26" t="s">
        <v>173</v>
      </c>
      <c r="Z130" s="26" t="s">
        <v>174</v>
      </c>
      <c r="AA130" s="26" t="s">
        <v>175</v>
      </c>
      <c r="AB130" s="32">
        <f t="shared" si="7"/>
        <v>1</v>
      </c>
      <c r="AC130" s="25">
        <v>1</v>
      </c>
      <c r="AD130" s="104">
        <v>1</v>
      </c>
      <c r="AE130" s="32">
        <v>1</v>
      </c>
      <c r="AF130" s="106"/>
      <c r="AG130" s="106"/>
      <c r="AH130" s="32">
        <f t="shared" si="8"/>
        <v>1</v>
      </c>
      <c r="AI130" s="106"/>
      <c r="AJ130" s="32">
        <v>1</v>
      </c>
      <c r="AK130" s="106"/>
      <c r="AL130" s="106"/>
      <c r="AM130" s="32">
        <f t="shared" si="9"/>
        <v>0</v>
      </c>
      <c r="AN130" s="106"/>
      <c r="AO130" s="106"/>
      <c r="AP130" s="32">
        <v>1</v>
      </c>
      <c r="AQ130" s="106"/>
      <c r="AS130" s="106" t="s">
        <v>2621</v>
      </c>
      <c r="AT130" s="106"/>
      <c r="AU130" s="195" t="s">
        <v>2499</v>
      </c>
    </row>
    <row r="131" spans="1:47">
      <c r="A131" s="105" t="s">
        <v>2622</v>
      </c>
      <c r="B131" s="105" t="s">
        <v>160</v>
      </c>
      <c r="C131" s="105" t="s">
        <v>73</v>
      </c>
      <c r="D131" s="105" t="s">
        <v>2623</v>
      </c>
      <c r="E131" s="105" t="s">
        <v>162</v>
      </c>
      <c r="F131" s="105" t="s">
        <v>2624</v>
      </c>
      <c r="G131" s="105" t="s">
        <v>2625</v>
      </c>
      <c r="H131" s="105" t="s">
        <v>165</v>
      </c>
      <c r="I131" s="105">
        <v>202605.5</v>
      </c>
      <c r="J131" s="107">
        <v>5.27</v>
      </c>
      <c r="K131" s="105" t="s">
        <v>73</v>
      </c>
      <c r="L131" s="105" t="s">
        <v>2519</v>
      </c>
      <c r="M131" s="105" t="s">
        <v>2626</v>
      </c>
      <c r="N131" s="116" t="s">
        <v>2627</v>
      </c>
      <c r="O131" s="105"/>
      <c r="P131" s="177" t="s">
        <v>138</v>
      </c>
      <c r="Q131" s="177" t="s">
        <v>100</v>
      </c>
      <c r="R131" s="177" t="s">
        <v>262</v>
      </c>
      <c r="S131" s="177" t="s">
        <v>920</v>
      </c>
      <c r="T131" s="177" t="s">
        <v>103</v>
      </c>
      <c r="U131" s="177" t="s">
        <v>264</v>
      </c>
      <c r="V131" s="177" t="s">
        <v>264</v>
      </c>
      <c r="W131" s="191" t="s">
        <v>15</v>
      </c>
      <c r="X131" s="30" t="s">
        <v>173</v>
      </c>
      <c r="Y131" s="26" t="s">
        <v>173</v>
      </c>
      <c r="Z131" s="26" t="s">
        <v>174</v>
      </c>
      <c r="AA131" s="26" t="s">
        <v>175</v>
      </c>
      <c r="AB131" s="32">
        <f t="shared" si="7"/>
        <v>1</v>
      </c>
      <c r="AC131" s="25">
        <v>1</v>
      </c>
      <c r="AD131" s="104">
        <v>1</v>
      </c>
      <c r="AE131" s="32">
        <v>1</v>
      </c>
      <c r="AF131" s="106"/>
      <c r="AG131" s="106"/>
      <c r="AH131" s="32">
        <f t="shared" ref="AH131:AH155" si="10">IF(COUNTIF(AS:AS,"*"&amp;L131&amp;"*")&gt;0,1,0)</f>
        <v>1</v>
      </c>
      <c r="AI131" s="106"/>
      <c r="AJ131" s="32">
        <v>1</v>
      </c>
      <c r="AK131" s="106"/>
      <c r="AL131" s="106"/>
      <c r="AM131" s="32">
        <f t="shared" ref="AM131:AM155" si="11">IF(COUNTIF(AT:AT,"*"&amp;L131&amp;"*")&gt;0,1,0)</f>
        <v>0</v>
      </c>
      <c r="AN131" s="106"/>
      <c r="AO131" s="106"/>
      <c r="AP131" s="32">
        <v>1</v>
      </c>
      <c r="AQ131" s="106"/>
      <c r="AS131" s="106" t="s">
        <v>2628</v>
      </c>
      <c r="AT131" s="106"/>
      <c r="AU131" s="195" t="s">
        <v>2616</v>
      </c>
    </row>
    <row r="132" spans="1:47">
      <c r="A132" s="105" t="s">
        <v>2629</v>
      </c>
      <c r="B132" s="105" t="s">
        <v>160</v>
      </c>
      <c r="C132" s="105" t="s">
        <v>73</v>
      </c>
      <c r="D132" s="105" t="s">
        <v>2630</v>
      </c>
      <c r="E132" s="105" t="s">
        <v>162</v>
      </c>
      <c r="F132" s="105" t="s">
        <v>2631</v>
      </c>
      <c r="G132" s="105" t="s">
        <v>2632</v>
      </c>
      <c r="H132" s="105" t="s">
        <v>165</v>
      </c>
      <c r="I132" s="105">
        <v>202605.5</v>
      </c>
      <c r="J132" s="107">
        <v>5.27</v>
      </c>
      <c r="K132" s="105" t="s">
        <v>73</v>
      </c>
      <c r="L132" s="105" t="s">
        <v>2633</v>
      </c>
      <c r="M132" s="105" t="s">
        <v>2634</v>
      </c>
      <c r="N132" s="116" t="s">
        <v>2635</v>
      </c>
      <c r="O132" s="105"/>
      <c r="P132" s="177" t="s">
        <v>138</v>
      </c>
      <c r="Q132" s="177" t="s">
        <v>100</v>
      </c>
      <c r="R132" s="177" t="s">
        <v>262</v>
      </c>
      <c r="S132" s="177" t="s">
        <v>920</v>
      </c>
      <c r="T132" s="177" t="s">
        <v>103</v>
      </c>
      <c r="U132" s="177" t="s">
        <v>264</v>
      </c>
      <c r="V132" s="177" t="s">
        <v>264</v>
      </c>
      <c r="W132" s="191" t="s">
        <v>15</v>
      </c>
      <c r="X132" s="30" t="s">
        <v>173</v>
      </c>
      <c r="Y132" s="26" t="s">
        <v>173</v>
      </c>
      <c r="Z132" s="26" t="s">
        <v>174</v>
      </c>
      <c r="AA132" s="26" t="s">
        <v>175</v>
      </c>
      <c r="AB132" s="32">
        <f t="shared" ref="AB132:AB137" si="12">IF(COUNTIF(AU:AU,"*"&amp;D132&amp;"*")&gt;0,1,0)</f>
        <v>1</v>
      </c>
      <c r="AC132" s="25">
        <v>1</v>
      </c>
      <c r="AD132" s="104">
        <v>1</v>
      </c>
      <c r="AE132" s="32">
        <v>1</v>
      </c>
      <c r="AF132" s="106"/>
      <c r="AG132" s="106"/>
      <c r="AH132" s="32">
        <f t="shared" si="10"/>
        <v>1</v>
      </c>
      <c r="AI132" s="106"/>
      <c r="AJ132" s="32">
        <v>1</v>
      </c>
      <c r="AK132" s="106"/>
      <c r="AL132" s="106"/>
      <c r="AM132" s="32">
        <f t="shared" si="11"/>
        <v>0</v>
      </c>
      <c r="AN132" s="106"/>
      <c r="AO132" s="106"/>
      <c r="AP132" s="32">
        <v>1</v>
      </c>
      <c r="AQ132" s="106"/>
      <c r="AS132" s="106" t="s">
        <v>2636</v>
      </c>
      <c r="AT132" s="106"/>
      <c r="AU132" s="195" t="s">
        <v>2541</v>
      </c>
    </row>
    <row r="133" spans="1:47">
      <c r="A133" s="105" t="s">
        <v>2637</v>
      </c>
      <c r="B133" s="105" t="s">
        <v>160</v>
      </c>
      <c r="C133" s="105" t="s">
        <v>73</v>
      </c>
      <c r="D133" s="105" t="s">
        <v>2638</v>
      </c>
      <c r="E133" s="105" t="s">
        <v>499</v>
      </c>
      <c r="F133" s="105" t="s">
        <v>2639</v>
      </c>
      <c r="G133" s="105" t="s">
        <v>2640</v>
      </c>
      <c r="H133" s="105" t="s">
        <v>165</v>
      </c>
      <c r="I133" s="105">
        <v>202605.5</v>
      </c>
      <c r="J133" s="107">
        <v>5.27</v>
      </c>
      <c r="K133" s="105" t="s">
        <v>73</v>
      </c>
      <c r="L133" s="105" t="s">
        <v>2552</v>
      </c>
      <c r="M133" s="105" t="s">
        <v>2641</v>
      </c>
      <c r="N133" s="116" t="s">
        <v>2642</v>
      </c>
      <c r="O133" s="105"/>
      <c r="P133" s="177" t="s">
        <v>138</v>
      </c>
      <c r="Q133" s="177" t="s">
        <v>100</v>
      </c>
      <c r="R133" s="177" t="s">
        <v>262</v>
      </c>
      <c r="S133" s="177" t="s">
        <v>920</v>
      </c>
      <c r="T133" s="177" t="s">
        <v>103</v>
      </c>
      <c r="U133" s="177" t="s">
        <v>264</v>
      </c>
      <c r="V133" s="177" t="s">
        <v>264</v>
      </c>
      <c r="W133" s="191" t="s">
        <v>15</v>
      </c>
      <c r="X133" s="30" t="s">
        <v>173</v>
      </c>
      <c r="Y133" s="26" t="s">
        <v>173</v>
      </c>
      <c r="Z133" s="26" t="s">
        <v>174</v>
      </c>
      <c r="AA133" s="26" t="s">
        <v>175</v>
      </c>
      <c r="AB133" s="32">
        <f t="shared" si="12"/>
        <v>1</v>
      </c>
      <c r="AC133" s="25">
        <v>1</v>
      </c>
      <c r="AD133" s="104">
        <v>1</v>
      </c>
      <c r="AE133" s="32">
        <v>1</v>
      </c>
      <c r="AF133" s="106"/>
      <c r="AG133" s="106"/>
      <c r="AH133" s="32">
        <f t="shared" si="10"/>
        <v>1</v>
      </c>
      <c r="AI133" s="106"/>
      <c r="AJ133" s="32">
        <v>1</v>
      </c>
      <c r="AK133" s="106"/>
      <c r="AL133" s="106"/>
      <c r="AM133" s="32">
        <f t="shared" si="11"/>
        <v>0</v>
      </c>
      <c r="AN133" s="106"/>
      <c r="AO133" s="106"/>
      <c r="AP133" s="32">
        <v>1</v>
      </c>
      <c r="AQ133" s="106"/>
      <c r="AR133" s="185" t="s">
        <v>194</v>
      </c>
      <c r="AS133" s="106" t="s">
        <v>2643</v>
      </c>
      <c r="AT133" s="106"/>
      <c r="AU133" s="195" t="s">
        <v>2603</v>
      </c>
    </row>
    <row r="134" spans="1:47">
      <c r="A134" s="105" t="s">
        <v>2644</v>
      </c>
      <c r="B134" s="105" t="s">
        <v>160</v>
      </c>
      <c r="C134" s="105" t="s">
        <v>73</v>
      </c>
      <c r="D134" s="105" t="s">
        <v>2645</v>
      </c>
      <c r="E134" s="105" t="s">
        <v>162</v>
      </c>
      <c r="F134" s="105" t="s">
        <v>2646</v>
      </c>
      <c r="G134" s="105" t="s">
        <v>2647</v>
      </c>
      <c r="H134" s="105" t="s">
        <v>165</v>
      </c>
      <c r="I134" s="105">
        <v>202605.5</v>
      </c>
      <c r="J134" s="107">
        <v>5.27</v>
      </c>
      <c r="K134" s="105" t="s">
        <v>73</v>
      </c>
      <c r="L134" s="105" t="s">
        <v>2648</v>
      </c>
      <c r="M134" s="105" t="s">
        <v>2649</v>
      </c>
      <c r="N134" s="116" t="s">
        <v>2650</v>
      </c>
      <c r="O134" s="105"/>
      <c r="P134" s="177" t="s">
        <v>138</v>
      </c>
      <c r="Q134" s="177" t="s">
        <v>100</v>
      </c>
      <c r="R134" s="177" t="s">
        <v>262</v>
      </c>
      <c r="S134" s="177" t="s">
        <v>920</v>
      </c>
      <c r="T134" s="177" t="s">
        <v>103</v>
      </c>
      <c r="U134" s="177" t="s">
        <v>264</v>
      </c>
      <c r="V134" s="177" t="s">
        <v>264</v>
      </c>
      <c r="W134" s="191" t="s">
        <v>15</v>
      </c>
      <c r="X134" s="30" t="s">
        <v>173</v>
      </c>
      <c r="Y134" s="26" t="s">
        <v>173</v>
      </c>
      <c r="Z134" s="26" t="s">
        <v>174</v>
      </c>
      <c r="AA134" s="26" t="s">
        <v>175</v>
      </c>
      <c r="AB134" s="32">
        <f t="shared" si="12"/>
        <v>1</v>
      </c>
      <c r="AC134" s="25">
        <v>1</v>
      </c>
      <c r="AD134" s="104">
        <v>1</v>
      </c>
      <c r="AE134" s="32">
        <v>1</v>
      </c>
      <c r="AF134" s="106"/>
      <c r="AG134" s="106"/>
      <c r="AH134" s="32">
        <f t="shared" si="10"/>
        <v>1</v>
      </c>
      <c r="AI134" s="106"/>
      <c r="AJ134" s="32">
        <v>1</v>
      </c>
      <c r="AK134" s="106"/>
      <c r="AL134" s="106"/>
      <c r="AM134" s="32">
        <f t="shared" si="11"/>
        <v>0</v>
      </c>
      <c r="AN134" s="106"/>
      <c r="AO134" s="106"/>
      <c r="AP134" s="32">
        <v>1</v>
      </c>
      <c r="AQ134" s="106"/>
      <c r="AS134" s="106" t="s">
        <v>2651</v>
      </c>
      <c r="AT134" s="106"/>
      <c r="AU134" s="195" t="s">
        <v>2506</v>
      </c>
    </row>
    <row r="135" spans="1:47">
      <c r="A135" s="105" t="s">
        <v>2652</v>
      </c>
      <c r="B135" s="105" t="s">
        <v>160</v>
      </c>
      <c r="C135" s="105" t="s">
        <v>73</v>
      </c>
      <c r="D135" s="105" t="s">
        <v>2653</v>
      </c>
      <c r="E135" s="105" t="s">
        <v>162</v>
      </c>
      <c r="F135" s="105" t="s">
        <v>2654</v>
      </c>
      <c r="G135" s="105" t="s">
        <v>2655</v>
      </c>
      <c r="H135" s="105" t="s">
        <v>165</v>
      </c>
      <c r="I135" s="105">
        <v>202605.5</v>
      </c>
      <c r="J135" s="107">
        <v>5.27</v>
      </c>
      <c r="K135" s="105" t="s">
        <v>73</v>
      </c>
      <c r="L135" s="105" t="s">
        <v>2397</v>
      </c>
      <c r="M135" s="105" t="s">
        <v>2656</v>
      </c>
      <c r="N135" s="116" t="s">
        <v>2657</v>
      </c>
      <c r="O135" s="105"/>
      <c r="P135" s="177" t="s">
        <v>138</v>
      </c>
      <c r="Q135" s="177" t="s">
        <v>100</v>
      </c>
      <c r="R135" s="177" t="s">
        <v>262</v>
      </c>
      <c r="S135" s="177" t="s">
        <v>920</v>
      </c>
      <c r="T135" s="177" t="s">
        <v>103</v>
      </c>
      <c r="U135" s="177" t="s">
        <v>264</v>
      </c>
      <c r="V135" s="177" t="s">
        <v>264</v>
      </c>
      <c r="W135" s="191" t="s">
        <v>15</v>
      </c>
      <c r="X135" s="30" t="s">
        <v>173</v>
      </c>
      <c r="Y135" s="26" t="s">
        <v>173</v>
      </c>
      <c r="Z135" s="26" t="s">
        <v>174</v>
      </c>
      <c r="AA135" s="26" t="s">
        <v>175</v>
      </c>
      <c r="AB135" s="32">
        <f t="shared" si="12"/>
        <v>1</v>
      </c>
      <c r="AC135" s="25">
        <v>1</v>
      </c>
      <c r="AD135" s="104">
        <v>1</v>
      </c>
      <c r="AE135" s="32">
        <v>1</v>
      </c>
      <c r="AF135" s="106"/>
      <c r="AG135" s="106"/>
      <c r="AH135" s="32">
        <f t="shared" si="10"/>
        <v>1</v>
      </c>
      <c r="AI135" s="106"/>
      <c r="AJ135" s="32">
        <v>1</v>
      </c>
      <c r="AK135" s="106"/>
      <c r="AL135" s="106"/>
      <c r="AM135" s="32">
        <f t="shared" si="11"/>
        <v>0</v>
      </c>
      <c r="AN135" s="106"/>
      <c r="AO135" s="106"/>
      <c r="AP135" s="32">
        <v>1</v>
      </c>
      <c r="AQ135" s="106"/>
      <c r="AR135" s="185" t="s">
        <v>194</v>
      </c>
      <c r="AS135" s="106" t="s">
        <v>2658</v>
      </c>
      <c r="AT135" s="106"/>
      <c r="AU135" s="195" t="s">
        <v>2554</v>
      </c>
    </row>
    <row r="136" spans="1:47">
      <c r="A136" s="105" t="s">
        <v>2659</v>
      </c>
      <c r="B136" s="105" t="s">
        <v>160</v>
      </c>
      <c r="C136" s="105" t="s">
        <v>73</v>
      </c>
      <c r="D136" s="105" t="s">
        <v>2660</v>
      </c>
      <c r="E136" s="105" t="s">
        <v>162</v>
      </c>
      <c r="F136" s="105" t="s">
        <v>2661</v>
      </c>
      <c r="G136" s="105" t="s">
        <v>2662</v>
      </c>
      <c r="H136" s="105" t="s">
        <v>165</v>
      </c>
      <c r="I136" s="105">
        <v>202605.5</v>
      </c>
      <c r="J136" s="107">
        <v>5.27</v>
      </c>
      <c r="K136" s="105" t="s">
        <v>73</v>
      </c>
      <c r="L136" s="105" t="s">
        <v>2663</v>
      </c>
      <c r="M136" s="105" t="s">
        <v>2664</v>
      </c>
      <c r="N136" s="116" t="s">
        <v>2665</v>
      </c>
      <c r="O136" s="105"/>
      <c r="P136" s="177" t="s">
        <v>138</v>
      </c>
      <c r="Q136" s="177" t="s">
        <v>100</v>
      </c>
      <c r="R136" s="177" t="s">
        <v>262</v>
      </c>
      <c r="S136" s="177" t="s">
        <v>920</v>
      </c>
      <c r="T136" s="177" t="s">
        <v>103</v>
      </c>
      <c r="U136" s="177" t="s">
        <v>264</v>
      </c>
      <c r="V136" s="177" t="s">
        <v>264</v>
      </c>
      <c r="W136" s="193" t="s">
        <v>9</v>
      </c>
      <c r="X136" s="30" t="s">
        <v>173</v>
      </c>
      <c r="Y136" s="26" t="s">
        <v>173</v>
      </c>
      <c r="Z136" s="26" t="s">
        <v>174</v>
      </c>
      <c r="AA136" s="26" t="s">
        <v>175</v>
      </c>
      <c r="AB136" s="32">
        <v>1</v>
      </c>
      <c r="AC136" s="25">
        <v>1</v>
      </c>
      <c r="AD136" s="104">
        <v>1</v>
      </c>
      <c r="AE136" s="32">
        <v>1</v>
      </c>
      <c r="AF136" s="106"/>
      <c r="AG136" s="106"/>
      <c r="AH136" s="32">
        <f t="shared" si="10"/>
        <v>1</v>
      </c>
      <c r="AI136" s="106"/>
      <c r="AJ136" s="32">
        <v>1</v>
      </c>
      <c r="AK136" s="106"/>
      <c r="AL136" s="106"/>
      <c r="AM136" s="32">
        <f t="shared" si="11"/>
        <v>0</v>
      </c>
      <c r="AN136" s="106"/>
      <c r="AO136" s="106"/>
      <c r="AP136" s="32">
        <v>1</v>
      </c>
      <c r="AQ136" s="106"/>
      <c r="AS136" s="106" t="s">
        <v>2666</v>
      </c>
      <c r="AT136" s="106"/>
      <c r="AU136" s="195" t="s">
        <v>2595</v>
      </c>
    </row>
    <row r="137" spans="1:47">
      <c r="A137" s="105" t="s">
        <v>2667</v>
      </c>
      <c r="B137" s="105" t="s">
        <v>160</v>
      </c>
      <c r="C137" s="105" t="s">
        <v>73</v>
      </c>
      <c r="D137" s="105" t="s">
        <v>2668</v>
      </c>
      <c r="E137" s="105" t="s">
        <v>162</v>
      </c>
      <c r="F137" s="105" t="s">
        <v>2669</v>
      </c>
      <c r="G137" s="105" t="s">
        <v>2670</v>
      </c>
      <c r="H137" s="105" t="s">
        <v>165</v>
      </c>
      <c r="I137" s="105">
        <v>202605.5</v>
      </c>
      <c r="J137" s="107">
        <v>5.27</v>
      </c>
      <c r="K137" s="105" t="s">
        <v>73</v>
      </c>
      <c r="L137" s="105" t="s">
        <v>2418</v>
      </c>
      <c r="M137" s="105" t="s">
        <v>2671</v>
      </c>
      <c r="N137" s="116" t="s">
        <v>2672</v>
      </c>
      <c r="O137" s="105"/>
      <c r="P137" s="177" t="s">
        <v>138</v>
      </c>
      <c r="Q137" s="177" t="s">
        <v>100</v>
      </c>
      <c r="R137" s="177" t="s">
        <v>262</v>
      </c>
      <c r="S137" s="177" t="s">
        <v>920</v>
      </c>
      <c r="T137" s="177" t="s">
        <v>103</v>
      </c>
      <c r="U137" s="177" t="s">
        <v>264</v>
      </c>
      <c r="V137" s="177" t="s">
        <v>264</v>
      </c>
      <c r="W137" s="191" t="s">
        <v>15</v>
      </c>
      <c r="X137" s="30" t="s">
        <v>173</v>
      </c>
      <c r="Y137" s="26" t="s">
        <v>173</v>
      </c>
      <c r="Z137" s="26" t="s">
        <v>174</v>
      </c>
      <c r="AA137" s="26" t="s">
        <v>175</v>
      </c>
      <c r="AB137" s="32">
        <f t="shared" si="12"/>
        <v>1</v>
      </c>
      <c r="AC137" s="25">
        <v>1</v>
      </c>
      <c r="AD137" s="104">
        <v>1</v>
      </c>
      <c r="AE137" s="32">
        <v>1</v>
      </c>
      <c r="AF137" s="106"/>
      <c r="AG137" s="106"/>
      <c r="AH137" s="32">
        <f t="shared" si="10"/>
        <v>1</v>
      </c>
      <c r="AI137" s="106"/>
      <c r="AJ137" s="32">
        <v>1</v>
      </c>
      <c r="AK137" s="106"/>
      <c r="AL137" s="106"/>
      <c r="AM137" s="32">
        <f t="shared" si="11"/>
        <v>0</v>
      </c>
      <c r="AN137" s="106"/>
      <c r="AO137" s="106"/>
      <c r="AP137" s="32">
        <v>1</v>
      </c>
      <c r="AQ137" s="106"/>
      <c r="AR137" s="185" t="s">
        <v>194</v>
      </c>
      <c r="AS137" s="106" t="s">
        <v>2673</v>
      </c>
      <c r="AT137" s="106"/>
      <c r="AU137" s="195" t="s">
        <v>2645</v>
      </c>
    </row>
    <row r="138" spans="1:47">
      <c r="A138" s="105" t="s">
        <v>2674</v>
      </c>
      <c r="B138" s="105" t="s">
        <v>160</v>
      </c>
      <c r="C138" s="105" t="s">
        <v>73</v>
      </c>
      <c r="D138" s="105" t="s">
        <v>2675</v>
      </c>
      <c r="E138" s="105" t="s">
        <v>162</v>
      </c>
      <c r="F138" s="105" t="s">
        <v>2676</v>
      </c>
      <c r="G138" s="105" t="s">
        <v>2677</v>
      </c>
      <c r="H138" s="105" t="s">
        <v>165</v>
      </c>
      <c r="I138" s="105">
        <v>202605.5</v>
      </c>
      <c r="J138" s="107">
        <v>5.27</v>
      </c>
      <c r="K138" s="105" t="s">
        <v>73</v>
      </c>
      <c r="L138" s="105" t="s">
        <v>2678</v>
      </c>
      <c r="M138" s="105" t="s">
        <v>2679</v>
      </c>
      <c r="N138" s="116" t="s">
        <v>2680</v>
      </c>
      <c r="O138" s="105"/>
      <c r="P138" s="177" t="s">
        <v>138</v>
      </c>
      <c r="Q138" s="177" t="s">
        <v>100</v>
      </c>
      <c r="R138" s="177" t="s">
        <v>262</v>
      </c>
      <c r="S138" s="177" t="s">
        <v>1095</v>
      </c>
      <c r="T138" s="177" t="s">
        <v>103</v>
      </c>
      <c r="U138" s="177" t="s">
        <v>264</v>
      </c>
      <c r="V138" s="177" t="s">
        <v>264</v>
      </c>
      <c r="W138" s="191" t="s">
        <v>17</v>
      </c>
      <c r="X138" s="30" t="s">
        <v>173</v>
      </c>
      <c r="Y138" s="26" t="s">
        <v>173</v>
      </c>
      <c r="Z138" s="26" t="s">
        <v>174</v>
      </c>
      <c r="AA138" s="26" t="s">
        <v>175</v>
      </c>
      <c r="AB138" s="32">
        <f t="shared" ref="AB138:AB169" si="13">IF(COUNTIF(AU:AU,"*"&amp;D138&amp;"*")&gt;0,1,0)</f>
        <v>1</v>
      </c>
      <c r="AC138" s="25">
        <v>1</v>
      </c>
      <c r="AD138" s="104">
        <v>1</v>
      </c>
      <c r="AE138" s="32">
        <v>1</v>
      </c>
      <c r="AF138" s="106"/>
      <c r="AG138" s="106"/>
      <c r="AH138" s="32">
        <f t="shared" si="10"/>
        <v>1</v>
      </c>
      <c r="AI138" s="106"/>
      <c r="AJ138" s="32">
        <v>1</v>
      </c>
      <c r="AK138" s="106"/>
      <c r="AL138" s="106"/>
      <c r="AM138" s="32">
        <f t="shared" si="11"/>
        <v>0</v>
      </c>
      <c r="AN138" s="106"/>
      <c r="AO138" s="106"/>
      <c r="AP138" s="32">
        <v>1</v>
      </c>
      <c r="AQ138" s="106"/>
      <c r="AR138" s="185" t="s">
        <v>194</v>
      </c>
      <c r="AS138" s="106" t="s">
        <v>2678</v>
      </c>
      <c r="AT138" s="106"/>
      <c r="AU138" s="195" t="s">
        <v>2653</v>
      </c>
    </row>
    <row r="139" spans="1:47">
      <c r="A139" s="105" t="s">
        <v>2681</v>
      </c>
      <c r="B139" s="105" t="s">
        <v>160</v>
      </c>
      <c r="C139" s="105" t="s">
        <v>73</v>
      </c>
      <c r="D139" s="105" t="s">
        <v>2682</v>
      </c>
      <c r="E139" s="105" t="s">
        <v>162</v>
      </c>
      <c r="F139" s="105" t="s">
        <v>2683</v>
      </c>
      <c r="G139" s="105" t="s">
        <v>2684</v>
      </c>
      <c r="H139" s="105" t="s">
        <v>165</v>
      </c>
      <c r="I139" s="105">
        <v>202605.5</v>
      </c>
      <c r="J139" s="107">
        <v>5.27</v>
      </c>
      <c r="K139" s="105" t="s">
        <v>73</v>
      </c>
      <c r="L139" s="105" t="s">
        <v>2673</v>
      </c>
      <c r="M139" s="105" t="s">
        <v>2685</v>
      </c>
      <c r="N139" s="116" t="s">
        <v>2686</v>
      </c>
      <c r="O139" s="105"/>
      <c r="P139" s="177" t="s">
        <v>138</v>
      </c>
      <c r="Q139" s="177" t="s">
        <v>100</v>
      </c>
      <c r="R139" s="177" t="s">
        <v>262</v>
      </c>
      <c r="S139" s="177" t="s">
        <v>1095</v>
      </c>
      <c r="T139" s="177" t="s">
        <v>103</v>
      </c>
      <c r="U139" s="177" t="s">
        <v>264</v>
      </c>
      <c r="V139" s="177" t="s">
        <v>264</v>
      </c>
      <c r="W139" s="191" t="s">
        <v>17</v>
      </c>
      <c r="X139" s="30" t="s">
        <v>173</v>
      </c>
      <c r="Y139" s="26" t="s">
        <v>173</v>
      </c>
      <c r="Z139" s="26" t="s">
        <v>174</v>
      </c>
      <c r="AA139" s="26" t="s">
        <v>175</v>
      </c>
      <c r="AB139" s="32">
        <f t="shared" si="13"/>
        <v>1</v>
      </c>
      <c r="AC139" s="25">
        <v>1</v>
      </c>
      <c r="AD139" s="104">
        <v>1</v>
      </c>
      <c r="AE139" s="32">
        <v>1</v>
      </c>
      <c r="AF139" s="106"/>
      <c r="AG139" s="106"/>
      <c r="AH139" s="32">
        <f t="shared" si="10"/>
        <v>1</v>
      </c>
      <c r="AI139" s="106"/>
      <c r="AJ139" s="32">
        <v>1</v>
      </c>
      <c r="AK139" s="106"/>
      <c r="AL139" s="106"/>
      <c r="AM139" s="32">
        <f t="shared" si="11"/>
        <v>0</v>
      </c>
      <c r="AN139" s="106"/>
      <c r="AO139" s="106"/>
      <c r="AP139" s="32">
        <v>1</v>
      </c>
      <c r="AQ139" s="106"/>
      <c r="AS139" s="106" t="s">
        <v>2687</v>
      </c>
      <c r="AT139" s="106"/>
      <c r="AU139" s="195" t="s">
        <v>2514</v>
      </c>
    </row>
    <row r="140" spans="1:47">
      <c r="A140" s="105" t="s">
        <v>2688</v>
      </c>
      <c r="B140" s="105" t="s">
        <v>160</v>
      </c>
      <c r="C140" s="105" t="s">
        <v>73</v>
      </c>
      <c r="D140" s="105" t="s">
        <v>2689</v>
      </c>
      <c r="E140" s="105" t="s">
        <v>162</v>
      </c>
      <c r="F140" s="105" t="s">
        <v>2690</v>
      </c>
      <c r="G140" s="105" t="s">
        <v>2691</v>
      </c>
      <c r="H140" s="105" t="s">
        <v>165</v>
      </c>
      <c r="I140" s="105">
        <v>202605.5</v>
      </c>
      <c r="J140" s="107">
        <v>5.27</v>
      </c>
      <c r="K140" s="105" t="s">
        <v>73</v>
      </c>
      <c r="L140" s="105" t="s">
        <v>2587</v>
      </c>
      <c r="M140" s="105" t="s">
        <v>2692</v>
      </c>
      <c r="N140" s="116" t="s">
        <v>2693</v>
      </c>
      <c r="O140" s="105"/>
      <c r="P140" s="177" t="s">
        <v>138</v>
      </c>
      <c r="Q140" s="177" t="s">
        <v>100</v>
      </c>
      <c r="R140" s="177" t="s">
        <v>262</v>
      </c>
      <c r="S140" s="177" t="s">
        <v>1095</v>
      </c>
      <c r="T140" s="177" t="s">
        <v>103</v>
      </c>
      <c r="U140" s="177" t="s">
        <v>264</v>
      </c>
      <c r="V140" s="177" t="s">
        <v>264</v>
      </c>
      <c r="W140" s="191" t="s">
        <v>17</v>
      </c>
      <c r="X140" s="30" t="s">
        <v>173</v>
      </c>
      <c r="Y140" s="26" t="s">
        <v>173</v>
      </c>
      <c r="Z140" s="26" t="s">
        <v>174</v>
      </c>
      <c r="AA140" s="26" t="s">
        <v>175</v>
      </c>
      <c r="AB140" s="32">
        <f t="shared" si="13"/>
        <v>1</v>
      </c>
      <c r="AC140" s="25">
        <v>1</v>
      </c>
      <c r="AD140" s="104">
        <v>1</v>
      </c>
      <c r="AE140" s="32">
        <v>1</v>
      </c>
      <c r="AF140" s="106"/>
      <c r="AG140" s="106"/>
      <c r="AH140" s="32">
        <f t="shared" si="10"/>
        <v>1</v>
      </c>
      <c r="AI140" s="106"/>
      <c r="AJ140" s="32">
        <v>1</v>
      </c>
      <c r="AK140" s="106"/>
      <c r="AL140" s="106"/>
      <c r="AM140" s="32">
        <f t="shared" si="11"/>
        <v>0</v>
      </c>
      <c r="AN140" s="106"/>
      <c r="AO140" s="106"/>
      <c r="AP140" s="32">
        <v>1</v>
      </c>
      <c r="AQ140" s="106"/>
      <c r="AS140" s="106" t="s">
        <v>2694</v>
      </c>
      <c r="AT140" s="106"/>
      <c r="AU140" s="195" t="s">
        <v>2535</v>
      </c>
    </row>
    <row r="141" spans="1:47">
      <c r="A141" s="105" t="s">
        <v>2695</v>
      </c>
      <c r="B141" s="105" t="s">
        <v>160</v>
      </c>
      <c r="C141" s="105" t="s">
        <v>73</v>
      </c>
      <c r="D141" s="105" t="s">
        <v>2696</v>
      </c>
      <c r="E141" s="105" t="s">
        <v>162</v>
      </c>
      <c r="F141" s="105" t="s">
        <v>2697</v>
      </c>
      <c r="G141" s="105" t="s">
        <v>2698</v>
      </c>
      <c r="H141" s="105" t="s">
        <v>165</v>
      </c>
      <c r="I141" s="105">
        <v>202605.5</v>
      </c>
      <c r="J141" s="107">
        <v>5.27</v>
      </c>
      <c r="K141" s="105" t="s">
        <v>73</v>
      </c>
      <c r="L141" s="105" t="s">
        <v>2699</v>
      </c>
      <c r="M141" s="105" t="s">
        <v>2700</v>
      </c>
      <c r="N141" s="116" t="s">
        <v>2701</v>
      </c>
      <c r="O141" s="105"/>
      <c r="P141" s="177" t="s">
        <v>138</v>
      </c>
      <c r="Q141" s="177" t="s">
        <v>100</v>
      </c>
      <c r="R141" s="177" t="s">
        <v>262</v>
      </c>
      <c r="S141" s="177" t="s">
        <v>1095</v>
      </c>
      <c r="T141" s="177" t="s">
        <v>103</v>
      </c>
      <c r="U141" s="177" t="s">
        <v>264</v>
      </c>
      <c r="V141" s="177" t="s">
        <v>264</v>
      </c>
      <c r="W141" s="191" t="s">
        <v>17</v>
      </c>
      <c r="X141" s="30" t="s">
        <v>173</v>
      </c>
      <c r="Y141" s="26" t="s">
        <v>173</v>
      </c>
      <c r="Z141" s="26" t="s">
        <v>174</v>
      </c>
      <c r="AA141" s="26" t="s">
        <v>175</v>
      </c>
      <c r="AB141" s="32">
        <f t="shared" si="13"/>
        <v>1</v>
      </c>
      <c r="AC141" s="25">
        <v>1</v>
      </c>
      <c r="AD141" s="104">
        <v>1</v>
      </c>
      <c r="AE141" s="32">
        <v>1</v>
      </c>
      <c r="AF141" s="106"/>
      <c r="AG141" s="106"/>
      <c r="AH141" s="32">
        <f t="shared" si="10"/>
        <v>1</v>
      </c>
      <c r="AI141" s="106"/>
      <c r="AJ141" s="32">
        <v>1</v>
      </c>
      <c r="AK141" s="106"/>
      <c r="AL141" s="106"/>
      <c r="AM141" s="32">
        <f t="shared" si="11"/>
        <v>0</v>
      </c>
      <c r="AN141" s="106"/>
      <c r="AO141" s="106"/>
      <c r="AP141" s="32">
        <v>1</v>
      </c>
      <c r="AQ141" s="106"/>
      <c r="AS141" s="106" t="s">
        <v>2702</v>
      </c>
      <c r="AT141" s="106"/>
      <c r="AU141" s="195" t="s">
        <v>2547</v>
      </c>
    </row>
    <row r="142" spans="1:47">
      <c r="A142" s="105" t="s">
        <v>2703</v>
      </c>
      <c r="B142" s="105" t="s">
        <v>160</v>
      </c>
      <c r="C142" s="105" t="s">
        <v>73</v>
      </c>
      <c r="D142" s="105" t="s">
        <v>2704</v>
      </c>
      <c r="E142" s="105" t="s">
        <v>162</v>
      </c>
      <c r="F142" s="105" t="s">
        <v>2705</v>
      </c>
      <c r="G142" s="105" t="s">
        <v>2706</v>
      </c>
      <c r="H142" s="105" t="s">
        <v>165</v>
      </c>
      <c r="I142" s="105">
        <v>202605.5</v>
      </c>
      <c r="J142" s="107">
        <v>5.27</v>
      </c>
      <c r="K142" s="105" t="s">
        <v>73</v>
      </c>
      <c r="L142" s="105" t="s">
        <v>2707</v>
      </c>
      <c r="M142" s="105" t="s">
        <v>2708</v>
      </c>
      <c r="N142" s="116" t="s">
        <v>2709</v>
      </c>
      <c r="O142" s="105"/>
      <c r="P142" s="177" t="s">
        <v>138</v>
      </c>
      <c r="Q142" s="177" t="s">
        <v>100</v>
      </c>
      <c r="R142" s="177" t="s">
        <v>262</v>
      </c>
      <c r="S142" s="177" t="s">
        <v>1095</v>
      </c>
      <c r="T142" s="177" t="s">
        <v>103</v>
      </c>
      <c r="U142" s="177" t="s">
        <v>264</v>
      </c>
      <c r="V142" s="177" t="s">
        <v>264</v>
      </c>
      <c r="W142" s="191" t="s">
        <v>17</v>
      </c>
      <c r="X142" s="30" t="s">
        <v>173</v>
      </c>
      <c r="Y142" s="26" t="s">
        <v>173</v>
      </c>
      <c r="Z142" s="26" t="s">
        <v>174</v>
      </c>
      <c r="AA142" s="26" t="s">
        <v>175</v>
      </c>
      <c r="AB142" s="32">
        <f t="shared" si="13"/>
        <v>1</v>
      </c>
      <c r="AC142" s="25">
        <v>1</v>
      </c>
      <c r="AD142" s="104">
        <v>1</v>
      </c>
      <c r="AE142" s="32">
        <v>1</v>
      </c>
      <c r="AF142" s="106"/>
      <c r="AG142" s="106"/>
      <c r="AH142" s="32">
        <f t="shared" si="10"/>
        <v>1</v>
      </c>
      <c r="AI142" s="106"/>
      <c r="AJ142" s="32">
        <v>1</v>
      </c>
      <c r="AK142" s="106"/>
      <c r="AL142" s="106"/>
      <c r="AM142" s="32">
        <f t="shared" si="11"/>
        <v>0</v>
      </c>
      <c r="AN142" s="106"/>
      <c r="AO142" s="106"/>
      <c r="AP142" s="32">
        <v>1</v>
      </c>
      <c r="AQ142" s="106"/>
      <c r="AR142" s="185" t="s">
        <v>194</v>
      </c>
      <c r="AS142" s="106" t="s">
        <v>2710</v>
      </c>
      <c r="AT142" s="106"/>
      <c r="AU142" s="195" t="s">
        <v>2638</v>
      </c>
    </row>
    <row r="143" spans="1:47">
      <c r="A143" s="105" t="s">
        <v>2711</v>
      </c>
      <c r="B143" s="105" t="s">
        <v>160</v>
      </c>
      <c r="C143" s="105" t="s">
        <v>73</v>
      </c>
      <c r="D143" s="105" t="s">
        <v>2712</v>
      </c>
      <c r="E143" s="105" t="s">
        <v>162</v>
      </c>
      <c r="F143" s="105" t="s">
        <v>2713</v>
      </c>
      <c r="G143" s="105" t="s">
        <v>2714</v>
      </c>
      <c r="H143" s="105" t="s">
        <v>165</v>
      </c>
      <c r="I143" s="105">
        <v>202605.5</v>
      </c>
      <c r="J143" s="107">
        <v>5.27</v>
      </c>
      <c r="K143" s="105" t="s">
        <v>73</v>
      </c>
      <c r="L143" s="105" t="s">
        <v>2715</v>
      </c>
      <c r="M143" s="105" t="s">
        <v>2716</v>
      </c>
      <c r="N143" s="116" t="s">
        <v>2717</v>
      </c>
      <c r="O143" s="105"/>
      <c r="P143" s="177" t="s">
        <v>138</v>
      </c>
      <c r="Q143" s="177" t="s">
        <v>100</v>
      </c>
      <c r="R143" s="177" t="s">
        <v>262</v>
      </c>
      <c r="S143" s="177" t="s">
        <v>1095</v>
      </c>
      <c r="T143" s="177" t="s">
        <v>103</v>
      </c>
      <c r="U143" s="177" t="s">
        <v>264</v>
      </c>
      <c r="V143" s="177" t="s">
        <v>264</v>
      </c>
      <c r="W143" s="191" t="s">
        <v>17</v>
      </c>
      <c r="X143" s="30" t="s">
        <v>173</v>
      </c>
      <c r="Y143" s="26" t="s">
        <v>173</v>
      </c>
      <c r="Z143" s="26" t="s">
        <v>174</v>
      </c>
      <c r="AA143" s="26" t="s">
        <v>175</v>
      </c>
      <c r="AB143" s="32">
        <f t="shared" si="13"/>
        <v>1</v>
      </c>
      <c r="AC143" s="25">
        <v>1</v>
      </c>
      <c r="AD143" s="104">
        <v>1</v>
      </c>
      <c r="AE143" s="32">
        <v>1</v>
      </c>
      <c r="AF143" s="106"/>
      <c r="AG143" s="106"/>
      <c r="AH143" s="32">
        <f t="shared" si="10"/>
        <v>1</v>
      </c>
      <c r="AI143" s="106"/>
      <c r="AJ143" s="32">
        <v>1</v>
      </c>
      <c r="AK143" s="106"/>
      <c r="AL143" s="106"/>
      <c r="AM143" s="32">
        <f t="shared" si="11"/>
        <v>0</v>
      </c>
      <c r="AN143" s="106"/>
      <c r="AO143" s="106"/>
      <c r="AP143" s="194" t="s">
        <v>405</v>
      </c>
      <c r="AQ143" s="104">
        <v>1</v>
      </c>
      <c r="AR143" s="185" t="s">
        <v>194</v>
      </c>
      <c r="AS143" s="106" t="s">
        <v>2718</v>
      </c>
      <c r="AT143" s="106"/>
      <c r="AU143" s="195" t="s">
        <v>2483</v>
      </c>
    </row>
    <row r="144" spans="1:47">
      <c r="A144" s="105" t="s">
        <v>2719</v>
      </c>
      <c r="B144" s="105" t="s">
        <v>160</v>
      </c>
      <c r="C144" s="105" t="s">
        <v>73</v>
      </c>
      <c r="D144" s="105" t="s">
        <v>2720</v>
      </c>
      <c r="E144" s="105" t="s">
        <v>162</v>
      </c>
      <c r="F144" s="105" t="s">
        <v>2721</v>
      </c>
      <c r="G144" s="105" t="s">
        <v>2722</v>
      </c>
      <c r="H144" s="105" t="s">
        <v>165</v>
      </c>
      <c r="I144" s="105">
        <v>202605.5</v>
      </c>
      <c r="J144" s="107">
        <v>5.27</v>
      </c>
      <c r="K144" s="105" t="s">
        <v>73</v>
      </c>
      <c r="L144" s="105" t="s">
        <v>2723</v>
      </c>
      <c r="M144" s="105" t="s">
        <v>2724</v>
      </c>
      <c r="N144" s="116" t="s">
        <v>2725</v>
      </c>
      <c r="O144" s="105"/>
      <c r="P144" s="177" t="s">
        <v>138</v>
      </c>
      <c r="Q144" s="177" t="s">
        <v>100</v>
      </c>
      <c r="R144" s="177" t="s">
        <v>262</v>
      </c>
      <c r="S144" s="177" t="s">
        <v>1095</v>
      </c>
      <c r="T144" s="177" t="s">
        <v>103</v>
      </c>
      <c r="U144" s="177" t="s">
        <v>264</v>
      </c>
      <c r="V144" s="177" t="s">
        <v>264</v>
      </c>
      <c r="W144" s="191" t="s">
        <v>17</v>
      </c>
      <c r="X144" s="30" t="s">
        <v>173</v>
      </c>
      <c r="Y144" s="26" t="s">
        <v>173</v>
      </c>
      <c r="Z144" s="26" t="s">
        <v>174</v>
      </c>
      <c r="AA144" s="26" t="s">
        <v>175</v>
      </c>
      <c r="AB144" s="32">
        <f t="shared" si="13"/>
        <v>1</v>
      </c>
      <c r="AC144" s="25">
        <v>1</v>
      </c>
      <c r="AD144" s="104">
        <v>1</v>
      </c>
      <c r="AE144" s="32">
        <v>1</v>
      </c>
      <c r="AF144" s="106"/>
      <c r="AG144" s="106"/>
      <c r="AH144" s="32">
        <f t="shared" si="10"/>
        <v>1</v>
      </c>
      <c r="AI144" s="106"/>
      <c r="AJ144" s="32">
        <v>1</v>
      </c>
      <c r="AK144" s="106"/>
      <c r="AL144" s="106"/>
      <c r="AM144" s="32">
        <f t="shared" si="11"/>
        <v>0</v>
      </c>
      <c r="AN144" s="106"/>
      <c r="AO144" s="106"/>
      <c r="AP144" s="32">
        <v>1</v>
      </c>
      <c r="AQ144" s="106"/>
      <c r="AS144" s="106" t="s">
        <v>2715</v>
      </c>
      <c r="AT144" s="106"/>
      <c r="AU144" s="195" t="s">
        <v>2668</v>
      </c>
    </row>
    <row r="145" spans="1:47">
      <c r="A145" s="105" t="s">
        <v>2726</v>
      </c>
      <c r="B145" s="105" t="s">
        <v>160</v>
      </c>
      <c r="C145" s="105" t="s">
        <v>73</v>
      </c>
      <c r="D145" s="105" t="s">
        <v>2727</v>
      </c>
      <c r="E145" s="105" t="s">
        <v>162</v>
      </c>
      <c r="F145" s="105" t="s">
        <v>2728</v>
      </c>
      <c r="G145" s="105" t="s">
        <v>2729</v>
      </c>
      <c r="H145" s="105" t="s">
        <v>165</v>
      </c>
      <c r="I145" s="105">
        <v>202605.5</v>
      </c>
      <c r="J145" s="107">
        <v>5.27</v>
      </c>
      <c r="K145" s="105" t="s">
        <v>73</v>
      </c>
      <c r="L145" s="105" t="s">
        <v>2730</v>
      </c>
      <c r="M145" s="105" t="s">
        <v>2731</v>
      </c>
      <c r="N145" s="116" t="s">
        <v>2732</v>
      </c>
      <c r="O145" s="105"/>
      <c r="P145" s="177" t="s">
        <v>138</v>
      </c>
      <c r="Q145" s="177" t="s">
        <v>100</v>
      </c>
      <c r="R145" s="177" t="s">
        <v>262</v>
      </c>
      <c r="S145" s="177" t="s">
        <v>1095</v>
      </c>
      <c r="T145" s="177" t="s">
        <v>103</v>
      </c>
      <c r="U145" s="177" t="s">
        <v>264</v>
      </c>
      <c r="V145" s="177" t="s">
        <v>264</v>
      </c>
      <c r="W145" s="191" t="s">
        <v>17</v>
      </c>
      <c r="X145" s="30" t="s">
        <v>173</v>
      </c>
      <c r="Y145" s="26" t="s">
        <v>173</v>
      </c>
      <c r="Z145" s="26" t="s">
        <v>174</v>
      </c>
      <c r="AA145" s="26" t="s">
        <v>175</v>
      </c>
      <c r="AB145" s="32">
        <f t="shared" si="13"/>
        <v>1</v>
      </c>
      <c r="AC145" s="25">
        <v>1</v>
      </c>
      <c r="AD145" s="104">
        <v>1</v>
      </c>
      <c r="AE145" s="32">
        <v>1</v>
      </c>
      <c r="AF145" s="106"/>
      <c r="AG145" s="106"/>
      <c r="AH145" s="32">
        <f t="shared" si="10"/>
        <v>1</v>
      </c>
      <c r="AI145" s="106"/>
      <c r="AJ145" s="32">
        <v>1</v>
      </c>
      <c r="AK145" s="106"/>
      <c r="AL145" s="106"/>
      <c r="AM145" s="32">
        <f t="shared" si="11"/>
        <v>0</v>
      </c>
      <c r="AN145" s="106"/>
      <c r="AO145" s="106"/>
      <c r="AP145" s="32">
        <v>1</v>
      </c>
      <c r="AQ145" s="106"/>
      <c r="AS145" s="106" t="s">
        <v>2733</v>
      </c>
      <c r="AT145" s="106"/>
      <c r="AU145" s="195" t="s">
        <v>2630</v>
      </c>
    </row>
    <row r="146" spans="1:47">
      <c r="A146" s="105" t="s">
        <v>2734</v>
      </c>
      <c r="B146" s="105" t="s">
        <v>160</v>
      </c>
      <c r="C146" s="105" t="s">
        <v>73</v>
      </c>
      <c r="D146" s="105" t="s">
        <v>2735</v>
      </c>
      <c r="E146" s="105" t="s">
        <v>162</v>
      </c>
      <c r="F146" s="105" t="s">
        <v>2736</v>
      </c>
      <c r="G146" s="105" t="s">
        <v>2737</v>
      </c>
      <c r="H146" s="105" t="s">
        <v>165</v>
      </c>
      <c r="I146" s="105">
        <v>202605.5</v>
      </c>
      <c r="J146" s="107">
        <v>5.27</v>
      </c>
      <c r="K146" s="105" t="s">
        <v>73</v>
      </c>
      <c r="L146" s="105" t="s">
        <v>2738</v>
      </c>
      <c r="M146" s="105" t="s">
        <v>2739</v>
      </c>
      <c r="N146" s="116" t="s">
        <v>2740</v>
      </c>
      <c r="O146" s="105"/>
      <c r="P146" s="177" t="s">
        <v>138</v>
      </c>
      <c r="Q146" s="177" t="s">
        <v>100</v>
      </c>
      <c r="R146" s="177" t="s">
        <v>262</v>
      </c>
      <c r="S146" s="177" t="s">
        <v>1095</v>
      </c>
      <c r="T146" s="177" t="s">
        <v>103</v>
      </c>
      <c r="U146" s="177" t="s">
        <v>264</v>
      </c>
      <c r="V146" s="177" t="s">
        <v>264</v>
      </c>
      <c r="W146" s="191" t="s">
        <v>17</v>
      </c>
      <c r="X146" s="30" t="s">
        <v>173</v>
      </c>
      <c r="Y146" s="26" t="s">
        <v>173</v>
      </c>
      <c r="Z146" s="26" t="s">
        <v>174</v>
      </c>
      <c r="AA146" s="26" t="s">
        <v>175</v>
      </c>
      <c r="AB146" s="32">
        <f t="shared" si="13"/>
        <v>1</v>
      </c>
      <c r="AC146" s="25">
        <v>1</v>
      </c>
      <c r="AD146" s="104">
        <v>1</v>
      </c>
      <c r="AE146" s="32">
        <v>1</v>
      </c>
      <c r="AF146" s="106"/>
      <c r="AG146" s="106"/>
      <c r="AH146" s="32">
        <f t="shared" si="10"/>
        <v>1</v>
      </c>
      <c r="AI146" s="106"/>
      <c r="AJ146" s="32">
        <v>1</v>
      </c>
      <c r="AK146" s="106"/>
      <c r="AL146" s="106"/>
      <c r="AM146" s="32">
        <f t="shared" si="11"/>
        <v>0</v>
      </c>
      <c r="AN146" s="106"/>
      <c r="AO146" s="106"/>
      <c r="AP146" s="32">
        <v>1</v>
      </c>
      <c r="AQ146" s="106"/>
      <c r="AS146" s="106" t="s">
        <v>2738</v>
      </c>
      <c r="AT146" s="106"/>
      <c r="AU146" s="195" t="s">
        <v>2521</v>
      </c>
    </row>
    <row r="147" spans="1:47">
      <c r="A147" s="105" t="s">
        <v>2741</v>
      </c>
      <c r="B147" s="105" t="s">
        <v>160</v>
      </c>
      <c r="C147" s="105" t="s">
        <v>73</v>
      </c>
      <c r="D147" s="105" t="s">
        <v>2742</v>
      </c>
      <c r="E147" s="105" t="s">
        <v>162</v>
      </c>
      <c r="F147" s="105" t="s">
        <v>2743</v>
      </c>
      <c r="G147" s="105" t="s">
        <v>2744</v>
      </c>
      <c r="H147" s="105" t="s">
        <v>165</v>
      </c>
      <c r="I147" s="105">
        <v>202605.5</v>
      </c>
      <c r="J147" s="107">
        <v>5.27</v>
      </c>
      <c r="K147" s="105" t="s">
        <v>73</v>
      </c>
      <c r="L147" s="105" t="s">
        <v>2666</v>
      </c>
      <c r="M147" s="105" t="s">
        <v>2745</v>
      </c>
      <c r="N147" s="116" t="s">
        <v>2746</v>
      </c>
      <c r="O147" s="105"/>
      <c r="P147" s="177" t="s">
        <v>138</v>
      </c>
      <c r="Q147" s="177" t="s">
        <v>100</v>
      </c>
      <c r="R147" s="177" t="s">
        <v>262</v>
      </c>
      <c r="S147" s="177" t="s">
        <v>1095</v>
      </c>
      <c r="T147" s="177" t="s">
        <v>103</v>
      </c>
      <c r="U147" s="177" t="s">
        <v>264</v>
      </c>
      <c r="V147" s="177" t="s">
        <v>264</v>
      </c>
      <c r="W147" s="191" t="s">
        <v>17</v>
      </c>
      <c r="X147" s="30" t="s">
        <v>173</v>
      </c>
      <c r="Y147" s="26" t="s">
        <v>173</v>
      </c>
      <c r="Z147" s="26" t="s">
        <v>174</v>
      </c>
      <c r="AA147" s="26" t="s">
        <v>175</v>
      </c>
      <c r="AB147" s="32">
        <f t="shared" si="13"/>
        <v>1</v>
      </c>
      <c r="AC147" s="25">
        <v>1</v>
      </c>
      <c r="AD147" s="104">
        <v>1</v>
      </c>
      <c r="AE147" s="32">
        <v>1</v>
      </c>
      <c r="AF147" s="106"/>
      <c r="AG147" s="106"/>
      <c r="AH147" s="32">
        <f t="shared" si="10"/>
        <v>1</v>
      </c>
      <c r="AI147" s="106"/>
      <c r="AJ147" s="32">
        <v>1</v>
      </c>
      <c r="AK147" s="106"/>
      <c r="AL147" s="106"/>
      <c r="AM147" s="32">
        <f t="shared" si="11"/>
        <v>0</v>
      </c>
      <c r="AN147" s="106"/>
      <c r="AO147" s="106"/>
      <c r="AP147" s="32">
        <v>1</v>
      </c>
      <c r="AQ147" s="106"/>
      <c r="AR147" s="185" t="s">
        <v>194</v>
      </c>
      <c r="AS147" s="106" t="s">
        <v>2730</v>
      </c>
      <c r="AT147" s="106"/>
      <c r="AU147" s="195" t="s">
        <v>2528</v>
      </c>
    </row>
    <row r="148" spans="1:47">
      <c r="A148" s="105" t="s">
        <v>2747</v>
      </c>
      <c r="B148" s="105" t="s">
        <v>160</v>
      </c>
      <c r="C148" s="105" t="s">
        <v>73</v>
      </c>
      <c r="D148" s="105" t="s">
        <v>2748</v>
      </c>
      <c r="E148" s="105" t="s">
        <v>162</v>
      </c>
      <c r="F148" s="105" t="s">
        <v>2749</v>
      </c>
      <c r="G148" s="105" t="s">
        <v>771</v>
      </c>
      <c r="H148" s="105" t="s">
        <v>165</v>
      </c>
      <c r="I148" s="105">
        <v>202605.5</v>
      </c>
      <c r="J148" s="107">
        <v>5.27</v>
      </c>
      <c r="K148" s="105" t="s">
        <v>73</v>
      </c>
      <c r="L148" s="105" t="s">
        <v>2572</v>
      </c>
      <c r="M148" s="105" t="s">
        <v>2750</v>
      </c>
      <c r="N148" s="116" t="s">
        <v>2751</v>
      </c>
      <c r="O148" s="105"/>
      <c r="P148" s="177" t="s">
        <v>138</v>
      </c>
      <c r="Q148" s="177" t="s">
        <v>100</v>
      </c>
      <c r="R148" s="177" t="s">
        <v>262</v>
      </c>
      <c r="S148" s="177" t="s">
        <v>1095</v>
      </c>
      <c r="T148" s="177" t="s">
        <v>103</v>
      </c>
      <c r="U148" s="177" t="s">
        <v>264</v>
      </c>
      <c r="V148" s="177" t="s">
        <v>264</v>
      </c>
      <c r="W148" s="191" t="s">
        <v>17</v>
      </c>
      <c r="X148" s="30" t="s">
        <v>173</v>
      </c>
      <c r="Y148" s="26" t="s">
        <v>173</v>
      </c>
      <c r="Z148" s="26" t="s">
        <v>174</v>
      </c>
      <c r="AA148" s="26" t="s">
        <v>175</v>
      </c>
      <c r="AB148" s="32">
        <f t="shared" si="13"/>
        <v>1</v>
      </c>
      <c r="AC148" s="25">
        <v>1</v>
      </c>
      <c r="AD148" s="104">
        <v>1</v>
      </c>
      <c r="AE148" s="32">
        <v>1</v>
      </c>
      <c r="AF148" s="106"/>
      <c r="AG148" s="106"/>
      <c r="AH148" s="32">
        <f t="shared" si="10"/>
        <v>1</v>
      </c>
      <c r="AI148" s="106"/>
      <c r="AJ148" s="32">
        <v>1</v>
      </c>
      <c r="AK148" s="106"/>
      <c r="AL148" s="106"/>
      <c r="AM148" s="32">
        <f t="shared" si="11"/>
        <v>0</v>
      </c>
      <c r="AN148" s="106"/>
      <c r="AO148" s="106"/>
      <c r="AP148" s="32">
        <v>1</v>
      </c>
      <c r="AQ148" s="106"/>
      <c r="AS148" s="106" t="s">
        <v>2723</v>
      </c>
      <c r="AT148" s="106"/>
      <c r="AU148" s="195" t="s">
        <v>2623</v>
      </c>
    </row>
    <row r="149" spans="1:47">
      <c r="A149" s="105" t="s">
        <v>2752</v>
      </c>
      <c r="B149" s="105" t="s">
        <v>160</v>
      </c>
      <c r="C149" s="105" t="s">
        <v>73</v>
      </c>
      <c r="D149" s="105" t="s">
        <v>2753</v>
      </c>
      <c r="E149" s="105" t="s">
        <v>162</v>
      </c>
      <c r="F149" s="105" t="s">
        <v>2754</v>
      </c>
      <c r="G149" s="105" t="s">
        <v>2755</v>
      </c>
      <c r="H149" s="105" t="s">
        <v>165</v>
      </c>
      <c r="I149" s="105">
        <v>202605.5</v>
      </c>
      <c r="J149" s="107">
        <v>5.27</v>
      </c>
      <c r="K149" s="105" t="s">
        <v>73</v>
      </c>
      <c r="L149" s="105" t="s">
        <v>2580</v>
      </c>
      <c r="M149" s="105" t="s">
        <v>2756</v>
      </c>
      <c r="N149" s="116" t="s">
        <v>2757</v>
      </c>
      <c r="O149" s="105"/>
      <c r="P149" s="177" t="s">
        <v>138</v>
      </c>
      <c r="Q149" s="177" t="s">
        <v>100</v>
      </c>
      <c r="R149" s="177" t="s">
        <v>262</v>
      </c>
      <c r="S149" s="177" t="s">
        <v>1095</v>
      </c>
      <c r="T149" s="177" t="s">
        <v>103</v>
      </c>
      <c r="U149" s="177" t="s">
        <v>264</v>
      </c>
      <c r="V149" s="177" t="s">
        <v>264</v>
      </c>
      <c r="W149" s="191" t="s">
        <v>17</v>
      </c>
      <c r="X149" s="30" t="s">
        <v>173</v>
      </c>
      <c r="Y149" s="26" t="s">
        <v>173</v>
      </c>
      <c r="Z149" s="26" t="s">
        <v>174</v>
      </c>
      <c r="AA149" s="26" t="s">
        <v>175</v>
      </c>
      <c r="AB149" s="32">
        <f t="shared" si="13"/>
        <v>1</v>
      </c>
      <c r="AC149" s="25">
        <v>1</v>
      </c>
      <c r="AD149" s="104">
        <v>1</v>
      </c>
      <c r="AE149" s="32">
        <v>1</v>
      </c>
      <c r="AF149" s="106"/>
      <c r="AG149" s="106"/>
      <c r="AH149" s="32">
        <f t="shared" si="10"/>
        <v>1</v>
      </c>
      <c r="AI149" s="106"/>
      <c r="AJ149" s="32">
        <v>1</v>
      </c>
      <c r="AK149" s="106"/>
      <c r="AL149" s="106"/>
      <c r="AM149" s="32">
        <f t="shared" si="11"/>
        <v>0</v>
      </c>
      <c r="AN149" s="106"/>
      <c r="AO149" s="106"/>
      <c r="AP149" s="32">
        <v>1</v>
      </c>
      <c r="AQ149" s="106"/>
      <c r="AS149" s="106" t="s">
        <v>2707</v>
      </c>
      <c r="AT149" s="106"/>
      <c r="AU149" s="196"/>
    </row>
    <row r="150" spans="1:47">
      <c r="A150" s="105" t="s">
        <v>2758</v>
      </c>
      <c r="B150" s="105" t="s">
        <v>160</v>
      </c>
      <c r="C150" s="105" t="s">
        <v>73</v>
      </c>
      <c r="D150" s="105" t="s">
        <v>2759</v>
      </c>
      <c r="E150" s="105" t="s">
        <v>162</v>
      </c>
      <c r="F150" s="105" t="s">
        <v>2760</v>
      </c>
      <c r="G150" s="105" t="s">
        <v>2761</v>
      </c>
      <c r="H150" s="105" t="s">
        <v>165</v>
      </c>
      <c r="I150" s="105">
        <v>202605.5</v>
      </c>
      <c r="J150" s="107">
        <v>5.27</v>
      </c>
      <c r="K150" s="105" t="s">
        <v>73</v>
      </c>
      <c r="L150" s="105" t="s">
        <v>2710</v>
      </c>
      <c r="M150" s="105" t="s">
        <v>2762</v>
      </c>
      <c r="N150" s="116" t="s">
        <v>2763</v>
      </c>
      <c r="O150" s="105"/>
      <c r="P150" s="177" t="s">
        <v>138</v>
      </c>
      <c r="Q150" s="177" t="s">
        <v>100</v>
      </c>
      <c r="R150" s="177" t="s">
        <v>262</v>
      </c>
      <c r="S150" s="177" t="s">
        <v>1095</v>
      </c>
      <c r="T150" s="177" t="s">
        <v>103</v>
      </c>
      <c r="U150" s="177" t="s">
        <v>264</v>
      </c>
      <c r="V150" s="177" t="s">
        <v>264</v>
      </c>
      <c r="W150" s="191" t="s">
        <v>17</v>
      </c>
      <c r="X150" s="30" t="s">
        <v>173</v>
      </c>
      <c r="Y150" s="26" t="s">
        <v>173</v>
      </c>
      <c r="Z150" s="26" t="s">
        <v>174</v>
      </c>
      <c r="AA150" s="26" t="s">
        <v>175</v>
      </c>
      <c r="AB150" s="32">
        <f t="shared" si="13"/>
        <v>1</v>
      </c>
      <c r="AC150" s="25">
        <v>1</v>
      </c>
      <c r="AD150" s="104">
        <v>1</v>
      </c>
      <c r="AE150" s="32">
        <v>1</v>
      </c>
      <c r="AF150" s="106"/>
      <c r="AG150" s="106"/>
      <c r="AH150" s="32">
        <f t="shared" si="10"/>
        <v>1</v>
      </c>
      <c r="AI150" s="106"/>
      <c r="AJ150" s="32">
        <v>1</v>
      </c>
      <c r="AK150" s="106"/>
      <c r="AL150" s="106"/>
      <c r="AM150" s="32">
        <f t="shared" si="11"/>
        <v>0</v>
      </c>
      <c r="AN150" s="106"/>
      <c r="AO150" s="106"/>
      <c r="AP150" s="32">
        <v>1</v>
      </c>
      <c r="AQ150" s="106"/>
      <c r="AR150" s="185" t="s">
        <v>194</v>
      </c>
      <c r="AS150" s="106" t="s">
        <v>2699</v>
      </c>
      <c r="AT150" s="106"/>
      <c r="AU150" s="196"/>
    </row>
    <row r="151" spans="1:47">
      <c r="A151" s="105" t="s">
        <v>2764</v>
      </c>
      <c r="B151" s="105" t="s">
        <v>160</v>
      </c>
      <c r="C151" s="105" t="s">
        <v>73</v>
      </c>
      <c r="D151" s="105" t="s">
        <v>2765</v>
      </c>
      <c r="E151" s="105" t="s">
        <v>188</v>
      </c>
      <c r="F151" s="105" t="s">
        <v>2766</v>
      </c>
      <c r="G151" s="105" t="s">
        <v>2767</v>
      </c>
      <c r="H151" s="105" t="s">
        <v>165</v>
      </c>
      <c r="I151" s="105">
        <v>202605.5</v>
      </c>
      <c r="J151" s="107">
        <v>5.27</v>
      </c>
      <c r="K151" s="105" t="s">
        <v>73</v>
      </c>
      <c r="L151" s="105" t="s">
        <v>2593</v>
      </c>
      <c r="M151" s="105" t="s">
        <v>2768</v>
      </c>
      <c r="N151" s="116" t="s">
        <v>2769</v>
      </c>
      <c r="O151" s="105"/>
      <c r="P151" s="177" t="s">
        <v>138</v>
      </c>
      <c r="Q151" s="177" t="s">
        <v>100</v>
      </c>
      <c r="R151" s="177" t="s">
        <v>262</v>
      </c>
      <c r="S151" s="177" t="s">
        <v>1095</v>
      </c>
      <c r="T151" s="177" t="s">
        <v>103</v>
      </c>
      <c r="U151" s="177" t="s">
        <v>264</v>
      </c>
      <c r="V151" s="177" t="s">
        <v>264</v>
      </c>
      <c r="W151" s="191" t="s">
        <v>17</v>
      </c>
      <c r="X151" s="30" t="s">
        <v>173</v>
      </c>
      <c r="Y151" s="26" t="s">
        <v>173</v>
      </c>
      <c r="Z151" s="26" t="s">
        <v>174</v>
      </c>
      <c r="AA151" s="26" t="s">
        <v>175</v>
      </c>
      <c r="AB151" s="32">
        <f t="shared" si="13"/>
        <v>1</v>
      </c>
      <c r="AC151" s="25">
        <v>1</v>
      </c>
      <c r="AD151" s="104">
        <v>1</v>
      </c>
      <c r="AE151" s="32">
        <v>1</v>
      </c>
      <c r="AF151" s="106"/>
      <c r="AG151" s="106"/>
      <c r="AH151" s="32">
        <f t="shared" si="10"/>
        <v>1</v>
      </c>
      <c r="AI151" s="106"/>
      <c r="AJ151" s="32">
        <v>1</v>
      </c>
      <c r="AK151" s="106"/>
      <c r="AL151" s="106"/>
      <c r="AM151" s="32">
        <f t="shared" si="11"/>
        <v>0</v>
      </c>
      <c r="AN151" s="106"/>
      <c r="AO151" s="106"/>
      <c r="AP151" s="32">
        <v>1</v>
      </c>
      <c r="AQ151" s="106"/>
      <c r="AS151" s="106" t="s">
        <v>2770</v>
      </c>
      <c r="AT151" s="106"/>
      <c r="AU151" s="196"/>
    </row>
    <row r="152" spans="1:47">
      <c r="A152" s="105" t="s">
        <v>2771</v>
      </c>
      <c r="B152" s="105" t="s">
        <v>160</v>
      </c>
      <c r="C152" s="105" t="s">
        <v>73</v>
      </c>
      <c r="D152" s="105" t="s">
        <v>2772</v>
      </c>
      <c r="E152" s="105" t="s">
        <v>162</v>
      </c>
      <c r="F152" s="105" t="s">
        <v>2773</v>
      </c>
      <c r="G152" s="105" t="s">
        <v>2774</v>
      </c>
      <c r="H152" s="105" t="s">
        <v>165</v>
      </c>
      <c r="I152" s="105">
        <v>202605.5</v>
      </c>
      <c r="J152" s="107">
        <v>5.27</v>
      </c>
      <c r="K152" s="105" t="s">
        <v>73</v>
      </c>
      <c r="L152" s="105" t="s">
        <v>2565</v>
      </c>
      <c r="M152" s="105" t="s">
        <v>2775</v>
      </c>
      <c r="N152" s="116" t="s">
        <v>2776</v>
      </c>
      <c r="O152" s="105"/>
      <c r="P152" s="177" t="s">
        <v>138</v>
      </c>
      <c r="Q152" s="177" t="s">
        <v>100</v>
      </c>
      <c r="R152" s="177" t="s">
        <v>262</v>
      </c>
      <c r="S152" s="177" t="s">
        <v>1095</v>
      </c>
      <c r="T152" s="177" t="s">
        <v>103</v>
      </c>
      <c r="U152" s="177" t="s">
        <v>264</v>
      </c>
      <c r="V152" s="177" t="s">
        <v>264</v>
      </c>
      <c r="W152" s="191" t="s">
        <v>17</v>
      </c>
      <c r="X152" s="30" t="s">
        <v>173</v>
      </c>
      <c r="Y152" s="26" t="s">
        <v>173</v>
      </c>
      <c r="Z152" s="26" t="s">
        <v>174</v>
      </c>
      <c r="AA152" s="26" t="s">
        <v>175</v>
      </c>
      <c r="AB152" s="32">
        <f t="shared" si="13"/>
        <v>1</v>
      </c>
      <c r="AC152" s="25">
        <v>1</v>
      </c>
      <c r="AD152" s="104">
        <v>1</v>
      </c>
      <c r="AE152" s="32">
        <v>1</v>
      </c>
      <c r="AF152" s="106"/>
      <c r="AG152" s="106"/>
      <c r="AH152" s="32">
        <f t="shared" si="10"/>
        <v>1</v>
      </c>
      <c r="AI152" s="106"/>
      <c r="AJ152" s="32">
        <v>1</v>
      </c>
      <c r="AK152" s="106"/>
      <c r="AL152" s="106"/>
      <c r="AM152" s="32">
        <f t="shared" si="11"/>
        <v>0</v>
      </c>
      <c r="AN152" s="106"/>
      <c r="AO152" s="106"/>
      <c r="AP152" s="32">
        <v>1</v>
      </c>
      <c r="AQ152" s="106"/>
      <c r="AR152" s="185" t="s">
        <v>194</v>
      </c>
      <c r="AS152" s="106" t="s">
        <v>2777</v>
      </c>
      <c r="AT152" s="106"/>
      <c r="AU152" s="196"/>
    </row>
    <row r="153" spans="1:47">
      <c r="A153" s="105" t="s">
        <v>2778</v>
      </c>
      <c r="B153" s="105" t="s">
        <v>160</v>
      </c>
      <c r="C153" s="105" t="s">
        <v>73</v>
      </c>
      <c r="D153" s="105" t="s">
        <v>2779</v>
      </c>
      <c r="E153" s="105" t="s">
        <v>162</v>
      </c>
      <c r="F153" s="105" t="s">
        <v>2780</v>
      </c>
      <c r="G153" s="105" t="s">
        <v>2781</v>
      </c>
      <c r="H153" s="105" t="s">
        <v>165</v>
      </c>
      <c r="I153" s="105">
        <v>202605.5</v>
      </c>
      <c r="J153" s="107">
        <v>5.27</v>
      </c>
      <c r="K153" s="105" t="s">
        <v>73</v>
      </c>
      <c r="L153" s="105" t="s">
        <v>2687</v>
      </c>
      <c r="M153" s="105" t="s">
        <v>2782</v>
      </c>
      <c r="N153" s="116" t="s">
        <v>2783</v>
      </c>
      <c r="O153" s="105"/>
      <c r="P153" s="177" t="s">
        <v>138</v>
      </c>
      <c r="Q153" s="177" t="s">
        <v>100</v>
      </c>
      <c r="R153" s="177" t="s">
        <v>262</v>
      </c>
      <c r="S153" s="177" t="s">
        <v>1095</v>
      </c>
      <c r="T153" s="177" t="s">
        <v>103</v>
      </c>
      <c r="U153" s="177" t="s">
        <v>264</v>
      </c>
      <c r="V153" s="177" t="s">
        <v>264</v>
      </c>
      <c r="W153" s="191" t="s">
        <v>17</v>
      </c>
      <c r="X153" s="30" t="s">
        <v>173</v>
      </c>
      <c r="Y153" s="26" t="s">
        <v>173</v>
      </c>
      <c r="Z153" s="26" t="s">
        <v>174</v>
      </c>
      <c r="AA153" s="26" t="s">
        <v>175</v>
      </c>
      <c r="AB153" s="32">
        <f t="shared" si="13"/>
        <v>1</v>
      </c>
      <c r="AC153" s="25">
        <v>1</v>
      </c>
      <c r="AD153" s="104">
        <v>1</v>
      </c>
      <c r="AE153" s="32">
        <v>1</v>
      </c>
      <c r="AF153" s="106"/>
      <c r="AG153" s="106"/>
      <c r="AH153" s="32">
        <f t="shared" si="10"/>
        <v>1</v>
      </c>
      <c r="AI153" s="106"/>
      <c r="AJ153" s="32">
        <v>1</v>
      </c>
      <c r="AK153" s="106"/>
      <c r="AL153" s="106"/>
      <c r="AM153" s="32">
        <f t="shared" si="11"/>
        <v>0</v>
      </c>
      <c r="AN153" s="106"/>
      <c r="AO153" s="106"/>
      <c r="AP153" s="32">
        <v>1</v>
      </c>
      <c r="AQ153" s="106"/>
      <c r="AS153" s="106" t="s">
        <v>2784</v>
      </c>
      <c r="AT153" s="106"/>
      <c r="AU153" s="196"/>
    </row>
    <row r="154" spans="1:47">
      <c r="A154" s="105" t="s">
        <v>2785</v>
      </c>
      <c r="B154" s="105" t="s">
        <v>160</v>
      </c>
      <c r="C154" s="105" t="s">
        <v>73</v>
      </c>
      <c r="D154" s="105" t="s">
        <v>2786</v>
      </c>
      <c r="E154" s="105" t="s">
        <v>162</v>
      </c>
      <c r="F154" s="105" t="s">
        <v>2787</v>
      </c>
      <c r="G154" s="105" t="s">
        <v>2788</v>
      </c>
      <c r="H154" s="105" t="s">
        <v>165</v>
      </c>
      <c r="I154" s="105">
        <v>202605.5</v>
      </c>
      <c r="J154" s="107">
        <v>5.27</v>
      </c>
      <c r="K154" s="105" t="s">
        <v>73</v>
      </c>
      <c r="L154" s="105" t="s">
        <v>2733</v>
      </c>
      <c r="M154" s="105" t="s">
        <v>2789</v>
      </c>
      <c r="N154" s="116" t="s">
        <v>2790</v>
      </c>
      <c r="O154" s="105"/>
      <c r="P154" s="177" t="s">
        <v>138</v>
      </c>
      <c r="Q154" s="177" t="s">
        <v>100</v>
      </c>
      <c r="R154" s="177" t="s">
        <v>262</v>
      </c>
      <c r="S154" s="177" t="s">
        <v>1095</v>
      </c>
      <c r="T154" s="177" t="s">
        <v>103</v>
      </c>
      <c r="U154" s="177" t="s">
        <v>264</v>
      </c>
      <c r="V154" s="177" t="s">
        <v>264</v>
      </c>
      <c r="W154" s="191" t="s">
        <v>17</v>
      </c>
      <c r="X154" s="30" t="s">
        <v>173</v>
      </c>
      <c r="Y154" s="26" t="s">
        <v>173</v>
      </c>
      <c r="Z154" s="26" t="s">
        <v>174</v>
      </c>
      <c r="AA154" s="26" t="s">
        <v>175</v>
      </c>
      <c r="AB154" s="32">
        <f t="shared" si="13"/>
        <v>1</v>
      </c>
      <c r="AC154" s="25">
        <v>1</v>
      </c>
      <c r="AD154" s="104">
        <v>1</v>
      </c>
      <c r="AE154" s="32">
        <v>1</v>
      </c>
      <c r="AF154" s="106"/>
      <c r="AG154" s="106"/>
      <c r="AH154" s="32">
        <f t="shared" si="10"/>
        <v>1</v>
      </c>
      <c r="AI154" s="106"/>
      <c r="AJ154" s="32">
        <v>1</v>
      </c>
      <c r="AK154" s="106"/>
      <c r="AL154" s="106"/>
      <c r="AM154" s="32">
        <f t="shared" si="11"/>
        <v>0</v>
      </c>
      <c r="AN154" s="106"/>
      <c r="AO154" s="106"/>
      <c r="AP154" s="32">
        <v>1</v>
      </c>
      <c r="AQ154" s="106"/>
      <c r="AS154" s="106" t="s">
        <v>2791</v>
      </c>
      <c r="AT154" s="106"/>
      <c r="AU154" s="196"/>
    </row>
    <row r="155" spans="1:47">
      <c r="A155" s="105" t="s">
        <v>2792</v>
      </c>
      <c r="B155" s="105" t="s">
        <v>160</v>
      </c>
      <c r="C155" s="105" t="s">
        <v>73</v>
      </c>
      <c r="D155" s="105" t="s">
        <v>2793</v>
      </c>
      <c r="E155" s="105" t="s">
        <v>162</v>
      </c>
      <c r="F155" s="105" t="s">
        <v>2794</v>
      </c>
      <c r="G155" s="105" t="s">
        <v>2795</v>
      </c>
      <c r="H155" s="105" t="s">
        <v>165</v>
      </c>
      <c r="I155" s="105">
        <v>202605.5</v>
      </c>
      <c r="J155" s="107">
        <v>5.27</v>
      </c>
      <c r="K155" s="105" t="s">
        <v>73</v>
      </c>
      <c r="L155" s="105" t="s">
        <v>2718</v>
      </c>
      <c r="M155" s="105" t="s">
        <v>2796</v>
      </c>
      <c r="N155" s="116" t="s">
        <v>2797</v>
      </c>
      <c r="O155" s="105"/>
      <c r="P155" s="177" t="s">
        <v>138</v>
      </c>
      <c r="Q155" s="177" t="s">
        <v>100</v>
      </c>
      <c r="R155" s="177" t="s">
        <v>262</v>
      </c>
      <c r="S155" s="177" t="s">
        <v>1095</v>
      </c>
      <c r="T155" s="177" t="s">
        <v>103</v>
      </c>
      <c r="U155" s="177" t="s">
        <v>264</v>
      </c>
      <c r="V155" s="177" t="s">
        <v>264</v>
      </c>
      <c r="W155" s="191" t="s">
        <v>17</v>
      </c>
      <c r="X155" s="30" t="s">
        <v>173</v>
      </c>
      <c r="Y155" s="26" t="s">
        <v>173</v>
      </c>
      <c r="Z155" s="26" t="s">
        <v>174</v>
      </c>
      <c r="AA155" s="26" t="s">
        <v>175</v>
      </c>
      <c r="AB155" s="32">
        <f t="shared" si="13"/>
        <v>1</v>
      </c>
      <c r="AC155" s="25">
        <v>1</v>
      </c>
      <c r="AD155" s="104">
        <v>1</v>
      </c>
      <c r="AE155" s="32">
        <v>1</v>
      </c>
      <c r="AF155" s="106"/>
      <c r="AG155" s="106"/>
      <c r="AH155" s="32">
        <f t="shared" si="10"/>
        <v>1</v>
      </c>
      <c r="AI155" s="106"/>
      <c r="AJ155" s="32">
        <v>1</v>
      </c>
      <c r="AK155" s="106"/>
      <c r="AL155" s="106"/>
      <c r="AM155" s="32">
        <f t="shared" si="11"/>
        <v>0</v>
      </c>
      <c r="AN155" s="106"/>
      <c r="AO155" s="106"/>
      <c r="AP155" s="32">
        <v>1</v>
      </c>
      <c r="AQ155" s="106"/>
      <c r="AS155" s="106" t="s">
        <v>2798</v>
      </c>
      <c r="AT155" s="106"/>
      <c r="AU155" s="196"/>
    </row>
    <row r="156" spans="1:47" hidden="1">
      <c r="A156" s="105" t="s">
        <v>2799</v>
      </c>
      <c r="B156" s="105" t="s">
        <v>160</v>
      </c>
      <c r="C156" s="105" t="s">
        <v>73</v>
      </c>
      <c r="D156" s="105" t="s">
        <v>2800</v>
      </c>
      <c r="E156" s="105" t="s">
        <v>162</v>
      </c>
      <c r="F156" s="105" t="s">
        <v>2801</v>
      </c>
      <c r="G156" s="105" t="s">
        <v>2802</v>
      </c>
      <c r="H156" s="105" t="s">
        <v>165</v>
      </c>
      <c r="I156" s="105">
        <v>202605.5</v>
      </c>
      <c r="J156" s="197" t="s">
        <v>166</v>
      </c>
      <c r="K156" s="105" t="s">
        <v>73</v>
      </c>
      <c r="L156" s="105" t="s">
        <v>2803</v>
      </c>
      <c r="M156" s="105" t="s">
        <v>2804</v>
      </c>
      <c r="N156" s="116" t="s">
        <v>2805</v>
      </c>
      <c r="O156" s="105"/>
      <c r="P156" s="177" t="s">
        <v>138</v>
      </c>
      <c r="Q156" s="177" t="s">
        <v>100</v>
      </c>
      <c r="R156" s="177" t="s">
        <v>262</v>
      </c>
      <c r="S156" s="177" t="s">
        <v>1095</v>
      </c>
      <c r="T156" s="177" t="s">
        <v>103</v>
      </c>
      <c r="U156" s="177" t="s">
        <v>264</v>
      </c>
      <c r="V156" s="177" t="s">
        <v>264</v>
      </c>
      <c r="W156" s="191" t="s">
        <v>17</v>
      </c>
      <c r="X156" s="30" t="s">
        <v>173</v>
      </c>
      <c r="Y156" s="26" t="s">
        <v>173</v>
      </c>
      <c r="Z156" s="26" t="s">
        <v>174</v>
      </c>
      <c r="AA156" s="26" t="s">
        <v>175</v>
      </c>
      <c r="AB156" s="32">
        <f t="shared" si="13"/>
        <v>1</v>
      </c>
      <c r="AC156" s="25">
        <v>1</v>
      </c>
      <c r="AD156" s="104"/>
      <c r="AE156" s="106"/>
      <c r="AF156" s="106"/>
      <c r="AG156" s="106"/>
      <c r="AH156" s="106"/>
      <c r="AI156" s="106"/>
      <c r="AJ156" s="106"/>
      <c r="AK156" s="106"/>
      <c r="AL156" s="106"/>
      <c r="AM156" s="106"/>
      <c r="AN156" s="106"/>
      <c r="AO156" s="106"/>
      <c r="AP156" s="106"/>
      <c r="AQ156" s="106"/>
      <c r="AS156" s="106"/>
      <c r="AT156" s="106"/>
      <c r="AU156" s="196"/>
    </row>
    <row r="157" spans="1:47">
      <c r="A157" s="105" t="s">
        <v>2806</v>
      </c>
      <c r="B157" s="105" t="s">
        <v>160</v>
      </c>
      <c r="C157" s="105" t="s">
        <v>73</v>
      </c>
      <c r="D157" s="105" t="s">
        <v>2807</v>
      </c>
      <c r="E157" s="105" t="s">
        <v>162</v>
      </c>
      <c r="F157" s="105" t="s">
        <v>2808</v>
      </c>
      <c r="G157" s="105" t="s">
        <v>2809</v>
      </c>
      <c r="H157" s="105" t="s">
        <v>165</v>
      </c>
      <c r="I157" s="105">
        <v>202605.5</v>
      </c>
      <c r="J157" s="107">
        <v>5.27</v>
      </c>
      <c r="K157" s="105" t="s">
        <v>73</v>
      </c>
      <c r="L157" s="105" t="s">
        <v>2702</v>
      </c>
      <c r="M157" s="105" t="s">
        <v>2810</v>
      </c>
      <c r="N157" s="116" t="s">
        <v>2811</v>
      </c>
      <c r="O157" s="105"/>
      <c r="P157" s="177" t="s">
        <v>138</v>
      </c>
      <c r="Q157" s="177" t="s">
        <v>100</v>
      </c>
      <c r="R157" s="177" t="s">
        <v>262</v>
      </c>
      <c r="S157" s="177" t="s">
        <v>1095</v>
      </c>
      <c r="T157" s="177" t="s">
        <v>103</v>
      </c>
      <c r="U157" s="177" t="s">
        <v>264</v>
      </c>
      <c r="V157" s="177" t="s">
        <v>264</v>
      </c>
      <c r="W157" s="191" t="s">
        <v>17</v>
      </c>
      <c r="X157" s="30" t="s">
        <v>173</v>
      </c>
      <c r="Y157" s="26" t="s">
        <v>173</v>
      </c>
      <c r="Z157" s="26" t="s">
        <v>174</v>
      </c>
      <c r="AA157" s="26" t="s">
        <v>175</v>
      </c>
      <c r="AB157" s="32">
        <f t="shared" si="13"/>
        <v>1</v>
      </c>
      <c r="AC157" s="25">
        <v>1</v>
      </c>
      <c r="AD157" s="104">
        <v>1</v>
      </c>
      <c r="AE157" s="32">
        <v>1</v>
      </c>
      <c r="AF157" s="106"/>
      <c r="AG157" s="106"/>
      <c r="AH157" s="32">
        <f t="shared" ref="AH157:AH188" si="14">IF(COUNTIF(AS:AS,"*"&amp;L157&amp;"*")&gt;0,1,0)</f>
        <v>1</v>
      </c>
      <c r="AI157" s="106"/>
      <c r="AJ157" s="32">
        <v>1</v>
      </c>
      <c r="AK157" s="106"/>
      <c r="AL157" s="106"/>
      <c r="AM157" s="32">
        <f t="shared" ref="AM157:AM188" si="15">IF(COUNTIF(AT:AT,"*"&amp;L157&amp;"*")&gt;0,1,0)</f>
        <v>0</v>
      </c>
      <c r="AN157" s="106"/>
      <c r="AO157" s="106"/>
      <c r="AP157" s="32">
        <v>1</v>
      </c>
      <c r="AQ157" s="106"/>
      <c r="AR157" s="185" t="s">
        <v>194</v>
      </c>
      <c r="AS157" s="106" t="s">
        <v>2812</v>
      </c>
      <c r="AT157" s="106"/>
      <c r="AU157" s="196"/>
    </row>
    <row r="158" spans="1:47">
      <c r="A158" s="105" t="s">
        <v>2813</v>
      </c>
      <c r="B158" s="105" t="s">
        <v>160</v>
      </c>
      <c r="C158" s="105" t="s">
        <v>73</v>
      </c>
      <c r="D158" s="105" t="s">
        <v>2814</v>
      </c>
      <c r="E158" s="105" t="s">
        <v>499</v>
      </c>
      <c r="F158" s="105" t="s">
        <v>2815</v>
      </c>
      <c r="G158" s="105" t="s">
        <v>2816</v>
      </c>
      <c r="H158" s="105" t="s">
        <v>165</v>
      </c>
      <c r="I158" s="105">
        <v>202605.5</v>
      </c>
      <c r="J158" s="107">
        <v>5.27</v>
      </c>
      <c r="K158" s="105" t="s">
        <v>73</v>
      </c>
      <c r="L158" s="105" t="s">
        <v>2694</v>
      </c>
      <c r="M158" s="105" t="s">
        <v>2817</v>
      </c>
      <c r="N158" s="116" t="s">
        <v>2818</v>
      </c>
      <c r="O158" s="105"/>
      <c r="P158" s="177" t="s">
        <v>138</v>
      </c>
      <c r="Q158" s="177" t="s">
        <v>100</v>
      </c>
      <c r="R158" s="177" t="s">
        <v>262</v>
      </c>
      <c r="S158" s="177" t="s">
        <v>1095</v>
      </c>
      <c r="T158" s="177" t="s">
        <v>103</v>
      </c>
      <c r="U158" s="177" t="s">
        <v>264</v>
      </c>
      <c r="V158" s="177" t="s">
        <v>264</v>
      </c>
      <c r="W158" s="191" t="s">
        <v>17</v>
      </c>
      <c r="X158" s="30" t="s">
        <v>173</v>
      </c>
      <c r="Y158" s="26" t="s">
        <v>173</v>
      </c>
      <c r="Z158" s="26" t="s">
        <v>174</v>
      </c>
      <c r="AA158" s="26" t="s">
        <v>175</v>
      </c>
      <c r="AB158" s="32">
        <f t="shared" si="13"/>
        <v>1</v>
      </c>
      <c r="AC158" s="25">
        <v>1</v>
      </c>
      <c r="AD158" s="104">
        <v>1</v>
      </c>
      <c r="AE158" s="32">
        <v>1</v>
      </c>
      <c r="AF158" s="106"/>
      <c r="AG158" s="106"/>
      <c r="AH158" s="32">
        <f t="shared" si="14"/>
        <v>1</v>
      </c>
      <c r="AI158" s="106"/>
      <c r="AJ158" s="32">
        <v>1</v>
      </c>
      <c r="AK158" s="106"/>
      <c r="AL158" s="106"/>
      <c r="AM158" s="32">
        <f t="shared" si="15"/>
        <v>0</v>
      </c>
      <c r="AN158" s="106"/>
      <c r="AO158" s="106"/>
      <c r="AP158" s="32">
        <v>1</v>
      </c>
      <c r="AQ158" s="106"/>
      <c r="AR158" s="185" t="s">
        <v>194</v>
      </c>
      <c r="AS158" s="106" t="s">
        <v>2819</v>
      </c>
      <c r="AT158" s="106"/>
      <c r="AU158" s="196"/>
    </row>
    <row r="159" spans="1:47">
      <c r="A159" s="105" t="s">
        <v>2820</v>
      </c>
      <c r="B159" s="105" t="s">
        <v>160</v>
      </c>
      <c r="C159" s="105" t="s">
        <v>73</v>
      </c>
      <c r="D159" s="105" t="s">
        <v>2821</v>
      </c>
      <c r="E159" s="105" t="s">
        <v>162</v>
      </c>
      <c r="F159" s="105" t="s">
        <v>2822</v>
      </c>
      <c r="G159" s="105" t="s">
        <v>2823</v>
      </c>
      <c r="H159" s="105" t="s">
        <v>165</v>
      </c>
      <c r="I159" s="105">
        <v>202605.5</v>
      </c>
      <c r="J159" s="107">
        <v>5.27</v>
      </c>
      <c r="K159" s="105" t="s">
        <v>73</v>
      </c>
      <c r="L159" s="105" t="s">
        <v>2658</v>
      </c>
      <c r="M159" s="105" t="s">
        <v>2824</v>
      </c>
      <c r="N159" s="116" t="s">
        <v>2825</v>
      </c>
      <c r="O159" s="105"/>
      <c r="P159" s="177" t="s">
        <v>138</v>
      </c>
      <c r="Q159" s="177" t="s">
        <v>100</v>
      </c>
      <c r="R159" s="177" t="s">
        <v>262</v>
      </c>
      <c r="S159" s="177" t="s">
        <v>1095</v>
      </c>
      <c r="T159" s="177" t="s">
        <v>103</v>
      </c>
      <c r="U159" s="177" t="s">
        <v>264</v>
      </c>
      <c r="V159" s="177" t="s">
        <v>264</v>
      </c>
      <c r="W159" s="191" t="s">
        <v>17</v>
      </c>
      <c r="X159" s="30" t="s">
        <v>173</v>
      </c>
      <c r="Y159" s="26" t="s">
        <v>173</v>
      </c>
      <c r="Z159" s="26" t="s">
        <v>174</v>
      </c>
      <c r="AA159" s="26" t="s">
        <v>175</v>
      </c>
      <c r="AB159" s="32">
        <f t="shared" si="13"/>
        <v>1</v>
      </c>
      <c r="AC159" s="25">
        <v>1</v>
      </c>
      <c r="AD159" s="104">
        <v>1</v>
      </c>
      <c r="AE159" s="32">
        <v>1</v>
      </c>
      <c r="AF159" s="106"/>
      <c r="AG159" s="106"/>
      <c r="AH159" s="32">
        <f t="shared" si="14"/>
        <v>1</v>
      </c>
      <c r="AI159" s="106"/>
      <c r="AJ159" s="32">
        <v>1</v>
      </c>
      <c r="AK159" s="106"/>
      <c r="AL159" s="106"/>
      <c r="AM159" s="32">
        <f t="shared" si="15"/>
        <v>0</v>
      </c>
      <c r="AN159" s="106"/>
      <c r="AO159" s="106"/>
      <c r="AP159" s="32">
        <v>1</v>
      </c>
      <c r="AQ159" s="106"/>
      <c r="AR159" s="185" t="s">
        <v>194</v>
      </c>
      <c r="AS159" s="106" t="s">
        <v>2826</v>
      </c>
      <c r="AT159" s="106"/>
      <c r="AU159" s="196"/>
    </row>
    <row r="160" spans="1:47">
      <c r="A160" s="105" t="s">
        <v>2827</v>
      </c>
      <c r="B160" s="105" t="s">
        <v>160</v>
      </c>
      <c r="C160" s="105" t="s">
        <v>73</v>
      </c>
      <c r="D160" s="105" t="s">
        <v>2828</v>
      </c>
      <c r="E160" s="105" t="s">
        <v>162</v>
      </c>
      <c r="F160" s="105" t="s">
        <v>2829</v>
      </c>
      <c r="G160" s="105" t="s">
        <v>2830</v>
      </c>
      <c r="H160" s="105" t="s">
        <v>165</v>
      </c>
      <c r="I160" s="105">
        <v>202605.5</v>
      </c>
      <c r="J160" s="107">
        <v>5.27</v>
      </c>
      <c r="K160" s="105" t="s">
        <v>73</v>
      </c>
      <c r="L160" s="105" t="s">
        <v>2651</v>
      </c>
      <c r="M160" s="105" t="s">
        <v>2831</v>
      </c>
      <c r="N160" s="116" t="s">
        <v>2832</v>
      </c>
      <c r="O160" s="105"/>
      <c r="P160" s="177" t="s">
        <v>138</v>
      </c>
      <c r="Q160" s="177" t="s">
        <v>100</v>
      </c>
      <c r="R160" s="177" t="s">
        <v>262</v>
      </c>
      <c r="S160" s="177" t="s">
        <v>1095</v>
      </c>
      <c r="T160" s="177" t="s">
        <v>103</v>
      </c>
      <c r="U160" s="177" t="s">
        <v>264</v>
      </c>
      <c r="V160" s="177" t="s">
        <v>264</v>
      </c>
      <c r="W160" s="191" t="s">
        <v>17</v>
      </c>
      <c r="X160" s="30" t="s">
        <v>173</v>
      </c>
      <c r="Y160" s="26" t="s">
        <v>173</v>
      </c>
      <c r="Z160" s="26" t="s">
        <v>174</v>
      </c>
      <c r="AA160" s="26" t="s">
        <v>175</v>
      </c>
      <c r="AB160" s="32">
        <f t="shared" si="13"/>
        <v>1</v>
      </c>
      <c r="AC160" s="25">
        <v>1</v>
      </c>
      <c r="AD160" s="104">
        <v>1</v>
      </c>
      <c r="AE160" s="32">
        <v>1</v>
      </c>
      <c r="AF160" s="106"/>
      <c r="AG160" s="106"/>
      <c r="AH160" s="32">
        <f t="shared" si="14"/>
        <v>1</v>
      </c>
      <c r="AI160" s="106"/>
      <c r="AJ160" s="32">
        <v>1</v>
      </c>
      <c r="AK160" s="106"/>
      <c r="AL160" s="106"/>
      <c r="AM160" s="32">
        <f t="shared" si="15"/>
        <v>0</v>
      </c>
      <c r="AN160" s="106"/>
      <c r="AO160" s="106"/>
      <c r="AP160" s="32">
        <v>1</v>
      </c>
      <c r="AQ160" s="106"/>
      <c r="AR160" s="185" t="s">
        <v>194</v>
      </c>
      <c r="AS160" s="106" t="s">
        <v>2833</v>
      </c>
      <c r="AT160" s="106"/>
      <c r="AU160" s="196"/>
    </row>
    <row r="161" spans="1:47">
      <c r="A161" s="105" t="s">
        <v>2834</v>
      </c>
      <c r="B161" s="105" t="s">
        <v>160</v>
      </c>
      <c r="C161" s="105" t="s">
        <v>73</v>
      </c>
      <c r="D161" s="105" t="s">
        <v>2835</v>
      </c>
      <c r="E161" s="105" t="s">
        <v>162</v>
      </c>
      <c r="F161" s="105" t="s">
        <v>2836</v>
      </c>
      <c r="G161" s="105" t="s">
        <v>2837</v>
      </c>
      <c r="H161" s="105" t="s">
        <v>165</v>
      </c>
      <c r="I161" s="105">
        <v>202605.5</v>
      </c>
      <c r="J161" s="107">
        <v>5.27</v>
      </c>
      <c r="K161" s="105" t="s">
        <v>73</v>
      </c>
      <c r="L161" s="105" t="s">
        <v>2643</v>
      </c>
      <c r="M161" s="105" t="s">
        <v>2838</v>
      </c>
      <c r="N161" s="116" t="s">
        <v>2839</v>
      </c>
      <c r="O161" s="105"/>
      <c r="P161" s="177" t="s">
        <v>138</v>
      </c>
      <c r="Q161" s="177" t="s">
        <v>100</v>
      </c>
      <c r="R161" s="177" t="s">
        <v>262</v>
      </c>
      <c r="S161" s="177" t="s">
        <v>1095</v>
      </c>
      <c r="T161" s="177" t="s">
        <v>103</v>
      </c>
      <c r="U161" s="177" t="s">
        <v>264</v>
      </c>
      <c r="V161" s="177" t="s">
        <v>264</v>
      </c>
      <c r="W161" s="191" t="s">
        <v>17</v>
      </c>
      <c r="X161" s="30" t="s">
        <v>173</v>
      </c>
      <c r="Y161" s="26" t="s">
        <v>173</v>
      </c>
      <c r="Z161" s="26" t="s">
        <v>174</v>
      </c>
      <c r="AA161" s="26" t="s">
        <v>175</v>
      </c>
      <c r="AB161" s="32">
        <f t="shared" si="13"/>
        <v>1</v>
      </c>
      <c r="AC161" s="25">
        <v>1</v>
      </c>
      <c r="AD161" s="104">
        <v>1</v>
      </c>
      <c r="AE161" s="32">
        <v>1</v>
      </c>
      <c r="AF161" s="106"/>
      <c r="AG161" s="106"/>
      <c r="AH161" s="32">
        <f t="shared" si="14"/>
        <v>1</v>
      </c>
      <c r="AI161" s="106"/>
      <c r="AJ161" s="32">
        <v>1</v>
      </c>
      <c r="AK161" s="106"/>
      <c r="AL161" s="106"/>
      <c r="AM161" s="32">
        <f t="shared" si="15"/>
        <v>0</v>
      </c>
      <c r="AN161" s="106"/>
      <c r="AO161" s="106"/>
      <c r="AP161" s="32">
        <v>1</v>
      </c>
      <c r="AQ161" s="106"/>
      <c r="AR161" s="185" t="s">
        <v>194</v>
      </c>
      <c r="AS161" s="106" t="s">
        <v>2840</v>
      </c>
      <c r="AT161" s="106"/>
      <c r="AU161" s="196"/>
    </row>
    <row r="162" spans="1:47">
      <c r="A162" s="105" t="s">
        <v>2841</v>
      </c>
      <c r="B162" s="105" t="s">
        <v>160</v>
      </c>
      <c r="C162" s="105" t="s">
        <v>73</v>
      </c>
      <c r="D162" s="105" t="s">
        <v>2842</v>
      </c>
      <c r="E162" s="105" t="s">
        <v>162</v>
      </c>
      <c r="F162" s="105" t="s">
        <v>2843</v>
      </c>
      <c r="G162" s="105" t="s">
        <v>2844</v>
      </c>
      <c r="H162" s="105" t="s">
        <v>165</v>
      </c>
      <c r="I162" s="105">
        <v>202605.5</v>
      </c>
      <c r="J162" s="107">
        <v>5.27</v>
      </c>
      <c r="K162" s="105" t="s">
        <v>73</v>
      </c>
      <c r="L162" s="105" t="s">
        <v>2636</v>
      </c>
      <c r="M162" s="105" t="s">
        <v>2845</v>
      </c>
      <c r="N162" s="116" t="s">
        <v>2846</v>
      </c>
      <c r="O162" s="105"/>
      <c r="P162" s="177" t="s">
        <v>138</v>
      </c>
      <c r="Q162" s="177" t="s">
        <v>100</v>
      </c>
      <c r="R162" s="177" t="s">
        <v>262</v>
      </c>
      <c r="S162" s="177" t="s">
        <v>1095</v>
      </c>
      <c r="T162" s="177" t="s">
        <v>103</v>
      </c>
      <c r="U162" s="177" t="s">
        <v>264</v>
      </c>
      <c r="V162" s="177" t="s">
        <v>264</v>
      </c>
      <c r="W162" s="191" t="s">
        <v>17</v>
      </c>
      <c r="X162" s="30" t="s">
        <v>173</v>
      </c>
      <c r="Y162" s="26" t="s">
        <v>173</v>
      </c>
      <c r="Z162" s="26" t="s">
        <v>174</v>
      </c>
      <c r="AA162" s="26" t="s">
        <v>175</v>
      </c>
      <c r="AB162" s="32">
        <f t="shared" si="13"/>
        <v>1</v>
      </c>
      <c r="AC162" s="25">
        <v>1</v>
      </c>
      <c r="AD162" s="104">
        <v>1</v>
      </c>
      <c r="AE162" s="32">
        <v>1</v>
      </c>
      <c r="AF162" s="106"/>
      <c r="AG162" s="106"/>
      <c r="AH162" s="32">
        <f t="shared" si="14"/>
        <v>1</v>
      </c>
      <c r="AI162" s="106"/>
      <c r="AJ162" s="32">
        <v>1</v>
      </c>
      <c r="AK162" s="106"/>
      <c r="AL162" s="106"/>
      <c r="AM162" s="32">
        <f t="shared" si="15"/>
        <v>0</v>
      </c>
      <c r="AN162" s="106"/>
      <c r="AO162" s="106"/>
      <c r="AP162" s="32">
        <v>1</v>
      </c>
      <c r="AQ162" s="106"/>
      <c r="AR162" s="185" t="s">
        <v>194</v>
      </c>
      <c r="AS162" s="106" t="s">
        <v>2847</v>
      </c>
      <c r="AT162" s="106"/>
      <c r="AU162" s="196"/>
    </row>
    <row r="163" spans="1:47">
      <c r="A163" s="105" t="s">
        <v>2848</v>
      </c>
      <c r="B163" s="105" t="s">
        <v>160</v>
      </c>
      <c r="C163" s="105" t="s">
        <v>73</v>
      </c>
      <c r="D163" s="105" t="s">
        <v>2849</v>
      </c>
      <c r="E163" s="105" t="s">
        <v>162</v>
      </c>
      <c r="F163" s="105" t="s">
        <v>2850</v>
      </c>
      <c r="G163" s="105" t="s">
        <v>2851</v>
      </c>
      <c r="H163" s="105" t="s">
        <v>165</v>
      </c>
      <c r="I163" s="105">
        <v>202605.5</v>
      </c>
      <c r="J163" s="107">
        <v>5.27</v>
      </c>
      <c r="K163" s="105" t="s">
        <v>73</v>
      </c>
      <c r="L163" s="105" t="s">
        <v>2628</v>
      </c>
      <c r="M163" s="105" t="s">
        <v>2852</v>
      </c>
      <c r="N163" s="116" t="s">
        <v>2853</v>
      </c>
      <c r="O163" s="105"/>
      <c r="P163" s="177" t="s">
        <v>138</v>
      </c>
      <c r="Q163" s="177" t="s">
        <v>100</v>
      </c>
      <c r="R163" s="177" t="s">
        <v>262</v>
      </c>
      <c r="S163" s="177" t="s">
        <v>1095</v>
      </c>
      <c r="T163" s="177" t="s">
        <v>103</v>
      </c>
      <c r="U163" s="177" t="s">
        <v>264</v>
      </c>
      <c r="V163" s="177" t="s">
        <v>264</v>
      </c>
      <c r="W163" s="191" t="s">
        <v>17</v>
      </c>
      <c r="X163" s="30" t="s">
        <v>173</v>
      </c>
      <c r="Y163" s="26" t="s">
        <v>173</v>
      </c>
      <c r="Z163" s="26" t="s">
        <v>174</v>
      </c>
      <c r="AA163" s="26" t="s">
        <v>175</v>
      </c>
      <c r="AB163" s="32">
        <f t="shared" si="13"/>
        <v>1</v>
      </c>
      <c r="AC163" s="25">
        <v>1</v>
      </c>
      <c r="AD163" s="104">
        <v>1</v>
      </c>
      <c r="AE163" s="32">
        <v>1</v>
      </c>
      <c r="AF163" s="106"/>
      <c r="AG163" s="106"/>
      <c r="AH163" s="32">
        <f t="shared" si="14"/>
        <v>1</v>
      </c>
      <c r="AI163" s="106"/>
      <c r="AJ163" s="32">
        <v>1</v>
      </c>
      <c r="AK163" s="106"/>
      <c r="AL163" s="106"/>
      <c r="AM163" s="32">
        <f t="shared" si="15"/>
        <v>0</v>
      </c>
      <c r="AN163" s="106"/>
      <c r="AO163" s="106"/>
      <c r="AP163" s="32">
        <v>1</v>
      </c>
      <c r="AQ163" s="106"/>
      <c r="AS163" s="106" t="s">
        <v>2854</v>
      </c>
      <c r="AT163" s="106"/>
      <c r="AU163" s="196"/>
    </row>
    <row r="164" spans="1:47">
      <c r="A164" s="105" t="s">
        <v>2855</v>
      </c>
      <c r="B164" s="105" t="s">
        <v>160</v>
      </c>
      <c r="C164" s="105" t="s">
        <v>73</v>
      </c>
      <c r="D164" s="105" t="s">
        <v>2856</v>
      </c>
      <c r="E164" s="105" t="s">
        <v>162</v>
      </c>
      <c r="F164" s="105" t="s">
        <v>2857</v>
      </c>
      <c r="G164" s="105" t="s">
        <v>2858</v>
      </c>
      <c r="H164" s="105" t="s">
        <v>165</v>
      </c>
      <c r="I164" s="105">
        <v>202605.5</v>
      </c>
      <c r="J164" s="107">
        <v>5.27</v>
      </c>
      <c r="K164" s="105" t="s">
        <v>73</v>
      </c>
      <c r="L164" s="105" t="s">
        <v>2621</v>
      </c>
      <c r="M164" s="105" t="s">
        <v>2859</v>
      </c>
      <c r="N164" s="116" t="s">
        <v>2860</v>
      </c>
      <c r="O164" s="105"/>
      <c r="P164" s="177" t="s">
        <v>138</v>
      </c>
      <c r="Q164" s="177" t="s">
        <v>100</v>
      </c>
      <c r="R164" s="177" t="s">
        <v>262</v>
      </c>
      <c r="S164" s="177" t="s">
        <v>1095</v>
      </c>
      <c r="T164" s="177" t="s">
        <v>103</v>
      </c>
      <c r="U164" s="177" t="s">
        <v>264</v>
      </c>
      <c r="V164" s="177" t="s">
        <v>264</v>
      </c>
      <c r="W164" s="191" t="s">
        <v>17</v>
      </c>
      <c r="X164" s="30" t="s">
        <v>173</v>
      </c>
      <c r="Y164" s="26" t="s">
        <v>173</v>
      </c>
      <c r="Z164" s="26" t="s">
        <v>174</v>
      </c>
      <c r="AA164" s="26" t="s">
        <v>175</v>
      </c>
      <c r="AB164" s="32">
        <f t="shared" si="13"/>
        <v>1</v>
      </c>
      <c r="AC164" s="25">
        <v>1</v>
      </c>
      <c r="AD164" s="104">
        <v>1</v>
      </c>
      <c r="AE164" s="32">
        <v>1</v>
      </c>
      <c r="AF164" s="106"/>
      <c r="AG164" s="106"/>
      <c r="AH164" s="32">
        <f t="shared" si="14"/>
        <v>1</v>
      </c>
      <c r="AI164" s="106"/>
      <c r="AJ164" s="32">
        <v>1</v>
      </c>
      <c r="AK164" s="106"/>
      <c r="AL164" s="106"/>
      <c r="AM164" s="32">
        <f t="shared" si="15"/>
        <v>0</v>
      </c>
      <c r="AN164" s="106"/>
      <c r="AO164" s="106"/>
      <c r="AP164" s="32">
        <v>1</v>
      </c>
      <c r="AQ164" s="106"/>
      <c r="AS164" s="106" t="s">
        <v>2861</v>
      </c>
      <c r="AT164" s="106"/>
      <c r="AU164" s="196"/>
    </row>
    <row r="165" spans="1:47">
      <c r="A165" s="105" t="s">
        <v>2862</v>
      </c>
      <c r="B165" s="105" t="s">
        <v>160</v>
      </c>
      <c r="C165" s="105" t="s">
        <v>73</v>
      </c>
      <c r="D165" s="105" t="s">
        <v>1851</v>
      </c>
      <c r="E165" s="105" t="s">
        <v>162</v>
      </c>
      <c r="F165" s="105" t="s">
        <v>2863</v>
      </c>
      <c r="G165" s="105" t="s">
        <v>2864</v>
      </c>
      <c r="H165" s="105" t="s">
        <v>165</v>
      </c>
      <c r="I165" s="105">
        <v>202605.5</v>
      </c>
      <c r="J165" s="107">
        <v>5.27</v>
      </c>
      <c r="K165" s="105" t="s">
        <v>73</v>
      </c>
      <c r="L165" s="105" t="s">
        <v>2833</v>
      </c>
      <c r="M165" s="105" t="s">
        <v>2865</v>
      </c>
      <c r="N165" s="116" t="s">
        <v>2866</v>
      </c>
      <c r="O165" s="105"/>
      <c r="P165" s="177" t="s">
        <v>138</v>
      </c>
      <c r="Q165" s="177" t="s">
        <v>100</v>
      </c>
      <c r="R165" s="177" t="s">
        <v>262</v>
      </c>
      <c r="S165" s="177" t="s">
        <v>1282</v>
      </c>
      <c r="T165" s="177" t="s">
        <v>103</v>
      </c>
      <c r="U165" s="177" t="s">
        <v>264</v>
      </c>
      <c r="V165" s="177" t="s">
        <v>264</v>
      </c>
      <c r="W165" s="191" t="s">
        <v>19</v>
      </c>
      <c r="X165" s="30" t="s">
        <v>173</v>
      </c>
      <c r="Y165" s="26" t="s">
        <v>173</v>
      </c>
      <c r="Z165" s="26" t="s">
        <v>174</v>
      </c>
      <c r="AA165" s="26" t="s">
        <v>175</v>
      </c>
      <c r="AB165" s="32">
        <f t="shared" si="13"/>
        <v>1</v>
      </c>
      <c r="AC165" s="25">
        <v>1</v>
      </c>
      <c r="AD165" s="104">
        <v>1</v>
      </c>
      <c r="AE165" s="32">
        <v>1</v>
      </c>
      <c r="AF165" s="106"/>
      <c r="AG165" s="104">
        <v>1</v>
      </c>
      <c r="AH165" s="32">
        <f t="shared" si="14"/>
        <v>1</v>
      </c>
      <c r="AI165" s="106"/>
      <c r="AJ165" s="32">
        <v>1</v>
      </c>
      <c r="AK165" s="106"/>
      <c r="AL165" s="106"/>
      <c r="AM165" s="32">
        <f t="shared" si="15"/>
        <v>0</v>
      </c>
      <c r="AN165" s="106"/>
      <c r="AO165" s="106"/>
      <c r="AP165" s="32">
        <v>1</v>
      </c>
      <c r="AQ165" s="106"/>
      <c r="AS165" s="106" t="s">
        <v>2867</v>
      </c>
      <c r="AT165" s="106"/>
      <c r="AU165" s="196"/>
    </row>
    <row r="166" spans="1:47">
      <c r="A166" s="105" t="s">
        <v>2868</v>
      </c>
      <c r="B166" s="105" t="s">
        <v>160</v>
      </c>
      <c r="C166" s="105" t="s">
        <v>73</v>
      </c>
      <c r="D166" s="105" t="s">
        <v>1843</v>
      </c>
      <c r="E166" s="105" t="s">
        <v>162</v>
      </c>
      <c r="F166" s="105" t="s">
        <v>2869</v>
      </c>
      <c r="G166" s="105" t="s">
        <v>2870</v>
      </c>
      <c r="H166" s="105" t="s">
        <v>165</v>
      </c>
      <c r="I166" s="105">
        <v>202605.5</v>
      </c>
      <c r="J166" s="107">
        <v>5.27</v>
      </c>
      <c r="K166" s="105" t="s">
        <v>73</v>
      </c>
      <c r="L166" s="105" t="s">
        <v>2826</v>
      </c>
      <c r="M166" s="105" t="s">
        <v>2871</v>
      </c>
      <c r="N166" s="116" t="s">
        <v>2872</v>
      </c>
      <c r="O166" s="105"/>
      <c r="P166" s="177" t="s">
        <v>138</v>
      </c>
      <c r="Q166" s="177" t="s">
        <v>100</v>
      </c>
      <c r="R166" s="177" t="s">
        <v>262</v>
      </c>
      <c r="S166" s="177" t="s">
        <v>1282</v>
      </c>
      <c r="T166" s="177" t="s">
        <v>103</v>
      </c>
      <c r="U166" s="177" t="s">
        <v>264</v>
      </c>
      <c r="V166" s="177" t="s">
        <v>264</v>
      </c>
      <c r="W166" s="191" t="s">
        <v>19</v>
      </c>
      <c r="X166" s="30" t="s">
        <v>173</v>
      </c>
      <c r="Y166" s="26" t="s">
        <v>173</v>
      </c>
      <c r="Z166" s="26" t="s">
        <v>174</v>
      </c>
      <c r="AA166" s="26" t="s">
        <v>175</v>
      </c>
      <c r="AB166" s="32">
        <f t="shared" si="13"/>
        <v>1</v>
      </c>
      <c r="AC166" s="25">
        <v>1</v>
      </c>
      <c r="AD166" s="104">
        <v>1</v>
      </c>
      <c r="AE166" s="32">
        <v>1</v>
      </c>
      <c r="AF166" s="106"/>
      <c r="AG166" s="104">
        <v>1</v>
      </c>
      <c r="AH166" s="32">
        <f t="shared" si="14"/>
        <v>1</v>
      </c>
      <c r="AI166" s="106"/>
      <c r="AJ166" s="32">
        <v>1</v>
      </c>
      <c r="AK166" s="106"/>
      <c r="AL166" s="106"/>
      <c r="AM166" s="32">
        <f t="shared" si="15"/>
        <v>0</v>
      </c>
      <c r="AN166" s="106"/>
      <c r="AO166" s="106"/>
      <c r="AP166" s="32">
        <v>1</v>
      </c>
      <c r="AQ166" s="106"/>
      <c r="AS166" s="106" t="s">
        <v>2873</v>
      </c>
      <c r="AT166" s="106"/>
      <c r="AU166" s="196"/>
    </row>
    <row r="167" spans="1:47">
      <c r="A167" s="105" t="s">
        <v>2874</v>
      </c>
      <c r="B167" s="105" t="s">
        <v>160</v>
      </c>
      <c r="C167" s="105" t="s">
        <v>73</v>
      </c>
      <c r="D167" s="105" t="s">
        <v>2875</v>
      </c>
      <c r="E167" s="105" t="s">
        <v>162</v>
      </c>
      <c r="F167" s="105" t="s">
        <v>2876</v>
      </c>
      <c r="G167" s="105" t="s">
        <v>2877</v>
      </c>
      <c r="H167" s="105" t="s">
        <v>165</v>
      </c>
      <c r="I167" s="105">
        <v>202605.5</v>
      </c>
      <c r="J167" s="107">
        <v>5.27</v>
      </c>
      <c r="K167" s="105" t="s">
        <v>73</v>
      </c>
      <c r="L167" s="105" t="s">
        <v>2614</v>
      </c>
      <c r="M167" s="105" t="s">
        <v>2878</v>
      </c>
      <c r="N167" s="116" t="s">
        <v>2879</v>
      </c>
      <c r="O167" s="105"/>
      <c r="P167" s="177" t="s">
        <v>138</v>
      </c>
      <c r="Q167" s="177" t="s">
        <v>100</v>
      </c>
      <c r="R167" s="177" t="s">
        <v>262</v>
      </c>
      <c r="S167" s="177" t="s">
        <v>1282</v>
      </c>
      <c r="T167" s="177" t="s">
        <v>103</v>
      </c>
      <c r="U167" s="177" t="s">
        <v>264</v>
      </c>
      <c r="V167" s="177" t="s">
        <v>264</v>
      </c>
      <c r="W167" s="193" t="s">
        <v>17</v>
      </c>
      <c r="X167" s="30" t="s">
        <v>173</v>
      </c>
      <c r="Y167" s="26" t="s">
        <v>173</v>
      </c>
      <c r="Z167" s="26" t="s">
        <v>174</v>
      </c>
      <c r="AA167" s="26" t="s">
        <v>175</v>
      </c>
      <c r="AB167" s="32">
        <f t="shared" si="13"/>
        <v>1</v>
      </c>
      <c r="AC167" s="25">
        <v>1</v>
      </c>
      <c r="AD167" s="104">
        <v>1</v>
      </c>
      <c r="AE167" s="32">
        <v>1</v>
      </c>
      <c r="AF167" s="106"/>
      <c r="AG167" s="106"/>
      <c r="AH167" s="32">
        <f t="shared" si="14"/>
        <v>1</v>
      </c>
      <c r="AI167" s="106"/>
      <c r="AJ167" s="32">
        <v>1</v>
      </c>
      <c r="AK167" s="106"/>
      <c r="AL167" s="106"/>
      <c r="AM167" s="32">
        <f t="shared" si="15"/>
        <v>0</v>
      </c>
      <c r="AN167" s="106"/>
      <c r="AO167" s="106"/>
      <c r="AP167" s="32">
        <v>1</v>
      </c>
      <c r="AQ167" s="106"/>
      <c r="AS167" s="106" t="s">
        <v>2880</v>
      </c>
      <c r="AT167" s="106"/>
      <c r="AU167" s="196" t="s">
        <v>2881</v>
      </c>
    </row>
    <row r="168" spans="1:47">
      <c r="A168" s="105" t="s">
        <v>2882</v>
      </c>
      <c r="B168" s="105" t="s">
        <v>160</v>
      </c>
      <c r="C168" s="105" t="s">
        <v>73</v>
      </c>
      <c r="D168" s="105" t="s">
        <v>1834</v>
      </c>
      <c r="E168" s="105" t="s">
        <v>162</v>
      </c>
      <c r="F168" s="105" t="s">
        <v>2883</v>
      </c>
      <c r="G168" s="105" t="s">
        <v>2884</v>
      </c>
      <c r="H168" s="105" t="s">
        <v>165</v>
      </c>
      <c r="I168" s="105">
        <v>202605.5</v>
      </c>
      <c r="J168" s="107">
        <v>5.27</v>
      </c>
      <c r="K168" s="105" t="s">
        <v>73</v>
      </c>
      <c r="L168" s="105" t="s">
        <v>2819</v>
      </c>
      <c r="M168" s="105" t="s">
        <v>2885</v>
      </c>
      <c r="N168" s="116" t="s">
        <v>2886</v>
      </c>
      <c r="O168" s="105"/>
      <c r="P168" s="177" t="s">
        <v>138</v>
      </c>
      <c r="Q168" s="177" t="s">
        <v>100</v>
      </c>
      <c r="R168" s="177" t="s">
        <v>262</v>
      </c>
      <c r="S168" s="177" t="s">
        <v>1282</v>
      </c>
      <c r="T168" s="177" t="s">
        <v>103</v>
      </c>
      <c r="U168" s="177" t="s">
        <v>264</v>
      </c>
      <c r="V168" s="177" t="s">
        <v>264</v>
      </c>
      <c r="W168" s="191" t="s">
        <v>19</v>
      </c>
      <c r="X168" s="30" t="s">
        <v>173</v>
      </c>
      <c r="Y168" s="26" t="s">
        <v>173</v>
      </c>
      <c r="Z168" s="26" t="s">
        <v>174</v>
      </c>
      <c r="AA168" s="26" t="s">
        <v>175</v>
      </c>
      <c r="AB168" s="32">
        <f t="shared" si="13"/>
        <v>1</v>
      </c>
      <c r="AC168" s="25">
        <v>1</v>
      </c>
      <c r="AD168" s="104">
        <v>1</v>
      </c>
      <c r="AE168" s="32">
        <v>1</v>
      </c>
      <c r="AF168" s="106"/>
      <c r="AG168" s="104">
        <v>1</v>
      </c>
      <c r="AH168" s="32">
        <f t="shared" si="14"/>
        <v>1</v>
      </c>
      <c r="AI168" s="106"/>
      <c r="AJ168" s="32">
        <v>1</v>
      </c>
      <c r="AK168" s="106"/>
      <c r="AL168" s="106"/>
      <c r="AM168" s="32">
        <f t="shared" si="15"/>
        <v>0</v>
      </c>
      <c r="AN168" s="106"/>
      <c r="AO168" s="106"/>
      <c r="AP168" s="32">
        <v>1</v>
      </c>
      <c r="AQ168" s="106"/>
      <c r="AS168" s="106" t="s">
        <v>2887</v>
      </c>
      <c r="AT168" s="106"/>
      <c r="AU168" s="196"/>
    </row>
    <row r="169" spans="1:47">
      <c r="A169" s="105" t="s">
        <v>2888</v>
      </c>
      <c r="B169" s="105" t="s">
        <v>160</v>
      </c>
      <c r="C169" s="105" t="s">
        <v>73</v>
      </c>
      <c r="D169" s="105" t="s">
        <v>1775</v>
      </c>
      <c r="E169" s="105" t="s">
        <v>162</v>
      </c>
      <c r="F169" s="105" t="s">
        <v>2889</v>
      </c>
      <c r="G169" s="105" t="s">
        <v>2890</v>
      </c>
      <c r="H169" s="105" t="s">
        <v>165</v>
      </c>
      <c r="I169" s="105">
        <v>202605.5</v>
      </c>
      <c r="J169" s="107">
        <v>5.27</v>
      </c>
      <c r="K169" s="105" t="s">
        <v>73</v>
      </c>
      <c r="L169" s="105" t="s">
        <v>2798</v>
      </c>
      <c r="M169" s="105" t="s">
        <v>2891</v>
      </c>
      <c r="N169" s="116" t="s">
        <v>2892</v>
      </c>
      <c r="O169" s="105"/>
      <c r="P169" s="177" t="s">
        <v>138</v>
      </c>
      <c r="Q169" s="177" t="s">
        <v>100</v>
      </c>
      <c r="R169" s="177" t="s">
        <v>262</v>
      </c>
      <c r="S169" s="177" t="s">
        <v>1282</v>
      </c>
      <c r="T169" s="177" t="s">
        <v>103</v>
      </c>
      <c r="U169" s="177" t="s">
        <v>264</v>
      </c>
      <c r="V169" s="177" t="s">
        <v>264</v>
      </c>
      <c r="W169" s="191" t="s">
        <v>19</v>
      </c>
      <c r="X169" s="30" t="s">
        <v>173</v>
      </c>
      <c r="Y169" s="26" t="s">
        <v>173</v>
      </c>
      <c r="Z169" s="26" t="s">
        <v>174</v>
      </c>
      <c r="AA169" s="26" t="s">
        <v>175</v>
      </c>
      <c r="AB169" s="32">
        <f t="shared" si="13"/>
        <v>1</v>
      </c>
      <c r="AC169" s="25">
        <v>1</v>
      </c>
      <c r="AD169" s="104">
        <v>1</v>
      </c>
      <c r="AE169" s="32">
        <v>1</v>
      </c>
      <c r="AF169" s="106"/>
      <c r="AG169" s="104">
        <v>1</v>
      </c>
      <c r="AH169" s="32">
        <f t="shared" si="14"/>
        <v>1</v>
      </c>
      <c r="AI169" s="106"/>
      <c r="AJ169" s="32">
        <v>1</v>
      </c>
      <c r="AK169" s="106"/>
      <c r="AL169" s="106"/>
      <c r="AM169" s="32">
        <f t="shared" si="15"/>
        <v>0</v>
      </c>
      <c r="AN169" s="106"/>
      <c r="AO169" s="106"/>
      <c r="AP169" s="32">
        <v>1</v>
      </c>
      <c r="AQ169" s="106"/>
      <c r="AR169" s="185" t="s">
        <v>194</v>
      </c>
      <c r="AS169" s="106" t="s">
        <v>2893</v>
      </c>
      <c r="AT169" s="106"/>
      <c r="AU169" s="196"/>
    </row>
    <row r="170" spans="1:47">
      <c r="A170" s="105" t="s">
        <v>2894</v>
      </c>
      <c r="B170" s="105" t="s">
        <v>160</v>
      </c>
      <c r="C170" s="105" t="s">
        <v>73</v>
      </c>
      <c r="D170" s="105" t="s">
        <v>1707</v>
      </c>
      <c r="E170" s="105" t="s">
        <v>162</v>
      </c>
      <c r="F170" s="105" t="s">
        <v>2895</v>
      </c>
      <c r="G170" s="105" t="s">
        <v>2896</v>
      </c>
      <c r="H170" s="105" t="s">
        <v>165</v>
      </c>
      <c r="I170" s="105">
        <v>202605.5</v>
      </c>
      <c r="J170" s="107">
        <v>5.27</v>
      </c>
      <c r="K170" s="105" t="s">
        <v>73</v>
      </c>
      <c r="L170" s="105" t="s">
        <v>2791</v>
      </c>
      <c r="M170" s="105" t="s">
        <v>2897</v>
      </c>
      <c r="N170" s="116" t="s">
        <v>2898</v>
      </c>
      <c r="O170" s="105"/>
      <c r="P170" s="177" t="s">
        <v>138</v>
      </c>
      <c r="Q170" s="177" t="s">
        <v>100</v>
      </c>
      <c r="R170" s="177" t="s">
        <v>262</v>
      </c>
      <c r="S170" s="177" t="s">
        <v>1282</v>
      </c>
      <c r="T170" s="177" t="s">
        <v>103</v>
      </c>
      <c r="U170" s="177" t="s">
        <v>264</v>
      </c>
      <c r="V170" s="177" t="s">
        <v>264</v>
      </c>
      <c r="W170" s="191" t="s">
        <v>19</v>
      </c>
      <c r="X170" s="30" t="s">
        <v>173</v>
      </c>
      <c r="Y170" s="26" t="s">
        <v>173</v>
      </c>
      <c r="Z170" s="26" t="s">
        <v>174</v>
      </c>
      <c r="AA170" s="26" t="s">
        <v>175</v>
      </c>
      <c r="AB170" s="32">
        <f t="shared" ref="AB170:AB208" si="16">IF(COUNTIF(AU:AU,"*"&amp;D170&amp;"*")&gt;0,1,0)</f>
        <v>1</v>
      </c>
      <c r="AC170" s="25">
        <v>1</v>
      </c>
      <c r="AD170" s="104">
        <v>1</v>
      </c>
      <c r="AE170" s="32">
        <v>1</v>
      </c>
      <c r="AF170" s="106"/>
      <c r="AG170" s="104">
        <v>1</v>
      </c>
      <c r="AH170" s="32">
        <f t="shared" si="14"/>
        <v>1</v>
      </c>
      <c r="AI170" s="106"/>
      <c r="AJ170" s="32">
        <v>1</v>
      </c>
      <c r="AK170" s="106"/>
      <c r="AL170" s="106"/>
      <c r="AM170" s="32">
        <f t="shared" si="15"/>
        <v>0</v>
      </c>
      <c r="AN170" s="106"/>
      <c r="AO170" s="106"/>
      <c r="AP170" s="32">
        <v>1</v>
      </c>
      <c r="AQ170" s="106"/>
      <c r="AS170" s="106" t="s">
        <v>2899</v>
      </c>
      <c r="AT170" s="106"/>
      <c r="AU170" s="196"/>
    </row>
    <row r="171" spans="1:47">
      <c r="A171" s="105" t="s">
        <v>2900</v>
      </c>
      <c r="B171" s="105" t="s">
        <v>160</v>
      </c>
      <c r="C171" s="105" t="s">
        <v>73</v>
      </c>
      <c r="D171" s="105" t="s">
        <v>1859</v>
      </c>
      <c r="E171" s="105" t="s">
        <v>162</v>
      </c>
      <c r="F171" s="105" t="s">
        <v>2901</v>
      </c>
      <c r="G171" s="105" t="s">
        <v>2902</v>
      </c>
      <c r="H171" s="105" t="s">
        <v>165</v>
      </c>
      <c r="I171" s="105">
        <v>202605.5</v>
      </c>
      <c r="J171" s="107">
        <v>5.27</v>
      </c>
      <c r="K171" s="105" t="s">
        <v>73</v>
      </c>
      <c r="L171" s="105" t="s">
        <v>2840</v>
      </c>
      <c r="M171" s="105" t="s">
        <v>2903</v>
      </c>
      <c r="N171" s="116" t="s">
        <v>2904</v>
      </c>
      <c r="O171" s="105"/>
      <c r="P171" s="177" t="s">
        <v>138</v>
      </c>
      <c r="Q171" s="177" t="s">
        <v>100</v>
      </c>
      <c r="R171" s="177" t="s">
        <v>262</v>
      </c>
      <c r="S171" s="177" t="s">
        <v>1282</v>
      </c>
      <c r="T171" s="177" t="s">
        <v>103</v>
      </c>
      <c r="U171" s="177" t="s">
        <v>264</v>
      </c>
      <c r="V171" s="177" t="s">
        <v>264</v>
      </c>
      <c r="W171" s="191" t="s">
        <v>19</v>
      </c>
      <c r="X171" s="30" t="s">
        <v>173</v>
      </c>
      <c r="Y171" s="26" t="s">
        <v>173</v>
      </c>
      <c r="Z171" s="26" t="s">
        <v>174</v>
      </c>
      <c r="AA171" s="26" t="s">
        <v>175</v>
      </c>
      <c r="AB171" s="32">
        <f t="shared" si="16"/>
        <v>1</v>
      </c>
      <c r="AC171" s="25">
        <v>1</v>
      </c>
      <c r="AD171" s="104">
        <v>1</v>
      </c>
      <c r="AE171" s="32">
        <v>1</v>
      </c>
      <c r="AF171" s="106"/>
      <c r="AG171" s="104">
        <v>1</v>
      </c>
      <c r="AH171" s="32">
        <f t="shared" si="14"/>
        <v>1</v>
      </c>
      <c r="AI171" s="106"/>
      <c r="AJ171" s="32">
        <v>1</v>
      </c>
      <c r="AK171" s="106"/>
      <c r="AL171" s="106"/>
      <c r="AM171" s="32">
        <f t="shared" si="15"/>
        <v>0</v>
      </c>
      <c r="AN171" s="106"/>
      <c r="AO171" s="106"/>
      <c r="AP171" s="32">
        <v>1</v>
      </c>
      <c r="AQ171" s="106"/>
      <c r="AS171" s="106" t="s">
        <v>2905</v>
      </c>
      <c r="AT171" s="106"/>
      <c r="AU171" s="196"/>
    </row>
    <row r="172" spans="1:47">
      <c r="A172" s="105" t="s">
        <v>2906</v>
      </c>
      <c r="B172" s="105" t="s">
        <v>160</v>
      </c>
      <c r="C172" s="105" t="s">
        <v>73</v>
      </c>
      <c r="D172" s="105" t="s">
        <v>1825</v>
      </c>
      <c r="E172" s="105" t="s">
        <v>162</v>
      </c>
      <c r="F172" s="105" t="s">
        <v>2907</v>
      </c>
      <c r="G172" s="105" t="s">
        <v>2908</v>
      </c>
      <c r="H172" s="105" t="s">
        <v>165</v>
      </c>
      <c r="I172" s="105">
        <v>202605.5</v>
      </c>
      <c r="J172" s="107">
        <v>5.27</v>
      </c>
      <c r="K172" s="105" t="s">
        <v>73</v>
      </c>
      <c r="L172" s="105" t="s">
        <v>2812</v>
      </c>
      <c r="M172" s="105" t="s">
        <v>2909</v>
      </c>
      <c r="N172" s="116" t="s">
        <v>2910</v>
      </c>
      <c r="O172" s="105"/>
      <c r="P172" s="177" t="s">
        <v>138</v>
      </c>
      <c r="Q172" s="177" t="s">
        <v>100</v>
      </c>
      <c r="R172" s="177" t="s">
        <v>262</v>
      </c>
      <c r="S172" s="177" t="s">
        <v>1282</v>
      </c>
      <c r="T172" s="177" t="s">
        <v>103</v>
      </c>
      <c r="U172" s="177" t="s">
        <v>264</v>
      </c>
      <c r="V172" s="177" t="s">
        <v>264</v>
      </c>
      <c r="W172" s="191" t="s">
        <v>19</v>
      </c>
      <c r="X172" s="30" t="s">
        <v>173</v>
      </c>
      <c r="Y172" s="26" t="s">
        <v>173</v>
      </c>
      <c r="Z172" s="26" t="s">
        <v>174</v>
      </c>
      <c r="AA172" s="26" t="s">
        <v>175</v>
      </c>
      <c r="AB172" s="32">
        <f t="shared" si="16"/>
        <v>1</v>
      </c>
      <c r="AC172" s="25">
        <v>1</v>
      </c>
      <c r="AD172" s="104">
        <v>1</v>
      </c>
      <c r="AE172" s="32">
        <v>1</v>
      </c>
      <c r="AF172" s="106"/>
      <c r="AG172" s="104">
        <v>1</v>
      </c>
      <c r="AH172" s="32">
        <f t="shared" si="14"/>
        <v>1</v>
      </c>
      <c r="AI172" s="106"/>
      <c r="AJ172" s="32">
        <v>1</v>
      </c>
      <c r="AK172" s="106"/>
      <c r="AL172" s="106"/>
      <c r="AM172" s="32">
        <f t="shared" si="15"/>
        <v>0</v>
      </c>
      <c r="AN172" s="106"/>
      <c r="AO172" s="106"/>
      <c r="AP172" s="32">
        <v>1</v>
      </c>
      <c r="AQ172" s="106"/>
      <c r="AS172" s="106" t="s">
        <v>2911</v>
      </c>
      <c r="AT172" s="106"/>
      <c r="AU172" s="196"/>
    </row>
    <row r="173" spans="1:47">
      <c r="A173" s="105" t="s">
        <v>2912</v>
      </c>
      <c r="B173" s="105" t="s">
        <v>160</v>
      </c>
      <c r="C173" s="105" t="s">
        <v>73</v>
      </c>
      <c r="D173" s="105" t="s">
        <v>2193</v>
      </c>
      <c r="E173" s="105" t="s">
        <v>162</v>
      </c>
      <c r="F173" s="105" t="s">
        <v>2913</v>
      </c>
      <c r="G173" s="105" t="s">
        <v>2914</v>
      </c>
      <c r="H173" s="105" t="s">
        <v>2915</v>
      </c>
      <c r="I173" s="105">
        <v>202605.5</v>
      </c>
      <c r="J173" s="107">
        <v>5.27</v>
      </c>
      <c r="K173" s="105" t="s">
        <v>73</v>
      </c>
      <c r="L173" s="105" t="s">
        <v>2880</v>
      </c>
      <c r="M173" s="105" t="s">
        <v>2916</v>
      </c>
      <c r="N173" s="116" t="s">
        <v>2917</v>
      </c>
      <c r="O173" s="105"/>
      <c r="P173" s="177" t="s">
        <v>138</v>
      </c>
      <c r="Q173" s="177" t="s">
        <v>100</v>
      </c>
      <c r="R173" s="177" t="s">
        <v>262</v>
      </c>
      <c r="S173" s="177" t="s">
        <v>1282</v>
      </c>
      <c r="T173" s="177" t="s">
        <v>103</v>
      </c>
      <c r="U173" s="177" t="s">
        <v>264</v>
      </c>
      <c r="V173" s="177" t="s">
        <v>264</v>
      </c>
      <c r="W173" s="191" t="s">
        <v>19</v>
      </c>
      <c r="X173" s="30" t="s">
        <v>173</v>
      </c>
      <c r="Y173" s="26" t="s">
        <v>173</v>
      </c>
      <c r="Z173" s="26" t="s">
        <v>174</v>
      </c>
      <c r="AA173" s="26" t="s">
        <v>175</v>
      </c>
      <c r="AB173" s="32">
        <f t="shared" si="16"/>
        <v>1</v>
      </c>
      <c r="AC173" s="25">
        <v>1</v>
      </c>
      <c r="AD173" s="104">
        <v>1</v>
      </c>
      <c r="AE173" s="32">
        <v>1</v>
      </c>
      <c r="AF173" s="106"/>
      <c r="AG173" s="104">
        <v>1</v>
      </c>
      <c r="AH173" s="32">
        <f t="shared" si="14"/>
        <v>1</v>
      </c>
      <c r="AI173" s="106"/>
      <c r="AJ173" s="32">
        <v>1</v>
      </c>
      <c r="AK173" s="106"/>
      <c r="AL173" s="106"/>
      <c r="AM173" s="32">
        <f t="shared" si="15"/>
        <v>0</v>
      </c>
      <c r="AN173" s="106"/>
      <c r="AO173" s="106"/>
      <c r="AP173" s="32">
        <v>1</v>
      </c>
      <c r="AQ173" s="106"/>
      <c r="AS173" s="106" t="s">
        <v>2918</v>
      </c>
      <c r="AT173" s="106"/>
      <c r="AU173" s="196"/>
    </row>
    <row r="174" spans="1:47">
      <c r="A174" s="105" t="s">
        <v>2919</v>
      </c>
      <c r="B174" s="105" t="s">
        <v>160</v>
      </c>
      <c r="C174" s="105" t="s">
        <v>73</v>
      </c>
      <c r="D174" s="105" t="s">
        <v>2185</v>
      </c>
      <c r="E174" s="105" t="s">
        <v>162</v>
      </c>
      <c r="F174" s="105" t="s">
        <v>2920</v>
      </c>
      <c r="G174" s="105" t="s">
        <v>2921</v>
      </c>
      <c r="H174" s="105" t="s">
        <v>2915</v>
      </c>
      <c r="I174" s="105">
        <v>202605.5</v>
      </c>
      <c r="J174" s="107">
        <v>5.27</v>
      </c>
      <c r="K174" s="105" t="s">
        <v>73</v>
      </c>
      <c r="L174" s="105" t="s">
        <v>2873</v>
      </c>
      <c r="M174" s="105" t="s">
        <v>2922</v>
      </c>
      <c r="N174" s="116" t="s">
        <v>2923</v>
      </c>
      <c r="O174" s="105"/>
      <c r="P174" s="177" t="s">
        <v>138</v>
      </c>
      <c r="Q174" s="177" t="s">
        <v>100</v>
      </c>
      <c r="R174" s="177" t="s">
        <v>262</v>
      </c>
      <c r="S174" s="177" t="s">
        <v>1282</v>
      </c>
      <c r="T174" s="177" t="s">
        <v>103</v>
      </c>
      <c r="U174" s="177" t="s">
        <v>264</v>
      </c>
      <c r="V174" s="177" t="s">
        <v>264</v>
      </c>
      <c r="W174" s="191" t="s">
        <v>19</v>
      </c>
      <c r="X174" s="30" t="s">
        <v>173</v>
      </c>
      <c r="Y174" s="26" t="s">
        <v>173</v>
      </c>
      <c r="Z174" s="26" t="s">
        <v>174</v>
      </c>
      <c r="AA174" s="26" t="s">
        <v>175</v>
      </c>
      <c r="AB174" s="32">
        <f t="shared" si="16"/>
        <v>1</v>
      </c>
      <c r="AC174" s="25">
        <v>1</v>
      </c>
      <c r="AD174" s="104">
        <v>1</v>
      </c>
      <c r="AE174" s="32">
        <v>1</v>
      </c>
      <c r="AF174" s="106"/>
      <c r="AG174" s="104">
        <v>1</v>
      </c>
      <c r="AH174" s="32">
        <f t="shared" si="14"/>
        <v>1</v>
      </c>
      <c r="AI174" s="106"/>
      <c r="AJ174" s="32">
        <v>1</v>
      </c>
      <c r="AK174" s="106"/>
      <c r="AL174" s="106"/>
      <c r="AM174" s="32">
        <f t="shared" si="15"/>
        <v>0</v>
      </c>
      <c r="AN174" s="106"/>
      <c r="AO174" s="106"/>
      <c r="AP174" s="32">
        <v>1</v>
      </c>
      <c r="AQ174" s="106"/>
      <c r="AS174" s="106" t="s">
        <v>2924</v>
      </c>
      <c r="AT174" s="106"/>
      <c r="AU174" s="196"/>
    </row>
    <row r="175" spans="1:47">
      <c r="A175" s="105" t="s">
        <v>2925</v>
      </c>
      <c r="B175" s="105" t="s">
        <v>160</v>
      </c>
      <c r="C175" s="105" t="s">
        <v>73</v>
      </c>
      <c r="D175" s="105" t="s">
        <v>2166</v>
      </c>
      <c r="E175" s="105" t="s">
        <v>162</v>
      </c>
      <c r="F175" s="105" t="s">
        <v>2926</v>
      </c>
      <c r="G175" s="105" t="s">
        <v>2927</v>
      </c>
      <c r="H175" s="105" t="s">
        <v>2915</v>
      </c>
      <c r="I175" s="105">
        <v>202605.5</v>
      </c>
      <c r="J175" s="107">
        <v>5.27</v>
      </c>
      <c r="K175" s="105" t="s">
        <v>73</v>
      </c>
      <c r="L175" s="105" t="s">
        <v>2867</v>
      </c>
      <c r="M175" s="105" t="s">
        <v>2928</v>
      </c>
      <c r="N175" s="116" t="s">
        <v>2929</v>
      </c>
      <c r="O175" s="105"/>
      <c r="P175" s="177" t="s">
        <v>138</v>
      </c>
      <c r="Q175" s="177" t="s">
        <v>100</v>
      </c>
      <c r="R175" s="177" t="s">
        <v>262</v>
      </c>
      <c r="S175" s="177" t="s">
        <v>1282</v>
      </c>
      <c r="T175" s="177" t="s">
        <v>103</v>
      </c>
      <c r="U175" s="177" t="s">
        <v>264</v>
      </c>
      <c r="V175" s="177" t="s">
        <v>264</v>
      </c>
      <c r="W175" s="191" t="s">
        <v>19</v>
      </c>
      <c r="X175" s="30" t="s">
        <v>173</v>
      </c>
      <c r="Y175" s="26" t="s">
        <v>173</v>
      </c>
      <c r="Z175" s="26" t="s">
        <v>174</v>
      </c>
      <c r="AA175" s="26" t="s">
        <v>175</v>
      </c>
      <c r="AB175" s="32">
        <f t="shared" si="16"/>
        <v>1</v>
      </c>
      <c r="AC175" s="25">
        <v>1</v>
      </c>
      <c r="AD175" s="104">
        <v>1</v>
      </c>
      <c r="AE175" s="32">
        <v>1</v>
      </c>
      <c r="AF175" s="106"/>
      <c r="AG175" s="104">
        <v>1</v>
      </c>
      <c r="AH175" s="32">
        <f t="shared" si="14"/>
        <v>1</v>
      </c>
      <c r="AI175" s="106"/>
      <c r="AJ175" s="32">
        <v>1</v>
      </c>
      <c r="AK175" s="106"/>
      <c r="AL175" s="106"/>
      <c r="AM175" s="32">
        <f t="shared" si="15"/>
        <v>0</v>
      </c>
      <c r="AN175" s="106"/>
      <c r="AO175" s="106"/>
      <c r="AP175" s="32">
        <v>1</v>
      </c>
      <c r="AQ175" s="106"/>
      <c r="AS175" s="106" t="s">
        <v>2930</v>
      </c>
      <c r="AT175" s="106"/>
      <c r="AU175" s="196"/>
    </row>
    <row r="176" spans="1:47">
      <c r="A176" s="105" t="s">
        <v>2931</v>
      </c>
      <c r="B176" s="105" t="s">
        <v>160</v>
      </c>
      <c r="C176" s="105" t="s">
        <v>73</v>
      </c>
      <c r="D176" s="105" t="s">
        <v>2158</v>
      </c>
      <c r="E176" s="105" t="s">
        <v>162</v>
      </c>
      <c r="F176" s="105" t="s">
        <v>2932</v>
      </c>
      <c r="G176" s="105" t="s">
        <v>2933</v>
      </c>
      <c r="H176" s="105" t="s">
        <v>2915</v>
      </c>
      <c r="I176" s="105">
        <v>202605.5</v>
      </c>
      <c r="J176" s="107">
        <v>5.27</v>
      </c>
      <c r="K176" s="105" t="s">
        <v>73</v>
      </c>
      <c r="L176" s="105" t="s">
        <v>2861</v>
      </c>
      <c r="M176" s="105" t="s">
        <v>2934</v>
      </c>
      <c r="N176" s="116" t="s">
        <v>2935</v>
      </c>
      <c r="O176" s="105"/>
      <c r="P176" s="177" t="s">
        <v>138</v>
      </c>
      <c r="Q176" s="177" t="s">
        <v>100</v>
      </c>
      <c r="R176" s="177" t="s">
        <v>262</v>
      </c>
      <c r="S176" s="177" t="s">
        <v>1282</v>
      </c>
      <c r="T176" s="177" t="s">
        <v>103</v>
      </c>
      <c r="U176" s="177" t="s">
        <v>264</v>
      </c>
      <c r="V176" s="177" t="s">
        <v>264</v>
      </c>
      <c r="W176" s="191" t="s">
        <v>19</v>
      </c>
      <c r="X176" s="30" t="s">
        <v>173</v>
      </c>
      <c r="Y176" s="26" t="s">
        <v>173</v>
      </c>
      <c r="Z176" s="26" t="s">
        <v>174</v>
      </c>
      <c r="AA176" s="26" t="s">
        <v>175</v>
      </c>
      <c r="AB176" s="32">
        <f t="shared" si="16"/>
        <v>1</v>
      </c>
      <c r="AC176" s="25">
        <v>1</v>
      </c>
      <c r="AD176" s="104">
        <v>1</v>
      </c>
      <c r="AE176" s="32">
        <v>1</v>
      </c>
      <c r="AF176" s="106"/>
      <c r="AG176" s="104">
        <v>1</v>
      </c>
      <c r="AH176" s="32">
        <f t="shared" si="14"/>
        <v>1</v>
      </c>
      <c r="AI176" s="106"/>
      <c r="AJ176" s="32">
        <v>1</v>
      </c>
      <c r="AK176" s="106"/>
      <c r="AL176" s="106"/>
      <c r="AM176" s="32">
        <f t="shared" si="15"/>
        <v>0</v>
      </c>
      <c r="AN176" s="106"/>
      <c r="AO176" s="106"/>
      <c r="AP176" s="32">
        <v>1</v>
      </c>
      <c r="AQ176" s="106"/>
      <c r="AS176" s="106" t="s">
        <v>2936</v>
      </c>
      <c r="AT176" s="106"/>
      <c r="AU176" s="196"/>
    </row>
    <row r="177" spans="1:47">
      <c r="A177" s="105" t="s">
        <v>2937</v>
      </c>
      <c r="B177" s="105" t="s">
        <v>160</v>
      </c>
      <c r="C177" s="105" t="s">
        <v>73</v>
      </c>
      <c r="D177" s="105" t="s">
        <v>2249</v>
      </c>
      <c r="E177" s="105" t="s">
        <v>162</v>
      </c>
      <c r="F177" s="105" t="s">
        <v>2938</v>
      </c>
      <c r="G177" s="105" t="s">
        <v>2939</v>
      </c>
      <c r="H177" s="105" t="s">
        <v>2915</v>
      </c>
      <c r="I177" s="105">
        <v>202605.5</v>
      </c>
      <c r="J177" s="107">
        <v>5.27</v>
      </c>
      <c r="K177" s="105" t="s">
        <v>73</v>
      </c>
      <c r="L177" s="105" t="s">
        <v>2924</v>
      </c>
      <c r="M177" s="105" t="s">
        <v>2940</v>
      </c>
      <c r="N177" s="116" t="s">
        <v>2941</v>
      </c>
      <c r="O177" s="105"/>
      <c r="P177" s="177" t="s">
        <v>138</v>
      </c>
      <c r="Q177" s="177" t="s">
        <v>100</v>
      </c>
      <c r="R177" s="177" t="s">
        <v>262</v>
      </c>
      <c r="S177" s="177" t="s">
        <v>1282</v>
      </c>
      <c r="T177" s="177" t="s">
        <v>103</v>
      </c>
      <c r="U177" s="177" t="s">
        <v>264</v>
      </c>
      <c r="V177" s="177" t="s">
        <v>264</v>
      </c>
      <c r="W177" s="191" t="s">
        <v>19</v>
      </c>
      <c r="X177" s="30" t="s">
        <v>173</v>
      </c>
      <c r="Y177" s="26" t="s">
        <v>173</v>
      </c>
      <c r="Z177" s="26" t="s">
        <v>174</v>
      </c>
      <c r="AA177" s="26" t="s">
        <v>175</v>
      </c>
      <c r="AB177" s="32">
        <f t="shared" si="16"/>
        <v>1</v>
      </c>
      <c r="AC177" s="25">
        <v>1</v>
      </c>
      <c r="AD177" s="104">
        <v>1</v>
      </c>
      <c r="AE177" s="32">
        <v>1</v>
      </c>
      <c r="AF177" s="106"/>
      <c r="AG177" s="104">
        <v>1</v>
      </c>
      <c r="AH177" s="32">
        <f t="shared" si="14"/>
        <v>1</v>
      </c>
      <c r="AI177" s="106"/>
      <c r="AJ177" s="32">
        <v>1</v>
      </c>
      <c r="AK177" s="106"/>
      <c r="AL177" s="106"/>
      <c r="AM177" s="32">
        <f t="shared" si="15"/>
        <v>0</v>
      </c>
      <c r="AN177" s="106"/>
      <c r="AO177" s="106"/>
      <c r="AP177" s="32">
        <v>1</v>
      </c>
      <c r="AQ177" s="106"/>
      <c r="AS177" s="106" t="s">
        <v>2942</v>
      </c>
      <c r="AT177" s="106"/>
      <c r="AU177" s="196"/>
    </row>
    <row r="178" spans="1:47">
      <c r="A178" s="105" t="s">
        <v>2943</v>
      </c>
      <c r="B178" s="105" t="s">
        <v>160</v>
      </c>
      <c r="C178" s="105" t="s">
        <v>73</v>
      </c>
      <c r="D178" s="105" t="s">
        <v>2241</v>
      </c>
      <c r="E178" s="105" t="s">
        <v>162</v>
      </c>
      <c r="F178" s="105" t="s">
        <v>2944</v>
      </c>
      <c r="G178" s="105" t="s">
        <v>2945</v>
      </c>
      <c r="H178" s="105" t="s">
        <v>2915</v>
      </c>
      <c r="I178" s="105">
        <v>202605.5</v>
      </c>
      <c r="J178" s="107">
        <v>5.27</v>
      </c>
      <c r="K178" s="105" t="s">
        <v>73</v>
      </c>
      <c r="L178" s="105" t="s">
        <v>2918</v>
      </c>
      <c r="M178" s="105" t="s">
        <v>2946</v>
      </c>
      <c r="N178" s="116" t="s">
        <v>2947</v>
      </c>
      <c r="O178" s="105"/>
      <c r="P178" s="177" t="s">
        <v>138</v>
      </c>
      <c r="Q178" s="177" t="s">
        <v>100</v>
      </c>
      <c r="R178" s="177" t="s">
        <v>262</v>
      </c>
      <c r="S178" s="177" t="s">
        <v>1282</v>
      </c>
      <c r="T178" s="177" t="s">
        <v>103</v>
      </c>
      <c r="U178" s="177" t="s">
        <v>264</v>
      </c>
      <c r="V178" s="177" t="s">
        <v>264</v>
      </c>
      <c r="W178" s="191" t="s">
        <v>19</v>
      </c>
      <c r="X178" s="30" t="s">
        <v>173</v>
      </c>
      <c r="Y178" s="26" t="s">
        <v>173</v>
      </c>
      <c r="Z178" s="26" t="s">
        <v>174</v>
      </c>
      <c r="AA178" s="26" t="s">
        <v>175</v>
      </c>
      <c r="AB178" s="32">
        <f t="shared" si="16"/>
        <v>1</v>
      </c>
      <c r="AC178" s="25">
        <v>1</v>
      </c>
      <c r="AD178" s="104">
        <v>1</v>
      </c>
      <c r="AE178" s="32">
        <v>1</v>
      </c>
      <c r="AF178" s="106"/>
      <c r="AG178" s="104">
        <v>1</v>
      </c>
      <c r="AH178" s="32">
        <f t="shared" si="14"/>
        <v>1</v>
      </c>
      <c r="AI178" s="106"/>
      <c r="AJ178" s="32">
        <v>1</v>
      </c>
      <c r="AK178" s="106"/>
      <c r="AL178" s="106"/>
      <c r="AM178" s="32">
        <f t="shared" si="15"/>
        <v>0</v>
      </c>
      <c r="AN178" s="106"/>
      <c r="AO178" s="106"/>
      <c r="AP178" s="32">
        <v>1</v>
      </c>
      <c r="AQ178" s="106"/>
      <c r="AS178" s="106" t="s">
        <v>2948</v>
      </c>
      <c r="AT178" s="106"/>
      <c r="AU178" s="196"/>
    </row>
    <row r="179" spans="1:47">
      <c r="A179" s="105" t="s">
        <v>2949</v>
      </c>
      <c r="B179" s="105" t="s">
        <v>160</v>
      </c>
      <c r="C179" s="105" t="s">
        <v>73</v>
      </c>
      <c r="D179" s="105" t="s">
        <v>2233</v>
      </c>
      <c r="E179" s="105" t="s">
        <v>162</v>
      </c>
      <c r="F179" s="105" t="s">
        <v>2950</v>
      </c>
      <c r="G179" s="105" t="s">
        <v>2951</v>
      </c>
      <c r="H179" s="105" t="s">
        <v>2915</v>
      </c>
      <c r="I179" s="105">
        <v>202605.5</v>
      </c>
      <c r="J179" s="107">
        <v>5.27</v>
      </c>
      <c r="K179" s="105" t="s">
        <v>73</v>
      </c>
      <c r="L179" s="105" t="s">
        <v>2911</v>
      </c>
      <c r="M179" s="105" t="s">
        <v>2952</v>
      </c>
      <c r="N179" s="116" t="s">
        <v>2953</v>
      </c>
      <c r="O179" s="105"/>
      <c r="P179" s="177" t="s">
        <v>138</v>
      </c>
      <c r="Q179" s="177" t="s">
        <v>100</v>
      </c>
      <c r="R179" s="177" t="s">
        <v>262</v>
      </c>
      <c r="S179" s="177" t="s">
        <v>1282</v>
      </c>
      <c r="T179" s="177" t="s">
        <v>103</v>
      </c>
      <c r="U179" s="177" t="s">
        <v>264</v>
      </c>
      <c r="V179" s="177" t="s">
        <v>264</v>
      </c>
      <c r="W179" s="191" t="s">
        <v>19</v>
      </c>
      <c r="X179" s="30" t="s">
        <v>173</v>
      </c>
      <c r="Y179" s="26" t="s">
        <v>173</v>
      </c>
      <c r="Z179" s="26" t="s">
        <v>174</v>
      </c>
      <c r="AA179" s="26" t="s">
        <v>175</v>
      </c>
      <c r="AB179" s="32">
        <f t="shared" si="16"/>
        <v>1</v>
      </c>
      <c r="AC179" s="25">
        <v>1</v>
      </c>
      <c r="AD179" s="104">
        <v>1</v>
      </c>
      <c r="AE179" s="32">
        <v>1</v>
      </c>
      <c r="AF179" s="106"/>
      <c r="AG179" s="104">
        <v>1</v>
      </c>
      <c r="AH179" s="32">
        <f t="shared" si="14"/>
        <v>1</v>
      </c>
      <c r="AI179" s="106"/>
      <c r="AJ179" s="32">
        <v>1</v>
      </c>
      <c r="AK179" s="106"/>
      <c r="AL179" s="106"/>
      <c r="AM179" s="32">
        <f t="shared" si="15"/>
        <v>0</v>
      </c>
      <c r="AN179" s="106"/>
      <c r="AO179" s="106"/>
      <c r="AP179" s="32">
        <v>1</v>
      </c>
      <c r="AQ179" s="106"/>
      <c r="AS179" s="106" t="s">
        <v>2954</v>
      </c>
      <c r="AT179" s="106"/>
      <c r="AU179" s="196"/>
    </row>
    <row r="180" spans="1:47">
      <c r="A180" s="105" t="s">
        <v>2955</v>
      </c>
      <c r="B180" s="105" t="s">
        <v>160</v>
      </c>
      <c r="C180" s="105" t="s">
        <v>73</v>
      </c>
      <c r="D180" s="105" t="s">
        <v>2225</v>
      </c>
      <c r="E180" s="105" t="s">
        <v>162</v>
      </c>
      <c r="F180" s="105" t="s">
        <v>2956</v>
      </c>
      <c r="G180" s="105" t="s">
        <v>2957</v>
      </c>
      <c r="H180" s="105" t="s">
        <v>2915</v>
      </c>
      <c r="I180" s="105">
        <v>202605.5</v>
      </c>
      <c r="J180" s="107">
        <v>5.27</v>
      </c>
      <c r="K180" s="105" t="s">
        <v>73</v>
      </c>
      <c r="L180" s="105" t="s">
        <v>2905</v>
      </c>
      <c r="M180" s="105" t="s">
        <v>2958</v>
      </c>
      <c r="N180" s="116" t="s">
        <v>2959</v>
      </c>
      <c r="O180" s="105"/>
      <c r="P180" s="177" t="s">
        <v>138</v>
      </c>
      <c r="Q180" s="177" t="s">
        <v>100</v>
      </c>
      <c r="R180" s="177" t="s">
        <v>262</v>
      </c>
      <c r="S180" s="177" t="s">
        <v>1282</v>
      </c>
      <c r="T180" s="177" t="s">
        <v>103</v>
      </c>
      <c r="U180" s="177" t="s">
        <v>264</v>
      </c>
      <c r="V180" s="177" t="s">
        <v>264</v>
      </c>
      <c r="W180" s="191" t="s">
        <v>19</v>
      </c>
      <c r="X180" s="30" t="s">
        <v>173</v>
      </c>
      <c r="Y180" s="26" t="s">
        <v>173</v>
      </c>
      <c r="Z180" s="26" t="s">
        <v>174</v>
      </c>
      <c r="AA180" s="26" t="s">
        <v>175</v>
      </c>
      <c r="AB180" s="32">
        <f t="shared" si="16"/>
        <v>1</v>
      </c>
      <c r="AC180" s="25">
        <v>1</v>
      </c>
      <c r="AD180" s="104">
        <v>1</v>
      </c>
      <c r="AE180" s="32">
        <v>1</v>
      </c>
      <c r="AF180" s="106"/>
      <c r="AG180" s="104">
        <v>1</v>
      </c>
      <c r="AH180" s="32">
        <f t="shared" si="14"/>
        <v>1</v>
      </c>
      <c r="AI180" s="106"/>
      <c r="AJ180" s="32">
        <v>1</v>
      </c>
      <c r="AK180" s="106"/>
      <c r="AL180" s="106"/>
      <c r="AM180" s="32">
        <f t="shared" si="15"/>
        <v>0</v>
      </c>
      <c r="AN180" s="106"/>
      <c r="AO180" s="106"/>
      <c r="AP180" s="32">
        <v>1</v>
      </c>
      <c r="AQ180" s="106"/>
      <c r="AS180" s="106" t="s">
        <v>2960</v>
      </c>
      <c r="AT180" s="106"/>
      <c r="AU180" s="196"/>
    </row>
    <row r="181" spans="1:47">
      <c r="A181" s="105" t="s">
        <v>2961</v>
      </c>
      <c r="B181" s="105" t="s">
        <v>160</v>
      </c>
      <c r="C181" s="105" t="s">
        <v>73</v>
      </c>
      <c r="D181" s="105" t="s">
        <v>2217</v>
      </c>
      <c r="E181" s="105" t="s">
        <v>162</v>
      </c>
      <c r="F181" s="105" t="s">
        <v>2962</v>
      </c>
      <c r="G181" s="105" t="s">
        <v>2963</v>
      </c>
      <c r="H181" s="105" t="s">
        <v>2915</v>
      </c>
      <c r="I181" s="105">
        <v>202605.5</v>
      </c>
      <c r="J181" s="107">
        <v>5.27</v>
      </c>
      <c r="K181" s="105" t="s">
        <v>73</v>
      </c>
      <c r="L181" s="105" t="s">
        <v>2899</v>
      </c>
      <c r="M181" s="105" t="s">
        <v>2964</v>
      </c>
      <c r="N181" s="116" t="s">
        <v>2965</v>
      </c>
      <c r="O181" s="105"/>
      <c r="P181" s="177" t="s">
        <v>138</v>
      </c>
      <c r="Q181" s="177" t="s">
        <v>100</v>
      </c>
      <c r="R181" s="177" t="s">
        <v>262</v>
      </c>
      <c r="S181" s="177" t="s">
        <v>1282</v>
      </c>
      <c r="T181" s="177" t="s">
        <v>103</v>
      </c>
      <c r="U181" s="177" t="s">
        <v>264</v>
      </c>
      <c r="V181" s="177" t="s">
        <v>264</v>
      </c>
      <c r="W181" s="191" t="s">
        <v>19</v>
      </c>
      <c r="X181" s="30" t="s">
        <v>173</v>
      </c>
      <c r="Y181" s="26" t="s">
        <v>173</v>
      </c>
      <c r="Z181" s="26" t="s">
        <v>174</v>
      </c>
      <c r="AA181" s="26" t="s">
        <v>175</v>
      </c>
      <c r="AB181" s="32">
        <f t="shared" si="16"/>
        <v>1</v>
      </c>
      <c r="AC181" s="25">
        <v>1</v>
      </c>
      <c r="AD181" s="104">
        <v>1</v>
      </c>
      <c r="AE181" s="32">
        <v>1</v>
      </c>
      <c r="AF181" s="106"/>
      <c r="AG181" s="104">
        <v>1</v>
      </c>
      <c r="AH181" s="32">
        <f t="shared" si="14"/>
        <v>1</v>
      </c>
      <c r="AI181" s="106"/>
      <c r="AJ181" s="32">
        <v>1</v>
      </c>
      <c r="AK181" s="106"/>
      <c r="AL181" s="106"/>
      <c r="AM181" s="32">
        <f t="shared" si="15"/>
        <v>0</v>
      </c>
      <c r="AN181" s="106"/>
      <c r="AO181" s="106"/>
      <c r="AP181" s="32">
        <v>1</v>
      </c>
      <c r="AQ181" s="106"/>
      <c r="AS181" s="106" t="s">
        <v>2966</v>
      </c>
      <c r="AT181" s="106"/>
      <c r="AU181" s="196"/>
    </row>
    <row r="182" spans="1:47">
      <c r="A182" s="105" t="s">
        <v>2967</v>
      </c>
      <c r="B182" s="105" t="s">
        <v>160</v>
      </c>
      <c r="C182" s="105" t="s">
        <v>73</v>
      </c>
      <c r="D182" s="105" t="s">
        <v>2209</v>
      </c>
      <c r="E182" s="105" t="s">
        <v>162</v>
      </c>
      <c r="F182" s="105" t="s">
        <v>2968</v>
      </c>
      <c r="G182" s="105" t="s">
        <v>2969</v>
      </c>
      <c r="H182" s="105" t="s">
        <v>2915</v>
      </c>
      <c r="I182" s="105">
        <v>202605.5</v>
      </c>
      <c r="J182" s="107">
        <v>5.27</v>
      </c>
      <c r="K182" s="105" t="s">
        <v>73</v>
      </c>
      <c r="L182" s="105" t="s">
        <v>2893</v>
      </c>
      <c r="M182" s="105" t="s">
        <v>2970</v>
      </c>
      <c r="N182" s="116" t="s">
        <v>2971</v>
      </c>
      <c r="O182" s="105"/>
      <c r="P182" s="177" t="s">
        <v>138</v>
      </c>
      <c r="Q182" s="177" t="s">
        <v>100</v>
      </c>
      <c r="R182" s="177" t="s">
        <v>262</v>
      </c>
      <c r="S182" s="177" t="s">
        <v>1282</v>
      </c>
      <c r="T182" s="177" t="s">
        <v>103</v>
      </c>
      <c r="U182" s="177" t="s">
        <v>264</v>
      </c>
      <c r="V182" s="177" t="s">
        <v>264</v>
      </c>
      <c r="W182" s="191" t="s">
        <v>19</v>
      </c>
      <c r="X182" s="30" t="s">
        <v>173</v>
      </c>
      <c r="Y182" s="26" t="s">
        <v>173</v>
      </c>
      <c r="Z182" s="26" t="s">
        <v>174</v>
      </c>
      <c r="AA182" s="26" t="s">
        <v>175</v>
      </c>
      <c r="AB182" s="32">
        <f t="shared" si="16"/>
        <v>1</v>
      </c>
      <c r="AC182" s="25">
        <v>1</v>
      </c>
      <c r="AD182" s="104">
        <v>1</v>
      </c>
      <c r="AE182" s="32">
        <v>1</v>
      </c>
      <c r="AF182" s="106"/>
      <c r="AG182" s="104">
        <v>1</v>
      </c>
      <c r="AH182" s="32">
        <f t="shared" si="14"/>
        <v>1</v>
      </c>
      <c r="AI182" s="106"/>
      <c r="AJ182" s="32">
        <v>1</v>
      </c>
      <c r="AK182" s="106"/>
      <c r="AL182" s="106"/>
      <c r="AM182" s="32">
        <f t="shared" si="15"/>
        <v>0</v>
      </c>
      <c r="AN182" s="106"/>
      <c r="AO182" s="106"/>
      <c r="AP182" s="32">
        <v>1</v>
      </c>
      <c r="AQ182" s="106"/>
      <c r="AS182" s="106" t="s">
        <v>2972</v>
      </c>
      <c r="AT182" s="106"/>
      <c r="AU182" s="196"/>
    </row>
    <row r="183" spans="1:47">
      <c r="A183" s="105" t="s">
        <v>2973</v>
      </c>
      <c r="B183" s="105" t="s">
        <v>160</v>
      </c>
      <c r="C183" s="105" t="s">
        <v>73</v>
      </c>
      <c r="D183" s="105" t="s">
        <v>2257</v>
      </c>
      <c r="E183" s="105" t="s">
        <v>162</v>
      </c>
      <c r="F183" s="105" t="s">
        <v>2974</v>
      </c>
      <c r="G183" s="105" t="s">
        <v>2975</v>
      </c>
      <c r="H183" s="105" t="s">
        <v>2915</v>
      </c>
      <c r="I183" s="105">
        <v>202605.5</v>
      </c>
      <c r="J183" s="107">
        <v>5.27</v>
      </c>
      <c r="K183" s="105" t="s">
        <v>73</v>
      </c>
      <c r="L183" s="105" t="s">
        <v>2930</v>
      </c>
      <c r="M183" s="105" t="s">
        <v>2976</v>
      </c>
      <c r="N183" s="116" t="s">
        <v>2977</v>
      </c>
      <c r="O183" s="105"/>
      <c r="P183" s="177" t="s">
        <v>138</v>
      </c>
      <c r="Q183" s="177" t="s">
        <v>100</v>
      </c>
      <c r="R183" s="177" t="s">
        <v>262</v>
      </c>
      <c r="S183" s="177" t="s">
        <v>1282</v>
      </c>
      <c r="T183" s="177" t="s">
        <v>103</v>
      </c>
      <c r="U183" s="177" t="s">
        <v>264</v>
      </c>
      <c r="V183" s="177" t="s">
        <v>264</v>
      </c>
      <c r="W183" s="191" t="s">
        <v>19</v>
      </c>
      <c r="X183" s="30" t="s">
        <v>173</v>
      </c>
      <c r="Y183" s="26" t="s">
        <v>173</v>
      </c>
      <c r="Z183" s="26" t="s">
        <v>174</v>
      </c>
      <c r="AA183" s="26" t="s">
        <v>175</v>
      </c>
      <c r="AB183" s="32">
        <f t="shared" si="16"/>
        <v>1</v>
      </c>
      <c r="AC183" s="25">
        <v>1</v>
      </c>
      <c r="AD183" s="104">
        <v>1</v>
      </c>
      <c r="AE183" s="32">
        <v>1</v>
      </c>
      <c r="AF183" s="106"/>
      <c r="AG183" s="104">
        <v>1</v>
      </c>
      <c r="AH183" s="32">
        <f t="shared" si="14"/>
        <v>1</v>
      </c>
      <c r="AI183" s="106"/>
      <c r="AJ183" s="32">
        <v>1</v>
      </c>
      <c r="AK183" s="106"/>
      <c r="AL183" s="106"/>
      <c r="AM183" s="32">
        <f t="shared" si="15"/>
        <v>0</v>
      </c>
      <c r="AN183" s="106"/>
      <c r="AO183" s="106"/>
      <c r="AP183" s="32">
        <v>1</v>
      </c>
      <c r="AQ183" s="106"/>
      <c r="AS183" s="106" t="s">
        <v>2978</v>
      </c>
      <c r="AT183" s="106"/>
      <c r="AU183" s="196"/>
    </row>
    <row r="184" spans="1:47">
      <c r="A184" s="105" t="s">
        <v>2979</v>
      </c>
      <c r="B184" s="105" t="s">
        <v>160</v>
      </c>
      <c r="C184" s="105" t="s">
        <v>73</v>
      </c>
      <c r="D184" s="105" t="s">
        <v>1699</v>
      </c>
      <c r="E184" s="105" t="s">
        <v>162</v>
      </c>
      <c r="F184" s="105" t="s">
        <v>2980</v>
      </c>
      <c r="G184" s="105" t="s">
        <v>2981</v>
      </c>
      <c r="H184" s="105" t="s">
        <v>2915</v>
      </c>
      <c r="I184" s="105">
        <v>202605.5</v>
      </c>
      <c r="J184" s="107">
        <v>5.27</v>
      </c>
      <c r="K184" s="105" t="s">
        <v>73</v>
      </c>
      <c r="L184" s="105" t="s">
        <v>2784</v>
      </c>
      <c r="M184" s="105" t="s">
        <v>2982</v>
      </c>
      <c r="N184" s="116" t="s">
        <v>2983</v>
      </c>
      <c r="O184" s="105"/>
      <c r="P184" s="177" t="s">
        <v>138</v>
      </c>
      <c r="Q184" s="177" t="s">
        <v>100</v>
      </c>
      <c r="R184" s="177" t="s">
        <v>262</v>
      </c>
      <c r="S184" s="177" t="s">
        <v>1282</v>
      </c>
      <c r="T184" s="177" t="s">
        <v>103</v>
      </c>
      <c r="U184" s="177" t="s">
        <v>264</v>
      </c>
      <c r="V184" s="177" t="s">
        <v>264</v>
      </c>
      <c r="W184" s="191" t="s">
        <v>19</v>
      </c>
      <c r="X184" s="30" t="s">
        <v>173</v>
      </c>
      <c r="Y184" s="26" t="s">
        <v>173</v>
      </c>
      <c r="Z184" s="26" t="s">
        <v>174</v>
      </c>
      <c r="AA184" s="26" t="s">
        <v>175</v>
      </c>
      <c r="AB184" s="32">
        <f t="shared" si="16"/>
        <v>1</v>
      </c>
      <c r="AC184" s="25">
        <v>1</v>
      </c>
      <c r="AD184" s="104">
        <v>1</v>
      </c>
      <c r="AE184" s="32">
        <v>1</v>
      </c>
      <c r="AF184" s="106"/>
      <c r="AG184" s="104">
        <v>1</v>
      </c>
      <c r="AH184" s="32">
        <f t="shared" si="14"/>
        <v>1</v>
      </c>
      <c r="AI184" s="106"/>
      <c r="AJ184" s="32">
        <v>1</v>
      </c>
      <c r="AK184" s="106"/>
      <c r="AL184" s="106"/>
      <c r="AM184" s="32">
        <f t="shared" si="15"/>
        <v>0</v>
      </c>
      <c r="AN184" s="106"/>
      <c r="AO184" s="106"/>
      <c r="AP184" s="32">
        <v>1</v>
      </c>
      <c r="AQ184" s="106"/>
      <c r="AS184" s="106" t="s">
        <v>2984</v>
      </c>
      <c r="AT184" s="106"/>
      <c r="AU184" s="196"/>
    </row>
    <row r="185" spans="1:47">
      <c r="A185" s="105" t="s">
        <v>2985</v>
      </c>
      <c r="B185" s="105" t="s">
        <v>160</v>
      </c>
      <c r="C185" s="105" t="s">
        <v>73</v>
      </c>
      <c r="D185" s="105" t="s">
        <v>2986</v>
      </c>
      <c r="E185" s="105" t="s">
        <v>162</v>
      </c>
      <c r="F185" s="105" t="s">
        <v>2987</v>
      </c>
      <c r="G185" s="105" t="s">
        <v>771</v>
      </c>
      <c r="H185" s="105" t="s">
        <v>2915</v>
      </c>
      <c r="I185" s="105">
        <v>202605.5</v>
      </c>
      <c r="J185" s="107">
        <v>5.27</v>
      </c>
      <c r="K185" s="105" t="s">
        <v>73</v>
      </c>
      <c r="L185" s="105" t="s">
        <v>2608</v>
      </c>
      <c r="M185" s="105" t="s">
        <v>2988</v>
      </c>
      <c r="N185" s="116" t="s">
        <v>2989</v>
      </c>
      <c r="O185" s="105"/>
      <c r="P185" s="177" t="s">
        <v>138</v>
      </c>
      <c r="Q185" s="177" t="s">
        <v>100</v>
      </c>
      <c r="R185" s="177" t="s">
        <v>262</v>
      </c>
      <c r="S185" s="177" t="s">
        <v>1282</v>
      </c>
      <c r="T185" s="177" t="s">
        <v>103</v>
      </c>
      <c r="U185" s="177" t="s">
        <v>264</v>
      </c>
      <c r="V185" s="177" t="s">
        <v>264</v>
      </c>
      <c r="W185" s="193" t="s">
        <v>17</v>
      </c>
      <c r="X185" s="30" t="s">
        <v>173</v>
      </c>
      <c r="Y185" s="26" t="s">
        <v>173</v>
      </c>
      <c r="Z185" s="26" t="s">
        <v>174</v>
      </c>
      <c r="AA185" s="26" t="s">
        <v>175</v>
      </c>
      <c r="AB185" s="32">
        <f t="shared" si="16"/>
        <v>1</v>
      </c>
      <c r="AC185" s="25">
        <v>1</v>
      </c>
      <c r="AD185" s="104">
        <v>1</v>
      </c>
      <c r="AE185" s="32">
        <v>1</v>
      </c>
      <c r="AF185" s="106"/>
      <c r="AG185" s="106"/>
      <c r="AH185" s="32">
        <f t="shared" si="14"/>
        <v>1</v>
      </c>
      <c r="AI185" s="106"/>
      <c r="AJ185" s="32">
        <v>1</v>
      </c>
      <c r="AK185" s="106"/>
      <c r="AL185" s="106"/>
      <c r="AM185" s="32">
        <f t="shared" si="15"/>
        <v>0</v>
      </c>
      <c r="AN185" s="106"/>
      <c r="AO185" s="106"/>
      <c r="AP185" s="32">
        <v>1</v>
      </c>
      <c r="AQ185" s="106"/>
      <c r="AS185" s="106" t="s">
        <v>2990</v>
      </c>
      <c r="AT185" s="106"/>
      <c r="AU185" s="105" t="s">
        <v>2991</v>
      </c>
    </row>
    <row r="186" spans="1:47">
      <c r="A186" s="105" t="s">
        <v>2992</v>
      </c>
      <c r="B186" s="105" t="s">
        <v>160</v>
      </c>
      <c r="C186" s="105" t="s">
        <v>73</v>
      </c>
      <c r="D186" s="105" t="s">
        <v>2991</v>
      </c>
      <c r="E186" s="105" t="s">
        <v>162</v>
      </c>
      <c r="F186" s="105" t="s">
        <v>2993</v>
      </c>
      <c r="G186" s="105" t="s">
        <v>2994</v>
      </c>
      <c r="H186" s="105" t="s">
        <v>2915</v>
      </c>
      <c r="I186" s="105">
        <v>202605.5</v>
      </c>
      <c r="J186" s="107">
        <v>5.27</v>
      </c>
      <c r="K186" s="105" t="s">
        <v>73</v>
      </c>
      <c r="L186" s="105" t="s">
        <v>2770</v>
      </c>
      <c r="M186" s="105" t="s">
        <v>2995</v>
      </c>
      <c r="N186" s="116" t="s">
        <v>2996</v>
      </c>
      <c r="O186" s="105"/>
      <c r="P186" s="177" t="s">
        <v>138</v>
      </c>
      <c r="Q186" s="177" t="s">
        <v>100</v>
      </c>
      <c r="R186" s="177" t="s">
        <v>262</v>
      </c>
      <c r="S186" s="177" t="s">
        <v>1282</v>
      </c>
      <c r="T186" s="177" t="s">
        <v>103</v>
      </c>
      <c r="U186" s="177" t="s">
        <v>264</v>
      </c>
      <c r="V186" s="177" t="s">
        <v>264</v>
      </c>
      <c r="W186" s="193" t="s">
        <v>17</v>
      </c>
      <c r="X186" s="30" t="s">
        <v>173</v>
      </c>
      <c r="Y186" s="26" t="s">
        <v>173</v>
      </c>
      <c r="Z186" s="26" t="s">
        <v>174</v>
      </c>
      <c r="AA186" s="26" t="s">
        <v>175</v>
      </c>
      <c r="AB186" s="32">
        <f t="shared" si="16"/>
        <v>1</v>
      </c>
      <c r="AC186" s="25">
        <v>1</v>
      </c>
      <c r="AD186" s="104">
        <v>1</v>
      </c>
      <c r="AE186" s="32">
        <v>1</v>
      </c>
      <c r="AF186" s="106"/>
      <c r="AG186" s="106"/>
      <c r="AH186" s="32">
        <f t="shared" si="14"/>
        <v>1</v>
      </c>
      <c r="AI186" s="106"/>
      <c r="AJ186" s="32">
        <v>1</v>
      </c>
      <c r="AK186" s="106"/>
      <c r="AL186" s="106"/>
      <c r="AM186" s="32">
        <f t="shared" si="15"/>
        <v>0</v>
      </c>
      <c r="AN186" s="106"/>
      <c r="AO186" s="106"/>
      <c r="AP186" s="32">
        <v>1</v>
      </c>
      <c r="AQ186" s="106"/>
      <c r="AS186" s="106" t="s">
        <v>2997</v>
      </c>
      <c r="AT186" s="106"/>
      <c r="AU186" s="196"/>
    </row>
    <row r="187" spans="1:47">
      <c r="A187" s="105" t="s">
        <v>2998</v>
      </c>
      <c r="B187" s="105" t="s">
        <v>160</v>
      </c>
      <c r="C187" s="105" t="s">
        <v>73</v>
      </c>
      <c r="D187" s="105" t="s">
        <v>2201</v>
      </c>
      <c r="E187" s="105" t="s">
        <v>162</v>
      </c>
      <c r="F187" s="105" t="s">
        <v>2999</v>
      </c>
      <c r="G187" s="105" t="s">
        <v>3000</v>
      </c>
      <c r="H187" s="105" t="s">
        <v>2915</v>
      </c>
      <c r="I187" s="105">
        <v>202605.5</v>
      </c>
      <c r="J187" s="107">
        <v>5.27</v>
      </c>
      <c r="K187" s="105" t="s">
        <v>73</v>
      </c>
      <c r="L187" s="105" t="s">
        <v>2887</v>
      </c>
      <c r="M187" s="105" t="s">
        <v>3001</v>
      </c>
      <c r="N187" s="116" t="s">
        <v>3002</v>
      </c>
      <c r="O187" s="105"/>
      <c r="P187" s="177" t="s">
        <v>138</v>
      </c>
      <c r="Q187" s="177" t="s">
        <v>100</v>
      </c>
      <c r="R187" s="177" t="s">
        <v>262</v>
      </c>
      <c r="S187" s="177" t="s">
        <v>1282</v>
      </c>
      <c r="T187" s="177" t="s">
        <v>103</v>
      </c>
      <c r="U187" s="177" t="s">
        <v>264</v>
      </c>
      <c r="V187" s="177" t="s">
        <v>264</v>
      </c>
      <c r="W187" s="191" t="s">
        <v>19</v>
      </c>
      <c r="X187" s="30" t="s">
        <v>173</v>
      </c>
      <c r="Y187" s="26" t="s">
        <v>173</v>
      </c>
      <c r="Z187" s="26" t="s">
        <v>174</v>
      </c>
      <c r="AA187" s="26" t="s">
        <v>175</v>
      </c>
      <c r="AB187" s="32">
        <f t="shared" si="16"/>
        <v>1</v>
      </c>
      <c r="AC187" s="25">
        <v>1</v>
      </c>
      <c r="AD187" s="104">
        <v>1</v>
      </c>
      <c r="AE187" s="32">
        <v>1</v>
      </c>
      <c r="AF187" s="106"/>
      <c r="AG187" s="104">
        <v>1</v>
      </c>
      <c r="AH187" s="32">
        <f t="shared" si="14"/>
        <v>1</v>
      </c>
      <c r="AI187" s="106"/>
      <c r="AJ187" s="32">
        <v>1</v>
      </c>
      <c r="AK187" s="106"/>
      <c r="AL187" s="106"/>
      <c r="AM187" s="32">
        <f t="shared" si="15"/>
        <v>0</v>
      </c>
      <c r="AN187" s="106"/>
      <c r="AO187" s="106"/>
      <c r="AP187" s="32">
        <v>1</v>
      </c>
      <c r="AQ187" s="106"/>
      <c r="AS187" s="106" t="s">
        <v>3003</v>
      </c>
      <c r="AT187" s="106"/>
      <c r="AU187" s="196"/>
    </row>
    <row r="188" spans="1:47">
      <c r="A188" s="105" t="s">
        <v>3004</v>
      </c>
      <c r="B188" s="105" t="s">
        <v>160</v>
      </c>
      <c r="C188" s="105" t="s">
        <v>73</v>
      </c>
      <c r="D188" s="105" t="s">
        <v>2143</v>
      </c>
      <c r="E188" s="105" t="s">
        <v>162</v>
      </c>
      <c r="F188" s="105" t="s">
        <v>3005</v>
      </c>
      <c r="G188" s="105" t="s">
        <v>3006</v>
      </c>
      <c r="H188" s="105" t="s">
        <v>2915</v>
      </c>
      <c r="I188" s="105">
        <v>202605.5</v>
      </c>
      <c r="J188" s="107">
        <v>5.27</v>
      </c>
      <c r="K188" s="105" t="s">
        <v>73</v>
      </c>
      <c r="L188" s="105" t="s">
        <v>2847</v>
      </c>
      <c r="M188" s="105" t="s">
        <v>3007</v>
      </c>
      <c r="N188" s="116" t="s">
        <v>3008</v>
      </c>
      <c r="O188" s="105"/>
      <c r="P188" s="177" t="s">
        <v>138</v>
      </c>
      <c r="Q188" s="177" t="s">
        <v>100</v>
      </c>
      <c r="R188" s="177" t="s">
        <v>262</v>
      </c>
      <c r="S188" s="177" t="s">
        <v>1282</v>
      </c>
      <c r="T188" s="177" t="s">
        <v>103</v>
      </c>
      <c r="U188" s="177" t="s">
        <v>264</v>
      </c>
      <c r="V188" s="177" t="s">
        <v>264</v>
      </c>
      <c r="W188" s="191" t="s">
        <v>19</v>
      </c>
      <c r="X188" s="30" t="s">
        <v>173</v>
      </c>
      <c r="Y188" s="26" t="s">
        <v>173</v>
      </c>
      <c r="Z188" s="26" t="s">
        <v>174</v>
      </c>
      <c r="AA188" s="26" t="s">
        <v>175</v>
      </c>
      <c r="AB188" s="32">
        <f t="shared" si="16"/>
        <v>1</v>
      </c>
      <c r="AC188" s="25">
        <v>1</v>
      </c>
      <c r="AD188" s="104">
        <v>1</v>
      </c>
      <c r="AE188" s="32">
        <v>1</v>
      </c>
      <c r="AF188" s="106"/>
      <c r="AG188" s="104">
        <v>1</v>
      </c>
      <c r="AH188" s="32">
        <f t="shared" si="14"/>
        <v>1</v>
      </c>
      <c r="AI188" s="106"/>
      <c r="AJ188" s="32">
        <v>1</v>
      </c>
      <c r="AK188" s="106"/>
      <c r="AL188" s="106"/>
      <c r="AM188" s="32">
        <f t="shared" si="15"/>
        <v>0</v>
      </c>
      <c r="AN188" s="106"/>
      <c r="AO188" s="106"/>
      <c r="AP188" s="32">
        <v>1</v>
      </c>
      <c r="AQ188" s="106"/>
      <c r="AS188" s="106" t="s">
        <v>3009</v>
      </c>
      <c r="AT188" s="106"/>
      <c r="AU188" s="196"/>
    </row>
    <row r="189" spans="1:47">
      <c r="A189" s="105" t="s">
        <v>3010</v>
      </c>
      <c r="B189" s="105" t="s">
        <v>160</v>
      </c>
      <c r="C189" s="105" t="s">
        <v>73</v>
      </c>
      <c r="D189" s="105" t="s">
        <v>2150</v>
      </c>
      <c r="E189" s="105" t="s">
        <v>162</v>
      </c>
      <c r="F189" s="105" t="s">
        <v>3011</v>
      </c>
      <c r="G189" s="105" t="s">
        <v>3012</v>
      </c>
      <c r="H189" s="105" t="s">
        <v>2915</v>
      </c>
      <c r="I189" s="105">
        <v>202605.5</v>
      </c>
      <c r="J189" s="107">
        <v>5.27</v>
      </c>
      <c r="K189" s="105" t="s">
        <v>73</v>
      </c>
      <c r="L189" s="105" t="s">
        <v>2854</v>
      </c>
      <c r="M189" s="105" t="s">
        <v>3013</v>
      </c>
      <c r="N189" s="116" t="s">
        <v>3014</v>
      </c>
      <c r="O189" s="105"/>
      <c r="P189" s="177" t="s">
        <v>138</v>
      </c>
      <c r="Q189" s="177" t="s">
        <v>100</v>
      </c>
      <c r="R189" s="177" t="s">
        <v>262</v>
      </c>
      <c r="S189" s="177" t="s">
        <v>1282</v>
      </c>
      <c r="T189" s="177" t="s">
        <v>103</v>
      </c>
      <c r="U189" s="177" t="s">
        <v>264</v>
      </c>
      <c r="V189" s="177" t="s">
        <v>264</v>
      </c>
      <c r="W189" s="191" t="s">
        <v>19</v>
      </c>
      <c r="X189" s="30" t="s">
        <v>173</v>
      </c>
      <c r="Y189" s="26" t="s">
        <v>173</v>
      </c>
      <c r="Z189" s="26" t="s">
        <v>174</v>
      </c>
      <c r="AA189" s="26" t="s">
        <v>175</v>
      </c>
      <c r="AB189" s="32">
        <f t="shared" si="16"/>
        <v>1</v>
      </c>
      <c r="AC189" s="25">
        <v>1</v>
      </c>
      <c r="AD189" s="104">
        <v>1</v>
      </c>
      <c r="AE189" s="32">
        <v>1</v>
      </c>
      <c r="AF189" s="106"/>
      <c r="AG189" s="104">
        <v>1</v>
      </c>
      <c r="AH189" s="32">
        <f t="shared" ref="AH189:AH208" si="17">IF(COUNTIF(AS:AS,"*"&amp;L189&amp;"*")&gt;0,1,0)</f>
        <v>1</v>
      </c>
      <c r="AI189" s="106"/>
      <c r="AJ189" s="32">
        <v>1</v>
      </c>
      <c r="AK189" s="106"/>
      <c r="AL189" s="106"/>
      <c r="AM189" s="32">
        <f t="shared" ref="AM189:AM208" si="18">IF(COUNTIF(AT:AT,"*"&amp;L189&amp;"*")&gt;0,1,0)</f>
        <v>0</v>
      </c>
      <c r="AN189" s="106"/>
      <c r="AO189" s="106"/>
      <c r="AP189" s="32">
        <v>1</v>
      </c>
      <c r="AQ189" s="106"/>
      <c r="AS189" s="106" t="s">
        <v>3015</v>
      </c>
      <c r="AT189" s="106"/>
      <c r="AU189" s="196"/>
    </row>
    <row r="190" spans="1:47">
      <c r="A190" s="105" t="s">
        <v>3016</v>
      </c>
      <c r="B190" s="105" t="s">
        <v>160</v>
      </c>
      <c r="C190" s="105" t="s">
        <v>73</v>
      </c>
      <c r="D190" s="105" t="s">
        <v>1690</v>
      </c>
      <c r="E190" s="105" t="s">
        <v>499</v>
      </c>
      <c r="F190" s="105" t="s">
        <v>3017</v>
      </c>
      <c r="G190" s="105" t="s">
        <v>2823</v>
      </c>
      <c r="H190" s="105" t="s">
        <v>2915</v>
      </c>
      <c r="I190" s="105">
        <v>202605.5</v>
      </c>
      <c r="J190" s="107">
        <v>5.27</v>
      </c>
      <c r="K190" s="105" t="s">
        <v>73</v>
      </c>
      <c r="L190" s="105" t="s">
        <v>2777</v>
      </c>
      <c r="M190" s="105" t="s">
        <v>3018</v>
      </c>
      <c r="N190" s="116" t="s">
        <v>3019</v>
      </c>
      <c r="O190" s="105"/>
      <c r="P190" s="177" t="s">
        <v>138</v>
      </c>
      <c r="Q190" s="177" t="s">
        <v>100</v>
      </c>
      <c r="R190" s="177" t="s">
        <v>262</v>
      </c>
      <c r="S190" s="177" t="s">
        <v>1282</v>
      </c>
      <c r="T190" s="177" t="s">
        <v>103</v>
      </c>
      <c r="U190" s="177" t="s">
        <v>264</v>
      </c>
      <c r="V190" s="177" t="s">
        <v>264</v>
      </c>
      <c r="W190" s="191" t="s">
        <v>19</v>
      </c>
      <c r="X190" s="30" t="s">
        <v>173</v>
      </c>
      <c r="Y190" s="26" t="s">
        <v>173</v>
      </c>
      <c r="Z190" s="26" t="s">
        <v>174</v>
      </c>
      <c r="AA190" s="26" t="s">
        <v>175</v>
      </c>
      <c r="AB190" s="32">
        <f t="shared" si="16"/>
        <v>1</v>
      </c>
      <c r="AC190" s="25">
        <v>1</v>
      </c>
      <c r="AD190" s="104">
        <v>1</v>
      </c>
      <c r="AE190" s="32">
        <v>1</v>
      </c>
      <c r="AF190" s="106"/>
      <c r="AG190" s="104">
        <v>1</v>
      </c>
      <c r="AH190" s="32">
        <f t="shared" si="17"/>
        <v>1</v>
      </c>
      <c r="AI190" s="106"/>
      <c r="AJ190" s="32">
        <v>1</v>
      </c>
      <c r="AK190" s="106"/>
      <c r="AL190" s="106"/>
      <c r="AM190" s="32">
        <f t="shared" si="18"/>
        <v>0</v>
      </c>
      <c r="AN190" s="106"/>
      <c r="AO190" s="106"/>
      <c r="AP190" s="32">
        <v>1</v>
      </c>
      <c r="AQ190" s="106"/>
      <c r="AR190" s="185" t="s">
        <v>194</v>
      </c>
      <c r="AS190" s="106" t="s">
        <v>3020</v>
      </c>
      <c r="AT190" s="106"/>
      <c r="AU190" s="196"/>
    </row>
    <row r="191" spans="1:47">
      <c r="A191" s="105" t="s">
        <v>3021</v>
      </c>
      <c r="B191" s="105" t="s">
        <v>160</v>
      </c>
      <c r="C191" s="105" t="s">
        <v>73</v>
      </c>
      <c r="D191" s="105" t="s">
        <v>3022</v>
      </c>
      <c r="E191" s="105" t="s">
        <v>162</v>
      </c>
      <c r="F191" s="105" t="s">
        <v>3023</v>
      </c>
      <c r="G191" s="105" t="s">
        <v>3024</v>
      </c>
      <c r="H191" s="105" t="s">
        <v>2915</v>
      </c>
      <c r="I191" s="105">
        <v>202605.5</v>
      </c>
      <c r="J191" s="107">
        <v>5.27</v>
      </c>
      <c r="K191" s="105" t="s">
        <v>73</v>
      </c>
      <c r="L191" s="105" t="s">
        <v>3020</v>
      </c>
      <c r="M191" s="105" t="s">
        <v>3025</v>
      </c>
      <c r="N191" s="116" t="s">
        <v>3026</v>
      </c>
      <c r="O191" s="105"/>
      <c r="P191" s="177" t="s">
        <v>138</v>
      </c>
      <c r="Q191" s="177" t="s">
        <v>100</v>
      </c>
      <c r="R191" s="177" t="s">
        <v>262</v>
      </c>
      <c r="S191" s="177" t="s">
        <v>1461</v>
      </c>
      <c r="T191" s="177" t="s">
        <v>103</v>
      </c>
      <c r="U191" s="177" t="s">
        <v>264</v>
      </c>
      <c r="V191" s="177" t="s">
        <v>264</v>
      </c>
      <c r="W191" s="191" t="s">
        <v>21</v>
      </c>
      <c r="X191" s="30" t="s">
        <v>173</v>
      </c>
      <c r="Y191" s="26" t="s">
        <v>173</v>
      </c>
      <c r="Z191" s="26" t="s">
        <v>174</v>
      </c>
      <c r="AA191" s="26" t="s">
        <v>175</v>
      </c>
      <c r="AB191" s="32">
        <f t="shared" si="16"/>
        <v>1</v>
      </c>
      <c r="AC191" s="25">
        <v>1</v>
      </c>
      <c r="AD191" s="104">
        <v>1</v>
      </c>
      <c r="AE191" s="32">
        <v>1</v>
      </c>
      <c r="AF191" s="106"/>
      <c r="AG191" s="106"/>
      <c r="AH191" s="32">
        <f t="shared" si="17"/>
        <v>1</v>
      </c>
      <c r="AI191" s="106"/>
      <c r="AJ191" s="32">
        <v>1</v>
      </c>
      <c r="AK191" s="106"/>
      <c r="AL191" s="106"/>
      <c r="AM191" s="32">
        <f t="shared" si="18"/>
        <v>0</v>
      </c>
      <c r="AN191" s="106"/>
      <c r="AO191" s="106"/>
      <c r="AP191" s="32">
        <v>1</v>
      </c>
      <c r="AQ191" s="106"/>
      <c r="AR191" s="185" t="s">
        <v>194</v>
      </c>
      <c r="AS191" s="106" t="s">
        <v>3027</v>
      </c>
      <c r="AT191" s="106"/>
      <c r="AU191" s="196"/>
    </row>
    <row r="192" spans="1:47">
      <c r="A192" s="105" t="s">
        <v>3028</v>
      </c>
      <c r="B192" s="105" t="s">
        <v>160</v>
      </c>
      <c r="C192" s="105" t="s">
        <v>73</v>
      </c>
      <c r="D192" s="105" t="s">
        <v>3029</v>
      </c>
      <c r="E192" s="105" t="s">
        <v>162</v>
      </c>
      <c r="F192" s="105" t="s">
        <v>3030</v>
      </c>
      <c r="G192" s="105" t="s">
        <v>3031</v>
      </c>
      <c r="H192" s="105" t="s">
        <v>2915</v>
      </c>
      <c r="I192" s="105">
        <v>202605.5</v>
      </c>
      <c r="J192" s="107">
        <v>5.27</v>
      </c>
      <c r="K192" s="105" t="s">
        <v>73</v>
      </c>
      <c r="L192" s="105" t="s">
        <v>3015</v>
      </c>
      <c r="M192" s="105" t="s">
        <v>3032</v>
      </c>
      <c r="N192" s="116" t="s">
        <v>3033</v>
      </c>
      <c r="O192" s="105"/>
      <c r="P192" s="177" t="s">
        <v>138</v>
      </c>
      <c r="Q192" s="177" t="s">
        <v>100</v>
      </c>
      <c r="R192" s="177" t="s">
        <v>262</v>
      </c>
      <c r="S192" s="177" t="s">
        <v>1461</v>
      </c>
      <c r="T192" s="177" t="s">
        <v>103</v>
      </c>
      <c r="U192" s="177" t="s">
        <v>264</v>
      </c>
      <c r="V192" s="177" t="s">
        <v>264</v>
      </c>
      <c r="W192" s="191" t="s">
        <v>21</v>
      </c>
      <c r="X192" s="30" t="s">
        <v>173</v>
      </c>
      <c r="Y192" s="26" t="s">
        <v>173</v>
      </c>
      <c r="Z192" s="26" t="s">
        <v>174</v>
      </c>
      <c r="AA192" s="26" t="s">
        <v>175</v>
      </c>
      <c r="AB192" s="32">
        <f t="shared" si="16"/>
        <v>1</v>
      </c>
      <c r="AC192" s="25">
        <v>1</v>
      </c>
      <c r="AD192" s="104">
        <v>1</v>
      </c>
      <c r="AE192" s="32">
        <v>1</v>
      </c>
      <c r="AF192" s="106"/>
      <c r="AG192" s="106"/>
      <c r="AH192" s="32">
        <f t="shared" si="17"/>
        <v>1</v>
      </c>
      <c r="AI192" s="106"/>
      <c r="AJ192" s="32">
        <v>1</v>
      </c>
      <c r="AK192" s="106"/>
      <c r="AL192" s="106"/>
      <c r="AM192" s="32">
        <f t="shared" si="18"/>
        <v>0</v>
      </c>
      <c r="AN192" s="106"/>
      <c r="AO192" s="106"/>
      <c r="AP192" s="32">
        <v>1</v>
      </c>
      <c r="AQ192" s="106"/>
      <c r="AS192" s="106" t="s">
        <v>3034</v>
      </c>
      <c r="AT192" s="106"/>
      <c r="AU192" s="196"/>
    </row>
    <row r="193" spans="1:47">
      <c r="A193" s="105" t="s">
        <v>3035</v>
      </c>
      <c r="B193" s="105" t="s">
        <v>160</v>
      </c>
      <c r="C193" s="105" t="s">
        <v>73</v>
      </c>
      <c r="D193" s="105" t="s">
        <v>3036</v>
      </c>
      <c r="E193" s="105" t="s">
        <v>162</v>
      </c>
      <c r="F193" s="105" t="s">
        <v>3037</v>
      </c>
      <c r="G193" s="105" t="s">
        <v>3038</v>
      </c>
      <c r="H193" s="105" t="s">
        <v>2915</v>
      </c>
      <c r="I193" s="105">
        <v>202605.5</v>
      </c>
      <c r="J193" s="107">
        <v>5.27</v>
      </c>
      <c r="K193" s="105" t="s">
        <v>73</v>
      </c>
      <c r="L193" s="105" t="s">
        <v>3009</v>
      </c>
      <c r="M193" s="105" t="s">
        <v>3039</v>
      </c>
      <c r="N193" s="116" t="s">
        <v>3040</v>
      </c>
      <c r="O193" s="105"/>
      <c r="P193" s="177" t="s">
        <v>138</v>
      </c>
      <c r="Q193" s="177" t="s">
        <v>100</v>
      </c>
      <c r="R193" s="177" t="s">
        <v>262</v>
      </c>
      <c r="S193" s="177" t="s">
        <v>1461</v>
      </c>
      <c r="T193" s="177" t="s">
        <v>103</v>
      </c>
      <c r="U193" s="177" t="s">
        <v>264</v>
      </c>
      <c r="V193" s="177" t="s">
        <v>264</v>
      </c>
      <c r="W193" s="191" t="s">
        <v>21</v>
      </c>
      <c r="X193" s="30" t="s">
        <v>173</v>
      </c>
      <c r="Y193" s="26" t="s">
        <v>173</v>
      </c>
      <c r="Z193" s="26" t="s">
        <v>174</v>
      </c>
      <c r="AA193" s="26" t="s">
        <v>175</v>
      </c>
      <c r="AB193" s="32">
        <f t="shared" si="16"/>
        <v>1</v>
      </c>
      <c r="AC193" s="25">
        <v>1</v>
      </c>
      <c r="AD193" s="104">
        <v>1</v>
      </c>
      <c r="AE193" s="32">
        <v>1</v>
      </c>
      <c r="AF193" s="106"/>
      <c r="AG193" s="106"/>
      <c r="AH193" s="32">
        <f t="shared" si="17"/>
        <v>1</v>
      </c>
      <c r="AI193" s="106"/>
      <c r="AJ193" s="32">
        <v>1</v>
      </c>
      <c r="AK193" s="106"/>
      <c r="AL193" s="106"/>
      <c r="AM193" s="32">
        <f t="shared" si="18"/>
        <v>0</v>
      </c>
      <c r="AN193" s="106"/>
      <c r="AO193" s="106"/>
      <c r="AP193" s="32">
        <v>1</v>
      </c>
      <c r="AQ193" s="106"/>
      <c r="AS193" s="106" t="s">
        <v>2140</v>
      </c>
      <c r="AT193" s="106"/>
      <c r="AU193" s="196"/>
    </row>
    <row r="194" spans="1:47">
      <c r="A194" s="105" t="s">
        <v>3041</v>
      </c>
      <c r="B194" s="105" t="s">
        <v>160</v>
      </c>
      <c r="C194" s="105" t="s">
        <v>73</v>
      </c>
      <c r="D194" s="105" t="s">
        <v>3042</v>
      </c>
      <c r="E194" s="105" t="s">
        <v>499</v>
      </c>
      <c r="F194" s="105" t="s">
        <v>3043</v>
      </c>
      <c r="G194" s="105" t="s">
        <v>3044</v>
      </c>
      <c r="H194" s="105" t="s">
        <v>2915</v>
      </c>
      <c r="I194" s="105">
        <v>202605.5</v>
      </c>
      <c r="J194" s="107">
        <v>5.27</v>
      </c>
      <c r="K194" s="105" t="s">
        <v>73</v>
      </c>
      <c r="L194" s="105" t="s">
        <v>2972</v>
      </c>
      <c r="M194" s="105" t="s">
        <v>3045</v>
      </c>
      <c r="N194" s="116" t="s">
        <v>3046</v>
      </c>
      <c r="O194" s="105"/>
      <c r="P194" s="177" t="s">
        <v>138</v>
      </c>
      <c r="Q194" s="177" t="s">
        <v>100</v>
      </c>
      <c r="R194" s="177" t="s">
        <v>262</v>
      </c>
      <c r="S194" s="177" t="s">
        <v>1461</v>
      </c>
      <c r="T194" s="177" t="s">
        <v>103</v>
      </c>
      <c r="U194" s="177" t="s">
        <v>264</v>
      </c>
      <c r="V194" s="177" t="s">
        <v>264</v>
      </c>
      <c r="W194" s="191" t="s">
        <v>21</v>
      </c>
      <c r="X194" s="30" t="s">
        <v>173</v>
      </c>
      <c r="Y194" s="26" t="s">
        <v>173</v>
      </c>
      <c r="Z194" s="26" t="s">
        <v>174</v>
      </c>
      <c r="AA194" s="26" t="s">
        <v>175</v>
      </c>
      <c r="AB194" s="32">
        <f t="shared" si="16"/>
        <v>1</v>
      </c>
      <c r="AC194" s="25">
        <v>1</v>
      </c>
      <c r="AD194" s="104">
        <v>1</v>
      </c>
      <c r="AE194" s="32">
        <v>1</v>
      </c>
      <c r="AF194" s="106"/>
      <c r="AG194" s="106"/>
      <c r="AH194" s="32">
        <f t="shared" si="17"/>
        <v>1</v>
      </c>
      <c r="AI194" s="106"/>
      <c r="AJ194" s="32">
        <v>1</v>
      </c>
      <c r="AK194" s="106"/>
      <c r="AL194" s="106"/>
      <c r="AM194" s="32">
        <f t="shared" si="18"/>
        <v>0</v>
      </c>
      <c r="AN194" s="106"/>
      <c r="AO194" s="106"/>
      <c r="AP194" s="32">
        <v>1</v>
      </c>
      <c r="AQ194" s="106"/>
      <c r="AR194" s="185" t="s">
        <v>194</v>
      </c>
      <c r="AS194" s="106" t="s">
        <v>1995</v>
      </c>
      <c r="AT194" s="106"/>
      <c r="AU194" s="196"/>
    </row>
    <row r="195" spans="1:47">
      <c r="A195" s="105" t="s">
        <v>3047</v>
      </c>
      <c r="B195" s="105" t="s">
        <v>160</v>
      </c>
      <c r="C195" s="105" t="s">
        <v>73</v>
      </c>
      <c r="D195" s="105" t="s">
        <v>3048</v>
      </c>
      <c r="E195" s="105" t="s">
        <v>499</v>
      </c>
      <c r="F195" s="105" t="s">
        <v>3049</v>
      </c>
      <c r="G195" s="105" t="s">
        <v>3050</v>
      </c>
      <c r="H195" s="105" t="s">
        <v>2915</v>
      </c>
      <c r="I195" s="105">
        <v>202605.5</v>
      </c>
      <c r="J195" s="107">
        <v>5.27</v>
      </c>
      <c r="K195" s="105" t="s">
        <v>73</v>
      </c>
      <c r="L195" s="105" t="s">
        <v>2954</v>
      </c>
      <c r="M195" s="105" t="s">
        <v>3051</v>
      </c>
      <c r="N195" s="116" t="s">
        <v>3052</v>
      </c>
      <c r="O195" s="105"/>
      <c r="P195" s="177" t="s">
        <v>138</v>
      </c>
      <c r="Q195" s="177" t="s">
        <v>100</v>
      </c>
      <c r="R195" s="177" t="s">
        <v>262</v>
      </c>
      <c r="S195" s="177" t="s">
        <v>1461</v>
      </c>
      <c r="T195" s="177" t="s">
        <v>103</v>
      </c>
      <c r="U195" s="177" t="s">
        <v>264</v>
      </c>
      <c r="V195" s="177" t="s">
        <v>264</v>
      </c>
      <c r="W195" s="191" t="s">
        <v>21</v>
      </c>
      <c r="X195" s="30" t="s">
        <v>173</v>
      </c>
      <c r="Y195" s="26" t="s">
        <v>173</v>
      </c>
      <c r="Z195" s="26" t="s">
        <v>174</v>
      </c>
      <c r="AA195" s="26" t="s">
        <v>175</v>
      </c>
      <c r="AB195" s="32">
        <f t="shared" si="16"/>
        <v>1</v>
      </c>
      <c r="AC195" s="25">
        <v>1</v>
      </c>
      <c r="AD195" s="104">
        <v>1</v>
      </c>
      <c r="AE195" s="32">
        <v>1</v>
      </c>
      <c r="AF195" s="106"/>
      <c r="AG195" s="106"/>
      <c r="AH195" s="32">
        <f t="shared" si="17"/>
        <v>1</v>
      </c>
      <c r="AI195" s="106"/>
      <c r="AJ195" s="32">
        <v>1</v>
      </c>
      <c r="AK195" s="106"/>
      <c r="AL195" s="106"/>
      <c r="AM195" s="32">
        <f t="shared" si="18"/>
        <v>0</v>
      </c>
      <c r="AN195" s="106"/>
      <c r="AO195" s="106"/>
      <c r="AP195" s="32">
        <v>1</v>
      </c>
      <c r="AQ195" s="106"/>
      <c r="AS195" s="106" t="s">
        <v>1988</v>
      </c>
      <c r="AT195" s="106"/>
      <c r="AU195" s="196"/>
    </row>
    <row r="196" spans="1:47">
      <c r="A196" s="105" t="s">
        <v>3053</v>
      </c>
      <c r="B196" s="105" t="s">
        <v>160</v>
      </c>
      <c r="C196" s="105" t="s">
        <v>73</v>
      </c>
      <c r="D196" s="105" t="s">
        <v>3054</v>
      </c>
      <c r="E196" s="105" t="s">
        <v>162</v>
      </c>
      <c r="F196" s="105" t="s">
        <v>3055</v>
      </c>
      <c r="G196" s="105" t="s">
        <v>3056</v>
      </c>
      <c r="H196" s="105" t="s">
        <v>2915</v>
      </c>
      <c r="I196" s="105">
        <v>202605.5</v>
      </c>
      <c r="J196" s="107">
        <v>5.27</v>
      </c>
      <c r="K196" s="105" t="s">
        <v>73</v>
      </c>
      <c r="L196" s="105" t="s">
        <v>2978</v>
      </c>
      <c r="M196" s="105" t="s">
        <v>3057</v>
      </c>
      <c r="N196" s="116" t="s">
        <v>3058</v>
      </c>
      <c r="O196" s="105"/>
      <c r="P196" s="177" t="s">
        <v>138</v>
      </c>
      <c r="Q196" s="177" t="s">
        <v>100</v>
      </c>
      <c r="R196" s="177" t="s">
        <v>262</v>
      </c>
      <c r="S196" s="177" t="s">
        <v>1461</v>
      </c>
      <c r="T196" s="177" t="s">
        <v>103</v>
      </c>
      <c r="U196" s="177" t="s">
        <v>264</v>
      </c>
      <c r="V196" s="177" t="s">
        <v>264</v>
      </c>
      <c r="W196" s="191" t="s">
        <v>21</v>
      </c>
      <c r="X196" s="30" t="s">
        <v>173</v>
      </c>
      <c r="Y196" s="26" t="s">
        <v>173</v>
      </c>
      <c r="Z196" s="26" t="s">
        <v>174</v>
      </c>
      <c r="AA196" s="26" t="s">
        <v>175</v>
      </c>
      <c r="AB196" s="32">
        <f t="shared" si="16"/>
        <v>1</v>
      </c>
      <c r="AC196" s="25">
        <v>1</v>
      </c>
      <c r="AD196" s="104">
        <v>1</v>
      </c>
      <c r="AE196" s="32">
        <v>1</v>
      </c>
      <c r="AF196" s="106"/>
      <c r="AG196" s="106"/>
      <c r="AH196" s="32">
        <f t="shared" si="17"/>
        <v>1</v>
      </c>
      <c r="AI196" s="106"/>
      <c r="AJ196" s="32">
        <v>1</v>
      </c>
      <c r="AK196" s="106"/>
      <c r="AL196" s="106"/>
      <c r="AM196" s="32">
        <f t="shared" si="18"/>
        <v>0</v>
      </c>
      <c r="AN196" s="106"/>
      <c r="AO196" s="106"/>
      <c r="AP196" s="32">
        <v>1</v>
      </c>
      <c r="AQ196" s="106"/>
      <c r="AS196" s="106" t="s">
        <v>1919</v>
      </c>
      <c r="AT196" s="106"/>
      <c r="AU196" s="196"/>
    </row>
    <row r="197" spans="1:47">
      <c r="A197" s="105" t="s">
        <v>3059</v>
      </c>
      <c r="B197" s="105" t="s">
        <v>160</v>
      </c>
      <c r="C197" s="105" t="s">
        <v>73</v>
      </c>
      <c r="D197" s="105" t="s">
        <v>3060</v>
      </c>
      <c r="E197" s="105" t="s">
        <v>162</v>
      </c>
      <c r="F197" s="105" t="s">
        <v>3061</v>
      </c>
      <c r="G197" s="105" t="s">
        <v>3062</v>
      </c>
      <c r="H197" s="105" t="s">
        <v>2915</v>
      </c>
      <c r="I197" s="105">
        <v>202605.5</v>
      </c>
      <c r="J197" s="107">
        <v>5.27</v>
      </c>
      <c r="K197" s="105" t="s">
        <v>73</v>
      </c>
      <c r="L197" s="105" t="s">
        <v>3034</v>
      </c>
      <c r="M197" s="105" t="s">
        <v>3063</v>
      </c>
      <c r="N197" s="116" t="s">
        <v>3064</v>
      </c>
      <c r="O197" s="105"/>
      <c r="P197" s="177" t="s">
        <v>138</v>
      </c>
      <c r="Q197" s="177" t="s">
        <v>100</v>
      </c>
      <c r="R197" s="177" t="s">
        <v>262</v>
      </c>
      <c r="S197" s="177" t="s">
        <v>1461</v>
      </c>
      <c r="T197" s="177" t="s">
        <v>103</v>
      </c>
      <c r="U197" s="177" t="s">
        <v>264</v>
      </c>
      <c r="V197" s="177" t="s">
        <v>264</v>
      </c>
      <c r="W197" s="191" t="s">
        <v>21</v>
      </c>
      <c r="X197" s="30" t="s">
        <v>173</v>
      </c>
      <c r="Y197" s="26" t="s">
        <v>173</v>
      </c>
      <c r="Z197" s="26" t="s">
        <v>174</v>
      </c>
      <c r="AA197" s="26" t="s">
        <v>175</v>
      </c>
      <c r="AB197" s="32">
        <f t="shared" si="16"/>
        <v>1</v>
      </c>
      <c r="AC197" s="25">
        <v>1</v>
      </c>
      <c r="AD197" s="104">
        <v>1</v>
      </c>
      <c r="AE197" s="32">
        <v>1</v>
      </c>
      <c r="AF197" s="106"/>
      <c r="AG197" s="106"/>
      <c r="AH197" s="32">
        <f t="shared" si="17"/>
        <v>1</v>
      </c>
      <c r="AI197" s="106"/>
      <c r="AJ197" s="32">
        <v>1</v>
      </c>
      <c r="AK197" s="106"/>
      <c r="AL197" s="106"/>
      <c r="AM197" s="32">
        <f t="shared" si="18"/>
        <v>0</v>
      </c>
      <c r="AN197" s="106"/>
      <c r="AO197" s="106"/>
      <c r="AP197" s="32">
        <v>1</v>
      </c>
      <c r="AQ197" s="106"/>
      <c r="AS197" s="106" t="s">
        <v>1872</v>
      </c>
      <c r="AT197" s="106"/>
      <c r="AU197" s="196"/>
    </row>
    <row r="198" spans="1:47">
      <c r="A198" s="105" t="s">
        <v>3065</v>
      </c>
      <c r="B198" s="105" t="s">
        <v>160</v>
      </c>
      <c r="C198" s="105" t="s">
        <v>73</v>
      </c>
      <c r="D198" s="105" t="s">
        <v>3066</v>
      </c>
      <c r="E198" s="105" t="s">
        <v>162</v>
      </c>
      <c r="F198" s="105" t="s">
        <v>3067</v>
      </c>
      <c r="G198" s="105" t="s">
        <v>3068</v>
      </c>
      <c r="H198" s="105" t="s">
        <v>2915</v>
      </c>
      <c r="I198" s="105">
        <v>202605.5</v>
      </c>
      <c r="J198" s="107">
        <v>5.27</v>
      </c>
      <c r="K198" s="105" t="s">
        <v>73</v>
      </c>
      <c r="L198" s="105" t="s">
        <v>3003</v>
      </c>
      <c r="M198" s="105" t="s">
        <v>3069</v>
      </c>
      <c r="N198" s="116" t="s">
        <v>3070</v>
      </c>
      <c r="O198" s="105"/>
      <c r="P198" s="177" t="s">
        <v>138</v>
      </c>
      <c r="Q198" s="177" t="s">
        <v>100</v>
      </c>
      <c r="R198" s="177" t="s">
        <v>262</v>
      </c>
      <c r="S198" s="177" t="s">
        <v>1461</v>
      </c>
      <c r="T198" s="177" t="s">
        <v>103</v>
      </c>
      <c r="U198" s="177" t="s">
        <v>264</v>
      </c>
      <c r="V198" s="177" t="s">
        <v>264</v>
      </c>
      <c r="W198" s="191" t="s">
        <v>21</v>
      </c>
      <c r="X198" s="30" t="s">
        <v>173</v>
      </c>
      <c r="Y198" s="26" t="s">
        <v>173</v>
      </c>
      <c r="Z198" s="26" t="s">
        <v>174</v>
      </c>
      <c r="AA198" s="26" t="s">
        <v>175</v>
      </c>
      <c r="AB198" s="32">
        <f t="shared" si="16"/>
        <v>1</v>
      </c>
      <c r="AC198" s="25">
        <v>1</v>
      </c>
      <c r="AD198" s="104">
        <v>1</v>
      </c>
      <c r="AE198" s="32">
        <v>1</v>
      </c>
      <c r="AF198" s="106"/>
      <c r="AG198" s="106"/>
      <c r="AH198" s="32">
        <f t="shared" si="17"/>
        <v>1</v>
      </c>
      <c r="AI198" s="106"/>
      <c r="AJ198" s="32">
        <v>1</v>
      </c>
      <c r="AK198" s="106"/>
      <c r="AL198" s="106"/>
      <c r="AM198" s="32">
        <f t="shared" si="18"/>
        <v>0</v>
      </c>
      <c r="AN198" s="106"/>
      <c r="AO198" s="106"/>
      <c r="AP198" s="32">
        <v>1</v>
      </c>
      <c r="AQ198" s="106"/>
      <c r="AS198" s="106" t="s">
        <v>1821</v>
      </c>
      <c r="AT198" s="106"/>
      <c r="AU198" s="196"/>
    </row>
    <row r="199" spans="1:47">
      <c r="A199" s="105" t="s">
        <v>3071</v>
      </c>
      <c r="B199" s="105" t="s">
        <v>160</v>
      </c>
      <c r="C199" s="105" t="s">
        <v>73</v>
      </c>
      <c r="D199" s="105" t="s">
        <v>3072</v>
      </c>
      <c r="E199" s="105" t="s">
        <v>162</v>
      </c>
      <c r="F199" s="105" t="s">
        <v>3073</v>
      </c>
      <c r="G199" s="105" t="s">
        <v>3074</v>
      </c>
      <c r="H199" s="105" t="s">
        <v>2915</v>
      </c>
      <c r="I199" s="105">
        <v>202605.5</v>
      </c>
      <c r="J199" s="107">
        <v>5.27</v>
      </c>
      <c r="K199" s="105" t="s">
        <v>73</v>
      </c>
      <c r="L199" s="105" t="s">
        <v>2997</v>
      </c>
      <c r="M199" s="105" t="s">
        <v>3075</v>
      </c>
      <c r="N199" s="116" t="s">
        <v>3076</v>
      </c>
      <c r="O199" s="105"/>
      <c r="P199" s="177" t="s">
        <v>138</v>
      </c>
      <c r="Q199" s="177" t="s">
        <v>100</v>
      </c>
      <c r="R199" s="177" t="s">
        <v>262</v>
      </c>
      <c r="S199" s="177" t="s">
        <v>1461</v>
      </c>
      <c r="T199" s="177" t="s">
        <v>103</v>
      </c>
      <c r="U199" s="177" t="s">
        <v>264</v>
      </c>
      <c r="V199" s="177" t="s">
        <v>264</v>
      </c>
      <c r="W199" s="191" t="s">
        <v>21</v>
      </c>
      <c r="X199" s="30" t="s">
        <v>173</v>
      </c>
      <c r="Y199" s="26" t="s">
        <v>173</v>
      </c>
      <c r="Z199" s="26" t="s">
        <v>174</v>
      </c>
      <c r="AA199" s="26" t="s">
        <v>175</v>
      </c>
      <c r="AB199" s="32">
        <f t="shared" si="16"/>
        <v>1</v>
      </c>
      <c r="AC199" s="25">
        <v>1</v>
      </c>
      <c r="AD199" s="104">
        <v>1</v>
      </c>
      <c r="AE199" s="32">
        <v>1</v>
      </c>
      <c r="AF199" s="106"/>
      <c r="AG199" s="106"/>
      <c r="AH199" s="32">
        <f t="shared" si="17"/>
        <v>1</v>
      </c>
      <c r="AI199" s="106"/>
      <c r="AJ199" s="32">
        <v>1</v>
      </c>
      <c r="AK199" s="106"/>
      <c r="AL199" s="106"/>
      <c r="AM199" s="32">
        <f t="shared" si="18"/>
        <v>0</v>
      </c>
      <c r="AN199" s="106"/>
      <c r="AO199" s="106"/>
      <c r="AP199" s="32">
        <v>1</v>
      </c>
      <c r="AQ199" s="106"/>
      <c r="AR199" s="185" t="s">
        <v>194</v>
      </c>
      <c r="AS199" s="106" t="s">
        <v>1704</v>
      </c>
      <c r="AT199" s="106"/>
      <c r="AU199" s="196"/>
    </row>
    <row r="200" spans="1:47">
      <c r="A200" s="105" t="s">
        <v>3077</v>
      </c>
      <c r="B200" s="105" t="s">
        <v>160</v>
      </c>
      <c r="C200" s="105" t="s">
        <v>73</v>
      </c>
      <c r="D200" s="105" t="s">
        <v>3078</v>
      </c>
      <c r="E200" s="105" t="s">
        <v>499</v>
      </c>
      <c r="F200" s="105" t="s">
        <v>3079</v>
      </c>
      <c r="G200" s="105" t="s">
        <v>3080</v>
      </c>
      <c r="H200" s="105" t="s">
        <v>2915</v>
      </c>
      <c r="I200" s="105">
        <v>202605.5</v>
      </c>
      <c r="J200" s="107">
        <v>5.27</v>
      </c>
      <c r="K200" s="105" t="s">
        <v>73</v>
      </c>
      <c r="L200" s="105" t="s">
        <v>3027</v>
      </c>
      <c r="M200" s="105" t="s">
        <v>3081</v>
      </c>
      <c r="N200" s="116" t="s">
        <v>3082</v>
      </c>
      <c r="O200" s="105"/>
      <c r="P200" s="177" t="s">
        <v>138</v>
      </c>
      <c r="Q200" s="177" t="s">
        <v>100</v>
      </c>
      <c r="R200" s="177" t="s">
        <v>262</v>
      </c>
      <c r="S200" s="177" t="s">
        <v>1461</v>
      </c>
      <c r="T200" s="177" t="s">
        <v>103</v>
      </c>
      <c r="U200" s="177" t="s">
        <v>264</v>
      </c>
      <c r="V200" s="177" t="s">
        <v>264</v>
      </c>
      <c r="W200" s="191" t="s">
        <v>21</v>
      </c>
      <c r="X200" s="30" t="s">
        <v>173</v>
      </c>
      <c r="Y200" s="26" t="s">
        <v>173</v>
      </c>
      <c r="Z200" s="26" t="s">
        <v>174</v>
      </c>
      <c r="AA200" s="26" t="s">
        <v>175</v>
      </c>
      <c r="AB200" s="32">
        <f t="shared" si="16"/>
        <v>1</v>
      </c>
      <c r="AC200" s="25">
        <v>1</v>
      </c>
      <c r="AD200" s="104">
        <v>1</v>
      </c>
      <c r="AE200" s="32">
        <v>1</v>
      </c>
      <c r="AF200" s="106"/>
      <c r="AG200" s="106"/>
      <c r="AH200" s="32">
        <f t="shared" si="17"/>
        <v>1</v>
      </c>
      <c r="AI200" s="106"/>
      <c r="AJ200" s="32">
        <v>1</v>
      </c>
      <c r="AK200" s="106"/>
      <c r="AL200" s="106"/>
      <c r="AM200" s="32">
        <f t="shared" si="18"/>
        <v>0</v>
      </c>
      <c r="AN200" s="106"/>
      <c r="AO200" s="106"/>
      <c r="AP200" s="32">
        <v>1</v>
      </c>
      <c r="AQ200" s="106"/>
      <c r="AS200" s="106" t="s">
        <v>2663</v>
      </c>
      <c r="AT200" s="106"/>
      <c r="AU200" s="196"/>
    </row>
    <row r="201" spans="1:47">
      <c r="A201" s="105" t="s">
        <v>3083</v>
      </c>
      <c r="B201" s="105" t="s">
        <v>160</v>
      </c>
      <c r="C201" s="105" t="s">
        <v>73</v>
      </c>
      <c r="D201" s="105" t="s">
        <v>3084</v>
      </c>
      <c r="E201" s="105" t="s">
        <v>499</v>
      </c>
      <c r="F201" s="105" t="s">
        <v>3085</v>
      </c>
      <c r="G201" s="105" t="s">
        <v>3086</v>
      </c>
      <c r="H201" s="105" t="s">
        <v>2915</v>
      </c>
      <c r="I201" s="105">
        <v>202605.5</v>
      </c>
      <c r="J201" s="107">
        <v>5.27</v>
      </c>
      <c r="K201" s="105" t="s">
        <v>73</v>
      </c>
      <c r="L201" s="105" t="s">
        <v>2990</v>
      </c>
      <c r="M201" s="105" t="s">
        <v>3087</v>
      </c>
      <c r="N201" s="116" t="s">
        <v>3088</v>
      </c>
      <c r="O201" s="105"/>
      <c r="P201" s="177" t="s">
        <v>138</v>
      </c>
      <c r="Q201" s="177" t="s">
        <v>100</v>
      </c>
      <c r="R201" s="177" t="s">
        <v>262</v>
      </c>
      <c r="S201" s="177" t="s">
        <v>1461</v>
      </c>
      <c r="T201" s="177" t="s">
        <v>103</v>
      </c>
      <c r="U201" s="177" t="s">
        <v>264</v>
      </c>
      <c r="V201" s="177" t="s">
        <v>264</v>
      </c>
      <c r="W201" s="191" t="s">
        <v>21</v>
      </c>
      <c r="X201" s="30" t="s">
        <v>173</v>
      </c>
      <c r="Y201" s="26" t="s">
        <v>173</v>
      </c>
      <c r="Z201" s="26" t="s">
        <v>174</v>
      </c>
      <c r="AA201" s="26" t="s">
        <v>175</v>
      </c>
      <c r="AB201" s="32">
        <f t="shared" si="16"/>
        <v>1</v>
      </c>
      <c r="AC201" s="25">
        <v>1</v>
      </c>
      <c r="AD201" s="104">
        <v>1</v>
      </c>
      <c r="AE201" s="32">
        <v>1</v>
      </c>
      <c r="AF201" s="106"/>
      <c r="AG201" s="106"/>
      <c r="AH201" s="32">
        <f t="shared" si="17"/>
        <v>1</v>
      </c>
      <c r="AI201" s="106"/>
      <c r="AJ201" s="32">
        <v>1</v>
      </c>
      <c r="AK201" s="106"/>
      <c r="AL201" s="106"/>
      <c r="AM201" s="32">
        <f t="shared" si="18"/>
        <v>0</v>
      </c>
      <c r="AN201" s="106"/>
      <c r="AO201" s="106"/>
      <c r="AP201" s="32">
        <v>1</v>
      </c>
      <c r="AQ201" s="106"/>
      <c r="AR201" s="185" t="s">
        <v>194</v>
      </c>
      <c r="AS201" s="106" t="s">
        <v>1695</v>
      </c>
      <c r="AT201" s="106"/>
      <c r="AU201" s="196"/>
    </row>
    <row r="202" spans="1:47">
      <c r="A202" s="105" t="s">
        <v>3089</v>
      </c>
      <c r="B202" s="105" t="s">
        <v>160</v>
      </c>
      <c r="C202" s="105" t="s">
        <v>73</v>
      </c>
      <c r="D202" s="105" t="s">
        <v>3090</v>
      </c>
      <c r="E202" s="105" t="s">
        <v>162</v>
      </c>
      <c r="F202" s="105" t="s">
        <v>3091</v>
      </c>
      <c r="G202" s="105" t="s">
        <v>3092</v>
      </c>
      <c r="H202" s="105" t="s">
        <v>2915</v>
      </c>
      <c r="I202" s="105">
        <v>202605.5</v>
      </c>
      <c r="J202" s="107">
        <v>5.27</v>
      </c>
      <c r="K202" s="105" t="s">
        <v>73</v>
      </c>
      <c r="L202" s="105" t="s">
        <v>2984</v>
      </c>
      <c r="M202" s="105" t="s">
        <v>3093</v>
      </c>
      <c r="N202" s="116" t="s">
        <v>3094</v>
      </c>
      <c r="O202" s="105"/>
      <c r="P202" s="177" t="s">
        <v>138</v>
      </c>
      <c r="Q202" s="177" t="s">
        <v>100</v>
      </c>
      <c r="R202" s="177" t="s">
        <v>262</v>
      </c>
      <c r="S202" s="177" t="s">
        <v>1461</v>
      </c>
      <c r="T202" s="177" t="s">
        <v>103</v>
      </c>
      <c r="U202" s="177" t="s">
        <v>264</v>
      </c>
      <c r="V202" s="177" t="s">
        <v>264</v>
      </c>
      <c r="W202" s="191" t="s">
        <v>21</v>
      </c>
      <c r="X202" s="30" t="s">
        <v>173</v>
      </c>
      <c r="Y202" s="26" t="s">
        <v>173</v>
      </c>
      <c r="Z202" s="26" t="s">
        <v>174</v>
      </c>
      <c r="AA202" s="26" t="s">
        <v>175</v>
      </c>
      <c r="AB202" s="32">
        <f t="shared" si="16"/>
        <v>1</v>
      </c>
      <c r="AC202" s="25">
        <v>1</v>
      </c>
      <c r="AD202" s="104">
        <v>1</v>
      </c>
      <c r="AE202" s="32">
        <v>1</v>
      </c>
      <c r="AF202" s="106"/>
      <c r="AG202" s="106"/>
      <c r="AH202" s="32">
        <f t="shared" si="17"/>
        <v>1</v>
      </c>
      <c r="AI202" s="106"/>
      <c r="AJ202" s="32">
        <v>1</v>
      </c>
      <c r="AK202" s="106"/>
      <c r="AL202" s="106"/>
      <c r="AM202" s="32">
        <f t="shared" si="18"/>
        <v>0</v>
      </c>
      <c r="AN202" s="106"/>
      <c r="AO202" s="106"/>
      <c r="AP202" s="32">
        <v>1</v>
      </c>
      <c r="AQ202" s="106"/>
      <c r="AS202" s="106" t="s">
        <v>1864</v>
      </c>
      <c r="AT202" s="106"/>
      <c r="AU202" s="196"/>
    </row>
    <row r="203" spans="1:47">
      <c r="A203" s="105" t="s">
        <v>3095</v>
      </c>
      <c r="B203" s="105" t="s">
        <v>160</v>
      </c>
      <c r="C203" s="105" t="s">
        <v>73</v>
      </c>
      <c r="D203" s="105" t="s">
        <v>3096</v>
      </c>
      <c r="E203" s="105" t="s">
        <v>162</v>
      </c>
      <c r="F203" s="105" t="s">
        <v>3097</v>
      </c>
      <c r="G203" s="105" t="s">
        <v>3098</v>
      </c>
      <c r="H203" s="105" t="s">
        <v>2915</v>
      </c>
      <c r="I203" s="105">
        <v>202605.5</v>
      </c>
      <c r="J203" s="107">
        <v>5.27</v>
      </c>
      <c r="K203" s="105" t="s">
        <v>73</v>
      </c>
      <c r="L203" s="105" t="s">
        <v>2966</v>
      </c>
      <c r="M203" s="105" t="s">
        <v>3099</v>
      </c>
      <c r="N203" s="116" t="s">
        <v>3100</v>
      </c>
      <c r="O203" s="105"/>
      <c r="P203" s="177" t="s">
        <v>138</v>
      </c>
      <c r="Q203" s="177" t="s">
        <v>100</v>
      </c>
      <c r="R203" s="177" t="s">
        <v>262</v>
      </c>
      <c r="S203" s="177" t="s">
        <v>1461</v>
      </c>
      <c r="T203" s="177" t="s">
        <v>103</v>
      </c>
      <c r="U203" s="177" t="s">
        <v>264</v>
      </c>
      <c r="V203" s="177" t="s">
        <v>264</v>
      </c>
      <c r="W203" s="191" t="s">
        <v>21</v>
      </c>
      <c r="X203" s="30" t="s">
        <v>173</v>
      </c>
      <c r="Y203" s="26" t="s">
        <v>173</v>
      </c>
      <c r="Z203" s="26" t="s">
        <v>174</v>
      </c>
      <c r="AA203" s="26" t="s">
        <v>175</v>
      </c>
      <c r="AB203" s="32">
        <f t="shared" si="16"/>
        <v>1</v>
      </c>
      <c r="AC203" s="25">
        <v>1</v>
      </c>
      <c r="AD203" s="104">
        <v>1</v>
      </c>
      <c r="AE203" s="32">
        <v>1</v>
      </c>
      <c r="AF203" s="106"/>
      <c r="AG203" s="106"/>
      <c r="AH203" s="32">
        <f t="shared" si="17"/>
        <v>1</v>
      </c>
      <c r="AI203" s="106"/>
      <c r="AJ203" s="32">
        <v>1</v>
      </c>
      <c r="AK203" s="106"/>
      <c r="AL203" s="106"/>
      <c r="AM203" s="32">
        <f t="shared" si="18"/>
        <v>0</v>
      </c>
      <c r="AN203" s="106"/>
      <c r="AO203" s="106"/>
      <c r="AP203" s="32">
        <v>1</v>
      </c>
      <c r="AQ203" s="106"/>
      <c r="AS203" s="106" t="s">
        <v>2633</v>
      </c>
      <c r="AT203" s="106"/>
      <c r="AU203" s="196"/>
    </row>
    <row r="204" spans="1:47">
      <c r="A204" s="105" t="s">
        <v>3101</v>
      </c>
      <c r="B204" s="105" t="s">
        <v>160</v>
      </c>
      <c r="C204" s="105" t="s">
        <v>73</v>
      </c>
      <c r="D204" s="105" t="s">
        <v>2881</v>
      </c>
      <c r="E204" s="105" t="s">
        <v>162</v>
      </c>
      <c r="F204" s="105" t="s">
        <v>3102</v>
      </c>
      <c r="G204" s="105" t="s">
        <v>3103</v>
      </c>
      <c r="H204" s="105" t="s">
        <v>2915</v>
      </c>
      <c r="I204" s="105">
        <v>202605.5</v>
      </c>
      <c r="J204" s="107">
        <v>5.27</v>
      </c>
      <c r="K204" s="105" t="s">
        <v>73</v>
      </c>
      <c r="L204" s="105" t="s">
        <v>2600</v>
      </c>
      <c r="M204" s="105" t="s">
        <v>3104</v>
      </c>
      <c r="N204" s="116" t="s">
        <v>3105</v>
      </c>
      <c r="O204" s="105"/>
      <c r="P204" s="177" t="s">
        <v>138</v>
      </c>
      <c r="Q204" s="177" t="s">
        <v>100</v>
      </c>
      <c r="R204" s="177" t="s">
        <v>262</v>
      </c>
      <c r="S204" s="177" t="s">
        <v>1461</v>
      </c>
      <c r="T204" s="177" t="s">
        <v>103</v>
      </c>
      <c r="U204" s="177" t="s">
        <v>264</v>
      </c>
      <c r="V204" s="177" t="s">
        <v>264</v>
      </c>
      <c r="W204" s="193" t="s">
        <v>17</v>
      </c>
      <c r="X204" s="30" t="s">
        <v>173</v>
      </c>
      <c r="Y204" s="26" t="s">
        <v>173</v>
      </c>
      <c r="Z204" s="26" t="s">
        <v>174</v>
      </c>
      <c r="AA204" s="26" t="s">
        <v>175</v>
      </c>
      <c r="AB204" s="32">
        <f t="shared" si="16"/>
        <v>1</v>
      </c>
      <c r="AC204" s="25">
        <v>1</v>
      </c>
      <c r="AD204" s="104">
        <v>1</v>
      </c>
      <c r="AE204" s="32">
        <v>1</v>
      </c>
      <c r="AF204" s="106"/>
      <c r="AG204" s="106"/>
      <c r="AH204" s="32">
        <f t="shared" si="17"/>
        <v>1</v>
      </c>
      <c r="AI204" s="106"/>
      <c r="AJ204" s="32">
        <v>1</v>
      </c>
      <c r="AK204" s="106"/>
      <c r="AL204" s="106"/>
      <c r="AM204" s="32">
        <f t="shared" si="18"/>
        <v>0</v>
      </c>
      <c r="AN204" s="106"/>
      <c r="AO204" s="106"/>
      <c r="AP204" s="32">
        <v>1</v>
      </c>
      <c r="AQ204" s="106"/>
      <c r="AS204" s="106" t="s">
        <v>1830</v>
      </c>
      <c r="AT204" s="106"/>
      <c r="AU204" s="196"/>
    </row>
    <row r="205" spans="1:47">
      <c r="A205" s="105" t="s">
        <v>3106</v>
      </c>
      <c r="B205" s="105" t="s">
        <v>160</v>
      </c>
      <c r="C205" s="105" t="s">
        <v>73</v>
      </c>
      <c r="D205" s="105" t="s">
        <v>3107</v>
      </c>
      <c r="E205" s="105" t="s">
        <v>499</v>
      </c>
      <c r="F205" s="105" t="s">
        <v>3108</v>
      </c>
      <c r="G205" s="105" t="s">
        <v>3109</v>
      </c>
      <c r="H205" s="105" t="s">
        <v>2915</v>
      </c>
      <c r="I205" s="105">
        <v>202605.5</v>
      </c>
      <c r="J205" s="107">
        <v>5.27</v>
      </c>
      <c r="K205" s="105" t="s">
        <v>73</v>
      </c>
      <c r="L205" s="105" t="s">
        <v>2960</v>
      </c>
      <c r="M205" s="105" t="s">
        <v>3110</v>
      </c>
      <c r="N205" s="116" t="s">
        <v>3111</v>
      </c>
      <c r="O205" s="105"/>
      <c r="P205" s="177" t="s">
        <v>138</v>
      </c>
      <c r="Q205" s="177" t="s">
        <v>100</v>
      </c>
      <c r="R205" s="177" t="s">
        <v>262</v>
      </c>
      <c r="S205" s="177" t="s">
        <v>1461</v>
      </c>
      <c r="T205" s="177" t="s">
        <v>103</v>
      </c>
      <c r="U205" s="177" t="s">
        <v>264</v>
      </c>
      <c r="V205" s="177" t="s">
        <v>264</v>
      </c>
      <c r="W205" s="191" t="s">
        <v>21</v>
      </c>
      <c r="X205" s="30" t="s">
        <v>173</v>
      </c>
      <c r="Y205" s="26" t="s">
        <v>173</v>
      </c>
      <c r="Z205" s="26" t="s">
        <v>174</v>
      </c>
      <c r="AA205" s="26" t="s">
        <v>175</v>
      </c>
      <c r="AB205" s="32">
        <f t="shared" si="16"/>
        <v>1</v>
      </c>
      <c r="AC205" s="25">
        <v>1</v>
      </c>
      <c r="AD205" s="104">
        <v>1</v>
      </c>
      <c r="AE205" s="32">
        <v>1</v>
      </c>
      <c r="AF205" s="106"/>
      <c r="AG205" s="106"/>
      <c r="AH205" s="32">
        <f t="shared" si="17"/>
        <v>1</v>
      </c>
      <c r="AI205" s="106"/>
      <c r="AJ205" s="32">
        <v>1</v>
      </c>
      <c r="AK205" s="106"/>
      <c r="AL205" s="106"/>
      <c r="AM205" s="32">
        <f t="shared" si="18"/>
        <v>0</v>
      </c>
      <c r="AN205" s="106"/>
      <c r="AO205" s="106"/>
      <c r="AP205" s="194" t="s">
        <v>405</v>
      </c>
      <c r="AQ205" s="104">
        <v>1</v>
      </c>
      <c r="AR205" s="185" t="s">
        <v>194</v>
      </c>
      <c r="AS205" s="106" t="s">
        <v>2648</v>
      </c>
      <c r="AT205" s="106"/>
      <c r="AU205" s="196"/>
    </row>
    <row r="206" spans="1:47">
      <c r="A206" s="105" t="s">
        <v>3112</v>
      </c>
      <c r="B206" s="105" t="s">
        <v>160</v>
      </c>
      <c r="C206" s="105" t="s">
        <v>73</v>
      </c>
      <c r="D206" s="105" t="s">
        <v>3113</v>
      </c>
      <c r="E206" s="105" t="s">
        <v>162</v>
      </c>
      <c r="F206" s="105" t="s">
        <v>3114</v>
      </c>
      <c r="G206" s="105" t="s">
        <v>3115</v>
      </c>
      <c r="H206" s="105" t="s">
        <v>2915</v>
      </c>
      <c r="I206" s="105">
        <v>202605.5</v>
      </c>
      <c r="J206" s="107">
        <v>5.27</v>
      </c>
      <c r="K206" s="105" t="s">
        <v>73</v>
      </c>
      <c r="L206" s="105" t="s">
        <v>2948</v>
      </c>
      <c r="M206" s="105" t="s">
        <v>3116</v>
      </c>
      <c r="N206" s="116" t="s">
        <v>3117</v>
      </c>
      <c r="O206" s="105"/>
      <c r="P206" s="177" t="s">
        <v>138</v>
      </c>
      <c r="Q206" s="177" t="s">
        <v>100</v>
      </c>
      <c r="R206" s="177" t="s">
        <v>262</v>
      </c>
      <c r="S206" s="177" t="s">
        <v>1461</v>
      </c>
      <c r="T206" s="177" t="s">
        <v>103</v>
      </c>
      <c r="U206" s="177" t="s">
        <v>264</v>
      </c>
      <c r="V206" s="177" t="s">
        <v>264</v>
      </c>
      <c r="W206" s="191" t="s">
        <v>21</v>
      </c>
      <c r="X206" s="30" t="s">
        <v>173</v>
      </c>
      <c r="Y206" s="26" t="s">
        <v>173</v>
      </c>
      <c r="Z206" s="26" t="s">
        <v>174</v>
      </c>
      <c r="AA206" s="26" t="s">
        <v>175</v>
      </c>
      <c r="AB206" s="32">
        <f t="shared" si="16"/>
        <v>1</v>
      </c>
      <c r="AC206" s="25">
        <v>1</v>
      </c>
      <c r="AD206" s="104">
        <v>1</v>
      </c>
      <c r="AE206" s="32">
        <v>1</v>
      </c>
      <c r="AF206" s="106"/>
      <c r="AG206" s="106"/>
      <c r="AH206" s="32">
        <f t="shared" si="17"/>
        <v>1</v>
      </c>
      <c r="AI206" s="106"/>
      <c r="AJ206" s="32">
        <v>1</v>
      </c>
      <c r="AK206" s="106"/>
      <c r="AL206" s="106"/>
      <c r="AM206" s="32">
        <f t="shared" si="18"/>
        <v>0</v>
      </c>
      <c r="AN206" s="106"/>
      <c r="AO206" s="106"/>
      <c r="AP206" s="32">
        <v>1</v>
      </c>
      <c r="AQ206" s="106"/>
      <c r="AR206" s="185" t="s">
        <v>194</v>
      </c>
      <c r="AS206" s="106" t="s">
        <v>1720</v>
      </c>
      <c r="AT206" s="106"/>
      <c r="AU206" s="196"/>
    </row>
    <row r="207" spans="1:47">
      <c r="A207" s="105" t="s">
        <v>3118</v>
      </c>
      <c r="B207" s="105" t="s">
        <v>160</v>
      </c>
      <c r="C207" s="105" t="s">
        <v>73</v>
      </c>
      <c r="D207" s="105" t="s">
        <v>3119</v>
      </c>
      <c r="E207" s="105" t="s">
        <v>162</v>
      </c>
      <c r="F207" s="105" t="s">
        <v>3120</v>
      </c>
      <c r="G207" s="105" t="s">
        <v>3121</v>
      </c>
      <c r="H207" s="105" t="s">
        <v>2915</v>
      </c>
      <c r="I207" s="105">
        <v>202605.5</v>
      </c>
      <c r="J207" s="107">
        <v>5.27</v>
      </c>
      <c r="K207" s="105" t="s">
        <v>73</v>
      </c>
      <c r="L207" s="105" t="s">
        <v>2942</v>
      </c>
      <c r="M207" s="105" t="s">
        <v>3122</v>
      </c>
      <c r="N207" s="116" t="s">
        <v>3123</v>
      </c>
      <c r="O207" s="105"/>
      <c r="P207" s="177" t="s">
        <v>138</v>
      </c>
      <c r="Q207" s="177" t="s">
        <v>100</v>
      </c>
      <c r="R207" s="177" t="s">
        <v>262</v>
      </c>
      <c r="S207" s="177" t="s">
        <v>1461</v>
      </c>
      <c r="T207" s="177" t="s">
        <v>103</v>
      </c>
      <c r="U207" s="177" t="s">
        <v>264</v>
      </c>
      <c r="V207" s="177" t="s">
        <v>264</v>
      </c>
      <c r="W207" s="191" t="s">
        <v>21</v>
      </c>
      <c r="X207" s="30" t="s">
        <v>173</v>
      </c>
      <c r="Y207" s="26" t="s">
        <v>173</v>
      </c>
      <c r="Z207" s="26" t="s">
        <v>174</v>
      </c>
      <c r="AA207" s="26" t="s">
        <v>175</v>
      </c>
      <c r="AB207" s="32">
        <f t="shared" si="16"/>
        <v>1</v>
      </c>
      <c r="AC207" s="25">
        <v>1</v>
      </c>
      <c r="AD207" s="104">
        <v>1</v>
      </c>
      <c r="AE207" s="32">
        <v>1</v>
      </c>
      <c r="AF207" s="106"/>
      <c r="AG207" s="106"/>
      <c r="AH207" s="32">
        <f t="shared" si="17"/>
        <v>1</v>
      </c>
      <c r="AI207" s="106"/>
      <c r="AJ207" s="32">
        <v>1</v>
      </c>
      <c r="AK207" s="106"/>
      <c r="AL207" s="106"/>
      <c r="AM207" s="32">
        <f t="shared" si="18"/>
        <v>0</v>
      </c>
      <c r="AN207" s="106"/>
      <c r="AO207" s="106"/>
      <c r="AP207" s="32">
        <v>1</v>
      </c>
      <c r="AQ207" s="106"/>
      <c r="AS207" s="106" t="s">
        <v>1712</v>
      </c>
      <c r="AT207" s="106"/>
      <c r="AU207" s="196"/>
    </row>
    <row r="208" spans="1:47">
      <c r="A208" s="105" t="s">
        <v>3124</v>
      </c>
      <c r="B208" s="105" t="s">
        <v>160</v>
      </c>
      <c r="C208" s="105" t="s">
        <v>73</v>
      </c>
      <c r="D208" s="105" t="s">
        <v>3125</v>
      </c>
      <c r="E208" s="105" t="s">
        <v>162</v>
      </c>
      <c r="F208" s="105" t="s">
        <v>3126</v>
      </c>
      <c r="G208" s="105" t="s">
        <v>3127</v>
      </c>
      <c r="H208" s="105" t="s">
        <v>2915</v>
      </c>
      <c r="I208" s="105">
        <v>202605.5</v>
      </c>
      <c r="J208" s="107">
        <v>5.27</v>
      </c>
      <c r="K208" s="105" t="s">
        <v>73</v>
      </c>
      <c r="L208" s="105" t="s">
        <v>2936</v>
      </c>
      <c r="M208" s="105" t="s">
        <v>3128</v>
      </c>
      <c r="N208" s="116" t="s">
        <v>3129</v>
      </c>
      <c r="O208" s="105"/>
      <c r="P208" s="177" t="s">
        <v>138</v>
      </c>
      <c r="Q208" s="177" t="s">
        <v>100</v>
      </c>
      <c r="R208" s="177" t="s">
        <v>262</v>
      </c>
      <c r="S208" s="177" t="s">
        <v>1461</v>
      </c>
      <c r="T208" s="177" t="s">
        <v>103</v>
      </c>
      <c r="U208" s="177" t="s">
        <v>264</v>
      </c>
      <c r="V208" s="177" t="s">
        <v>264</v>
      </c>
      <c r="W208" s="191" t="s">
        <v>21</v>
      </c>
      <c r="X208" s="30" t="s">
        <v>173</v>
      </c>
      <c r="Y208" s="26" t="s">
        <v>173</v>
      </c>
      <c r="Z208" s="26" t="s">
        <v>174</v>
      </c>
      <c r="AA208" s="26" t="s">
        <v>175</v>
      </c>
      <c r="AB208" s="32">
        <f t="shared" si="16"/>
        <v>1</v>
      </c>
      <c r="AC208" s="25">
        <v>1</v>
      </c>
      <c r="AD208" s="104">
        <v>1</v>
      </c>
      <c r="AE208" s="32">
        <v>1</v>
      </c>
      <c r="AF208" s="106"/>
      <c r="AG208" s="106"/>
      <c r="AH208" s="32">
        <f t="shared" si="17"/>
        <v>1</v>
      </c>
      <c r="AI208" s="106"/>
      <c r="AJ208" s="32">
        <v>1</v>
      </c>
      <c r="AK208" s="106"/>
      <c r="AL208" s="106"/>
      <c r="AM208" s="32">
        <f t="shared" si="18"/>
        <v>0</v>
      </c>
      <c r="AN208" s="106"/>
      <c r="AO208" s="106"/>
      <c r="AP208" s="32">
        <v>1</v>
      </c>
      <c r="AQ208" s="106"/>
      <c r="AS208" s="105" t="s">
        <v>1799</v>
      </c>
      <c r="AT208" s="106"/>
      <c r="AU208" s="196"/>
    </row>
    <row r="209" spans="47:47">
      <c r="AU209" t="s">
        <v>879</v>
      </c>
    </row>
    <row r="210" spans="47:47">
      <c r="AU210" t="s">
        <v>769</v>
      </c>
    </row>
    <row r="211" spans="47:47">
      <c r="AU211" t="s">
        <v>804</v>
      </c>
    </row>
    <row r="212" spans="47:47">
      <c r="AU212" t="s">
        <v>857</v>
      </c>
    </row>
    <row r="213" spans="47:47">
      <c r="AU213" t="s">
        <v>849</v>
      </c>
    </row>
    <row r="214" spans="47:47">
      <c r="AU214" t="s">
        <v>784</v>
      </c>
    </row>
    <row r="215" spans="47:47">
      <c r="AU215" t="s">
        <v>887</v>
      </c>
    </row>
    <row r="216" spans="47:47">
      <c r="AU216" t="s">
        <v>889</v>
      </c>
    </row>
    <row r="217" spans="47:47">
      <c r="AU217" t="s">
        <v>865</v>
      </c>
    </row>
    <row r="218" spans="47:47">
      <c r="AU218" t="s">
        <v>835</v>
      </c>
    </row>
    <row r="219" spans="47:47">
      <c r="AU219" t="s">
        <v>820</v>
      </c>
    </row>
    <row r="220" spans="47:47">
      <c r="AU220" t="s">
        <v>842</v>
      </c>
    </row>
    <row r="221" spans="47:47">
      <c r="AU221" t="s">
        <v>812</v>
      </c>
    </row>
    <row r="222" spans="47:47">
      <c r="AU222" t="s">
        <v>762</v>
      </c>
    </row>
    <row r="223" spans="47:47">
      <c r="AU223" t="s">
        <v>871</v>
      </c>
    </row>
    <row r="224" spans="47:47">
      <c r="AU224" t="s">
        <v>747</v>
      </c>
    </row>
    <row r="225" spans="47:47">
      <c r="AU225" t="s">
        <v>791</v>
      </c>
    </row>
    <row r="226" spans="47:47">
      <c r="AU226" t="s">
        <v>798</v>
      </c>
    </row>
    <row r="227" spans="47:47">
      <c r="AU227" t="s">
        <v>881</v>
      </c>
    </row>
    <row r="228" spans="47:47">
      <c r="AU228" t="s">
        <v>755</v>
      </c>
    </row>
    <row r="229" spans="47:47">
      <c r="AU229" t="s">
        <v>776</v>
      </c>
    </row>
    <row r="230" spans="47:47">
      <c r="AU230" t="s">
        <v>827</v>
      </c>
    </row>
    <row r="231" spans="47:47">
      <c r="AU231" t="s">
        <v>773</v>
      </c>
    </row>
    <row r="232" spans="47:47">
      <c r="AU232" t="s">
        <v>869</v>
      </c>
    </row>
    <row r="233" spans="47:47">
      <c r="AU233" t="s">
        <v>831</v>
      </c>
    </row>
    <row r="234" spans="47:47">
      <c r="AU234" t="s">
        <v>809</v>
      </c>
    </row>
    <row r="235" spans="47:47">
      <c r="AU235" t="s">
        <v>788</v>
      </c>
    </row>
    <row r="236" spans="47:47">
      <c r="AU236" t="s">
        <v>759</v>
      </c>
    </row>
    <row r="237" spans="47:47">
      <c r="AU237" t="s">
        <v>905</v>
      </c>
    </row>
    <row r="238" spans="47:47">
      <c r="AU238" t="s">
        <v>893</v>
      </c>
    </row>
    <row r="239" spans="47:47">
      <c r="AU239" t="s">
        <v>885</v>
      </c>
    </row>
    <row r="240" spans="47:47">
      <c r="AU240" t="s">
        <v>846</v>
      </c>
    </row>
    <row r="241" spans="47:47">
      <c r="AU241" t="s">
        <v>816</v>
      </c>
    </row>
    <row r="242" spans="47:47">
      <c r="AU242" t="s">
        <v>766</v>
      </c>
    </row>
    <row r="243" spans="47:47">
      <c r="AU243" t="s">
        <v>899</v>
      </c>
    </row>
    <row r="244" spans="47:47">
      <c r="AU244" t="s">
        <v>861</v>
      </c>
    </row>
    <row r="245" spans="47:47">
      <c r="AU245" t="s">
        <v>751</v>
      </c>
    </row>
    <row r="246" spans="47:47">
      <c r="AU246" t="s">
        <v>780</v>
      </c>
    </row>
    <row r="247" spans="47:47">
      <c r="AU247" t="s">
        <v>802</v>
      </c>
    </row>
    <row r="248" spans="47:47">
      <c r="AU248" t="s">
        <v>911</v>
      </c>
    </row>
    <row r="249" spans="47:47">
      <c r="AU249" t="s">
        <v>795</v>
      </c>
    </row>
    <row r="250" spans="47:47">
      <c r="AU250" t="s">
        <v>839</v>
      </c>
    </row>
    <row r="251" spans="47:47">
      <c r="AU251" t="s">
        <v>824</v>
      </c>
    </row>
    <row r="252" spans="47:47">
      <c r="AU252" t="s">
        <v>853</v>
      </c>
    </row>
    <row r="253" spans="47:47">
      <c r="AU253" t="s">
        <v>855</v>
      </c>
    </row>
    <row r="254" spans="47:47">
      <c r="AU254" t="s">
        <v>2441</v>
      </c>
    </row>
    <row r="255" spans="47:47">
      <c r="AU255" t="s">
        <v>2462</v>
      </c>
    </row>
    <row r="256" spans="47:47">
      <c r="AU256" t="s">
        <v>2399</v>
      </c>
    </row>
    <row r="257" spans="47:47">
      <c r="AU257" t="s">
        <v>2455</v>
      </c>
    </row>
    <row r="258" spans="47:47">
      <c r="AU258" t="s">
        <v>2386</v>
      </c>
    </row>
    <row r="259" spans="47:47">
      <c r="AU259" t="s">
        <v>2434</v>
      </c>
    </row>
    <row r="260" spans="47:47">
      <c r="AU260" t="s">
        <v>2372</v>
      </c>
    </row>
    <row r="261" spans="47:47">
      <c r="AU261" t="s">
        <v>2406</v>
      </c>
    </row>
    <row r="262" spans="47:47">
      <c r="AU262" t="s">
        <v>2308</v>
      </c>
    </row>
    <row r="263" spans="47:47">
      <c r="AU263" t="s">
        <v>2392</v>
      </c>
    </row>
    <row r="264" spans="47:47">
      <c r="AU264" t="s">
        <v>2427</v>
      </c>
    </row>
    <row r="265" spans="47:47">
      <c r="AU265" t="s">
        <v>2339</v>
      </c>
    </row>
    <row r="266" spans="47:47">
      <c r="AU266" t="s">
        <v>2379</v>
      </c>
    </row>
    <row r="267" spans="47:47">
      <c r="AU267" t="s">
        <v>2345</v>
      </c>
    </row>
    <row r="268" spans="47:47">
      <c r="AU268" t="s">
        <v>2315</v>
      </c>
    </row>
    <row r="269" spans="47:47">
      <c r="AU269" t="s">
        <v>2323</v>
      </c>
    </row>
    <row r="270" spans="47:47">
      <c r="AU270" t="s">
        <v>2301</v>
      </c>
    </row>
    <row r="271" spans="47:47">
      <c r="AU271" t="s">
        <v>2476</v>
      </c>
    </row>
    <row r="272" spans="47:47">
      <c r="AU272" t="s">
        <v>2413</v>
      </c>
    </row>
    <row r="273" spans="47:47">
      <c r="AU273" t="s">
        <v>2469</v>
      </c>
    </row>
    <row r="274" spans="47:47">
      <c r="AU274" t="s">
        <v>2331</v>
      </c>
    </row>
    <row r="275" spans="47:47">
      <c r="AU275" t="s">
        <v>2351</v>
      </c>
    </row>
    <row r="276" spans="47:47">
      <c r="AU276" t="s">
        <v>2365</v>
      </c>
    </row>
    <row r="277" spans="47:47">
      <c r="AU277" t="s">
        <v>2358</v>
      </c>
    </row>
    <row r="278" spans="47:47">
      <c r="AU278" t="s">
        <v>2420</v>
      </c>
    </row>
    <row r="279" spans="47:47">
      <c r="AU279" t="s">
        <v>2448</v>
      </c>
    </row>
    <row r="280" spans="47:47">
      <c r="AU280" s="75" t="s">
        <v>782</v>
      </c>
    </row>
    <row r="281" spans="47:47">
      <c r="AU281" s="75" t="s">
        <v>676</v>
      </c>
    </row>
    <row r="282" spans="47:47">
      <c r="AU282" s="75" t="s">
        <v>626</v>
      </c>
    </row>
    <row r="283" spans="47:47">
      <c r="AU283" s="75" t="s">
        <v>704</v>
      </c>
    </row>
    <row r="284" spans="47:47">
      <c r="AU284" s="75" t="s">
        <v>711</v>
      </c>
    </row>
    <row r="285" spans="47:47">
      <c r="AU285" s="75" t="s">
        <v>720</v>
      </c>
    </row>
    <row r="286" spans="47:47">
      <c r="AU286" s="75" t="s">
        <v>655</v>
      </c>
    </row>
    <row r="287" spans="47:47">
      <c r="AU287" s="75" t="s">
        <v>611</v>
      </c>
    </row>
    <row r="288" spans="47:47">
      <c r="AU288" s="75" t="s">
        <v>639</v>
      </c>
    </row>
    <row r="289" spans="47:47">
      <c r="AU289" s="75" t="s">
        <v>670</v>
      </c>
    </row>
    <row r="290" spans="47:47">
      <c r="AU290" s="75" t="s">
        <v>698</v>
      </c>
    </row>
    <row r="291" spans="47:47">
      <c r="AU291" s="75" t="s">
        <v>641</v>
      </c>
    </row>
    <row r="292" spans="47:47">
      <c r="AU292" s="75" t="s">
        <v>609</v>
      </c>
    </row>
    <row r="293" spans="47:47">
      <c r="AU293" s="75" t="s">
        <v>603</v>
      </c>
    </row>
    <row r="294" spans="47:47">
      <c r="AU294" s="75" t="s">
        <v>601</v>
      </c>
    </row>
    <row r="295" spans="47:47">
      <c r="AU295" s="75" t="s">
        <v>648</v>
      </c>
    </row>
    <row r="296" spans="47:47">
      <c r="AU296" s="75" t="s">
        <v>593</v>
      </c>
    </row>
    <row r="297" spans="47:47">
      <c r="AU297" s="75" t="s">
        <v>619</v>
      </c>
    </row>
    <row r="298" spans="47:47">
      <c r="AU298" s="75" t="s">
        <v>617</v>
      </c>
    </row>
    <row r="299" spans="47:47">
      <c r="AU299" s="75" t="s">
        <v>739</v>
      </c>
    </row>
    <row r="300" spans="47:47">
      <c r="AU300" s="75" t="s">
        <v>587</v>
      </c>
    </row>
    <row r="301" spans="47:47">
      <c r="AU301" s="75" t="s">
        <v>595</v>
      </c>
    </row>
    <row r="302" spans="47:47">
      <c r="AU302" s="75" t="s">
        <v>591</v>
      </c>
    </row>
    <row r="303" spans="47:47">
      <c r="AU303" s="75" t="s">
        <v>599</v>
      </c>
    </row>
    <row r="304" spans="47:47">
      <c r="AU304" s="75" t="s">
        <v>709</v>
      </c>
    </row>
    <row r="305" spans="47:47">
      <c r="AU305" s="75" t="s">
        <v>607</v>
      </c>
    </row>
    <row r="306" spans="47:47">
      <c r="AU306" s="75" t="s">
        <v>731</v>
      </c>
    </row>
    <row r="307" spans="47:47">
      <c r="AU307" s="75" t="s">
        <v>652</v>
      </c>
    </row>
    <row r="308" spans="47:47">
      <c r="AU308" s="75" t="s">
        <v>623</v>
      </c>
    </row>
    <row r="309" spans="47:47">
      <c r="AU309" s="75" t="s">
        <v>694</v>
      </c>
    </row>
    <row r="310" spans="47:47">
      <c r="AU310" s="75" t="s">
        <v>615</v>
      </c>
    </row>
    <row r="311" spans="47:47">
      <c r="AU311" s="75" t="s">
        <v>681</v>
      </c>
    </row>
    <row r="312" spans="47:47">
      <c r="AU312" s="75" t="s">
        <v>688</v>
      </c>
    </row>
    <row r="313" spans="47:47">
      <c r="AU313" s="75" t="s">
        <v>630</v>
      </c>
    </row>
    <row r="314" spans="47:47">
      <c r="AU314" s="75" t="s">
        <v>737</v>
      </c>
    </row>
    <row r="315" spans="47:47">
      <c r="AU315" s="75" t="s">
        <v>674</v>
      </c>
    </row>
    <row r="316" spans="47:47">
      <c r="AU316" s="75" t="s">
        <v>645</v>
      </c>
    </row>
    <row r="317" spans="47:47">
      <c r="AU317" s="75" t="s">
        <v>659</v>
      </c>
    </row>
    <row r="318" spans="47:47">
      <c r="AU318" s="75" t="s">
        <v>716</v>
      </c>
    </row>
    <row r="319" spans="47:47">
      <c r="AU319" s="75" t="s">
        <v>724</v>
      </c>
    </row>
    <row r="320" spans="47:47">
      <c r="AU320" s="75" t="s">
        <v>637</v>
      </c>
    </row>
    <row r="321" spans="47:47">
      <c r="AU321" s="75" t="s">
        <v>702</v>
      </c>
    </row>
    <row r="322" spans="47:47">
      <c r="AU322" s="75" t="s">
        <v>744</v>
      </c>
    </row>
    <row r="323" spans="47:47">
      <c r="AU323" s="75" t="s">
        <v>2243</v>
      </c>
    </row>
    <row r="324" spans="47:47">
      <c r="AU324" s="75" t="s">
        <v>2251</v>
      </c>
    </row>
    <row r="325" spans="47:47">
      <c r="AU325" s="75" t="s">
        <v>2227</v>
      </c>
    </row>
    <row r="326" spans="47:47">
      <c r="AU326" s="75" t="s">
        <v>2287</v>
      </c>
    </row>
    <row r="327" spans="47:47">
      <c r="AU327" s="75" t="s">
        <v>2152</v>
      </c>
    </row>
    <row r="328" spans="47:47">
      <c r="AU328" s="75" t="s">
        <v>2092</v>
      </c>
    </row>
    <row r="329" spans="47:47">
      <c r="AU329" s="75" t="s">
        <v>2076</v>
      </c>
    </row>
    <row r="330" spans="47:47">
      <c r="AU330" s="75" t="s">
        <v>2083</v>
      </c>
    </row>
    <row r="331" spans="47:47">
      <c r="AU331" s="75" t="s">
        <v>2195</v>
      </c>
    </row>
    <row r="332" spans="47:47">
      <c r="AU332" s="75" t="s">
        <v>2266</v>
      </c>
    </row>
    <row r="333" spans="47:47">
      <c r="AU333" s="75" t="s">
        <v>2180</v>
      </c>
    </row>
    <row r="334" spans="47:47">
      <c r="AU334" s="75" t="s">
        <v>2280</v>
      </c>
    </row>
    <row r="335" spans="47:47">
      <c r="AU335" s="75" t="s">
        <v>2129</v>
      </c>
    </row>
    <row r="336" spans="47:47">
      <c r="AU336" s="75" t="s">
        <v>2114</v>
      </c>
    </row>
    <row r="337" spans="47:47">
      <c r="AU337" s="75" t="s">
        <v>2160</v>
      </c>
    </row>
    <row r="338" spans="47:47">
      <c r="AU338" s="75" t="s">
        <v>2100</v>
      </c>
    </row>
    <row r="339" spans="47:47">
      <c r="AU339" s="75" t="s">
        <v>2121</v>
      </c>
    </row>
    <row r="340" spans="47:47">
      <c r="AU340" s="75" t="s">
        <v>2203</v>
      </c>
    </row>
    <row r="341" spans="47:47">
      <c r="AU341" s="75" t="s">
        <v>2235</v>
      </c>
    </row>
    <row r="342" spans="47:47">
      <c r="AU342" s="75" t="s">
        <v>2219</v>
      </c>
    </row>
    <row r="343" spans="47:47">
      <c r="AU343" s="75" t="s">
        <v>2137</v>
      </c>
    </row>
    <row r="344" spans="47:47">
      <c r="AU344" s="75" t="s">
        <v>2187</v>
      </c>
    </row>
    <row r="345" spans="47:47">
      <c r="AU345" s="75" t="s">
        <v>855</v>
      </c>
    </row>
    <row r="346" spans="47:47">
      <c r="AU346" s="75" t="s">
        <v>2211</v>
      </c>
    </row>
    <row r="347" spans="47:47">
      <c r="AU347" s="75" t="s">
        <v>2145</v>
      </c>
    </row>
    <row r="348" spans="47:47">
      <c r="AU348" s="75" t="s">
        <v>2174</v>
      </c>
    </row>
    <row r="349" spans="47:47">
      <c r="AU349" s="75" t="s">
        <v>2273</v>
      </c>
    </row>
    <row r="350" spans="47:47">
      <c r="AU350" s="75" t="s">
        <v>2107</v>
      </c>
    </row>
    <row r="351" spans="47:47">
      <c r="AU351" s="94" t="s">
        <v>2875</v>
      </c>
    </row>
    <row r="352" spans="47:47">
      <c r="AU352" s="94" t="s">
        <v>2986</v>
      </c>
    </row>
    <row r="353" spans="47:47">
      <c r="AU353" s="94"/>
    </row>
    <row r="354" spans="47:47">
      <c r="AU354" s="94"/>
    </row>
    <row r="355" spans="47:47">
      <c r="AU355" s="94"/>
    </row>
    <row r="356" spans="47:47">
      <c r="AU356" s="94"/>
    </row>
    <row r="357" spans="47:47">
      <c r="AU357" s="94"/>
    </row>
    <row r="358" spans="47:47">
      <c r="AU358" s="94"/>
    </row>
    <row r="359" spans="47:47">
      <c r="AU359" s="94"/>
    </row>
    <row r="360" spans="47:47">
      <c r="AU360" s="94"/>
    </row>
    <row r="361" spans="47:47">
      <c r="AU361" s="94"/>
    </row>
    <row r="362" spans="47:47">
      <c r="AU362" s="94"/>
    </row>
    <row r="363" spans="47:47">
      <c r="AU363" s="94"/>
    </row>
    <row r="364" spans="47:47">
      <c r="AU364" s="94"/>
    </row>
    <row r="365" spans="47:47">
      <c r="AU365" s="94"/>
    </row>
    <row r="366" spans="47:47">
      <c r="AU366" s="94"/>
    </row>
    <row r="367" spans="47:47">
      <c r="AU367" s="94"/>
    </row>
    <row r="368" spans="47:47">
      <c r="AU368" s="94"/>
    </row>
    <row r="369" spans="47:47">
      <c r="AU369" s="94"/>
    </row>
    <row r="370" spans="47:47">
      <c r="AU370" s="94"/>
    </row>
    <row r="371" spans="47:47">
      <c r="AU371" s="94"/>
    </row>
    <row r="372" spans="47:47">
      <c r="AU372" s="94"/>
    </row>
    <row r="373" spans="47:47">
      <c r="AU373" s="75" t="s">
        <v>1315</v>
      </c>
    </row>
    <row r="374" spans="47:47">
      <c r="AU374" s="75" t="s">
        <v>1222</v>
      </c>
    </row>
    <row r="375" spans="47:47">
      <c r="AU375" s="75" t="s">
        <v>1140</v>
      </c>
    </row>
    <row r="376" spans="47:47">
      <c r="AU376" s="75" t="s">
        <v>1119</v>
      </c>
    </row>
    <row r="377" spans="47:47">
      <c r="AU377" s="75" t="s">
        <v>1175</v>
      </c>
    </row>
    <row r="378" spans="47:47">
      <c r="AU378" s="75" t="s">
        <v>578</v>
      </c>
    </row>
    <row r="379" spans="47:47">
      <c r="AU379" s="75" t="s">
        <v>1204</v>
      </c>
    </row>
    <row r="380" spans="47:47">
      <c r="AU380" s="75" t="s">
        <v>1484</v>
      </c>
    </row>
    <row r="381" spans="47:47">
      <c r="AU381" s="75" t="s">
        <v>1214</v>
      </c>
    </row>
    <row r="382" spans="47:47">
      <c r="AU382" s="75" t="s">
        <v>1254</v>
      </c>
    </row>
    <row r="383" spans="47:47">
      <c r="AU383" s="75" t="s">
        <v>1105</v>
      </c>
    </row>
    <row r="384" spans="47:47">
      <c r="AU384" s="75" t="s">
        <v>1098</v>
      </c>
    </row>
    <row r="385" spans="47:47">
      <c r="AU385" s="75" t="s">
        <v>1182</v>
      </c>
    </row>
    <row r="386" spans="47:47">
      <c r="AU386" s="75" t="s">
        <v>1112</v>
      </c>
    </row>
    <row r="387" spans="47:47">
      <c r="AU387" s="75" t="s">
        <v>407</v>
      </c>
    </row>
    <row r="388" spans="47:47">
      <c r="AU388" s="75" t="s">
        <v>1261</v>
      </c>
    </row>
    <row r="389" spans="47:47">
      <c r="AU389" s="75" t="s">
        <v>1126</v>
      </c>
    </row>
    <row r="390" spans="47:47">
      <c r="AU390" s="75" t="s">
        <v>1168</v>
      </c>
    </row>
    <row r="391" spans="47:47">
      <c r="AU391" s="75" t="s">
        <v>1147</v>
      </c>
    </row>
    <row r="392" spans="47:47">
      <c r="AU392" s="75" t="s">
        <v>1238</v>
      </c>
    </row>
    <row r="393" spans="47:47">
      <c r="AU393" s="75" t="s">
        <v>1089</v>
      </c>
    </row>
    <row r="394" spans="47:47">
      <c r="AU394" s="75" t="s">
        <v>1196</v>
      </c>
    </row>
    <row r="395" spans="47:47">
      <c r="AU395" s="75" t="s">
        <v>1154</v>
      </c>
    </row>
    <row r="396" spans="47:47">
      <c r="AU396" s="75" t="s">
        <v>1246</v>
      </c>
    </row>
    <row r="397" spans="47:47">
      <c r="AU397" s="75" t="s">
        <v>1230</v>
      </c>
    </row>
    <row r="398" spans="47:47">
      <c r="AU398" s="75" t="s">
        <v>1189</v>
      </c>
    </row>
    <row r="399" spans="47:47">
      <c r="AU399" s="75" t="s">
        <v>1269</v>
      </c>
    </row>
    <row r="400" spans="47:47">
      <c r="AU400" s="75" t="s">
        <v>1130</v>
      </c>
    </row>
    <row r="401" spans="47:47">
      <c r="AU401" s="75" t="s">
        <v>1116</v>
      </c>
    </row>
    <row r="402" spans="47:47">
      <c r="AU402" s="75" t="s">
        <v>1158</v>
      </c>
    </row>
    <row r="403" spans="47:47">
      <c r="AU403" s="75" t="s">
        <v>1165</v>
      </c>
    </row>
    <row r="404" spans="47:47">
      <c r="AU404" s="75" t="s">
        <v>1265</v>
      </c>
    </row>
    <row r="405" spans="47:47">
      <c r="AU405" s="75" t="s">
        <v>1200</v>
      </c>
    </row>
    <row r="406" spans="47:47">
      <c r="AU406" s="75" t="s">
        <v>1123</v>
      </c>
    </row>
    <row r="407" spans="47:47">
      <c r="AU407" s="75" t="s">
        <v>1161</v>
      </c>
    </row>
    <row r="408" spans="47:47">
      <c r="AU408" s="75" t="s">
        <v>1242</v>
      </c>
    </row>
    <row r="409" spans="47:47">
      <c r="AU409" s="75" t="s">
        <v>1102</v>
      </c>
    </row>
    <row r="410" spans="47:47">
      <c r="AU410" s="75" t="s">
        <v>1186</v>
      </c>
    </row>
    <row r="411" spans="47:47">
      <c r="AU411" s="75" t="s">
        <v>1172</v>
      </c>
    </row>
    <row r="412" spans="47:47">
      <c r="AU412" s="75" t="s">
        <v>1193</v>
      </c>
    </row>
    <row r="413" spans="47:47">
      <c r="AU413" s="75" t="s">
        <v>1151</v>
      </c>
    </row>
    <row r="414" spans="47:47">
      <c r="AU414" s="75" t="s">
        <v>1257</v>
      </c>
    </row>
    <row r="415" spans="47:47">
      <c r="AU415" s="75" t="s">
        <v>1093</v>
      </c>
    </row>
    <row r="416" spans="47:47">
      <c r="AU416" s="75" t="s">
        <v>1179</v>
      </c>
    </row>
    <row r="417" spans="47:47">
      <c r="AU417" s="75" t="s">
        <v>1218</v>
      </c>
    </row>
    <row r="418" spans="47:47">
      <c r="AU418" s="75" t="s">
        <v>1226</v>
      </c>
    </row>
    <row r="419" spans="47:47">
      <c r="AU419" s="75" t="s">
        <v>1250</v>
      </c>
    </row>
    <row r="420" spans="47:47">
      <c r="AU420" s="75" t="s">
        <v>582</v>
      </c>
    </row>
    <row r="421" spans="47:47">
      <c r="AU421" s="75" t="s">
        <v>411</v>
      </c>
    </row>
    <row r="422" spans="47:47">
      <c r="AU422" s="75" t="s">
        <v>1234</v>
      </c>
    </row>
    <row r="423" spans="47:47">
      <c r="AU423" s="75" t="s">
        <v>1144</v>
      </c>
    </row>
    <row r="424" spans="47:47">
      <c r="AU424" s="75" t="s">
        <v>1273</v>
      </c>
    </row>
    <row r="425" spans="47:47">
      <c r="AU425" s="75" t="s">
        <v>1109</v>
      </c>
    </row>
    <row r="426" spans="47:47">
      <c r="AU426" s="75" t="s">
        <v>1488</v>
      </c>
    </row>
    <row r="427" spans="47:47">
      <c r="AU427" s="75" t="s">
        <v>3130</v>
      </c>
    </row>
    <row r="428" spans="47:47">
      <c r="AU428" s="198" t="s">
        <v>2800</v>
      </c>
    </row>
    <row r="429" spans="47:47">
      <c r="AU429" s="198" t="s">
        <v>2807</v>
      </c>
    </row>
    <row r="430" spans="47:47">
      <c r="AU430" s="198" t="s">
        <v>2727</v>
      </c>
    </row>
    <row r="431" spans="47:47">
      <c r="AU431" s="198" t="s">
        <v>2828</v>
      </c>
    </row>
    <row r="432" spans="47:47">
      <c r="AU432" s="198" t="s">
        <v>2765</v>
      </c>
    </row>
    <row r="433" spans="47:47">
      <c r="AU433" s="198" t="s">
        <v>2675</v>
      </c>
    </row>
    <row r="434" spans="47:47">
      <c r="AU434" s="198" t="s">
        <v>2720</v>
      </c>
    </row>
    <row r="435" spans="47:47">
      <c r="AU435" s="198" t="s">
        <v>2849</v>
      </c>
    </row>
    <row r="436" spans="47:47">
      <c r="AU436" s="198" t="s">
        <v>2835</v>
      </c>
    </row>
    <row r="437" spans="47:47">
      <c r="AU437" s="198" t="s">
        <v>2742</v>
      </c>
    </row>
    <row r="438" spans="47:47">
      <c r="AU438" s="198" t="s">
        <v>2842</v>
      </c>
    </row>
    <row r="439" spans="47:47">
      <c r="AU439" s="198" t="s">
        <v>2753</v>
      </c>
    </row>
    <row r="440" spans="47:47">
      <c r="AU440" s="198" t="s">
        <v>2814</v>
      </c>
    </row>
    <row r="441" spans="47:47">
      <c r="AU441" s="198" t="s">
        <v>2759</v>
      </c>
    </row>
    <row r="442" spans="47:47">
      <c r="AU442" s="198" t="s">
        <v>2786</v>
      </c>
    </row>
    <row r="443" spans="47:47">
      <c r="AU443" s="198" t="s">
        <v>2779</v>
      </c>
    </row>
    <row r="444" spans="47:47">
      <c r="AU444" s="198" t="s">
        <v>2682</v>
      </c>
    </row>
    <row r="445" spans="47:47">
      <c r="AU445" s="198" t="s">
        <v>2856</v>
      </c>
    </row>
    <row r="446" spans="47:47">
      <c r="AU446" s="198" t="s">
        <v>2821</v>
      </c>
    </row>
    <row r="447" spans="47:47">
      <c r="AU447" s="198" t="s">
        <v>2735</v>
      </c>
    </row>
    <row r="448" spans="47:47">
      <c r="AU448" s="198" t="s">
        <v>2748</v>
      </c>
    </row>
    <row r="449" spans="47:47">
      <c r="AU449" s="198" t="s">
        <v>2704</v>
      </c>
    </row>
    <row r="450" spans="47:47">
      <c r="AU450" s="198" t="s">
        <v>2772</v>
      </c>
    </row>
    <row r="451" spans="47:47">
      <c r="AU451" s="198" t="s">
        <v>2793</v>
      </c>
    </row>
    <row r="452" spans="47:47">
      <c r="AU452" s="198" t="s">
        <v>2689</v>
      </c>
    </row>
    <row r="453" spans="47:47">
      <c r="AU453" s="198" t="s">
        <v>2712</v>
      </c>
    </row>
    <row r="454" spans="47:47">
      <c r="AU454" s="198" t="s">
        <v>2696</v>
      </c>
    </row>
    <row r="455" spans="47:47">
      <c r="AU455" s="94" t="s">
        <v>1534</v>
      </c>
    </row>
    <row r="456" spans="47:47">
      <c r="AU456" s="94" t="s">
        <v>1538</v>
      </c>
    </row>
    <row r="457" spans="47:47">
      <c r="AU457" s="94" t="s">
        <v>1602</v>
      </c>
    </row>
    <row r="458" spans="47:47">
      <c r="AU458" s="94" t="s">
        <v>1605</v>
      </c>
    </row>
    <row r="459" spans="47:47">
      <c r="AU459" s="94" t="s">
        <v>3090</v>
      </c>
    </row>
    <row r="460" spans="47:47">
      <c r="AU460" s="94" t="s">
        <v>3084</v>
      </c>
    </row>
    <row r="461" spans="47:47">
      <c r="AU461" s="94" t="s">
        <v>3072</v>
      </c>
    </row>
    <row r="462" spans="47:47">
      <c r="AU462" s="94" t="s">
        <v>3066</v>
      </c>
    </row>
    <row r="463" spans="47:47">
      <c r="AU463" s="94" t="s">
        <v>3036</v>
      </c>
    </row>
    <row r="464" spans="47:47">
      <c r="AU464" s="94" t="s">
        <v>3029</v>
      </c>
    </row>
    <row r="465" spans="47:47">
      <c r="AU465" s="94" t="s">
        <v>3022</v>
      </c>
    </row>
    <row r="466" spans="47:47">
      <c r="AU466" s="94" t="s">
        <v>1615</v>
      </c>
    </row>
    <row r="467" spans="47:47">
      <c r="AU467" s="94" t="s">
        <v>1619</v>
      </c>
    </row>
    <row r="468" spans="47:47">
      <c r="AU468" s="94" t="s">
        <v>1623</v>
      </c>
    </row>
    <row r="469" spans="47:47">
      <c r="AU469" s="94" t="s">
        <v>1627</v>
      </c>
    </row>
    <row r="470" spans="47:47">
      <c r="AU470" s="94" t="s">
        <v>1631</v>
      </c>
    </row>
    <row r="471" spans="47:47">
      <c r="AU471" s="94" t="s">
        <v>1635</v>
      </c>
    </row>
    <row r="472" spans="47:47">
      <c r="AU472" s="94" t="s">
        <v>1639</v>
      </c>
    </row>
    <row r="473" spans="47:47">
      <c r="AU473" s="94" t="s">
        <v>1643</v>
      </c>
    </row>
    <row r="474" spans="47:47">
      <c r="AU474" s="94" t="s">
        <v>1646</v>
      </c>
    </row>
    <row r="475" spans="47:47">
      <c r="AU475" s="94" t="s">
        <v>1650</v>
      </c>
    </row>
    <row r="476" spans="47:47">
      <c r="AU476" s="94" t="s">
        <v>3078</v>
      </c>
    </row>
    <row r="477" spans="47:47">
      <c r="AU477" s="94" t="s">
        <v>3060</v>
      </c>
    </row>
    <row r="503" spans="47:47">
      <c r="AU503" s="75" t="s">
        <v>1690</v>
      </c>
    </row>
    <row r="504" spans="47:47">
      <c r="AU504" s="94" t="s">
        <v>1699</v>
      </c>
    </row>
    <row r="505" spans="47:47">
      <c r="AU505" s="94" t="s">
        <v>1707</v>
      </c>
    </row>
    <row r="506" spans="47:47">
      <c r="AU506" s="94" t="s">
        <v>1333</v>
      </c>
    </row>
    <row r="507" spans="47:47">
      <c r="AU507" s="94" t="s">
        <v>1337</v>
      </c>
    </row>
    <row r="508" spans="47:47">
      <c r="AU508" s="94" t="s">
        <v>1341</v>
      </c>
    </row>
    <row r="509" spans="47:47">
      <c r="AU509" s="94" t="s">
        <v>1345</v>
      </c>
    </row>
    <row r="510" spans="47:47">
      <c r="AU510" s="94" t="s">
        <v>1325</v>
      </c>
    </row>
    <row r="511" spans="47:47">
      <c r="AU511" s="94" t="s">
        <v>1329</v>
      </c>
    </row>
    <row r="512" spans="47:47">
      <c r="AU512" s="94" t="s">
        <v>1349</v>
      </c>
    </row>
    <row r="513" spans="47:47">
      <c r="AU513" s="94" t="s">
        <v>1353</v>
      </c>
    </row>
    <row r="514" spans="47:47">
      <c r="AU514" s="94" t="s">
        <v>1775</v>
      </c>
    </row>
    <row r="515" spans="47:47">
      <c r="AU515" s="94" t="s">
        <v>1285</v>
      </c>
    </row>
    <row r="516" spans="47:47">
      <c r="AU516" s="94" t="s">
        <v>1289</v>
      </c>
    </row>
    <row r="517" spans="47:47">
      <c r="AU517" s="94" t="s">
        <v>1293</v>
      </c>
    </row>
    <row r="518" spans="47:47">
      <c r="AU518" s="94" t="s">
        <v>1297</v>
      </c>
    </row>
    <row r="519" spans="47:47">
      <c r="AU519" s="94" t="s">
        <v>1309</v>
      </c>
    </row>
    <row r="520" spans="47:47">
      <c r="AU520" s="94" t="s">
        <v>1313</v>
      </c>
    </row>
    <row r="521" spans="47:47">
      <c r="AU521" s="94" t="s">
        <v>1825</v>
      </c>
    </row>
    <row r="522" spans="47:47">
      <c r="AU522" s="94" t="s">
        <v>1834</v>
      </c>
    </row>
    <row r="523" spans="47:47">
      <c r="AU523" s="94" t="s">
        <v>1843</v>
      </c>
    </row>
    <row r="524" spans="47:47">
      <c r="AU524" s="94" t="s">
        <v>1851</v>
      </c>
    </row>
    <row r="525" spans="47:47">
      <c r="AU525" s="94" t="s">
        <v>1859</v>
      </c>
    </row>
    <row r="526" spans="47:47">
      <c r="AU526" s="94" t="s">
        <v>1448</v>
      </c>
    </row>
    <row r="527" spans="47:47">
      <c r="AU527" s="94" t="s">
        <v>1452</v>
      </c>
    </row>
    <row r="528" spans="47:47">
      <c r="AU528" s="94" t="s">
        <v>1317</v>
      </c>
    </row>
    <row r="529" spans="47:47">
      <c r="AU529" s="94" t="s">
        <v>1321</v>
      </c>
    </row>
    <row r="530" spans="47:47">
      <c r="AU530" s="94" t="s">
        <v>1441</v>
      </c>
    </row>
    <row r="531" spans="47:47">
      <c r="AU531" s="94" t="s">
        <v>1445</v>
      </c>
    </row>
    <row r="532" spans="47:47">
      <c r="AU532" s="94" t="s">
        <v>1276</v>
      </c>
    </row>
    <row r="533" spans="47:47">
      <c r="AU533" s="94" t="s">
        <v>1280</v>
      </c>
    </row>
    <row r="534" spans="47:47">
      <c r="AU534" s="94" t="s">
        <v>1301</v>
      </c>
    </row>
    <row r="535" spans="47:47">
      <c r="AU535" s="94" t="s">
        <v>1305</v>
      </c>
    </row>
    <row r="536" spans="47:47">
      <c r="AU536" s="94" t="s">
        <v>1434</v>
      </c>
    </row>
    <row r="537" spans="47:47">
      <c r="AU537" s="94" t="s">
        <v>1438</v>
      </c>
    </row>
    <row r="538" spans="47:47">
      <c r="AU538" s="94" t="s">
        <v>1427</v>
      </c>
    </row>
    <row r="539" spans="47:47">
      <c r="AU539" s="94" t="s">
        <v>1431</v>
      </c>
    </row>
    <row r="540" spans="47:47">
      <c r="AU540" s="94" t="s">
        <v>1424</v>
      </c>
    </row>
    <row r="541" spans="47:47">
      <c r="AU541" s="94" t="s">
        <v>1420</v>
      </c>
    </row>
    <row r="542" spans="47:47">
      <c r="AU542" s="94" t="s">
        <v>1413</v>
      </c>
    </row>
    <row r="543" spans="47:47">
      <c r="AU543" s="94" t="s">
        <v>1417</v>
      </c>
    </row>
    <row r="544" spans="47:47">
      <c r="AU544" s="94" t="s">
        <v>1406</v>
      </c>
    </row>
    <row r="545" spans="47:47">
      <c r="AU545" s="94" t="s">
        <v>1410</v>
      </c>
    </row>
    <row r="546" spans="47:47">
      <c r="AU546" s="94" t="s">
        <v>1399</v>
      </c>
    </row>
    <row r="547" spans="47:47">
      <c r="AU547" s="94" t="s">
        <v>1403</v>
      </c>
    </row>
    <row r="548" spans="47:47">
      <c r="AU548" s="94" t="s">
        <v>1392</v>
      </c>
    </row>
    <row r="549" spans="47:47">
      <c r="AU549" s="94" t="s">
        <v>1396</v>
      </c>
    </row>
    <row r="550" spans="47:47">
      <c r="AU550" s="94" t="s">
        <v>1385</v>
      </c>
    </row>
    <row r="551" spans="47:47">
      <c r="AU551" s="94" t="s">
        <v>1389</v>
      </c>
    </row>
    <row r="552" spans="47:47">
      <c r="AU552" s="94" t="s">
        <v>1378</v>
      </c>
    </row>
    <row r="553" spans="47:47">
      <c r="AU553" s="94" t="s">
        <v>1382</v>
      </c>
    </row>
    <row r="554" spans="47:47">
      <c r="AU554" s="94" t="s">
        <v>1371</v>
      </c>
    </row>
    <row r="555" spans="47:47">
      <c r="AU555" s="94" t="s">
        <v>1375</v>
      </c>
    </row>
    <row r="556" spans="47:47">
      <c r="AU556" s="94" t="s">
        <v>1364</v>
      </c>
    </row>
    <row r="557" spans="47:47">
      <c r="AU557" s="94" t="s">
        <v>2090</v>
      </c>
    </row>
    <row r="558" spans="47:47">
      <c r="AU558" s="94" t="s">
        <v>1357</v>
      </c>
    </row>
    <row r="559" spans="47:47">
      <c r="AU559" s="94" t="s">
        <v>1361</v>
      </c>
    </row>
    <row r="560" spans="47:47">
      <c r="AU560" s="94" t="s">
        <v>943</v>
      </c>
    </row>
    <row r="561" spans="47:47">
      <c r="AU561" s="94" t="s">
        <v>947</v>
      </c>
    </row>
    <row r="562" spans="47:47">
      <c r="AU562" s="94" t="s">
        <v>873</v>
      </c>
    </row>
    <row r="563" spans="47:47">
      <c r="AU563" s="94" t="s">
        <v>877</v>
      </c>
    </row>
    <row r="564" spans="47:47">
      <c r="AU564" s="94" t="s">
        <v>2143</v>
      </c>
    </row>
    <row r="565" spans="47:47">
      <c r="AU565" s="94" t="s">
        <v>2150</v>
      </c>
    </row>
    <row r="566" spans="47:47">
      <c r="AU566" s="94" t="s">
        <v>2158</v>
      </c>
    </row>
    <row r="567" spans="47:47">
      <c r="AU567" s="94" t="s">
        <v>2166</v>
      </c>
    </row>
    <row r="568" spans="47:47">
      <c r="AU568" s="94" t="s">
        <v>971</v>
      </c>
    </row>
    <row r="569" spans="47:47">
      <c r="AU569" s="94" t="s">
        <v>975</v>
      </c>
    </row>
    <row r="570" spans="47:47">
      <c r="AU570" s="94" t="s">
        <v>2185</v>
      </c>
    </row>
    <row r="571" spans="47:47">
      <c r="AU571" s="94" t="s">
        <v>2193</v>
      </c>
    </row>
    <row r="572" spans="47:47">
      <c r="AU572" s="94" t="s">
        <v>2201</v>
      </c>
    </row>
    <row r="573" spans="47:47">
      <c r="AU573" s="94" t="s">
        <v>2209</v>
      </c>
    </row>
    <row r="574" spans="47:47">
      <c r="AU574" s="94" t="s">
        <v>2217</v>
      </c>
    </row>
    <row r="575" spans="47:47">
      <c r="AU575" s="94" t="s">
        <v>2225</v>
      </c>
    </row>
    <row r="576" spans="47:47">
      <c r="AU576" s="94" t="s">
        <v>2233</v>
      </c>
    </row>
    <row r="577" spans="47:47">
      <c r="AU577" s="94" t="s">
        <v>2241</v>
      </c>
    </row>
    <row r="578" spans="47:47">
      <c r="AU578" s="94" t="s">
        <v>2249</v>
      </c>
    </row>
    <row r="579" spans="47:47">
      <c r="AU579" s="94" t="s">
        <v>2257</v>
      </c>
    </row>
    <row r="580" spans="47:47">
      <c r="AU580" s="75" t="s">
        <v>3125</v>
      </c>
    </row>
    <row r="581" spans="47:47">
      <c r="AU581" s="94" t="s">
        <v>3119</v>
      </c>
    </row>
    <row r="582" spans="47:47">
      <c r="AU582" s="94" t="s">
        <v>3113</v>
      </c>
    </row>
    <row r="583" spans="47:47">
      <c r="AU583" s="94" t="s">
        <v>3048</v>
      </c>
    </row>
    <row r="584" spans="47:47">
      <c r="AU584" s="94" t="s">
        <v>1526</v>
      </c>
    </row>
    <row r="585" spans="47:47">
      <c r="AU585" s="94" t="s">
        <v>1530</v>
      </c>
    </row>
    <row r="586" spans="47:47">
      <c r="AU586" s="94" t="s">
        <v>1519</v>
      </c>
    </row>
    <row r="587" spans="47:47">
      <c r="AU587" s="94" t="s">
        <v>1523</v>
      </c>
    </row>
    <row r="588" spans="47:47">
      <c r="AU588" s="94" t="s">
        <v>1512</v>
      </c>
    </row>
    <row r="589" spans="47:47">
      <c r="AU589" s="94" t="s">
        <v>1516</v>
      </c>
    </row>
    <row r="590" spans="47:47">
      <c r="AU590" s="94" t="s">
        <v>1608</v>
      </c>
    </row>
    <row r="591" spans="47:47">
      <c r="AU591" s="94" t="s">
        <v>1612</v>
      </c>
    </row>
    <row r="592" spans="47:47">
      <c r="AU592" s="94" t="s">
        <v>1588</v>
      </c>
    </row>
    <row r="593" spans="47:47">
      <c r="AU593" s="94" t="s">
        <v>1592</v>
      </c>
    </row>
    <row r="594" spans="47:47">
      <c r="AU594" s="94" t="s">
        <v>1505</v>
      </c>
    </row>
    <row r="595" spans="47:47">
      <c r="AU595" s="94" t="s">
        <v>1509</v>
      </c>
    </row>
    <row r="596" spans="47:47">
      <c r="AU596" s="94" t="s">
        <v>1581</v>
      </c>
    </row>
    <row r="597" spans="47:47">
      <c r="AU597" s="94" t="s">
        <v>1585</v>
      </c>
    </row>
    <row r="598" spans="47:47">
      <c r="AU598" s="94" t="s">
        <v>1498</v>
      </c>
    </row>
    <row r="599" spans="47:47">
      <c r="AU599" s="94" t="s">
        <v>1502</v>
      </c>
    </row>
    <row r="600" spans="47:47">
      <c r="AU600" s="94" t="s">
        <v>1491</v>
      </c>
    </row>
    <row r="601" spans="47:47">
      <c r="AU601" s="94" t="s">
        <v>1495</v>
      </c>
    </row>
    <row r="602" spans="47:47">
      <c r="AU602" s="94" t="s">
        <v>3107</v>
      </c>
    </row>
    <row r="603" spans="47:47">
      <c r="AU603" s="94" t="s">
        <v>3096</v>
      </c>
    </row>
    <row r="604" spans="47:47">
      <c r="AU604" s="94" t="s">
        <v>3042</v>
      </c>
    </row>
    <row r="605" spans="47:47">
      <c r="AU605" s="94" t="s">
        <v>3054</v>
      </c>
    </row>
    <row r="606" spans="47:47">
      <c r="AU606" s="94" t="s">
        <v>1595</v>
      </c>
    </row>
    <row r="607" spans="47:47">
      <c r="AU607" s="94" t="s">
        <v>1599</v>
      </c>
    </row>
    <row r="608" spans="47:47">
      <c r="AU608" s="94" t="s">
        <v>1574</v>
      </c>
    </row>
    <row r="609" spans="47:47">
      <c r="AU609" s="94" t="s">
        <v>1578</v>
      </c>
    </row>
    <row r="610" spans="47:47">
      <c r="AU610" s="94" t="s">
        <v>1566</v>
      </c>
    </row>
    <row r="611" spans="47:47">
      <c r="AU611" s="94" t="s">
        <v>1570</v>
      </c>
    </row>
    <row r="612" spans="47:47">
      <c r="AU612" s="94" t="s">
        <v>1477</v>
      </c>
    </row>
    <row r="613" spans="47:47">
      <c r="AU613" s="94" t="s">
        <v>1481</v>
      </c>
    </row>
    <row r="614" spans="47:47">
      <c r="AU614" s="94" t="s">
        <v>1558</v>
      </c>
    </row>
    <row r="615" spans="47:47">
      <c r="AU615" s="94" t="s">
        <v>1562</v>
      </c>
    </row>
    <row r="616" spans="47:47">
      <c r="AU616" s="94" t="s">
        <v>1550</v>
      </c>
    </row>
    <row r="617" spans="47:47">
      <c r="AU617" s="94" t="s">
        <v>1554</v>
      </c>
    </row>
    <row r="618" spans="47:47">
      <c r="AU618" s="94" t="s">
        <v>1470</v>
      </c>
    </row>
    <row r="619" spans="47:47">
      <c r="AU619" s="94" t="s">
        <v>1474</v>
      </c>
    </row>
    <row r="620" spans="47:47">
      <c r="AU620" s="94" t="s">
        <v>1463</v>
      </c>
    </row>
    <row r="621" spans="47:47">
      <c r="AU621" s="94" t="s">
        <v>1467</v>
      </c>
    </row>
    <row r="622" spans="47:47">
      <c r="AU622" s="94" t="s">
        <v>1455</v>
      </c>
    </row>
    <row r="623" spans="47:47">
      <c r="AU623" s="94" t="s">
        <v>1459</v>
      </c>
    </row>
    <row r="624" spans="47:47">
      <c r="AU624" s="94" t="s">
        <v>1542</v>
      </c>
    </row>
    <row r="625" spans="47:47">
      <c r="AU625" s="94" t="s">
        <v>1546</v>
      </c>
    </row>
    <row r="626" spans="47:47">
      <c r="AU626" s="94" t="s">
        <v>1534</v>
      </c>
    </row>
    <row r="627" spans="47:47">
      <c r="AU627" s="94" t="s">
        <v>1538</v>
      </c>
    </row>
    <row r="628" spans="47:47">
      <c r="AU628" s="94" t="s">
        <v>1602</v>
      </c>
    </row>
    <row r="629" spans="47:47">
      <c r="AU629" s="94" t="s">
        <v>1605</v>
      </c>
    </row>
    <row r="630" spans="47:47">
      <c r="AU630" s="94" t="s">
        <v>3090</v>
      </c>
    </row>
    <row r="631" spans="47:47">
      <c r="AU631" s="94" t="s">
        <v>3084</v>
      </c>
    </row>
    <row r="632" spans="47:47">
      <c r="AU632" s="94" t="s">
        <v>3072</v>
      </c>
    </row>
    <row r="633" spans="47:47">
      <c r="AU633" s="94" t="s">
        <v>3066</v>
      </c>
    </row>
    <row r="634" spans="47:47">
      <c r="AU634" s="94" t="s">
        <v>3036</v>
      </c>
    </row>
    <row r="635" spans="47:47">
      <c r="AU635" s="94" t="s">
        <v>3029</v>
      </c>
    </row>
    <row r="636" spans="47:47">
      <c r="AU636" s="94" t="s">
        <v>3022</v>
      </c>
    </row>
    <row r="637" spans="47:47">
      <c r="AU637" s="94" t="s">
        <v>1615</v>
      </c>
    </row>
    <row r="638" spans="47:47">
      <c r="AU638" s="94" t="s">
        <v>1619</v>
      </c>
    </row>
    <row r="639" spans="47:47">
      <c r="AU639" s="94" t="s">
        <v>1623</v>
      </c>
    </row>
    <row r="640" spans="47:47">
      <c r="AU640" s="94" t="s">
        <v>1627</v>
      </c>
    </row>
    <row r="641" spans="47:47">
      <c r="AU641" s="94" t="s">
        <v>1631</v>
      </c>
    </row>
    <row r="642" spans="47:47">
      <c r="AU642" s="94" t="s">
        <v>1635</v>
      </c>
    </row>
    <row r="643" spans="47:47">
      <c r="AU643" s="94" t="s">
        <v>1639</v>
      </c>
    </row>
    <row r="644" spans="47:47">
      <c r="AU644" s="94" t="s">
        <v>1643</v>
      </c>
    </row>
    <row r="645" spans="47:47">
      <c r="AU645" s="94" t="s">
        <v>1646</v>
      </c>
    </row>
    <row r="646" spans="47:47">
      <c r="AU646" s="94" t="s">
        <v>1650</v>
      </c>
    </row>
    <row r="647" spans="47:47">
      <c r="AU647" s="94" t="s">
        <v>3078</v>
      </c>
    </row>
    <row r="648" spans="47:47">
      <c r="AU648" s="94" t="s">
        <v>3060</v>
      </c>
    </row>
    <row r="649" spans="47:47">
      <c r="AU649" s="75" t="s">
        <v>3131</v>
      </c>
    </row>
    <row r="650" spans="47:47">
      <c r="AU650" s="94" t="s">
        <v>207</v>
      </c>
    </row>
    <row r="651" spans="47:47">
      <c r="AU651" s="94" t="s">
        <v>248</v>
      </c>
    </row>
    <row r="652" spans="47:47">
      <c r="AU652" s="94" t="s">
        <v>230</v>
      </c>
    </row>
    <row r="653" spans="47:47">
      <c r="AU653" s="94" t="s">
        <v>222</v>
      </c>
    </row>
    <row r="654" spans="47:47">
      <c r="AU654" s="94" t="s">
        <v>178</v>
      </c>
    </row>
    <row r="655" spans="47:47">
      <c r="AU655" s="94" t="s">
        <v>205</v>
      </c>
    </row>
    <row r="656" spans="47:47">
      <c r="AU656" s="94" t="s">
        <v>187</v>
      </c>
    </row>
    <row r="657" spans="47:47">
      <c r="AU657" s="94" t="s">
        <v>198</v>
      </c>
    </row>
    <row r="658" spans="47:47">
      <c r="AU658" s="94" t="s">
        <v>215</v>
      </c>
    </row>
    <row r="659" spans="47:47">
      <c r="AU659" s="94" t="s">
        <v>300</v>
      </c>
    </row>
    <row r="660" spans="47:47">
      <c r="AU660" s="94" t="s">
        <v>280</v>
      </c>
    </row>
    <row r="661" spans="47:47">
      <c r="AU661" s="94" t="s">
        <v>331</v>
      </c>
    </row>
    <row r="662" spans="47:47">
      <c r="AU662" s="94" t="s">
        <v>316</v>
      </c>
    </row>
    <row r="663" spans="47:47">
      <c r="AU663" s="94" t="s">
        <v>289</v>
      </c>
    </row>
    <row r="664" spans="47:47">
      <c r="AU664" s="94" t="s">
        <v>366</v>
      </c>
    </row>
    <row r="665" spans="47:47">
      <c r="AU665" s="94" t="s">
        <v>185</v>
      </c>
    </row>
    <row r="666" spans="47:47">
      <c r="AU666" s="94" t="s">
        <v>385</v>
      </c>
    </row>
    <row r="667" spans="47:47">
      <c r="AU667" s="94" t="s">
        <v>426</v>
      </c>
    </row>
    <row r="668" spans="47:47">
      <c r="AU668" s="94" t="s">
        <v>196</v>
      </c>
    </row>
    <row r="669" spans="47:47">
      <c r="AU669" s="94" t="s">
        <v>387</v>
      </c>
    </row>
    <row r="670" spans="47:47">
      <c r="AU670" s="94" t="s">
        <v>307</v>
      </c>
    </row>
    <row r="671" spans="47:47">
      <c r="AU671" s="94" t="s">
        <v>238</v>
      </c>
    </row>
    <row r="672" spans="47:47">
      <c r="AU672" s="94" t="s">
        <v>246</v>
      </c>
    </row>
    <row r="673" spans="47:47">
      <c r="AU673" s="94" t="s">
        <v>298</v>
      </c>
    </row>
    <row r="674" spans="47:47">
      <c r="AU674" s="94" t="s">
        <v>282</v>
      </c>
    </row>
    <row r="675" spans="47:47">
      <c r="AU675" s="94" t="s">
        <v>357</v>
      </c>
    </row>
    <row r="676" spans="47:47">
      <c r="AU676" s="94" t="s">
        <v>378</v>
      </c>
    </row>
    <row r="677" spans="47:47">
      <c r="AU677" s="94" t="s">
        <v>291</v>
      </c>
    </row>
    <row r="678" spans="47:47">
      <c r="AU678" s="94" t="s">
        <v>351</v>
      </c>
    </row>
    <row r="679" spans="47:47">
      <c r="AU679" s="94" t="s">
        <v>256</v>
      </c>
    </row>
    <row r="680" spans="47:47">
      <c r="AU680" s="94" t="s">
        <v>359</v>
      </c>
    </row>
    <row r="681" spans="47:47">
      <c r="AU681" s="94" t="s">
        <v>420</v>
      </c>
    </row>
    <row r="682" spans="47:47">
      <c r="AU682" s="94" t="s">
        <v>227</v>
      </c>
    </row>
    <row r="683" spans="47:47">
      <c r="AU683" s="94" t="s">
        <v>211</v>
      </c>
    </row>
    <row r="684" spans="47:47">
      <c r="AU684" s="94" t="s">
        <v>192</v>
      </c>
    </row>
    <row r="685" spans="47:47">
      <c r="AU685" s="94" t="s">
        <v>252</v>
      </c>
    </row>
    <row r="686" spans="47:47">
      <c r="AU686" s="94" t="s">
        <v>219</v>
      </c>
    </row>
    <row r="687" spans="47:47">
      <c r="AU687" s="94" t="s">
        <v>243</v>
      </c>
    </row>
    <row r="688" spans="47:47">
      <c r="AU688" s="94" t="s">
        <v>235</v>
      </c>
    </row>
    <row r="689" spans="47:47">
      <c r="AU689" s="94" t="s">
        <v>202</v>
      </c>
    </row>
    <row r="690" spans="47:47">
      <c r="AU690" s="94" t="s">
        <v>327</v>
      </c>
    </row>
    <row r="691" spans="47:47">
      <c r="AU691" s="94" t="s">
        <v>286</v>
      </c>
    </row>
    <row r="692" spans="47:47">
      <c r="AU692" s="94" t="s">
        <v>397</v>
      </c>
    </row>
    <row r="693" spans="47:47">
      <c r="AU693" s="94" t="s">
        <v>431</v>
      </c>
    </row>
    <row r="694" spans="47:47">
      <c r="AU694" s="94" t="s">
        <v>376</v>
      </c>
    </row>
    <row r="695" spans="47:47">
      <c r="AU695" s="94" t="s">
        <v>304</v>
      </c>
    </row>
    <row r="696" spans="47:47">
      <c r="AU696" s="94" t="s">
        <v>391</v>
      </c>
    </row>
    <row r="697" spans="47:47">
      <c r="AU697" s="94" t="s">
        <v>355</v>
      </c>
    </row>
    <row r="698" spans="47:47">
      <c r="AU698" s="94" t="s">
        <v>424</v>
      </c>
    </row>
    <row r="699" spans="47:47">
      <c r="AU699" s="94" t="s">
        <v>260</v>
      </c>
    </row>
    <row r="700" spans="47:47">
      <c r="AU700" s="94" t="s">
        <v>335</v>
      </c>
    </row>
    <row r="701" spans="47:47">
      <c r="AU701" s="94" t="s">
        <v>403</v>
      </c>
    </row>
    <row r="702" spans="47:47">
      <c r="AU702" s="94" t="s">
        <v>370</v>
      </c>
    </row>
    <row r="703" spans="47:47">
      <c r="AU703" s="94" t="s">
        <v>270</v>
      </c>
    </row>
    <row r="704" spans="47:47">
      <c r="AU704" s="94" t="s">
        <v>295</v>
      </c>
    </row>
    <row r="705" spans="47:47">
      <c r="AU705" s="94" t="s">
        <v>417</v>
      </c>
    </row>
    <row r="706" spans="47:47">
      <c r="AU706" s="94" t="s">
        <v>312</v>
      </c>
    </row>
    <row r="707" spans="47:47">
      <c r="AU707" s="94" t="s">
        <v>277</v>
      </c>
    </row>
    <row r="708" spans="47:47">
      <c r="AU708" s="94" t="s">
        <v>348</v>
      </c>
    </row>
    <row r="709" spans="47:47">
      <c r="AU709" s="94" t="s">
        <v>383</v>
      </c>
    </row>
    <row r="710" spans="47:47">
      <c r="AU710" s="94" t="s">
        <v>363</v>
      </c>
    </row>
    <row r="711" spans="47:47">
      <c r="AU711" s="94" t="s">
        <v>342</v>
      </c>
    </row>
    <row r="712" spans="47:47">
      <c r="AU712" s="94" t="s">
        <v>320</v>
      </c>
    </row>
    <row r="713" spans="47:47">
      <c r="AU713" s="94" t="s">
        <v>182</v>
      </c>
    </row>
    <row r="714" spans="47:47">
      <c r="AU714" s="94" t="s">
        <v>1827</v>
      </c>
    </row>
    <row r="715" spans="47:47">
      <c r="AU715" s="94" t="s">
        <v>1869</v>
      </c>
    </row>
    <row r="716" spans="47:47">
      <c r="AU716" s="94" t="s">
        <v>1682</v>
      </c>
    </row>
    <row r="717" spans="47:47">
      <c r="AU717" s="94" t="s">
        <v>1709</v>
      </c>
    </row>
    <row r="718" spans="47:47">
      <c r="AU718" s="94" t="s">
        <v>1770</v>
      </c>
    </row>
    <row r="719" spans="47:47">
      <c r="AU719" s="94" t="s">
        <v>1701</v>
      </c>
    </row>
    <row r="720" spans="47:47">
      <c r="AU720" s="94" t="s">
        <v>1796</v>
      </c>
    </row>
    <row r="721" spans="47:47">
      <c r="AU721" s="94" t="s">
        <v>1740</v>
      </c>
    </row>
    <row r="722" spans="47:47">
      <c r="AU722" s="94" t="s">
        <v>1692</v>
      </c>
    </row>
    <row r="723" spans="47:47">
      <c r="AU723" s="94" t="s">
        <v>1818</v>
      </c>
    </row>
    <row r="724" spans="47:47">
      <c r="AU724" s="94" t="s">
        <v>1756</v>
      </c>
    </row>
    <row r="725" spans="47:47">
      <c r="AU725" s="94" t="s">
        <v>1804</v>
      </c>
    </row>
    <row r="726" spans="47:47">
      <c r="AU726" s="94" t="s">
        <v>1811</v>
      </c>
    </row>
    <row r="727" spans="47:47">
      <c r="AU727" s="94" t="s">
        <v>1783</v>
      </c>
    </row>
    <row r="728" spans="47:47">
      <c r="AU728" s="94" t="s">
        <v>1764</v>
      </c>
    </row>
    <row r="729" spans="47:47">
      <c r="AU729" s="94" t="s">
        <v>1717</v>
      </c>
    </row>
    <row r="730" spans="47:47">
      <c r="AU730" s="94" t="s">
        <v>1861</v>
      </c>
    </row>
    <row r="731" spans="47:47">
      <c r="AU731" s="94" t="s">
        <v>1789</v>
      </c>
    </row>
    <row r="732" spans="47:47">
      <c r="AU732" s="94" t="s">
        <v>1777</v>
      </c>
    </row>
    <row r="733" spans="47:47">
      <c r="AU733" s="94" t="s">
        <v>1732</v>
      </c>
    </row>
    <row r="734" spans="47:47">
      <c r="AU734" s="94" t="s">
        <v>1725</v>
      </c>
    </row>
    <row r="735" spans="47:47">
      <c r="AU735" s="94" t="s">
        <v>1853</v>
      </c>
    </row>
    <row r="736" spans="47:47">
      <c r="AU736" s="94" t="s">
        <v>1845</v>
      </c>
    </row>
    <row r="737" spans="47:47">
      <c r="AU737" s="94" t="s">
        <v>1748</v>
      </c>
    </row>
    <row r="738" spans="47:47">
      <c r="AU738" s="94" t="s">
        <v>526</v>
      </c>
    </row>
    <row r="739" spans="47:47">
      <c r="AU739" s="94" t="s">
        <v>485</v>
      </c>
    </row>
    <row r="740" spans="47:47">
      <c r="AU740" s="94" t="s">
        <v>467</v>
      </c>
    </row>
    <row r="741" spans="47:47">
      <c r="AU741" s="94" t="s">
        <v>449</v>
      </c>
    </row>
    <row r="742" spans="47:47">
      <c r="AU742" s="94" t="s">
        <v>497</v>
      </c>
    </row>
    <row r="743" spans="47:47">
      <c r="AU743" s="94" t="s">
        <v>456</v>
      </c>
    </row>
    <row r="744" spans="47:47">
      <c r="AU744" s="94" t="s">
        <v>473</v>
      </c>
    </row>
    <row r="745" spans="47:47">
      <c r="AU745" s="94" t="s">
        <v>511</v>
      </c>
    </row>
    <row r="746" spans="47:47">
      <c r="AU746" s="94" t="s">
        <v>524</v>
      </c>
    </row>
    <row r="747" spans="47:47">
      <c r="AU747" s="94" t="s">
        <v>447</v>
      </c>
    </row>
    <row r="748" spans="47:47">
      <c r="AU748" s="94" t="s">
        <v>487</v>
      </c>
    </row>
    <row r="749" spans="47:47">
      <c r="AU749" s="94" t="s">
        <v>440</v>
      </c>
    </row>
    <row r="750" spans="47:47">
      <c r="AU750" s="94" t="s">
        <v>454</v>
      </c>
    </row>
    <row r="751" spans="47:47">
      <c r="AU751" s="94" t="s">
        <v>478</v>
      </c>
    </row>
    <row r="752" spans="47:47">
      <c r="AU752" s="94" t="s">
        <v>536</v>
      </c>
    </row>
    <row r="753" spans="47:47">
      <c r="AU753" s="94" t="s">
        <v>442</v>
      </c>
    </row>
    <row r="754" spans="47:47">
      <c r="AU754" s="94" t="s">
        <v>504</v>
      </c>
    </row>
    <row r="755" spans="47:47">
      <c r="AU755" s="94" t="s">
        <v>434</v>
      </c>
    </row>
    <row r="756" spans="47:47">
      <c r="AU756" s="94" t="s">
        <v>480</v>
      </c>
    </row>
    <row r="757" spans="47:47">
      <c r="AU757" s="94" t="s">
        <v>518</v>
      </c>
    </row>
    <row r="758" spans="47:47">
      <c r="AU758" s="94" t="s">
        <v>544</v>
      </c>
    </row>
    <row r="759" spans="47:47">
      <c r="AU759" s="94" t="s">
        <v>516</v>
      </c>
    </row>
    <row r="760" spans="47:47">
      <c r="AU760" s="94" t="s">
        <v>571</v>
      </c>
    </row>
    <row r="761" spans="47:47">
      <c r="AU761" s="94" t="s">
        <v>529</v>
      </c>
    </row>
    <row r="762" spans="47:47">
      <c r="AU762" s="94" t="s">
        <v>548</v>
      </c>
    </row>
    <row r="763" spans="47:47">
      <c r="AU763" s="94" t="s">
        <v>3132</v>
      </c>
    </row>
    <row r="764" spans="47:47">
      <c r="AU764" s="94" t="s">
        <v>514</v>
      </c>
    </row>
    <row r="765" spans="47:47">
      <c r="AU765" s="94" t="s">
        <v>470</v>
      </c>
    </row>
    <row r="766" spans="47:47">
      <c r="AU766" s="94" t="s">
        <v>483</v>
      </c>
    </row>
    <row r="767" spans="47:47">
      <c r="AU767" s="94" t="s">
        <v>459</v>
      </c>
    </row>
    <row r="768" spans="47:47">
      <c r="AU768" s="94" t="s">
        <v>464</v>
      </c>
    </row>
    <row r="769" spans="47:47">
      <c r="AU769" s="94" t="s">
        <v>490</v>
      </c>
    </row>
    <row r="770" spans="47:47">
      <c r="AU770" s="94" t="s">
        <v>553</v>
      </c>
    </row>
    <row r="771" spans="47:47">
      <c r="AU771" s="94" t="s">
        <v>452</v>
      </c>
    </row>
    <row r="772" spans="47:47">
      <c r="AU772" s="94" t="s">
        <v>502</v>
      </c>
    </row>
    <row r="773" spans="47:47">
      <c r="AU773" s="94" t="s">
        <v>476</v>
      </c>
    </row>
    <row r="774" spans="47:47">
      <c r="AU774" s="94" t="s">
        <v>534</v>
      </c>
    </row>
    <row r="775" spans="47:47">
      <c r="AU775" s="94" t="s">
        <v>495</v>
      </c>
    </row>
    <row r="776" spans="47:47">
      <c r="AU776" s="94" t="s">
        <v>563</v>
      </c>
    </row>
    <row r="777" spans="47:47">
      <c r="AU777" s="94" t="s">
        <v>437</v>
      </c>
    </row>
    <row r="778" spans="47:47">
      <c r="AU778" s="94" t="s">
        <v>522</v>
      </c>
    </row>
    <row r="779" spans="47:47">
      <c r="AU779" s="94" t="s">
        <v>568</v>
      </c>
    </row>
    <row r="780" spans="47:47">
      <c r="AU780" s="94" t="s">
        <v>558</v>
      </c>
    </row>
    <row r="781" spans="47:47">
      <c r="AU781" s="94" t="s">
        <v>445</v>
      </c>
    </row>
    <row r="782" spans="47:47">
      <c r="AU782" s="94" t="s">
        <v>541</v>
      </c>
    </row>
    <row r="783" spans="47:47">
      <c r="AU783" s="94" t="s">
        <v>575</v>
      </c>
    </row>
    <row r="784" spans="47:47">
      <c r="AU784" s="94" t="s">
        <v>1900</v>
      </c>
    </row>
    <row r="785" spans="47:47">
      <c r="AU785" s="94" t="s">
        <v>1877</v>
      </c>
    </row>
    <row r="786" spans="47:47">
      <c r="AU786" s="94" t="s">
        <v>1893</v>
      </c>
    </row>
    <row r="787" spans="47:47">
      <c r="AU787" s="94" t="s">
        <v>2055</v>
      </c>
    </row>
    <row r="788" spans="47:47">
      <c r="AU788" s="94" t="s">
        <v>1952</v>
      </c>
    </row>
    <row r="789" spans="47:47">
      <c r="AU789" s="94" t="s">
        <v>1924</v>
      </c>
    </row>
    <row r="790" spans="47:47">
      <c r="AU790" s="94" t="s">
        <v>1916</v>
      </c>
    </row>
    <row r="791" spans="47:47">
      <c r="AU791" s="94" t="s">
        <v>2047</v>
      </c>
    </row>
    <row r="792" spans="47:47">
      <c r="AU792" s="94" t="s">
        <v>1959</v>
      </c>
    </row>
    <row r="793" spans="47:47">
      <c r="AU793" s="94" t="s">
        <v>1999</v>
      </c>
    </row>
    <row r="794" spans="47:47">
      <c r="AU794" s="94" t="s">
        <v>1978</v>
      </c>
    </row>
    <row r="795" spans="47:47">
      <c r="AU795" s="94" t="s">
        <v>2005</v>
      </c>
    </row>
    <row r="796" spans="47:47">
      <c r="AU796" s="94" t="s">
        <v>1992</v>
      </c>
    </row>
    <row r="797" spans="47:47">
      <c r="AU797" s="94" t="s">
        <v>1939</v>
      </c>
    </row>
    <row r="798" spans="47:47">
      <c r="AU798" s="94" t="s">
        <v>1965</v>
      </c>
    </row>
    <row r="799" spans="47:47">
      <c r="AU799" s="94" t="s">
        <v>2019</v>
      </c>
    </row>
    <row r="800" spans="47:47">
      <c r="AU800" s="94" t="s">
        <v>2033</v>
      </c>
    </row>
    <row r="801" spans="47:47">
      <c r="AU801" s="94" t="s">
        <v>1985</v>
      </c>
    </row>
    <row r="802" spans="47:47">
      <c r="AU802" s="94" t="s">
        <v>2012</v>
      </c>
    </row>
    <row r="803" spans="47:47">
      <c r="AU803" s="94" t="s">
        <v>1946</v>
      </c>
    </row>
    <row r="804" spans="47:47">
      <c r="AU804" s="94" t="s">
        <v>2040</v>
      </c>
    </row>
    <row r="805" spans="47:47">
      <c r="AU805" s="94" t="s">
        <v>2026</v>
      </c>
    </row>
    <row r="806" spans="47:47">
      <c r="AU806" s="94" t="s">
        <v>1971</v>
      </c>
    </row>
    <row r="807" spans="47:47">
      <c r="AU807" s="94" t="s">
        <v>1885</v>
      </c>
    </row>
    <row r="808" spans="47:47">
      <c r="AU808" s="94" t="s">
        <v>1931</v>
      </c>
    </row>
    <row r="809" spans="47:47">
      <c r="AU809" s="94" t="s">
        <v>1908</v>
      </c>
    </row>
    <row r="810" spans="47:47">
      <c r="AU810" s="94" t="s">
        <v>2062</v>
      </c>
    </row>
    <row r="811" spans="47:47">
      <c r="AU811" s="94" t="s">
        <v>2069</v>
      </c>
    </row>
  </sheetData>
  <sheetProtection sheet="1" formatCells="0" formatColumns="0" formatRows="0" insertColumns="0" insertRows="0" insertHyperlinks="0" deleteColumns="0" deleteRows="0" sort="0" autoFilter="0" pivotTables="0"/>
  <protectedRanges>
    <protectedRange sqref="A1:O1048576" name="Range1"/>
  </protectedRanges>
  <autoFilter ref="A1:AR208" xr:uid="{00000000-0009-0000-0000-000003000000}">
    <filterColumn colId="9">
      <filters>
        <filter val="5.27"/>
      </filters>
    </filterColumn>
  </autoFilter>
  <phoneticPr fontId="67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AU638"/>
  <sheetViews>
    <sheetView workbookViewId="0">
      <pane xSplit="7" ySplit="1" topLeftCell="N177" activePane="bottomRight" state="frozen"/>
      <selection pane="topRight"/>
      <selection pane="bottomLeft"/>
      <selection pane="bottomRight" activeCell="M72" sqref="A1:XFD1048576"/>
    </sheetView>
  </sheetViews>
  <sheetFormatPr defaultColWidth="9" defaultRowHeight="16.5"/>
  <cols>
    <col min="1" max="1" width="14.6328125" style="100" customWidth="1"/>
    <col min="2" max="2" width="15.36328125" style="100" customWidth="1"/>
    <col min="3" max="3" width="9" style="100"/>
    <col min="4" max="4" width="17" style="100" customWidth="1"/>
    <col min="5" max="5" width="20.08984375" style="100" customWidth="1"/>
    <col min="6" max="6" width="12.7265625" style="100" customWidth="1"/>
    <col min="7" max="7" width="10.453125" style="100" customWidth="1"/>
    <col min="8" max="8" width="18.36328125" style="100" customWidth="1"/>
    <col min="9" max="9" width="10.36328125" style="100"/>
    <col min="10" max="11" width="9" style="100"/>
    <col min="12" max="12" width="15" style="100" customWidth="1"/>
    <col min="13" max="13" width="14.26953125" style="100" customWidth="1"/>
    <col min="14" max="14" width="19.54296875" style="100" customWidth="1"/>
    <col min="15" max="15" width="5.26953125" style="99" customWidth="1"/>
    <col min="16" max="16" width="16.81640625" style="99" customWidth="1"/>
    <col min="17" max="17" width="18.08984375" style="99" customWidth="1"/>
    <col min="18" max="18" width="20.81640625" style="99" customWidth="1"/>
    <col min="19" max="19" width="19.6328125" style="99" customWidth="1"/>
    <col min="20" max="20" width="9.90625" style="99" customWidth="1"/>
    <col min="21" max="22" width="21.453125" style="99" customWidth="1"/>
    <col min="23" max="23" width="17.1796875" style="100" customWidth="1"/>
    <col min="24" max="26" width="9" style="99" customWidth="1"/>
    <col min="27" max="27" width="7.453125" style="99" customWidth="1"/>
    <col min="28" max="28" width="9" style="100"/>
    <col min="29" max="29" width="9" style="99"/>
    <col min="30" max="30" width="9" style="100"/>
    <col min="31" max="31" width="10.26953125" style="99" customWidth="1"/>
    <col min="32" max="33" width="9" style="99"/>
    <col min="34" max="34" width="9" style="100"/>
    <col min="35" max="35" width="9" style="99"/>
    <col min="36" max="36" width="12.90625" style="100" customWidth="1"/>
    <col min="37" max="39" width="9" style="100"/>
    <col min="40" max="40" width="12.54296875" style="100" customWidth="1"/>
    <col min="41" max="41" width="9" style="100"/>
    <col min="42" max="42" width="11.36328125" style="100" customWidth="1"/>
    <col min="43" max="43" width="10.81640625" style="100" customWidth="1"/>
    <col min="44" max="44" width="20.453125" style="100" customWidth="1"/>
    <col min="45" max="45" width="22.6328125" style="99" customWidth="1"/>
    <col min="46" max="46" width="18" style="99" customWidth="1"/>
    <col min="47" max="47" width="15.54296875" style="99" customWidth="1"/>
    <col min="48" max="16384" width="9" style="99"/>
  </cols>
  <sheetData>
    <row r="1" spans="1:47" s="160" customFormat="1" ht="56.25" customHeight="1">
      <c r="A1" s="161" t="s">
        <v>25</v>
      </c>
      <c r="B1" s="161" t="s">
        <v>26</v>
      </c>
      <c r="C1" s="161" t="s">
        <v>27</v>
      </c>
      <c r="D1" s="161" t="s">
        <v>28</v>
      </c>
      <c r="E1" s="161" t="s">
        <v>150</v>
      </c>
      <c r="F1" s="161" t="s">
        <v>29</v>
      </c>
      <c r="G1" s="161" t="s">
        <v>30</v>
      </c>
      <c r="H1" s="161" t="s">
        <v>31</v>
      </c>
      <c r="I1" s="162" t="s">
        <v>32</v>
      </c>
      <c r="J1" s="161" t="s">
        <v>33</v>
      </c>
      <c r="K1" s="161" t="s">
        <v>34</v>
      </c>
      <c r="L1" s="161" t="s">
        <v>35</v>
      </c>
      <c r="M1" s="161" t="s">
        <v>36</v>
      </c>
      <c r="N1" s="157" t="s">
        <v>37</v>
      </c>
      <c r="O1" s="161" t="s">
        <v>38</v>
      </c>
      <c r="P1" s="163" t="s">
        <v>39</v>
      </c>
      <c r="Q1" s="163" t="s">
        <v>40</v>
      </c>
      <c r="R1" s="163" t="s">
        <v>41</v>
      </c>
      <c r="S1" s="163" t="s">
        <v>42</v>
      </c>
      <c r="T1" s="163" t="s">
        <v>43</v>
      </c>
      <c r="U1" s="163" t="s">
        <v>44</v>
      </c>
      <c r="V1" s="163" t="s">
        <v>45</v>
      </c>
      <c r="W1" s="164" t="s">
        <v>46</v>
      </c>
      <c r="X1" s="165" t="s">
        <v>47</v>
      </c>
      <c r="Y1" s="165" t="s">
        <v>48</v>
      </c>
      <c r="Z1" s="165" t="s">
        <v>49</v>
      </c>
      <c r="AA1" s="165" t="s">
        <v>50</v>
      </c>
      <c r="AB1" s="166" t="s">
        <v>51</v>
      </c>
      <c r="AC1" s="166" t="s">
        <v>52</v>
      </c>
      <c r="AD1" s="166" t="s">
        <v>53</v>
      </c>
      <c r="AE1" s="167" t="s">
        <v>54</v>
      </c>
      <c r="AF1" s="166" t="s">
        <v>55</v>
      </c>
      <c r="AG1" s="166" t="s">
        <v>56</v>
      </c>
      <c r="AH1" s="168" t="s">
        <v>57</v>
      </c>
      <c r="AI1" s="169" t="s">
        <v>58</v>
      </c>
      <c r="AJ1" s="169" t="s">
        <v>59</v>
      </c>
      <c r="AK1" s="170" t="s">
        <v>60</v>
      </c>
      <c r="AL1" s="170" t="s">
        <v>61</v>
      </c>
      <c r="AM1" s="167" t="s">
        <v>62</v>
      </c>
      <c r="AN1" s="167" t="s">
        <v>63</v>
      </c>
      <c r="AO1" s="167" t="s">
        <v>64</v>
      </c>
      <c r="AP1" s="167" t="s">
        <v>65</v>
      </c>
      <c r="AQ1" s="167" t="s">
        <v>66</v>
      </c>
      <c r="AR1" s="11" t="s">
        <v>155</v>
      </c>
      <c r="AS1" s="101" t="s">
        <v>1680</v>
      </c>
      <c r="AT1" s="102" t="s">
        <v>3133</v>
      </c>
      <c r="AU1" s="103" t="s">
        <v>158</v>
      </c>
    </row>
    <row r="2" spans="1:47">
      <c r="A2" s="107" t="s">
        <v>3134</v>
      </c>
      <c r="B2" s="107" t="s">
        <v>160</v>
      </c>
      <c r="C2" s="107" t="s">
        <v>73</v>
      </c>
      <c r="D2" s="107" t="s">
        <v>3135</v>
      </c>
      <c r="E2" s="107" t="s">
        <v>162</v>
      </c>
      <c r="F2" s="107" t="s">
        <v>3136</v>
      </c>
      <c r="G2" s="107" t="s">
        <v>3137</v>
      </c>
      <c r="H2" s="107" t="s">
        <v>3138</v>
      </c>
      <c r="I2" s="107">
        <v>202605.5</v>
      </c>
      <c r="J2" s="107">
        <v>5.29</v>
      </c>
      <c r="K2" s="107" t="s">
        <v>73</v>
      </c>
      <c r="L2" s="107" t="s">
        <v>3139</v>
      </c>
      <c r="M2" s="107" t="s">
        <v>3140</v>
      </c>
      <c r="N2" s="104" t="s">
        <v>3141</v>
      </c>
      <c r="O2" s="105"/>
      <c r="P2" s="105" t="s">
        <v>146</v>
      </c>
      <c r="Q2" s="171" t="s">
        <v>100</v>
      </c>
      <c r="R2" s="171" t="s">
        <v>170</v>
      </c>
      <c r="S2" s="171" t="s">
        <v>147</v>
      </c>
      <c r="T2" s="171" t="s">
        <v>103</v>
      </c>
      <c r="U2" s="171" t="s">
        <v>171</v>
      </c>
      <c r="V2" s="171" t="s">
        <v>171</v>
      </c>
      <c r="W2" s="172" t="s">
        <v>9</v>
      </c>
      <c r="X2" s="106" t="s">
        <v>172</v>
      </c>
      <c r="Y2" s="105" t="s">
        <v>173</v>
      </c>
      <c r="Z2" s="105" t="s">
        <v>174</v>
      </c>
      <c r="AA2" s="105" t="s">
        <v>175</v>
      </c>
      <c r="AB2" s="104">
        <f>IF(COUNTIF(AU:AU,"*"&amp;D2&amp;"*")&gt;0,1,0)</f>
        <v>1</v>
      </c>
      <c r="AC2" s="104">
        <v>1</v>
      </c>
      <c r="AD2" s="104">
        <v>1</v>
      </c>
      <c r="AE2" s="104">
        <v>1</v>
      </c>
      <c r="AF2" s="106"/>
      <c r="AG2" s="106"/>
      <c r="AH2" s="104">
        <f>IF(COUNTIF(AS:AS,"*"&amp;L2&amp;"*")&gt;0,1,0)</f>
        <v>1</v>
      </c>
      <c r="AI2" s="106"/>
      <c r="AJ2" s="104">
        <v>1</v>
      </c>
      <c r="AK2" s="104"/>
      <c r="AL2" s="104"/>
      <c r="AM2" s="104">
        <f>IF(COUNTIF(AT:AT,"*"&amp;L2&amp;"*")&gt;0,1,0)</f>
        <v>0</v>
      </c>
      <c r="AN2" s="104">
        <v>1</v>
      </c>
      <c r="AO2" s="104">
        <v>1</v>
      </c>
      <c r="AP2" s="104">
        <v>1</v>
      </c>
      <c r="AQ2" s="104"/>
      <c r="AS2" s="99" t="s">
        <v>3142</v>
      </c>
      <c r="AT2" s="107" t="s">
        <v>3143</v>
      </c>
      <c r="AU2" s="75" t="s">
        <v>1893</v>
      </c>
    </row>
    <row r="3" spans="1:47">
      <c r="A3" s="107" t="s">
        <v>3144</v>
      </c>
      <c r="B3" s="107" t="s">
        <v>160</v>
      </c>
      <c r="C3" s="107" t="s">
        <v>73</v>
      </c>
      <c r="D3" s="107" t="s">
        <v>3145</v>
      </c>
      <c r="E3" s="107" t="s">
        <v>162</v>
      </c>
      <c r="F3" s="107" t="s">
        <v>3146</v>
      </c>
      <c r="G3" s="107" t="s">
        <v>3147</v>
      </c>
      <c r="H3" s="107" t="s">
        <v>3138</v>
      </c>
      <c r="I3" s="107">
        <v>202605.5</v>
      </c>
      <c r="J3" s="107">
        <v>5.29</v>
      </c>
      <c r="K3" s="107" t="s">
        <v>73</v>
      </c>
      <c r="L3" s="107" t="s">
        <v>3148</v>
      </c>
      <c r="M3" s="107" t="s">
        <v>3149</v>
      </c>
      <c r="N3" s="104" t="s">
        <v>3150</v>
      </c>
      <c r="O3" s="105"/>
      <c r="P3" s="105" t="s">
        <v>146</v>
      </c>
      <c r="Q3" s="171" t="s">
        <v>100</v>
      </c>
      <c r="R3" s="171" t="s">
        <v>170</v>
      </c>
      <c r="S3" s="171" t="s">
        <v>147</v>
      </c>
      <c r="T3" s="171" t="s">
        <v>103</v>
      </c>
      <c r="U3" s="171" t="s">
        <v>171</v>
      </c>
      <c r="V3" s="171" t="s">
        <v>171</v>
      </c>
      <c r="W3" s="172" t="s">
        <v>9</v>
      </c>
      <c r="X3" s="106" t="s">
        <v>172</v>
      </c>
      <c r="Y3" s="105" t="s">
        <v>173</v>
      </c>
      <c r="Z3" s="105" t="s">
        <v>174</v>
      </c>
      <c r="AA3" s="105" t="s">
        <v>175</v>
      </c>
      <c r="AB3" s="104">
        <f t="shared" ref="AB3:AB34" si="0">IF(COUNTIF(AU:AU,"*"&amp;D3&amp;"*")&gt;0,1,0)</f>
        <v>1</v>
      </c>
      <c r="AC3" s="104">
        <v>1</v>
      </c>
      <c r="AD3" s="104">
        <v>1</v>
      </c>
      <c r="AE3" s="104">
        <v>1</v>
      </c>
      <c r="AF3" s="106"/>
      <c r="AG3" s="106"/>
      <c r="AH3" s="104">
        <f t="shared" ref="AH3:AH34" si="1">IF(COUNTIF(AS:AS,"*"&amp;L3&amp;"*")&gt;0,1,0)</f>
        <v>1</v>
      </c>
      <c r="AI3" s="106"/>
      <c r="AJ3" s="104">
        <v>1</v>
      </c>
      <c r="AK3" s="104"/>
      <c r="AL3" s="104"/>
      <c r="AM3" s="104">
        <f t="shared" ref="AM3:AM34" si="2">IF(COUNTIF(AT:AT,"*"&amp;L3&amp;"*")&gt;0,1,0)</f>
        <v>0</v>
      </c>
      <c r="AN3" s="104">
        <v>1</v>
      </c>
      <c r="AO3" s="104">
        <v>1</v>
      </c>
      <c r="AP3" s="104">
        <v>1</v>
      </c>
      <c r="AQ3" s="104"/>
      <c r="AS3" s="99" t="s">
        <v>3151</v>
      </c>
      <c r="AT3" s="107" t="s">
        <v>3152</v>
      </c>
      <c r="AU3" s="75" t="s">
        <v>1965</v>
      </c>
    </row>
    <row r="4" spans="1:47">
      <c r="A4" s="107" t="s">
        <v>3153</v>
      </c>
      <c r="B4" s="107" t="s">
        <v>160</v>
      </c>
      <c r="C4" s="107" t="s">
        <v>73</v>
      </c>
      <c r="D4" s="107" t="s">
        <v>3154</v>
      </c>
      <c r="E4" s="107" t="s">
        <v>162</v>
      </c>
      <c r="F4" s="107" t="s">
        <v>3155</v>
      </c>
      <c r="G4" s="107" t="s">
        <v>3156</v>
      </c>
      <c r="H4" s="107" t="s">
        <v>3138</v>
      </c>
      <c r="I4" s="107">
        <v>202605.5</v>
      </c>
      <c r="J4" s="107">
        <v>5.29</v>
      </c>
      <c r="K4" s="107" t="s">
        <v>73</v>
      </c>
      <c r="L4" s="107" t="s">
        <v>3157</v>
      </c>
      <c r="M4" s="107" t="s">
        <v>3158</v>
      </c>
      <c r="N4" s="104" t="s">
        <v>3159</v>
      </c>
      <c r="O4" s="105"/>
      <c r="P4" s="105" t="s">
        <v>146</v>
      </c>
      <c r="Q4" s="171" t="s">
        <v>100</v>
      </c>
      <c r="R4" s="171" t="s">
        <v>170</v>
      </c>
      <c r="S4" s="171" t="s">
        <v>147</v>
      </c>
      <c r="T4" s="171" t="s">
        <v>103</v>
      </c>
      <c r="U4" s="171" t="s">
        <v>171</v>
      </c>
      <c r="V4" s="171" t="s">
        <v>171</v>
      </c>
      <c r="W4" s="172" t="s">
        <v>9</v>
      </c>
      <c r="X4" s="106" t="s">
        <v>172</v>
      </c>
      <c r="Y4" s="105" t="s">
        <v>173</v>
      </c>
      <c r="Z4" s="105" t="s">
        <v>174</v>
      </c>
      <c r="AA4" s="105" t="s">
        <v>175</v>
      </c>
      <c r="AB4" s="104">
        <f t="shared" si="0"/>
        <v>1</v>
      </c>
      <c r="AC4" s="104">
        <v>1</v>
      </c>
      <c r="AD4" s="104">
        <v>1</v>
      </c>
      <c r="AE4" s="104">
        <v>1</v>
      </c>
      <c r="AF4" s="106"/>
      <c r="AG4" s="106"/>
      <c r="AH4" s="104">
        <f t="shared" si="1"/>
        <v>1</v>
      </c>
      <c r="AI4" s="106"/>
      <c r="AJ4" s="104">
        <v>1</v>
      </c>
      <c r="AK4" s="104"/>
      <c r="AL4" s="104"/>
      <c r="AM4" s="104">
        <f t="shared" si="2"/>
        <v>0</v>
      </c>
      <c r="AN4" s="104">
        <v>1</v>
      </c>
      <c r="AO4" s="104">
        <v>1</v>
      </c>
      <c r="AP4" s="104">
        <v>1</v>
      </c>
      <c r="AQ4" s="104"/>
      <c r="AS4" s="99" t="s">
        <v>3160</v>
      </c>
      <c r="AT4" s="107" t="s">
        <v>3161</v>
      </c>
      <c r="AU4" s="75" t="s">
        <v>1946</v>
      </c>
    </row>
    <row r="5" spans="1:47">
      <c r="A5" s="107" t="s">
        <v>3162</v>
      </c>
      <c r="B5" s="107" t="s">
        <v>160</v>
      </c>
      <c r="C5" s="107" t="s">
        <v>73</v>
      </c>
      <c r="D5" s="107" t="s">
        <v>3163</v>
      </c>
      <c r="E5" s="107" t="s">
        <v>162</v>
      </c>
      <c r="F5" s="107" t="s">
        <v>3164</v>
      </c>
      <c r="G5" s="107" t="s">
        <v>3165</v>
      </c>
      <c r="H5" s="107" t="s">
        <v>3138</v>
      </c>
      <c r="I5" s="107">
        <v>202605.5</v>
      </c>
      <c r="J5" s="107">
        <v>5.29</v>
      </c>
      <c r="K5" s="107" t="s">
        <v>73</v>
      </c>
      <c r="L5" s="107" t="s">
        <v>3166</v>
      </c>
      <c r="M5" s="107" t="s">
        <v>3167</v>
      </c>
      <c r="N5" s="104" t="s">
        <v>3168</v>
      </c>
      <c r="O5" s="105"/>
      <c r="P5" s="105" t="s">
        <v>146</v>
      </c>
      <c r="Q5" s="171" t="s">
        <v>100</v>
      </c>
      <c r="R5" s="171" t="s">
        <v>170</v>
      </c>
      <c r="S5" s="171" t="s">
        <v>147</v>
      </c>
      <c r="T5" s="171" t="s">
        <v>103</v>
      </c>
      <c r="U5" s="171" t="s">
        <v>171</v>
      </c>
      <c r="V5" s="171" t="s">
        <v>171</v>
      </c>
      <c r="W5" s="172" t="s">
        <v>9</v>
      </c>
      <c r="X5" s="106" t="s">
        <v>172</v>
      </c>
      <c r="Y5" s="105" t="s">
        <v>173</v>
      </c>
      <c r="Z5" s="105" t="s">
        <v>174</v>
      </c>
      <c r="AA5" s="105" t="s">
        <v>175</v>
      </c>
      <c r="AB5" s="104">
        <f t="shared" si="0"/>
        <v>1</v>
      </c>
      <c r="AC5" s="104">
        <v>1</v>
      </c>
      <c r="AD5" s="104">
        <v>1</v>
      </c>
      <c r="AE5" s="104">
        <v>1</v>
      </c>
      <c r="AF5" s="106"/>
      <c r="AG5" s="106"/>
      <c r="AH5" s="104">
        <f t="shared" si="1"/>
        <v>1</v>
      </c>
      <c r="AI5" s="106"/>
      <c r="AJ5" s="104">
        <v>1</v>
      </c>
      <c r="AK5" s="104"/>
      <c r="AL5" s="104"/>
      <c r="AM5" s="104">
        <f t="shared" si="2"/>
        <v>0</v>
      </c>
      <c r="AN5" s="104">
        <v>1</v>
      </c>
      <c r="AO5" s="104">
        <v>1</v>
      </c>
      <c r="AP5" s="104">
        <v>1</v>
      </c>
      <c r="AQ5" s="104"/>
      <c r="AS5" s="99" t="s">
        <v>3169</v>
      </c>
      <c r="AT5" s="107" t="s">
        <v>3170</v>
      </c>
      <c r="AU5" s="75" t="s">
        <v>1978</v>
      </c>
    </row>
    <row r="6" spans="1:47">
      <c r="A6" s="107" t="s">
        <v>3171</v>
      </c>
      <c r="B6" s="107" t="s">
        <v>160</v>
      </c>
      <c r="C6" s="107" t="s">
        <v>73</v>
      </c>
      <c r="D6" s="107" t="s">
        <v>3172</v>
      </c>
      <c r="E6" s="107" t="s">
        <v>162</v>
      </c>
      <c r="F6" s="107" t="s">
        <v>3173</v>
      </c>
      <c r="G6" s="107" t="s">
        <v>3174</v>
      </c>
      <c r="H6" s="107" t="s">
        <v>3138</v>
      </c>
      <c r="I6" s="107">
        <v>202605.5</v>
      </c>
      <c r="J6" s="107">
        <v>5.29</v>
      </c>
      <c r="K6" s="107" t="s">
        <v>73</v>
      </c>
      <c r="L6" s="107" t="s">
        <v>3175</v>
      </c>
      <c r="M6" s="107" t="s">
        <v>3176</v>
      </c>
      <c r="N6" s="104" t="s">
        <v>3177</v>
      </c>
      <c r="O6" s="105"/>
      <c r="P6" s="105" t="s">
        <v>146</v>
      </c>
      <c r="Q6" s="171" t="s">
        <v>100</v>
      </c>
      <c r="R6" s="171" t="s">
        <v>170</v>
      </c>
      <c r="S6" s="171" t="s">
        <v>147</v>
      </c>
      <c r="T6" s="171" t="s">
        <v>103</v>
      </c>
      <c r="U6" s="171" t="s">
        <v>171</v>
      </c>
      <c r="V6" s="171" t="s">
        <v>171</v>
      </c>
      <c r="W6" s="172" t="s">
        <v>9</v>
      </c>
      <c r="X6" s="106" t="s">
        <v>172</v>
      </c>
      <c r="Y6" s="105" t="s">
        <v>173</v>
      </c>
      <c r="Z6" s="105" t="s">
        <v>174</v>
      </c>
      <c r="AA6" s="105" t="s">
        <v>175</v>
      </c>
      <c r="AB6" s="104">
        <f t="shared" si="0"/>
        <v>1</v>
      </c>
      <c r="AC6" s="104">
        <v>1</v>
      </c>
      <c r="AD6" s="104">
        <v>1</v>
      </c>
      <c r="AE6" s="104">
        <v>1</v>
      </c>
      <c r="AF6" s="106"/>
      <c r="AG6" s="106"/>
      <c r="AH6" s="104">
        <f t="shared" si="1"/>
        <v>1</v>
      </c>
      <c r="AI6" s="106"/>
      <c r="AJ6" s="104">
        <v>1</v>
      </c>
      <c r="AK6" s="104"/>
      <c r="AL6" s="104"/>
      <c r="AM6" s="104">
        <f t="shared" si="2"/>
        <v>0</v>
      </c>
      <c r="AN6" s="104">
        <v>1</v>
      </c>
      <c r="AO6" s="104">
        <v>1</v>
      </c>
      <c r="AP6" s="104">
        <v>1</v>
      </c>
      <c r="AQ6" s="104"/>
      <c r="AS6" s="99" t="s">
        <v>3178</v>
      </c>
      <c r="AT6" s="107" t="s">
        <v>3179</v>
      </c>
      <c r="AU6" s="75" t="s">
        <v>2005</v>
      </c>
    </row>
    <row r="7" spans="1:47">
      <c r="A7" s="107" t="s">
        <v>3180</v>
      </c>
      <c r="B7" s="107" t="s">
        <v>160</v>
      </c>
      <c r="C7" s="107" t="s">
        <v>73</v>
      </c>
      <c r="D7" s="107" t="s">
        <v>3181</v>
      </c>
      <c r="E7" s="107" t="s">
        <v>162</v>
      </c>
      <c r="F7" s="107" t="s">
        <v>3182</v>
      </c>
      <c r="G7" s="107" t="s">
        <v>3183</v>
      </c>
      <c r="H7" s="107" t="s">
        <v>3138</v>
      </c>
      <c r="I7" s="107">
        <v>202605.5</v>
      </c>
      <c r="J7" s="107">
        <v>5.29</v>
      </c>
      <c r="K7" s="107" t="s">
        <v>73</v>
      </c>
      <c r="L7" s="107" t="s">
        <v>3184</v>
      </c>
      <c r="M7" s="107" t="s">
        <v>3185</v>
      </c>
      <c r="N7" s="104" t="s">
        <v>3186</v>
      </c>
      <c r="O7" s="105"/>
      <c r="P7" s="173" t="s">
        <v>146</v>
      </c>
      <c r="Q7" s="171" t="s">
        <v>100</v>
      </c>
      <c r="R7" s="171" t="s">
        <v>170</v>
      </c>
      <c r="S7" s="171" t="s">
        <v>147</v>
      </c>
      <c r="T7" s="171" t="s">
        <v>103</v>
      </c>
      <c r="U7" s="171" t="s">
        <v>171</v>
      </c>
      <c r="V7" s="171" t="s">
        <v>171</v>
      </c>
      <c r="W7" s="174" t="s">
        <v>9</v>
      </c>
      <c r="X7" s="106" t="s">
        <v>172</v>
      </c>
      <c r="Y7" s="105" t="s">
        <v>173</v>
      </c>
      <c r="Z7" s="105" t="s">
        <v>174</v>
      </c>
      <c r="AA7" s="105" t="s">
        <v>175</v>
      </c>
      <c r="AB7" s="104">
        <f t="shared" si="0"/>
        <v>1</v>
      </c>
      <c r="AC7" s="104">
        <v>1</v>
      </c>
      <c r="AD7" s="104">
        <v>1</v>
      </c>
      <c r="AE7" s="104">
        <v>1</v>
      </c>
      <c r="AF7" s="106"/>
      <c r="AG7" s="106"/>
      <c r="AH7" s="104">
        <f t="shared" si="1"/>
        <v>1</v>
      </c>
      <c r="AI7" s="106"/>
      <c r="AJ7" s="107" t="s">
        <v>3187</v>
      </c>
      <c r="AK7" s="104"/>
      <c r="AL7" s="104"/>
      <c r="AM7" s="104">
        <f t="shared" si="2"/>
        <v>0</v>
      </c>
      <c r="AN7" s="104">
        <v>1</v>
      </c>
      <c r="AO7" s="104">
        <v>1</v>
      </c>
      <c r="AP7" s="104">
        <v>1</v>
      </c>
      <c r="AQ7" s="104"/>
      <c r="AS7" s="99" t="s">
        <v>3188</v>
      </c>
      <c r="AT7" s="107" t="s">
        <v>3189</v>
      </c>
      <c r="AU7" s="75" t="s">
        <v>1924</v>
      </c>
    </row>
    <row r="8" spans="1:47">
      <c r="A8" s="107" t="s">
        <v>3190</v>
      </c>
      <c r="B8" s="107" t="s">
        <v>160</v>
      </c>
      <c r="C8" s="107" t="s">
        <v>73</v>
      </c>
      <c r="D8" s="107" t="s">
        <v>3191</v>
      </c>
      <c r="E8" s="107" t="s">
        <v>162</v>
      </c>
      <c r="F8" s="107" t="s">
        <v>3192</v>
      </c>
      <c r="G8" s="107" t="s">
        <v>3193</v>
      </c>
      <c r="H8" s="107" t="s">
        <v>3194</v>
      </c>
      <c r="I8" s="107">
        <v>202605.5</v>
      </c>
      <c r="J8" s="107">
        <v>5.29</v>
      </c>
      <c r="K8" s="107" t="s">
        <v>73</v>
      </c>
      <c r="L8" s="107" t="s">
        <v>3195</v>
      </c>
      <c r="M8" s="107" t="s">
        <v>3196</v>
      </c>
      <c r="N8" s="104" t="s">
        <v>3197</v>
      </c>
      <c r="O8" s="105"/>
      <c r="P8" s="105" t="s">
        <v>146</v>
      </c>
      <c r="Q8" s="171" t="s">
        <v>100</v>
      </c>
      <c r="R8" s="171" t="s">
        <v>170</v>
      </c>
      <c r="S8" s="171" t="s">
        <v>147</v>
      </c>
      <c r="T8" s="171" t="s">
        <v>103</v>
      </c>
      <c r="U8" s="171" t="s">
        <v>171</v>
      </c>
      <c r="V8" s="171" t="s">
        <v>171</v>
      </c>
      <c r="W8" s="172" t="s">
        <v>9</v>
      </c>
      <c r="X8" s="106" t="s">
        <v>172</v>
      </c>
      <c r="Y8" s="105" t="s">
        <v>173</v>
      </c>
      <c r="Z8" s="105" t="s">
        <v>174</v>
      </c>
      <c r="AA8" s="105" t="s">
        <v>175</v>
      </c>
      <c r="AB8" s="104">
        <f t="shared" si="0"/>
        <v>1</v>
      </c>
      <c r="AC8" s="104">
        <v>1</v>
      </c>
      <c r="AD8" s="104">
        <v>1</v>
      </c>
      <c r="AE8" s="104">
        <v>1</v>
      </c>
      <c r="AF8" s="106"/>
      <c r="AG8" s="106"/>
      <c r="AH8" s="104">
        <f t="shared" si="1"/>
        <v>1</v>
      </c>
      <c r="AI8" s="106"/>
      <c r="AJ8" s="104">
        <v>1</v>
      </c>
      <c r="AK8" s="104"/>
      <c r="AL8" s="104"/>
      <c r="AM8" s="104">
        <f t="shared" si="2"/>
        <v>0</v>
      </c>
      <c r="AN8" s="104">
        <v>1</v>
      </c>
      <c r="AO8" s="104">
        <v>1</v>
      </c>
      <c r="AP8" s="104">
        <v>1</v>
      </c>
      <c r="AQ8" s="104"/>
      <c r="AS8" s="99" t="s">
        <v>3198</v>
      </c>
      <c r="AT8" s="107" t="s">
        <v>3199</v>
      </c>
      <c r="AU8" s="75" t="s">
        <v>2047</v>
      </c>
    </row>
    <row r="9" spans="1:47">
      <c r="A9" s="107" t="s">
        <v>3200</v>
      </c>
      <c r="B9" s="107" t="s">
        <v>160</v>
      </c>
      <c r="C9" s="107" t="s">
        <v>73</v>
      </c>
      <c r="D9" s="107" t="s">
        <v>3201</v>
      </c>
      <c r="E9" s="107" t="s">
        <v>162</v>
      </c>
      <c r="F9" s="107" t="s">
        <v>3202</v>
      </c>
      <c r="G9" s="107" t="s">
        <v>3203</v>
      </c>
      <c r="H9" s="107" t="s">
        <v>3194</v>
      </c>
      <c r="I9" s="107">
        <v>202605.5</v>
      </c>
      <c r="J9" s="107">
        <v>5.29</v>
      </c>
      <c r="K9" s="107" t="s">
        <v>73</v>
      </c>
      <c r="L9" s="107" t="s">
        <v>3204</v>
      </c>
      <c r="M9" s="107" t="s">
        <v>3205</v>
      </c>
      <c r="N9" s="104" t="s">
        <v>3206</v>
      </c>
      <c r="O9" s="105"/>
      <c r="P9" s="105" t="s">
        <v>146</v>
      </c>
      <c r="Q9" s="171" t="s">
        <v>100</v>
      </c>
      <c r="R9" s="171" t="s">
        <v>170</v>
      </c>
      <c r="S9" s="171" t="s">
        <v>147</v>
      </c>
      <c r="T9" s="171" t="s">
        <v>103</v>
      </c>
      <c r="U9" s="171" t="s">
        <v>171</v>
      </c>
      <c r="V9" s="171" t="s">
        <v>171</v>
      </c>
      <c r="W9" s="172" t="s">
        <v>9</v>
      </c>
      <c r="X9" s="106" t="s">
        <v>172</v>
      </c>
      <c r="Y9" s="105" t="s">
        <v>173</v>
      </c>
      <c r="Z9" s="105" t="s">
        <v>174</v>
      </c>
      <c r="AA9" s="105" t="s">
        <v>175</v>
      </c>
      <c r="AB9" s="104">
        <f t="shared" si="0"/>
        <v>1</v>
      </c>
      <c r="AC9" s="104">
        <v>1</v>
      </c>
      <c r="AD9" s="104">
        <v>1</v>
      </c>
      <c r="AE9" s="104">
        <v>1</v>
      </c>
      <c r="AF9" s="106"/>
      <c r="AG9" s="106"/>
      <c r="AH9" s="104">
        <f t="shared" si="1"/>
        <v>1</v>
      </c>
      <c r="AI9" s="106"/>
      <c r="AJ9" s="104">
        <v>1</v>
      </c>
      <c r="AK9" s="104"/>
      <c r="AL9" s="104"/>
      <c r="AM9" s="104">
        <f t="shared" si="2"/>
        <v>0</v>
      </c>
      <c r="AN9" s="104">
        <v>1</v>
      </c>
      <c r="AO9" s="104">
        <v>1</v>
      </c>
      <c r="AP9" s="104">
        <v>1</v>
      </c>
      <c r="AQ9" s="104"/>
      <c r="AS9" s="99" t="s">
        <v>3207</v>
      </c>
      <c r="AT9" s="107" t="s">
        <v>3208</v>
      </c>
      <c r="AU9" s="75" t="s">
        <v>1939</v>
      </c>
    </row>
    <row r="10" spans="1:47" hidden="1">
      <c r="A10" s="107" t="s">
        <v>3209</v>
      </c>
      <c r="B10" s="107" t="s">
        <v>160</v>
      </c>
      <c r="C10" s="107" t="s">
        <v>73</v>
      </c>
      <c r="D10" s="107" t="s">
        <v>3210</v>
      </c>
      <c r="E10" s="107" t="s">
        <v>162</v>
      </c>
      <c r="F10" s="107" t="s">
        <v>3211</v>
      </c>
      <c r="G10" s="107" t="s">
        <v>3212</v>
      </c>
      <c r="H10" s="107" t="s">
        <v>3194</v>
      </c>
      <c r="I10" s="107">
        <v>202605.5</v>
      </c>
      <c r="J10" s="175" t="s">
        <v>3213</v>
      </c>
      <c r="K10" s="107" t="s">
        <v>73</v>
      </c>
      <c r="L10" s="107" t="s">
        <v>3214</v>
      </c>
      <c r="M10" s="107" t="s">
        <v>3215</v>
      </c>
      <c r="N10" s="104" t="s">
        <v>3216</v>
      </c>
      <c r="O10" s="105"/>
      <c r="P10" s="105" t="s">
        <v>146</v>
      </c>
      <c r="Q10" s="171" t="s">
        <v>100</v>
      </c>
      <c r="R10" s="171" t="s">
        <v>170</v>
      </c>
      <c r="S10" s="171" t="s">
        <v>147</v>
      </c>
      <c r="T10" s="171" t="s">
        <v>103</v>
      </c>
      <c r="U10" s="171" t="s">
        <v>171</v>
      </c>
      <c r="V10" s="171" t="s">
        <v>171</v>
      </c>
      <c r="W10" s="172" t="s">
        <v>9</v>
      </c>
      <c r="X10" s="106" t="s">
        <v>172</v>
      </c>
      <c r="Y10" s="105" t="s">
        <v>173</v>
      </c>
      <c r="Z10" s="105" t="s">
        <v>174</v>
      </c>
      <c r="AA10" s="105" t="s">
        <v>175</v>
      </c>
      <c r="AB10" s="104">
        <f t="shared" si="0"/>
        <v>1</v>
      </c>
      <c r="AC10" s="104">
        <v>1</v>
      </c>
      <c r="AD10" s="104">
        <v>1</v>
      </c>
      <c r="AE10" s="106"/>
      <c r="AF10" s="106"/>
      <c r="AG10" s="106"/>
      <c r="AH10" s="104">
        <f t="shared" si="1"/>
        <v>0</v>
      </c>
      <c r="AI10" s="106"/>
      <c r="AJ10" s="106"/>
      <c r="AK10" s="106"/>
      <c r="AL10" s="106"/>
      <c r="AM10" s="104">
        <f t="shared" si="2"/>
        <v>0</v>
      </c>
      <c r="AN10" s="106"/>
      <c r="AO10" s="106"/>
      <c r="AP10" s="106"/>
      <c r="AQ10" s="106"/>
      <c r="AU10" s="75" t="s">
        <v>1959</v>
      </c>
    </row>
    <row r="11" spans="1:47">
      <c r="A11" s="107" t="s">
        <v>3217</v>
      </c>
      <c r="B11" s="107" t="s">
        <v>160</v>
      </c>
      <c r="C11" s="107" t="s">
        <v>73</v>
      </c>
      <c r="D11" s="107" t="s">
        <v>3218</v>
      </c>
      <c r="E11" s="107" t="s">
        <v>162</v>
      </c>
      <c r="F11" s="107" t="s">
        <v>3219</v>
      </c>
      <c r="G11" s="107" t="s">
        <v>3220</v>
      </c>
      <c r="H11" s="107" t="s">
        <v>3194</v>
      </c>
      <c r="I11" s="107">
        <v>202605.5</v>
      </c>
      <c r="J11" s="107">
        <v>5.29</v>
      </c>
      <c r="K11" s="107" t="s">
        <v>73</v>
      </c>
      <c r="L11" s="107" t="s">
        <v>3221</v>
      </c>
      <c r="M11" s="107" t="s">
        <v>3222</v>
      </c>
      <c r="N11" s="104" t="s">
        <v>3223</v>
      </c>
      <c r="O11" s="105"/>
      <c r="P11" s="105" t="s">
        <v>146</v>
      </c>
      <c r="Q11" s="171" t="s">
        <v>100</v>
      </c>
      <c r="R11" s="171" t="s">
        <v>170</v>
      </c>
      <c r="S11" s="171" t="s">
        <v>147</v>
      </c>
      <c r="T11" s="171" t="s">
        <v>103</v>
      </c>
      <c r="U11" s="171" t="s">
        <v>171</v>
      </c>
      <c r="V11" s="171" t="s">
        <v>171</v>
      </c>
      <c r="W11" s="172" t="s">
        <v>9</v>
      </c>
      <c r="X11" s="106" t="s">
        <v>172</v>
      </c>
      <c r="Y11" s="105" t="s">
        <v>173</v>
      </c>
      <c r="Z11" s="105" t="s">
        <v>174</v>
      </c>
      <c r="AA11" s="105" t="s">
        <v>175</v>
      </c>
      <c r="AB11" s="104">
        <f t="shared" si="0"/>
        <v>1</v>
      </c>
      <c r="AC11" s="104">
        <v>1</v>
      </c>
      <c r="AD11" s="104">
        <v>1</v>
      </c>
      <c r="AE11" s="104">
        <v>1</v>
      </c>
      <c r="AF11" s="106"/>
      <c r="AG11" s="106"/>
      <c r="AH11" s="104">
        <f t="shared" si="1"/>
        <v>1</v>
      </c>
      <c r="AI11" s="106"/>
      <c r="AJ11" s="104">
        <v>1</v>
      </c>
      <c r="AK11" s="104"/>
      <c r="AL11" s="104"/>
      <c r="AM11" s="104">
        <f t="shared" si="2"/>
        <v>0</v>
      </c>
      <c r="AN11" s="104">
        <v>1</v>
      </c>
      <c r="AO11" s="104">
        <v>1</v>
      </c>
      <c r="AP11" s="104">
        <v>1</v>
      </c>
      <c r="AQ11" s="104"/>
      <c r="AS11" s="99" t="s">
        <v>3224</v>
      </c>
      <c r="AT11" s="107" t="s">
        <v>3225</v>
      </c>
      <c r="AU11" s="75" t="s">
        <v>1931</v>
      </c>
    </row>
    <row r="12" spans="1:47">
      <c r="A12" s="107" t="s">
        <v>3226</v>
      </c>
      <c r="B12" s="107" t="s">
        <v>160</v>
      </c>
      <c r="C12" s="107" t="s">
        <v>73</v>
      </c>
      <c r="D12" s="107" t="s">
        <v>3227</v>
      </c>
      <c r="E12" s="107" t="s">
        <v>162</v>
      </c>
      <c r="F12" s="107" t="s">
        <v>3228</v>
      </c>
      <c r="G12" s="107" t="s">
        <v>3229</v>
      </c>
      <c r="H12" s="107" t="s">
        <v>3194</v>
      </c>
      <c r="I12" s="107">
        <v>202605.5</v>
      </c>
      <c r="J12" s="107">
        <v>5.29</v>
      </c>
      <c r="K12" s="107" t="s">
        <v>73</v>
      </c>
      <c r="L12" s="107" t="s">
        <v>3230</v>
      </c>
      <c r="M12" s="107" t="s">
        <v>3231</v>
      </c>
      <c r="N12" s="104" t="s">
        <v>3232</v>
      </c>
      <c r="O12" s="105"/>
      <c r="P12" s="176" t="s">
        <v>146</v>
      </c>
      <c r="Q12" s="177" t="s">
        <v>100</v>
      </c>
      <c r="R12" s="177" t="s">
        <v>170</v>
      </c>
      <c r="S12" s="177" t="s">
        <v>3233</v>
      </c>
      <c r="T12" s="177" t="s">
        <v>103</v>
      </c>
      <c r="U12" s="177" t="s">
        <v>171</v>
      </c>
      <c r="V12" s="177" t="s">
        <v>171</v>
      </c>
      <c r="W12" s="172" t="s">
        <v>9</v>
      </c>
      <c r="X12" s="106" t="s">
        <v>172</v>
      </c>
      <c r="Y12" s="105" t="s">
        <v>173</v>
      </c>
      <c r="Z12" s="105" t="s">
        <v>174</v>
      </c>
      <c r="AA12" s="105" t="s">
        <v>175</v>
      </c>
      <c r="AB12" s="104">
        <f t="shared" si="0"/>
        <v>1</v>
      </c>
      <c r="AC12" s="104">
        <v>1</v>
      </c>
      <c r="AD12" s="104">
        <v>1</v>
      </c>
      <c r="AE12" s="104">
        <v>1</v>
      </c>
      <c r="AF12" s="106"/>
      <c r="AG12" s="106"/>
      <c r="AH12" s="104">
        <f t="shared" si="1"/>
        <v>1</v>
      </c>
      <c r="AI12" s="106"/>
      <c r="AJ12" s="104">
        <v>1</v>
      </c>
      <c r="AK12" s="104"/>
      <c r="AL12" s="104"/>
      <c r="AM12" s="104">
        <f t="shared" si="2"/>
        <v>0</v>
      </c>
      <c r="AN12" s="104">
        <v>1</v>
      </c>
      <c r="AO12" s="104">
        <v>1</v>
      </c>
      <c r="AP12" s="104">
        <v>1</v>
      </c>
      <c r="AQ12" s="104"/>
      <c r="AS12" s="99" t="s">
        <v>3234</v>
      </c>
      <c r="AT12" s="107" t="s">
        <v>3235</v>
      </c>
      <c r="AU12" s="75" t="s">
        <v>2033</v>
      </c>
    </row>
    <row r="13" spans="1:47">
      <c r="A13" s="107" t="s">
        <v>3236</v>
      </c>
      <c r="B13" s="107" t="s">
        <v>160</v>
      </c>
      <c r="C13" s="107" t="s">
        <v>73</v>
      </c>
      <c r="D13" s="107" t="s">
        <v>3237</v>
      </c>
      <c r="E13" s="107" t="s">
        <v>162</v>
      </c>
      <c r="F13" s="107" t="s">
        <v>3238</v>
      </c>
      <c r="G13" s="107" t="s">
        <v>3239</v>
      </c>
      <c r="H13" s="107" t="s">
        <v>3194</v>
      </c>
      <c r="I13" s="107">
        <v>202605.5</v>
      </c>
      <c r="J13" s="107">
        <v>5.29</v>
      </c>
      <c r="K13" s="107" t="s">
        <v>73</v>
      </c>
      <c r="L13" s="107" t="s">
        <v>3240</v>
      </c>
      <c r="M13" s="107" t="s">
        <v>3241</v>
      </c>
      <c r="N13" s="104" t="s">
        <v>3242</v>
      </c>
      <c r="O13" s="105"/>
      <c r="P13" s="176" t="s">
        <v>146</v>
      </c>
      <c r="Q13" s="177" t="s">
        <v>100</v>
      </c>
      <c r="R13" s="177" t="s">
        <v>170</v>
      </c>
      <c r="S13" s="177" t="s">
        <v>3233</v>
      </c>
      <c r="T13" s="177" t="s">
        <v>103</v>
      </c>
      <c r="U13" s="177" t="s">
        <v>171</v>
      </c>
      <c r="V13" s="177" t="s">
        <v>171</v>
      </c>
      <c r="W13" s="172" t="s">
        <v>9</v>
      </c>
      <c r="X13" s="106" t="s">
        <v>172</v>
      </c>
      <c r="Y13" s="105" t="s">
        <v>173</v>
      </c>
      <c r="Z13" s="105" t="s">
        <v>174</v>
      </c>
      <c r="AA13" s="105" t="s">
        <v>175</v>
      </c>
      <c r="AB13" s="104">
        <f t="shared" si="0"/>
        <v>1</v>
      </c>
      <c r="AC13" s="104">
        <v>1</v>
      </c>
      <c r="AD13" s="104">
        <v>1</v>
      </c>
      <c r="AE13" s="104">
        <v>1</v>
      </c>
      <c r="AF13" s="106"/>
      <c r="AG13" s="106"/>
      <c r="AH13" s="104">
        <f t="shared" si="1"/>
        <v>1</v>
      </c>
      <c r="AI13" s="106"/>
      <c r="AJ13" s="104">
        <v>1</v>
      </c>
      <c r="AK13" s="104"/>
      <c r="AL13" s="104"/>
      <c r="AM13" s="104">
        <f t="shared" si="2"/>
        <v>0</v>
      </c>
      <c r="AN13" s="104">
        <v>1</v>
      </c>
      <c r="AO13" s="104">
        <v>1</v>
      </c>
      <c r="AP13" s="104">
        <v>1</v>
      </c>
      <c r="AQ13" s="104"/>
      <c r="AS13" s="99" t="s">
        <v>3243</v>
      </c>
      <c r="AT13" s="107" t="s">
        <v>3244</v>
      </c>
      <c r="AU13" s="75" t="s">
        <v>2026</v>
      </c>
    </row>
    <row r="14" spans="1:47">
      <c r="A14" s="107" t="s">
        <v>3245</v>
      </c>
      <c r="B14" s="107" t="s">
        <v>160</v>
      </c>
      <c r="C14" s="107" t="s">
        <v>73</v>
      </c>
      <c r="D14" s="107" t="s">
        <v>3246</v>
      </c>
      <c r="E14" s="107" t="s">
        <v>162</v>
      </c>
      <c r="F14" s="107" t="s">
        <v>3247</v>
      </c>
      <c r="G14" s="107" t="s">
        <v>3248</v>
      </c>
      <c r="H14" s="107" t="s">
        <v>3194</v>
      </c>
      <c r="I14" s="107">
        <v>202605.5</v>
      </c>
      <c r="J14" s="107">
        <v>5.29</v>
      </c>
      <c r="K14" s="107" t="s">
        <v>73</v>
      </c>
      <c r="L14" s="107" t="s">
        <v>3249</v>
      </c>
      <c r="M14" s="107" t="s">
        <v>3250</v>
      </c>
      <c r="N14" s="104" t="s">
        <v>3251</v>
      </c>
      <c r="O14" s="105"/>
      <c r="P14" s="176" t="s">
        <v>146</v>
      </c>
      <c r="Q14" s="177" t="s">
        <v>100</v>
      </c>
      <c r="R14" s="177" t="s">
        <v>170</v>
      </c>
      <c r="S14" s="177" t="s">
        <v>3233</v>
      </c>
      <c r="T14" s="177" t="s">
        <v>103</v>
      </c>
      <c r="U14" s="177" t="s">
        <v>171</v>
      </c>
      <c r="V14" s="177" t="s">
        <v>171</v>
      </c>
      <c r="W14" s="172" t="s">
        <v>9</v>
      </c>
      <c r="X14" s="106" t="s">
        <v>172</v>
      </c>
      <c r="Y14" s="105" t="s">
        <v>173</v>
      </c>
      <c r="Z14" s="105" t="s">
        <v>174</v>
      </c>
      <c r="AA14" s="105" t="s">
        <v>175</v>
      </c>
      <c r="AB14" s="104">
        <f t="shared" si="0"/>
        <v>1</v>
      </c>
      <c r="AC14" s="104">
        <v>1</v>
      </c>
      <c r="AD14" s="104">
        <v>1</v>
      </c>
      <c r="AE14" s="104">
        <v>1</v>
      </c>
      <c r="AF14" s="106"/>
      <c r="AG14" s="106"/>
      <c r="AH14" s="104">
        <f t="shared" si="1"/>
        <v>1</v>
      </c>
      <c r="AI14" s="106"/>
      <c r="AJ14" s="104">
        <v>1</v>
      </c>
      <c r="AK14" s="104"/>
      <c r="AL14" s="104"/>
      <c r="AM14" s="104">
        <f t="shared" si="2"/>
        <v>0</v>
      </c>
      <c r="AN14" s="104">
        <v>1</v>
      </c>
      <c r="AO14" s="104">
        <v>1</v>
      </c>
      <c r="AP14" s="104">
        <v>1</v>
      </c>
      <c r="AQ14" s="104"/>
      <c r="AS14" s="99" t="s">
        <v>3252</v>
      </c>
      <c r="AT14" s="107" t="s">
        <v>3253</v>
      </c>
      <c r="AU14" s="75" t="s">
        <v>1885</v>
      </c>
    </row>
    <row r="15" spans="1:47">
      <c r="A15" s="107" t="s">
        <v>3254</v>
      </c>
      <c r="B15" s="107" t="s">
        <v>160</v>
      </c>
      <c r="C15" s="107" t="s">
        <v>73</v>
      </c>
      <c r="D15" s="107" t="s">
        <v>3255</v>
      </c>
      <c r="E15" s="107" t="s">
        <v>162</v>
      </c>
      <c r="F15" s="107" t="s">
        <v>3256</v>
      </c>
      <c r="G15" s="107" t="s">
        <v>3257</v>
      </c>
      <c r="H15" s="107" t="s">
        <v>3194</v>
      </c>
      <c r="I15" s="107">
        <v>202605.5</v>
      </c>
      <c r="J15" s="107">
        <v>5.29</v>
      </c>
      <c r="K15" s="107" t="s">
        <v>73</v>
      </c>
      <c r="L15" s="107" t="s">
        <v>3258</v>
      </c>
      <c r="M15" s="107" t="s">
        <v>3259</v>
      </c>
      <c r="N15" s="104" t="s">
        <v>3260</v>
      </c>
      <c r="O15" s="105"/>
      <c r="P15" s="176" t="s">
        <v>146</v>
      </c>
      <c r="Q15" s="177" t="s">
        <v>100</v>
      </c>
      <c r="R15" s="177" t="s">
        <v>170</v>
      </c>
      <c r="S15" s="177" t="s">
        <v>3233</v>
      </c>
      <c r="T15" s="177" t="s">
        <v>103</v>
      </c>
      <c r="U15" s="177" t="s">
        <v>171</v>
      </c>
      <c r="V15" s="177" t="s">
        <v>171</v>
      </c>
      <c r="W15" s="172" t="s">
        <v>9</v>
      </c>
      <c r="X15" s="106" t="s">
        <v>172</v>
      </c>
      <c r="Y15" s="105" t="s">
        <v>173</v>
      </c>
      <c r="Z15" s="105" t="s">
        <v>174</v>
      </c>
      <c r="AA15" s="105" t="s">
        <v>175</v>
      </c>
      <c r="AB15" s="104">
        <f t="shared" si="0"/>
        <v>1</v>
      </c>
      <c r="AC15" s="104">
        <v>1</v>
      </c>
      <c r="AD15" s="104">
        <v>1</v>
      </c>
      <c r="AE15" s="104">
        <v>1</v>
      </c>
      <c r="AF15" s="106"/>
      <c r="AG15" s="106"/>
      <c r="AH15" s="104">
        <f t="shared" si="1"/>
        <v>1</v>
      </c>
      <c r="AI15" s="106"/>
      <c r="AJ15" s="104">
        <v>1</v>
      </c>
      <c r="AK15" s="104"/>
      <c r="AL15" s="104"/>
      <c r="AM15" s="104">
        <f t="shared" si="2"/>
        <v>0</v>
      </c>
      <c r="AN15" s="104">
        <v>1</v>
      </c>
      <c r="AO15" s="104">
        <v>1</v>
      </c>
      <c r="AP15" s="104">
        <v>1</v>
      </c>
      <c r="AQ15" s="104"/>
      <c r="AS15" s="99" t="s">
        <v>3261</v>
      </c>
      <c r="AT15" s="107" t="s">
        <v>3262</v>
      </c>
      <c r="AU15" s="75" t="s">
        <v>2055</v>
      </c>
    </row>
    <row r="16" spans="1:47">
      <c r="A16" s="107" t="s">
        <v>3263</v>
      </c>
      <c r="B16" s="107" t="s">
        <v>160</v>
      </c>
      <c r="C16" s="107" t="s">
        <v>73</v>
      </c>
      <c r="D16" s="107" t="s">
        <v>3264</v>
      </c>
      <c r="E16" s="107" t="s">
        <v>162</v>
      </c>
      <c r="F16" s="107" t="s">
        <v>3265</v>
      </c>
      <c r="G16" s="107" t="s">
        <v>3266</v>
      </c>
      <c r="H16" s="107" t="s">
        <v>3194</v>
      </c>
      <c r="I16" s="107">
        <v>202605.5</v>
      </c>
      <c r="J16" s="107">
        <v>5.29</v>
      </c>
      <c r="K16" s="107" t="s">
        <v>73</v>
      </c>
      <c r="L16" s="107" t="s">
        <v>3267</v>
      </c>
      <c r="M16" s="107" t="s">
        <v>3268</v>
      </c>
      <c r="N16" s="104" t="s">
        <v>3269</v>
      </c>
      <c r="O16" s="105"/>
      <c r="P16" s="176" t="s">
        <v>146</v>
      </c>
      <c r="Q16" s="177" t="s">
        <v>100</v>
      </c>
      <c r="R16" s="177" t="s">
        <v>170</v>
      </c>
      <c r="S16" s="177" t="s">
        <v>3233</v>
      </c>
      <c r="T16" s="177" t="s">
        <v>103</v>
      </c>
      <c r="U16" s="177" t="s">
        <v>171</v>
      </c>
      <c r="V16" s="177" t="s">
        <v>171</v>
      </c>
      <c r="W16" s="172" t="s">
        <v>9</v>
      </c>
      <c r="X16" s="106" t="s">
        <v>172</v>
      </c>
      <c r="Y16" s="105" t="s">
        <v>173</v>
      </c>
      <c r="Z16" s="105" t="s">
        <v>174</v>
      </c>
      <c r="AA16" s="105" t="s">
        <v>175</v>
      </c>
      <c r="AB16" s="104">
        <f t="shared" si="0"/>
        <v>1</v>
      </c>
      <c r="AC16" s="104">
        <v>1</v>
      </c>
      <c r="AD16" s="104">
        <v>1</v>
      </c>
      <c r="AE16" s="104">
        <v>1</v>
      </c>
      <c r="AF16" s="106"/>
      <c r="AG16" s="106"/>
      <c r="AH16" s="104">
        <f t="shared" si="1"/>
        <v>1</v>
      </c>
      <c r="AI16" s="106"/>
      <c r="AJ16" s="104">
        <v>1</v>
      </c>
      <c r="AK16" s="104"/>
      <c r="AL16" s="104"/>
      <c r="AM16" s="104">
        <f t="shared" si="2"/>
        <v>0</v>
      </c>
      <c r="AN16" s="104">
        <v>1</v>
      </c>
      <c r="AO16" s="104">
        <v>1</v>
      </c>
      <c r="AP16" s="104">
        <v>1</v>
      </c>
      <c r="AQ16" s="104"/>
      <c r="AS16" s="99" t="s">
        <v>3270</v>
      </c>
      <c r="AT16" s="107" t="s">
        <v>3271</v>
      </c>
      <c r="AU16" s="75" t="s">
        <v>1952</v>
      </c>
    </row>
    <row r="17" spans="1:47">
      <c r="A17" s="107" t="s">
        <v>3272</v>
      </c>
      <c r="B17" s="107" t="s">
        <v>160</v>
      </c>
      <c r="C17" s="107" t="s">
        <v>73</v>
      </c>
      <c r="D17" s="107" t="s">
        <v>3273</v>
      </c>
      <c r="E17" s="107" t="s">
        <v>162</v>
      </c>
      <c r="F17" s="107" t="s">
        <v>3274</v>
      </c>
      <c r="G17" s="107" t="s">
        <v>3275</v>
      </c>
      <c r="H17" s="107" t="s">
        <v>3194</v>
      </c>
      <c r="I17" s="107">
        <v>202605.5</v>
      </c>
      <c r="J17" s="107">
        <v>5.29</v>
      </c>
      <c r="K17" s="107" t="s">
        <v>73</v>
      </c>
      <c r="L17" s="107" t="s">
        <v>3276</v>
      </c>
      <c r="M17" s="107" t="s">
        <v>3277</v>
      </c>
      <c r="N17" s="104" t="s">
        <v>3278</v>
      </c>
      <c r="O17" s="105"/>
      <c r="P17" s="176" t="s">
        <v>146</v>
      </c>
      <c r="Q17" s="177" t="s">
        <v>100</v>
      </c>
      <c r="R17" s="177" t="s">
        <v>170</v>
      </c>
      <c r="S17" s="177" t="s">
        <v>3233</v>
      </c>
      <c r="T17" s="177" t="s">
        <v>103</v>
      </c>
      <c r="U17" s="177" t="s">
        <v>171</v>
      </c>
      <c r="V17" s="177" t="s">
        <v>171</v>
      </c>
      <c r="W17" s="172" t="s">
        <v>9</v>
      </c>
      <c r="X17" s="106" t="s">
        <v>172</v>
      </c>
      <c r="Y17" s="105" t="s">
        <v>173</v>
      </c>
      <c r="Z17" s="105" t="s">
        <v>174</v>
      </c>
      <c r="AA17" s="105" t="s">
        <v>175</v>
      </c>
      <c r="AB17" s="104">
        <f t="shared" si="0"/>
        <v>1</v>
      </c>
      <c r="AC17" s="104">
        <v>1</v>
      </c>
      <c r="AD17" s="104">
        <v>1</v>
      </c>
      <c r="AE17" s="104">
        <v>1</v>
      </c>
      <c r="AF17" s="106"/>
      <c r="AG17" s="106"/>
      <c r="AH17" s="104">
        <f t="shared" si="1"/>
        <v>1</v>
      </c>
      <c r="AI17" s="106"/>
      <c r="AJ17" s="104">
        <v>1</v>
      </c>
      <c r="AK17" s="104"/>
      <c r="AL17" s="104"/>
      <c r="AM17" s="104">
        <f t="shared" si="2"/>
        <v>0</v>
      </c>
      <c r="AN17" s="104">
        <v>1</v>
      </c>
      <c r="AO17" s="104">
        <v>1</v>
      </c>
      <c r="AP17" s="104">
        <v>1</v>
      </c>
      <c r="AQ17" s="104"/>
      <c r="AS17" s="99" t="s">
        <v>3279</v>
      </c>
      <c r="AT17" s="107" t="s">
        <v>3280</v>
      </c>
      <c r="AU17" s="75" t="s">
        <v>2294</v>
      </c>
    </row>
    <row r="18" spans="1:47">
      <c r="A18" s="107" t="s">
        <v>3281</v>
      </c>
      <c r="B18" s="107" t="s">
        <v>160</v>
      </c>
      <c r="C18" s="107" t="s">
        <v>73</v>
      </c>
      <c r="D18" s="107" t="s">
        <v>3282</v>
      </c>
      <c r="E18" s="107" t="s">
        <v>162</v>
      </c>
      <c r="F18" s="107" t="s">
        <v>3283</v>
      </c>
      <c r="G18" s="107" t="s">
        <v>3284</v>
      </c>
      <c r="H18" s="107" t="s">
        <v>3194</v>
      </c>
      <c r="I18" s="107">
        <v>202605.5</v>
      </c>
      <c r="J18" s="107">
        <v>5.29</v>
      </c>
      <c r="K18" s="107" t="s">
        <v>73</v>
      </c>
      <c r="L18" s="107" t="s">
        <v>3285</v>
      </c>
      <c r="M18" s="107" t="s">
        <v>3286</v>
      </c>
      <c r="N18" s="104" t="s">
        <v>3287</v>
      </c>
      <c r="O18" s="105"/>
      <c r="P18" s="178" t="s">
        <v>146</v>
      </c>
      <c r="Q18" s="177" t="s">
        <v>100</v>
      </c>
      <c r="R18" s="177" t="s">
        <v>170</v>
      </c>
      <c r="S18" s="177" t="s">
        <v>3233</v>
      </c>
      <c r="T18" s="177" t="s">
        <v>103</v>
      </c>
      <c r="U18" s="177" t="s">
        <v>171</v>
      </c>
      <c r="V18" s="177" t="s">
        <v>171</v>
      </c>
      <c r="W18" s="172" t="s">
        <v>9</v>
      </c>
      <c r="X18" s="106" t="s">
        <v>172</v>
      </c>
      <c r="Y18" s="105" t="s">
        <v>173</v>
      </c>
      <c r="Z18" s="105" t="s">
        <v>174</v>
      </c>
      <c r="AA18" s="105" t="s">
        <v>175</v>
      </c>
      <c r="AB18" s="104">
        <f t="shared" si="0"/>
        <v>1</v>
      </c>
      <c r="AC18" s="104">
        <v>1</v>
      </c>
      <c r="AD18" s="104">
        <v>1</v>
      </c>
      <c r="AE18" s="104">
        <v>1</v>
      </c>
      <c r="AF18" s="106"/>
      <c r="AG18" s="106"/>
      <c r="AH18" s="104">
        <f t="shared" si="1"/>
        <v>1</v>
      </c>
      <c r="AI18" s="106"/>
      <c r="AJ18" s="107" t="s">
        <v>3187</v>
      </c>
      <c r="AK18" s="104"/>
      <c r="AL18" s="104"/>
      <c r="AM18" s="104">
        <f t="shared" si="2"/>
        <v>0</v>
      </c>
      <c r="AN18" s="104">
        <v>1</v>
      </c>
      <c r="AO18" s="104">
        <v>1</v>
      </c>
      <c r="AP18" s="104">
        <v>1</v>
      </c>
      <c r="AQ18" s="104"/>
      <c r="AS18" s="99" t="s">
        <v>3288</v>
      </c>
      <c r="AT18" s="107" t="s">
        <v>3289</v>
      </c>
      <c r="AU18" s="75" t="s">
        <v>1908</v>
      </c>
    </row>
    <row r="19" spans="1:47" hidden="1">
      <c r="A19" s="179" t="s">
        <v>3290</v>
      </c>
      <c r="B19" s="179" t="s">
        <v>160</v>
      </c>
      <c r="C19" s="179" t="s">
        <v>73</v>
      </c>
      <c r="D19" s="179" t="s">
        <v>3291</v>
      </c>
      <c r="E19" s="179" t="s">
        <v>162</v>
      </c>
      <c r="F19" s="179" t="s">
        <v>3292</v>
      </c>
      <c r="G19" s="179" t="s">
        <v>3293</v>
      </c>
      <c r="H19" s="179" t="s">
        <v>3194</v>
      </c>
      <c r="I19" s="179">
        <v>202605.5</v>
      </c>
      <c r="J19" s="180" t="s">
        <v>166</v>
      </c>
      <c r="K19" s="179" t="s">
        <v>73</v>
      </c>
      <c r="L19" s="179" t="s">
        <v>3294</v>
      </c>
      <c r="M19" s="179" t="s">
        <v>3295</v>
      </c>
      <c r="N19" s="181" t="s">
        <v>3296</v>
      </c>
      <c r="O19" s="105"/>
      <c r="P19" s="176" t="s">
        <v>146</v>
      </c>
      <c r="Q19" s="177" t="s">
        <v>100</v>
      </c>
      <c r="R19" s="177" t="s">
        <v>170</v>
      </c>
      <c r="S19" s="177" t="s">
        <v>3233</v>
      </c>
      <c r="T19" s="177" t="s">
        <v>103</v>
      </c>
      <c r="U19" s="177" t="s">
        <v>171</v>
      </c>
      <c r="V19" s="177" t="s">
        <v>171</v>
      </c>
      <c r="W19" s="106"/>
      <c r="X19" s="106" t="s">
        <v>172</v>
      </c>
      <c r="Y19" s="105" t="s">
        <v>173</v>
      </c>
      <c r="Z19" s="105" t="s">
        <v>174</v>
      </c>
      <c r="AA19" s="105" t="s">
        <v>175</v>
      </c>
      <c r="AB19" s="104">
        <f t="shared" si="0"/>
        <v>0</v>
      </c>
      <c r="AC19" s="106"/>
      <c r="AD19" s="106"/>
      <c r="AE19" s="106"/>
      <c r="AF19" s="106"/>
      <c r="AG19" s="106"/>
      <c r="AH19" s="106">
        <f t="shared" si="1"/>
        <v>0</v>
      </c>
      <c r="AI19" s="106"/>
      <c r="AJ19" s="106"/>
      <c r="AK19" s="106"/>
      <c r="AL19" s="106"/>
      <c r="AM19" s="104">
        <f t="shared" si="2"/>
        <v>0</v>
      </c>
      <c r="AN19" s="106"/>
      <c r="AO19" s="106"/>
      <c r="AP19" s="106"/>
      <c r="AQ19" s="106"/>
    </row>
    <row r="20" spans="1:47">
      <c r="A20" s="107" t="s">
        <v>3297</v>
      </c>
      <c r="B20" s="107" t="s">
        <v>160</v>
      </c>
      <c r="C20" s="107" t="s">
        <v>73</v>
      </c>
      <c r="D20" s="107" t="s">
        <v>3298</v>
      </c>
      <c r="E20" s="107" t="s">
        <v>162</v>
      </c>
      <c r="F20" s="107" t="s">
        <v>3299</v>
      </c>
      <c r="G20" s="107" t="s">
        <v>3300</v>
      </c>
      <c r="H20" s="107" t="s">
        <v>3194</v>
      </c>
      <c r="I20" s="107">
        <v>202605.5</v>
      </c>
      <c r="J20" s="107">
        <v>5.29</v>
      </c>
      <c r="K20" s="107" t="s">
        <v>73</v>
      </c>
      <c r="L20" s="107" t="s">
        <v>3301</v>
      </c>
      <c r="M20" s="107" t="s">
        <v>3302</v>
      </c>
      <c r="N20" s="104" t="s">
        <v>3303</v>
      </c>
      <c r="O20" s="105"/>
      <c r="P20" s="176" t="s">
        <v>146</v>
      </c>
      <c r="Q20" s="177" t="s">
        <v>100</v>
      </c>
      <c r="R20" s="177" t="s">
        <v>170</v>
      </c>
      <c r="S20" s="177" t="s">
        <v>3233</v>
      </c>
      <c r="T20" s="177" t="s">
        <v>103</v>
      </c>
      <c r="U20" s="177" t="s">
        <v>171</v>
      </c>
      <c r="V20" s="177" t="s">
        <v>171</v>
      </c>
      <c r="W20" s="172" t="s">
        <v>9</v>
      </c>
      <c r="X20" s="106" t="s">
        <v>172</v>
      </c>
      <c r="Y20" s="105" t="s">
        <v>173</v>
      </c>
      <c r="Z20" s="105" t="s">
        <v>174</v>
      </c>
      <c r="AA20" s="105" t="s">
        <v>175</v>
      </c>
      <c r="AB20" s="104">
        <f t="shared" si="0"/>
        <v>1</v>
      </c>
      <c r="AC20" s="104">
        <v>1</v>
      </c>
      <c r="AD20" s="104">
        <v>1</v>
      </c>
      <c r="AE20" s="104">
        <v>1</v>
      </c>
      <c r="AF20" s="106"/>
      <c r="AG20" s="106"/>
      <c r="AH20" s="104">
        <f t="shared" si="1"/>
        <v>1</v>
      </c>
      <c r="AI20" s="106"/>
      <c r="AJ20" s="104">
        <v>1</v>
      </c>
      <c r="AK20" s="104"/>
      <c r="AL20" s="104"/>
      <c r="AM20" s="104">
        <f t="shared" si="2"/>
        <v>0</v>
      </c>
      <c r="AN20" s="104">
        <v>1</v>
      </c>
      <c r="AO20" s="104">
        <v>1</v>
      </c>
      <c r="AP20" s="104">
        <v>1</v>
      </c>
      <c r="AQ20" s="104"/>
      <c r="AS20" s="99" t="s">
        <v>3304</v>
      </c>
      <c r="AT20" s="107" t="s">
        <v>3305</v>
      </c>
      <c r="AU20" s="75" t="s">
        <v>1900</v>
      </c>
    </row>
    <row r="21" spans="1:47">
      <c r="A21" s="107" t="s">
        <v>3306</v>
      </c>
      <c r="B21" s="107" t="s">
        <v>160</v>
      </c>
      <c r="C21" s="107" t="s">
        <v>73</v>
      </c>
      <c r="D21" s="107" t="s">
        <v>3307</v>
      </c>
      <c r="E21" s="107" t="s">
        <v>162</v>
      </c>
      <c r="F21" s="107" t="s">
        <v>3308</v>
      </c>
      <c r="G21" s="107" t="s">
        <v>3309</v>
      </c>
      <c r="H21" s="107" t="s">
        <v>3194</v>
      </c>
      <c r="I21" s="107">
        <v>202605.5</v>
      </c>
      <c r="J21" s="107">
        <v>5.29</v>
      </c>
      <c r="K21" s="107" t="s">
        <v>73</v>
      </c>
      <c r="L21" s="107" t="s">
        <v>3310</v>
      </c>
      <c r="M21" s="107" t="s">
        <v>3311</v>
      </c>
      <c r="N21" s="104" t="s">
        <v>3312</v>
      </c>
      <c r="O21" s="105"/>
      <c r="P21" s="176" t="s">
        <v>146</v>
      </c>
      <c r="Q21" s="177" t="s">
        <v>100</v>
      </c>
      <c r="R21" s="177" t="s">
        <v>170</v>
      </c>
      <c r="S21" s="177" t="s">
        <v>3233</v>
      </c>
      <c r="T21" s="177" t="s">
        <v>103</v>
      </c>
      <c r="U21" s="177" t="s">
        <v>171</v>
      </c>
      <c r="V21" s="177" t="s">
        <v>171</v>
      </c>
      <c r="W21" s="172" t="s">
        <v>9</v>
      </c>
      <c r="X21" s="106" t="s">
        <v>172</v>
      </c>
      <c r="Y21" s="105" t="s">
        <v>173</v>
      </c>
      <c r="Z21" s="105" t="s">
        <v>174</v>
      </c>
      <c r="AA21" s="105" t="s">
        <v>175</v>
      </c>
      <c r="AB21" s="104">
        <f t="shared" si="0"/>
        <v>1</v>
      </c>
      <c r="AC21" s="104">
        <v>1</v>
      </c>
      <c r="AD21" s="104">
        <v>1</v>
      </c>
      <c r="AE21" s="104">
        <v>1</v>
      </c>
      <c r="AF21" s="106"/>
      <c r="AG21" s="106"/>
      <c r="AH21" s="104">
        <f t="shared" si="1"/>
        <v>1</v>
      </c>
      <c r="AI21" s="106"/>
      <c r="AJ21" s="107" t="s">
        <v>3187</v>
      </c>
      <c r="AK21" s="104"/>
      <c r="AL21" s="104"/>
      <c r="AM21" s="104">
        <f t="shared" si="2"/>
        <v>0</v>
      </c>
      <c r="AN21" s="104">
        <v>1</v>
      </c>
      <c r="AO21" s="104">
        <v>1</v>
      </c>
      <c r="AP21" s="104">
        <v>1</v>
      </c>
      <c r="AQ21" s="104"/>
      <c r="AS21" s="99" t="s">
        <v>3313</v>
      </c>
      <c r="AT21" s="107" t="s">
        <v>3314</v>
      </c>
      <c r="AU21" s="75" t="s">
        <v>2259</v>
      </c>
    </row>
    <row r="22" spans="1:47">
      <c r="A22" s="107" t="s">
        <v>3315</v>
      </c>
      <c r="B22" s="107" t="s">
        <v>160</v>
      </c>
      <c r="C22" s="107" t="s">
        <v>73</v>
      </c>
      <c r="D22" s="107" t="s">
        <v>3316</v>
      </c>
      <c r="E22" s="107" t="s">
        <v>162</v>
      </c>
      <c r="F22" s="107" t="s">
        <v>3317</v>
      </c>
      <c r="G22" s="107" t="s">
        <v>3318</v>
      </c>
      <c r="H22" s="107" t="s">
        <v>3319</v>
      </c>
      <c r="I22" s="107">
        <v>202605.5</v>
      </c>
      <c r="J22" s="107">
        <v>5.29</v>
      </c>
      <c r="K22" s="107" t="s">
        <v>73</v>
      </c>
      <c r="L22" s="107" t="s">
        <v>3320</v>
      </c>
      <c r="M22" s="107" t="s">
        <v>3321</v>
      </c>
      <c r="N22" s="104" t="s">
        <v>3322</v>
      </c>
      <c r="O22" s="105"/>
      <c r="P22" s="176" t="s">
        <v>146</v>
      </c>
      <c r="Q22" s="177" t="s">
        <v>100</v>
      </c>
      <c r="R22" s="177" t="s">
        <v>170</v>
      </c>
      <c r="S22" s="177" t="s">
        <v>3323</v>
      </c>
      <c r="T22" s="177" t="s">
        <v>103</v>
      </c>
      <c r="U22" s="177" t="s">
        <v>171</v>
      </c>
      <c r="V22" s="177" t="s">
        <v>171</v>
      </c>
      <c r="W22" s="172" t="s">
        <v>9</v>
      </c>
      <c r="X22" s="106" t="s">
        <v>172</v>
      </c>
      <c r="Y22" s="105" t="s">
        <v>173</v>
      </c>
      <c r="Z22" s="105" t="s">
        <v>174</v>
      </c>
      <c r="AA22" s="105" t="s">
        <v>175</v>
      </c>
      <c r="AB22" s="104">
        <f t="shared" si="0"/>
        <v>1</v>
      </c>
      <c r="AC22" s="104">
        <v>1</v>
      </c>
      <c r="AD22" s="104">
        <v>1</v>
      </c>
      <c r="AE22" s="104">
        <v>1</v>
      </c>
      <c r="AF22" s="106"/>
      <c r="AG22" s="106"/>
      <c r="AH22" s="104">
        <f t="shared" si="1"/>
        <v>1</v>
      </c>
      <c r="AI22" s="106"/>
      <c r="AJ22" s="104">
        <v>1</v>
      </c>
      <c r="AK22" s="104"/>
      <c r="AL22" s="104"/>
      <c r="AM22" s="104">
        <f t="shared" si="2"/>
        <v>0</v>
      </c>
      <c r="AN22" s="104">
        <v>1</v>
      </c>
      <c r="AO22" s="104">
        <v>1</v>
      </c>
      <c r="AP22" s="104">
        <v>1</v>
      </c>
      <c r="AQ22" s="104"/>
      <c r="AS22" s="99" t="s">
        <v>3324</v>
      </c>
      <c r="AT22" s="107" t="s">
        <v>3325</v>
      </c>
      <c r="AU22" s="75" t="s">
        <v>2062</v>
      </c>
    </row>
    <row r="23" spans="1:47">
      <c r="A23" s="107" t="s">
        <v>3326</v>
      </c>
      <c r="B23" s="107" t="s">
        <v>160</v>
      </c>
      <c r="C23" s="107" t="s">
        <v>73</v>
      </c>
      <c r="D23" s="107" t="s">
        <v>3327</v>
      </c>
      <c r="E23" s="107" t="s">
        <v>162</v>
      </c>
      <c r="F23" s="107" t="s">
        <v>3328</v>
      </c>
      <c r="G23" s="107" t="s">
        <v>3329</v>
      </c>
      <c r="H23" s="107" t="s">
        <v>3319</v>
      </c>
      <c r="I23" s="107">
        <v>202605.5</v>
      </c>
      <c r="J23" s="107">
        <v>5.29</v>
      </c>
      <c r="K23" s="107" t="s">
        <v>73</v>
      </c>
      <c r="L23" s="107" t="s">
        <v>3330</v>
      </c>
      <c r="M23" s="107" t="s">
        <v>3331</v>
      </c>
      <c r="N23" s="104" t="s">
        <v>3332</v>
      </c>
      <c r="O23" s="105"/>
      <c r="P23" s="176" t="s">
        <v>146</v>
      </c>
      <c r="Q23" s="177" t="s">
        <v>100</v>
      </c>
      <c r="R23" s="177" t="s">
        <v>170</v>
      </c>
      <c r="S23" s="177" t="s">
        <v>3323</v>
      </c>
      <c r="T23" s="177" t="s">
        <v>103</v>
      </c>
      <c r="U23" s="177" t="s">
        <v>171</v>
      </c>
      <c r="V23" s="177" t="s">
        <v>171</v>
      </c>
      <c r="W23" s="172" t="s">
        <v>9</v>
      </c>
      <c r="X23" s="106" t="s">
        <v>172</v>
      </c>
      <c r="Y23" s="105" t="s">
        <v>173</v>
      </c>
      <c r="Z23" s="105" t="s">
        <v>174</v>
      </c>
      <c r="AA23" s="105" t="s">
        <v>175</v>
      </c>
      <c r="AB23" s="104">
        <f t="shared" si="0"/>
        <v>1</v>
      </c>
      <c r="AC23" s="104">
        <v>1</v>
      </c>
      <c r="AD23" s="104">
        <v>1</v>
      </c>
      <c r="AE23" s="104">
        <v>1</v>
      </c>
      <c r="AF23" s="106"/>
      <c r="AG23" s="106"/>
      <c r="AH23" s="104">
        <f t="shared" si="1"/>
        <v>1</v>
      </c>
      <c r="AI23" s="106"/>
      <c r="AJ23" s="104">
        <v>1</v>
      </c>
      <c r="AK23" s="104"/>
      <c r="AL23" s="104"/>
      <c r="AM23" s="104">
        <f t="shared" si="2"/>
        <v>0</v>
      </c>
      <c r="AN23" s="104">
        <v>1</v>
      </c>
      <c r="AO23" s="104">
        <v>1</v>
      </c>
      <c r="AP23" s="104">
        <v>1</v>
      </c>
      <c r="AQ23" s="104"/>
      <c r="AS23" s="99" t="s">
        <v>3333</v>
      </c>
      <c r="AT23" s="107" t="s">
        <v>3334</v>
      </c>
      <c r="AU23" s="75" t="s">
        <v>1877</v>
      </c>
    </row>
    <row r="24" spans="1:47" hidden="1">
      <c r="A24" s="179" t="s">
        <v>3335</v>
      </c>
      <c r="B24" s="179" t="s">
        <v>160</v>
      </c>
      <c r="C24" s="179" t="s">
        <v>73</v>
      </c>
      <c r="D24" s="179" t="s">
        <v>3336</v>
      </c>
      <c r="E24" s="179" t="s">
        <v>162</v>
      </c>
      <c r="F24" s="179" t="s">
        <v>3337</v>
      </c>
      <c r="G24" s="179" t="s">
        <v>3338</v>
      </c>
      <c r="H24" s="179" t="s">
        <v>3319</v>
      </c>
      <c r="I24" s="179">
        <v>202605.5</v>
      </c>
      <c r="J24" s="180" t="s">
        <v>166</v>
      </c>
      <c r="K24" s="179" t="s">
        <v>73</v>
      </c>
      <c r="L24" s="179" t="s">
        <v>3339</v>
      </c>
      <c r="M24" s="179" t="s">
        <v>3340</v>
      </c>
      <c r="N24" s="181" t="s">
        <v>3341</v>
      </c>
      <c r="O24" s="105"/>
      <c r="P24" s="176" t="s">
        <v>146</v>
      </c>
      <c r="Q24" s="177" t="s">
        <v>100</v>
      </c>
      <c r="R24" s="177" t="s">
        <v>170</v>
      </c>
      <c r="S24" s="177" t="s">
        <v>3323</v>
      </c>
      <c r="T24" s="177" t="s">
        <v>103</v>
      </c>
      <c r="U24" s="177" t="s">
        <v>171</v>
      </c>
      <c r="V24" s="177" t="s">
        <v>171</v>
      </c>
      <c r="W24" s="106"/>
      <c r="X24" s="106" t="s">
        <v>172</v>
      </c>
      <c r="Y24" s="105" t="s">
        <v>173</v>
      </c>
      <c r="Z24" s="105" t="s">
        <v>174</v>
      </c>
      <c r="AA24" s="105" t="s">
        <v>175</v>
      </c>
      <c r="AB24" s="104">
        <f t="shared" si="0"/>
        <v>0</v>
      </c>
      <c r="AC24" s="106"/>
      <c r="AD24" s="106"/>
      <c r="AE24" s="106"/>
      <c r="AF24" s="106"/>
      <c r="AG24" s="106"/>
      <c r="AH24" s="106">
        <f t="shared" si="1"/>
        <v>0</v>
      </c>
      <c r="AI24" s="106"/>
      <c r="AJ24" s="106"/>
      <c r="AK24" s="106"/>
      <c r="AL24" s="106"/>
      <c r="AM24" s="104">
        <f t="shared" si="2"/>
        <v>0</v>
      </c>
      <c r="AN24" s="106"/>
      <c r="AO24" s="106"/>
      <c r="AP24" s="106"/>
      <c r="AQ24" s="106"/>
    </row>
    <row r="25" spans="1:47" hidden="1">
      <c r="A25" s="179" t="s">
        <v>3342</v>
      </c>
      <c r="B25" s="179" t="s">
        <v>160</v>
      </c>
      <c r="C25" s="179" t="s">
        <v>73</v>
      </c>
      <c r="D25" s="179" t="s">
        <v>3343</v>
      </c>
      <c r="E25" s="179" t="s">
        <v>162</v>
      </c>
      <c r="F25" s="179" t="s">
        <v>3344</v>
      </c>
      <c r="G25" s="179" t="s">
        <v>3345</v>
      </c>
      <c r="H25" s="179" t="s">
        <v>3319</v>
      </c>
      <c r="I25" s="179">
        <v>202605.5</v>
      </c>
      <c r="J25" s="180" t="s">
        <v>166</v>
      </c>
      <c r="K25" s="179" t="s">
        <v>73</v>
      </c>
      <c r="L25" s="179" t="s">
        <v>3346</v>
      </c>
      <c r="M25" s="179" t="s">
        <v>3347</v>
      </c>
      <c r="N25" s="181" t="s">
        <v>3348</v>
      </c>
      <c r="O25" s="105"/>
      <c r="P25" s="176" t="s">
        <v>146</v>
      </c>
      <c r="Q25" s="177" t="s">
        <v>100</v>
      </c>
      <c r="R25" s="177" t="s">
        <v>170</v>
      </c>
      <c r="S25" s="177" t="s">
        <v>3323</v>
      </c>
      <c r="T25" s="177" t="s">
        <v>103</v>
      </c>
      <c r="U25" s="177" t="s">
        <v>171</v>
      </c>
      <c r="V25" s="177" t="s">
        <v>171</v>
      </c>
      <c r="W25" s="106"/>
      <c r="X25" s="106" t="s">
        <v>172</v>
      </c>
      <c r="Y25" s="105" t="s">
        <v>173</v>
      </c>
      <c r="Z25" s="105" t="s">
        <v>174</v>
      </c>
      <c r="AA25" s="105" t="s">
        <v>175</v>
      </c>
      <c r="AB25" s="104">
        <f t="shared" si="0"/>
        <v>0</v>
      </c>
      <c r="AC25" s="106"/>
      <c r="AD25" s="106"/>
      <c r="AE25" s="106"/>
      <c r="AF25" s="106"/>
      <c r="AG25" s="106"/>
      <c r="AH25" s="106">
        <f t="shared" si="1"/>
        <v>0</v>
      </c>
      <c r="AI25" s="106"/>
      <c r="AJ25" s="106"/>
      <c r="AK25" s="106"/>
      <c r="AL25" s="106"/>
      <c r="AM25" s="104">
        <f t="shared" si="2"/>
        <v>0</v>
      </c>
      <c r="AN25" s="106"/>
      <c r="AO25" s="106"/>
      <c r="AP25" s="106"/>
      <c r="AQ25" s="106"/>
    </row>
    <row r="26" spans="1:47" hidden="1">
      <c r="A26" s="179" t="s">
        <v>3349</v>
      </c>
      <c r="B26" s="179" t="s">
        <v>160</v>
      </c>
      <c r="C26" s="179" t="s">
        <v>73</v>
      </c>
      <c r="D26" s="179" t="s">
        <v>3350</v>
      </c>
      <c r="E26" s="179" t="s">
        <v>162</v>
      </c>
      <c r="F26" s="179" t="s">
        <v>3351</v>
      </c>
      <c r="G26" s="179" t="s">
        <v>3352</v>
      </c>
      <c r="H26" s="179" t="s">
        <v>3319</v>
      </c>
      <c r="I26" s="179">
        <v>202605.5</v>
      </c>
      <c r="J26" s="175" t="s">
        <v>3213</v>
      </c>
      <c r="K26" s="107" t="s">
        <v>73</v>
      </c>
      <c r="L26" s="107" t="s">
        <v>3353</v>
      </c>
      <c r="M26" s="107" t="s">
        <v>3354</v>
      </c>
      <c r="N26" s="104" t="s">
        <v>3355</v>
      </c>
      <c r="O26" s="105"/>
      <c r="P26" s="176" t="s">
        <v>146</v>
      </c>
      <c r="Q26" s="177" t="s">
        <v>100</v>
      </c>
      <c r="R26" s="177" t="s">
        <v>170</v>
      </c>
      <c r="S26" s="177" t="s">
        <v>3323</v>
      </c>
      <c r="T26" s="177" t="s">
        <v>103</v>
      </c>
      <c r="U26" s="177" t="s">
        <v>171</v>
      </c>
      <c r="V26" s="177" t="s">
        <v>171</v>
      </c>
      <c r="W26" s="172" t="s">
        <v>9</v>
      </c>
      <c r="X26" s="106" t="s">
        <v>172</v>
      </c>
      <c r="Y26" s="105" t="s">
        <v>173</v>
      </c>
      <c r="Z26" s="105" t="s">
        <v>174</v>
      </c>
      <c r="AA26" s="105" t="s">
        <v>175</v>
      </c>
      <c r="AB26" s="104">
        <f t="shared" si="0"/>
        <v>1</v>
      </c>
      <c r="AC26" s="106"/>
      <c r="AD26" s="106"/>
      <c r="AE26" s="106"/>
      <c r="AF26" s="106"/>
      <c r="AG26" s="106"/>
      <c r="AH26" s="104">
        <f t="shared" si="1"/>
        <v>0</v>
      </c>
      <c r="AI26" s="106"/>
      <c r="AJ26" s="106"/>
      <c r="AK26" s="106"/>
      <c r="AL26" s="106"/>
      <c r="AM26" s="104">
        <f t="shared" si="2"/>
        <v>0</v>
      </c>
      <c r="AN26" s="106"/>
      <c r="AO26" s="106"/>
      <c r="AP26" s="106"/>
      <c r="AQ26" s="106"/>
      <c r="AU26" s="75" t="s">
        <v>2040</v>
      </c>
    </row>
    <row r="27" spans="1:47" hidden="1">
      <c r="A27" s="179" t="s">
        <v>3356</v>
      </c>
      <c r="B27" s="179" t="s">
        <v>160</v>
      </c>
      <c r="C27" s="179" t="s">
        <v>73</v>
      </c>
      <c r="D27" s="179" t="s">
        <v>3357</v>
      </c>
      <c r="E27" s="179" t="s">
        <v>162</v>
      </c>
      <c r="F27" s="179" t="s">
        <v>3358</v>
      </c>
      <c r="G27" s="179" t="s">
        <v>3359</v>
      </c>
      <c r="H27" s="179" t="s">
        <v>3319</v>
      </c>
      <c r="I27" s="179">
        <v>202605.5</v>
      </c>
      <c r="J27" s="175" t="s">
        <v>3213</v>
      </c>
      <c r="K27" s="107" t="s">
        <v>73</v>
      </c>
      <c r="L27" s="107" t="s">
        <v>3360</v>
      </c>
      <c r="M27" s="107" t="s">
        <v>3361</v>
      </c>
      <c r="N27" s="104" t="s">
        <v>3362</v>
      </c>
      <c r="O27" s="105"/>
      <c r="P27" s="176" t="s">
        <v>146</v>
      </c>
      <c r="Q27" s="177" t="s">
        <v>100</v>
      </c>
      <c r="R27" s="177" t="s">
        <v>170</v>
      </c>
      <c r="S27" s="177" t="s">
        <v>3323</v>
      </c>
      <c r="T27" s="177" t="s">
        <v>103</v>
      </c>
      <c r="U27" s="177" t="s">
        <v>171</v>
      </c>
      <c r="V27" s="177" t="s">
        <v>171</v>
      </c>
      <c r="W27" s="172" t="s">
        <v>9</v>
      </c>
      <c r="X27" s="106" t="s">
        <v>172</v>
      </c>
      <c r="Y27" s="105" t="s">
        <v>173</v>
      </c>
      <c r="Z27" s="105" t="s">
        <v>174</v>
      </c>
      <c r="AA27" s="105" t="s">
        <v>175</v>
      </c>
      <c r="AB27" s="104">
        <f t="shared" si="0"/>
        <v>1</v>
      </c>
      <c r="AC27" s="106"/>
      <c r="AD27" s="106"/>
      <c r="AE27" s="106"/>
      <c r="AF27" s="106"/>
      <c r="AG27" s="106"/>
      <c r="AH27" s="104">
        <f t="shared" si="1"/>
        <v>0</v>
      </c>
      <c r="AI27" s="106"/>
      <c r="AJ27" s="106"/>
      <c r="AK27" s="106"/>
      <c r="AL27" s="106"/>
      <c r="AM27" s="104">
        <f t="shared" si="2"/>
        <v>0</v>
      </c>
      <c r="AN27" s="106"/>
      <c r="AO27" s="106"/>
      <c r="AP27" s="106"/>
      <c r="AQ27" s="106"/>
      <c r="AU27" s="75" t="s">
        <v>1999</v>
      </c>
    </row>
    <row r="28" spans="1:47" hidden="1">
      <c r="A28" s="179" t="s">
        <v>3363</v>
      </c>
      <c r="B28" s="179" t="s">
        <v>160</v>
      </c>
      <c r="C28" s="179" t="s">
        <v>73</v>
      </c>
      <c r="D28" s="179" t="s">
        <v>3364</v>
      </c>
      <c r="E28" s="179" t="s">
        <v>162</v>
      </c>
      <c r="F28" s="179" t="s">
        <v>3365</v>
      </c>
      <c r="G28" s="179" t="s">
        <v>3366</v>
      </c>
      <c r="H28" s="179" t="s">
        <v>3319</v>
      </c>
      <c r="I28" s="179">
        <v>202605.5</v>
      </c>
      <c r="J28" s="180" t="s">
        <v>166</v>
      </c>
      <c r="K28" s="179" t="s">
        <v>73</v>
      </c>
      <c r="L28" s="179" t="s">
        <v>3367</v>
      </c>
      <c r="M28" s="179" t="s">
        <v>3368</v>
      </c>
      <c r="N28" s="181" t="s">
        <v>3369</v>
      </c>
      <c r="O28" s="105"/>
      <c r="P28" s="176" t="s">
        <v>146</v>
      </c>
      <c r="Q28" s="177" t="s">
        <v>100</v>
      </c>
      <c r="R28" s="177" t="s">
        <v>170</v>
      </c>
      <c r="S28" s="177" t="s">
        <v>3323</v>
      </c>
      <c r="T28" s="177" t="s">
        <v>103</v>
      </c>
      <c r="U28" s="177" t="s">
        <v>171</v>
      </c>
      <c r="V28" s="177" t="s">
        <v>171</v>
      </c>
      <c r="W28" s="106"/>
      <c r="X28" s="106" t="s">
        <v>172</v>
      </c>
      <c r="Y28" s="105" t="s">
        <v>173</v>
      </c>
      <c r="Z28" s="105" t="s">
        <v>174</v>
      </c>
      <c r="AA28" s="105" t="s">
        <v>175</v>
      </c>
      <c r="AB28" s="104">
        <f t="shared" si="0"/>
        <v>0</v>
      </c>
      <c r="AC28" s="106"/>
      <c r="AD28" s="106"/>
      <c r="AE28" s="106"/>
      <c r="AF28" s="106"/>
      <c r="AG28" s="106"/>
      <c r="AH28" s="106">
        <f t="shared" si="1"/>
        <v>0</v>
      </c>
      <c r="AI28" s="106"/>
      <c r="AJ28" s="106"/>
      <c r="AK28" s="106"/>
      <c r="AL28" s="106"/>
      <c r="AM28" s="104">
        <f t="shared" si="2"/>
        <v>0</v>
      </c>
      <c r="AN28" s="106"/>
      <c r="AO28" s="106"/>
      <c r="AP28" s="106"/>
      <c r="AQ28" s="106"/>
    </row>
    <row r="29" spans="1:47">
      <c r="A29" s="107" t="s">
        <v>3370</v>
      </c>
      <c r="B29" s="107" t="s">
        <v>160</v>
      </c>
      <c r="C29" s="107" t="s">
        <v>73</v>
      </c>
      <c r="D29" s="107" t="s">
        <v>3371</v>
      </c>
      <c r="E29" s="107" t="s">
        <v>162</v>
      </c>
      <c r="F29" s="107" t="s">
        <v>3372</v>
      </c>
      <c r="G29" s="107" t="s">
        <v>3373</v>
      </c>
      <c r="H29" s="107" t="s">
        <v>3319</v>
      </c>
      <c r="I29" s="107">
        <v>202605.5</v>
      </c>
      <c r="J29" s="107">
        <v>5.29</v>
      </c>
      <c r="K29" s="107" t="s">
        <v>73</v>
      </c>
      <c r="L29" s="107" t="s">
        <v>3374</v>
      </c>
      <c r="M29" s="107" t="s">
        <v>3375</v>
      </c>
      <c r="N29" s="104" t="s">
        <v>3376</v>
      </c>
      <c r="O29" s="105"/>
      <c r="P29" s="176" t="s">
        <v>146</v>
      </c>
      <c r="Q29" s="177" t="s">
        <v>100</v>
      </c>
      <c r="R29" s="177" t="s">
        <v>170</v>
      </c>
      <c r="S29" s="177" t="s">
        <v>3323</v>
      </c>
      <c r="T29" s="177" t="s">
        <v>103</v>
      </c>
      <c r="U29" s="177" t="s">
        <v>171</v>
      </c>
      <c r="V29" s="177" t="s">
        <v>171</v>
      </c>
      <c r="W29" s="172" t="s">
        <v>9</v>
      </c>
      <c r="X29" s="106" t="s">
        <v>172</v>
      </c>
      <c r="Y29" s="105" t="s">
        <v>173</v>
      </c>
      <c r="Z29" s="105" t="s">
        <v>174</v>
      </c>
      <c r="AA29" s="105" t="s">
        <v>175</v>
      </c>
      <c r="AB29" s="104">
        <f t="shared" si="0"/>
        <v>1</v>
      </c>
      <c r="AC29" s="104">
        <v>1</v>
      </c>
      <c r="AD29" s="104">
        <v>1</v>
      </c>
      <c r="AE29" s="104">
        <v>1</v>
      </c>
      <c r="AF29" s="106"/>
      <c r="AG29" s="106"/>
      <c r="AH29" s="104">
        <f t="shared" si="1"/>
        <v>1</v>
      </c>
      <c r="AI29" s="106"/>
      <c r="AJ29" s="104">
        <v>1</v>
      </c>
      <c r="AK29" s="104"/>
      <c r="AL29" s="104"/>
      <c r="AM29" s="104">
        <f t="shared" si="2"/>
        <v>0</v>
      </c>
      <c r="AN29" s="104">
        <v>1</v>
      </c>
      <c r="AO29" s="104">
        <v>1</v>
      </c>
      <c r="AP29" s="104">
        <v>1</v>
      </c>
      <c r="AQ29" s="104"/>
      <c r="AS29" s="99" t="s">
        <v>3377</v>
      </c>
      <c r="AT29" s="107" t="s">
        <v>3378</v>
      </c>
      <c r="AU29" s="75" t="s">
        <v>2069</v>
      </c>
    </row>
    <row r="30" spans="1:47">
      <c r="A30" s="107" t="s">
        <v>3379</v>
      </c>
      <c r="B30" s="107" t="s">
        <v>160</v>
      </c>
      <c r="C30" s="107" t="s">
        <v>73</v>
      </c>
      <c r="D30" s="107" t="s">
        <v>3380</v>
      </c>
      <c r="E30" s="107" t="s">
        <v>162</v>
      </c>
      <c r="F30" s="107" t="s">
        <v>3381</v>
      </c>
      <c r="G30" s="107" t="s">
        <v>3382</v>
      </c>
      <c r="H30" s="107" t="s">
        <v>3383</v>
      </c>
      <c r="I30" s="107">
        <v>202605.5</v>
      </c>
      <c r="J30" s="107">
        <v>5.29</v>
      </c>
      <c r="K30" s="107" t="s">
        <v>73</v>
      </c>
      <c r="L30" s="107" t="s">
        <v>3384</v>
      </c>
      <c r="M30" s="107" t="s">
        <v>3385</v>
      </c>
      <c r="N30" s="104" t="s">
        <v>3386</v>
      </c>
      <c r="O30" s="105"/>
      <c r="P30" s="176" t="s">
        <v>146</v>
      </c>
      <c r="Q30" s="177" t="s">
        <v>100</v>
      </c>
      <c r="R30" s="177" t="s">
        <v>170</v>
      </c>
      <c r="S30" s="177" t="s">
        <v>3323</v>
      </c>
      <c r="T30" s="177" t="s">
        <v>103</v>
      </c>
      <c r="U30" s="177" t="s">
        <v>171</v>
      </c>
      <c r="V30" s="177" t="s">
        <v>171</v>
      </c>
      <c r="W30" s="172" t="s">
        <v>9</v>
      </c>
      <c r="X30" s="106" t="s">
        <v>172</v>
      </c>
      <c r="Y30" s="105" t="s">
        <v>173</v>
      </c>
      <c r="Z30" s="105" t="s">
        <v>174</v>
      </c>
      <c r="AA30" s="105" t="s">
        <v>175</v>
      </c>
      <c r="AB30" s="104">
        <f t="shared" si="0"/>
        <v>1</v>
      </c>
      <c r="AC30" s="104">
        <v>1</v>
      </c>
      <c r="AD30" s="104">
        <v>1</v>
      </c>
      <c r="AE30" s="104">
        <v>1</v>
      </c>
      <c r="AF30" s="106"/>
      <c r="AG30" s="106"/>
      <c r="AH30" s="104">
        <f t="shared" si="1"/>
        <v>1</v>
      </c>
      <c r="AI30" s="106"/>
      <c r="AJ30" s="104">
        <v>1</v>
      </c>
      <c r="AK30" s="104"/>
      <c r="AL30" s="104"/>
      <c r="AM30" s="104">
        <f t="shared" si="2"/>
        <v>0</v>
      </c>
      <c r="AN30" s="104">
        <v>1</v>
      </c>
      <c r="AO30" s="104">
        <v>1</v>
      </c>
      <c r="AP30" s="104">
        <v>1</v>
      </c>
      <c r="AQ30" s="104"/>
      <c r="AS30" s="99" t="s">
        <v>3387</v>
      </c>
      <c r="AT30" s="107" t="s">
        <v>3388</v>
      </c>
      <c r="AU30" s="75" t="s">
        <v>2012</v>
      </c>
    </row>
    <row r="31" spans="1:47">
      <c r="A31" s="107" t="s">
        <v>3389</v>
      </c>
      <c r="B31" s="107" t="s">
        <v>160</v>
      </c>
      <c r="C31" s="107" t="s">
        <v>73</v>
      </c>
      <c r="D31" s="107" t="s">
        <v>3390</v>
      </c>
      <c r="E31" s="107" t="s">
        <v>162</v>
      </c>
      <c r="F31" s="107" t="s">
        <v>3391</v>
      </c>
      <c r="G31" s="107" t="s">
        <v>3392</v>
      </c>
      <c r="H31" s="107" t="s">
        <v>3383</v>
      </c>
      <c r="I31" s="107">
        <v>202605.5</v>
      </c>
      <c r="J31" s="107">
        <v>5.29</v>
      </c>
      <c r="K31" s="107" t="s">
        <v>73</v>
      </c>
      <c r="L31" s="107" t="s">
        <v>3393</v>
      </c>
      <c r="M31" s="107" t="s">
        <v>3394</v>
      </c>
      <c r="N31" s="104" t="s">
        <v>3395</v>
      </c>
      <c r="O31" s="105"/>
      <c r="P31" s="176" t="s">
        <v>146</v>
      </c>
      <c r="Q31" s="177" t="s">
        <v>100</v>
      </c>
      <c r="R31" s="177" t="s">
        <v>170</v>
      </c>
      <c r="S31" s="177" t="s">
        <v>3323</v>
      </c>
      <c r="T31" s="177" t="s">
        <v>103</v>
      </c>
      <c r="U31" s="177" t="s">
        <v>171</v>
      </c>
      <c r="V31" s="177" t="s">
        <v>171</v>
      </c>
      <c r="W31" s="172" t="s">
        <v>9</v>
      </c>
      <c r="X31" s="106" t="s">
        <v>172</v>
      </c>
      <c r="Y31" s="105" t="s">
        <v>173</v>
      </c>
      <c r="Z31" s="105" t="s">
        <v>174</v>
      </c>
      <c r="AA31" s="105" t="s">
        <v>175</v>
      </c>
      <c r="AB31" s="104">
        <f t="shared" si="0"/>
        <v>1</v>
      </c>
      <c r="AC31" s="104">
        <v>1</v>
      </c>
      <c r="AD31" s="104">
        <v>1</v>
      </c>
      <c r="AE31" s="104">
        <v>1</v>
      </c>
      <c r="AF31" s="106"/>
      <c r="AG31" s="106"/>
      <c r="AH31" s="104">
        <f t="shared" si="1"/>
        <v>1</v>
      </c>
      <c r="AI31" s="106"/>
      <c r="AJ31" s="104">
        <v>1</v>
      </c>
      <c r="AK31" s="104"/>
      <c r="AL31" s="104"/>
      <c r="AM31" s="104">
        <f t="shared" si="2"/>
        <v>0</v>
      </c>
      <c r="AN31" s="104">
        <v>1</v>
      </c>
      <c r="AO31" s="104">
        <v>1</v>
      </c>
      <c r="AP31" s="104">
        <v>1</v>
      </c>
      <c r="AQ31" s="104"/>
      <c r="AS31" s="99" t="s">
        <v>3396</v>
      </c>
      <c r="AT31" s="107" t="s">
        <v>3397</v>
      </c>
      <c r="AU31" s="75" t="s">
        <v>1971</v>
      </c>
    </row>
    <row r="32" spans="1:47">
      <c r="A32" s="107" t="s">
        <v>3398</v>
      </c>
      <c r="B32" s="107" t="s">
        <v>160</v>
      </c>
      <c r="C32" s="107" t="s">
        <v>73</v>
      </c>
      <c r="D32" s="107" t="s">
        <v>3399</v>
      </c>
      <c r="E32" s="107" t="s">
        <v>162</v>
      </c>
      <c r="F32" s="107" t="s">
        <v>3400</v>
      </c>
      <c r="G32" s="107" t="s">
        <v>3401</v>
      </c>
      <c r="H32" s="107" t="s">
        <v>3383</v>
      </c>
      <c r="I32" s="107">
        <v>202605.5</v>
      </c>
      <c r="J32" s="107">
        <v>5.29</v>
      </c>
      <c r="K32" s="107" t="s">
        <v>73</v>
      </c>
      <c r="L32" s="107" t="s">
        <v>3402</v>
      </c>
      <c r="M32" s="107" t="s">
        <v>3403</v>
      </c>
      <c r="N32" s="104" t="s">
        <v>3404</v>
      </c>
      <c r="O32" s="105"/>
      <c r="P32" s="176" t="s">
        <v>146</v>
      </c>
      <c r="Q32" s="177" t="s">
        <v>100</v>
      </c>
      <c r="R32" s="177" t="s">
        <v>170</v>
      </c>
      <c r="S32" s="177" t="s">
        <v>3405</v>
      </c>
      <c r="T32" s="177" t="s">
        <v>103</v>
      </c>
      <c r="U32" s="177" t="s">
        <v>171</v>
      </c>
      <c r="V32" s="177" t="s">
        <v>171</v>
      </c>
      <c r="W32" s="172" t="s">
        <v>11</v>
      </c>
      <c r="X32" s="106" t="s">
        <v>172</v>
      </c>
      <c r="Y32" s="105" t="s">
        <v>173</v>
      </c>
      <c r="Z32" s="105" t="s">
        <v>174</v>
      </c>
      <c r="AA32" s="105" t="s">
        <v>175</v>
      </c>
      <c r="AB32" s="104">
        <f t="shared" si="0"/>
        <v>1</v>
      </c>
      <c r="AC32" s="104">
        <v>1</v>
      </c>
      <c r="AD32" s="104">
        <v>1</v>
      </c>
      <c r="AE32" s="104">
        <v>1</v>
      </c>
      <c r="AF32" s="106"/>
      <c r="AG32" s="106"/>
      <c r="AH32" s="104">
        <f t="shared" si="1"/>
        <v>1</v>
      </c>
      <c r="AI32" s="106"/>
      <c r="AJ32" s="106"/>
      <c r="AK32" s="104"/>
      <c r="AL32" s="104"/>
      <c r="AM32" s="104">
        <f t="shared" si="2"/>
        <v>1</v>
      </c>
      <c r="AN32" s="104">
        <v>1</v>
      </c>
      <c r="AO32" s="104">
        <v>1</v>
      </c>
      <c r="AP32" s="104">
        <v>1</v>
      </c>
      <c r="AQ32" s="104"/>
      <c r="AS32" s="99" t="s">
        <v>3406</v>
      </c>
      <c r="AT32" s="107" t="s">
        <v>3407</v>
      </c>
      <c r="AU32" s="75" t="s">
        <v>2019</v>
      </c>
    </row>
    <row r="33" spans="1:47">
      <c r="A33" s="107" t="s">
        <v>3408</v>
      </c>
      <c r="B33" s="107" t="s">
        <v>160</v>
      </c>
      <c r="C33" s="107" t="s">
        <v>73</v>
      </c>
      <c r="D33" s="107" t="s">
        <v>3409</v>
      </c>
      <c r="E33" s="107" t="s">
        <v>162</v>
      </c>
      <c r="F33" s="107" t="s">
        <v>3410</v>
      </c>
      <c r="G33" s="107" t="s">
        <v>3411</v>
      </c>
      <c r="H33" s="107" t="s">
        <v>3383</v>
      </c>
      <c r="I33" s="107">
        <v>202605.5</v>
      </c>
      <c r="J33" s="107">
        <v>5.29</v>
      </c>
      <c r="K33" s="107" t="s">
        <v>73</v>
      </c>
      <c r="L33" s="107" t="s">
        <v>3412</v>
      </c>
      <c r="M33" s="107" t="s">
        <v>3413</v>
      </c>
      <c r="N33" s="104" t="s">
        <v>3414</v>
      </c>
      <c r="O33" s="105"/>
      <c r="P33" s="176" t="s">
        <v>146</v>
      </c>
      <c r="Q33" s="177" t="s">
        <v>100</v>
      </c>
      <c r="R33" s="177" t="s">
        <v>170</v>
      </c>
      <c r="S33" s="177" t="s">
        <v>3405</v>
      </c>
      <c r="T33" s="177" t="s">
        <v>103</v>
      </c>
      <c r="U33" s="177" t="s">
        <v>171</v>
      </c>
      <c r="V33" s="177" t="s">
        <v>171</v>
      </c>
      <c r="W33" s="172" t="s">
        <v>11</v>
      </c>
      <c r="X33" s="106" t="s">
        <v>172</v>
      </c>
      <c r="Y33" s="105" t="s">
        <v>173</v>
      </c>
      <c r="Z33" s="105" t="s">
        <v>174</v>
      </c>
      <c r="AA33" s="105" t="s">
        <v>175</v>
      </c>
      <c r="AB33" s="104">
        <f t="shared" si="0"/>
        <v>1</v>
      </c>
      <c r="AC33" s="104">
        <v>1</v>
      </c>
      <c r="AD33" s="104">
        <v>1</v>
      </c>
      <c r="AE33" s="104">
        <v>1</v>
      </c>
      <c r="AF33" s="106"/>
      <c r="AG33" s="106"/>
      <c r="AH33" s="104">
        <f t="shared" si="1"/>
        <v>1</v>
      </c>
      <c r="AI33" s="106"/>
      <c r="AJ33" s="106"/>
      <c r="AK33" s="104"/>
      <c r="AL33" s="104"/>
      <c r="AM33" s="104">
        <f t="shared" si="2"/>
        <v>1</v>
      </c>
      <c r="AN33" s="104">
        <v>1</v>
      </c>
      <c r="AO33" s="104">
        <v>1</v>
      </c>
      <c r="AP33" s="104">
        <v>1</v>
      </c>
      <c r="AQ33" s="104"/>
      <c r="AS33" s="99" t="s">
        <v>3230</v>
      </c>
      <c r="AT33" s="107" t="s">
        <v>3415</v>
      </c>
      <c r="AU33" s="75" t="s">
        <v>1836</v>
      </c>
    </row>
    <row r="34" spans="1:47">
      <c r="A34" s="107" t="s">
        <v>3416</v>
      </c>
      <c r="B34" s="107" t="s">
        <v>160</v>
      </c>
      <c r="C34" s="107" t="s">
        <v>73</v>
      </c>
      <c r="D34" s="107" t="s">
        <v>3417</v>
      </c>
      <c r="E34" s="107" t="s">
        <v>162</v>
      </c>
      <c r="F34" s="107" t="s">
        <v>3418</v>
      </c>
      <c r="G34" s="107" t="s">
        <v>3419</v>
      </c>
      <c r="H34" s="107" t="s">
        <v>3420</v>
      </c>
      <c r="I34" s="107">
        <v>202605.5</v>
      </c>
      <c r="J34" s="107">
        <v>5.29</v>
      </c>
      <c r="K34" s="107" t="s">
        <v>73</v>
      </c>
      <c r="L34" s="107" t="s">
        <v>3421</v>
      </c>
      <c r="M34" s="107" t="s">
        <v>3422</v>
      </c>
      <c r="N34" s="104" t="s">
        <v>3423</v>
      </c>
      <c r="O34" s="105"/>
      <c r="P34" s="176" t="s">
        <v>146</v>
      </c>
      <c r="Q34" s="177" t="s">
        <v>100</v>
      </c>
      <c r="R34" s="177" t="s">
        <v>170</v>
      </c>
      <c r="S34" s="177" t="s">
        <v>3405</v>
      </c>
      <c r="T34" s="177" t="s">
        <v>103</v>
      </c>
      <c r="U34" s="177" t="s">
        <v>171</v>
      </c>
      <c r="V34" s="177" t="s">
        <v>171</v>
      </c>
      <c r="W34" s="172" t="s">
        <v>11</v>
      </c>
      <c r="X34" s="106" t="s">
        <v>172</v>
      </c>
      <c r="Y34" s="105" t="s">
        <v>173</v>
      </c>
      <c r="Z34" s="105" t="s">
        <v>174</v>
      </c>
      <c r="AA34" s="105" t="s">
        <v>175</v>
      </c>
      <c r="AB34" s="104">
        <f t="shared" si="0"/>
        <v>1</v>
      </c>
      <c r="AC34" s="104">
        <v>1</v>
      </c>
      <c r="AD34" s="104">
        <v>1</v>
      </c>
      <c r="AE34" s="104">
        <v>1</v>
      </c>
      <c r="AF34" s="106"/>
      <c r="AG34" s="106"/>
      <c r="AH34" s="104">
        <f t="shared" si="1"/>
        <v>1</v>
      </c>
      <c r="AI34" s="106"/>
      <c r="AJ34" s="106"/>
      <c r="AK34" s="104"/>
      <c r="AL34" s="104"/>
      <c r="AM34" s="104">
        <f t="shared" si="2"/>
        <v>1</v>
      </c>
      <c r="AN34" s="104">
        <v>1</v>
      </c>
      <c r="AO34" s="104">
        <v>1</v>
      </c>
      <c r="AP34" s="104">
        <v>1</v>
      </c>
      <c r="AQ34" s="104"/>
      <c r="AS34" s="99" t="s">
        <v>3424</v>
      </c>
      <c r="AT34" s="107" t="s">
        <v>3425</v>
      </c>
      <c r="AU34" s="75" t="s">
        <v>1992</v>
      </c>
    </row>
    <row r="35" spans="1:47">
      <c r="A35" s="107" t="s">
        <v>3426</v>
      </c>
      <c r="B35" s="107" t="s">
        <v>160</v>
      </c>
      <c r="C35" s="107" t="s">
        <v>73</v>
      </c>
      <c r="D35" s="107" t="s">
        <v>3427</v>
      </c>
      <c r="E35" s="107" t="s">
        <v>162</v>
      </c>
      <c r="F35" s="107" t="s">
        <v>3428</v>
      </c>
      <c r="G35" s="107" t="s">
        <v>3429</v>
      </c>
      <c r="H35" s="107" t="s">
        <v>3420</v>
      </c>
      <c r="I35" s="107">
        <v>202605.5</v>
      </c>
      <c r="J35" s="107">
        <v>5.29</v>
      </c>
      <c r="K35" s="107" t="s">
        <v>73</v>
      </c>
      <c r="L35" s="107" t="s">
        <v>3430</v>
      </c>
      <c r="M35" s="107" t="s">
        <v>3431</v>
      </c>
      <c r="N35" s="104" t="s">
        <v>3432</v>
      </c>
      <c r="O35" s="105"/>
      <c r="P35" s="176" t="s">
        <v>146</v>
      </c>
      <c r="Q35" s="177" t="s">
        <v>100</v>
      </c>
      <c r="R35" s="177" t="s">
        <v>170</v>
      </c>
      <c r="S35" s="177" t="s">
        <v>3405</v>
      </c>
      <c r="T35" s="177" t="s">
        <v>103</v>
      </c>
      <c r="U35" s="177" t="s">
        <v>171</v>
      </c>
      <c r="V35" s="177" t="s">
        <v>171</v>
      </c>
      <c r="W35" s="172" t="s">
        <v>11</v>
      </c>
      <c r="X35" s="106" t="s">
        <v>172</v>
      </c>
      <c r="Y35" s="105" t="s">
        <v>173</v>
      </c>
      <c r="Z35" s="105" t="s">
        <v>174</v>
      </c>
      <c r="AA35" s="105" t="s">
        <v>175</v>
      </c>
      <c r="AB35" s="104">
        <f t="shared" ref="AB35:AB66" si="3">IF(COUNTIF(AU:AU,"*"&amp;D35&amp;"*")&gt;0,1,0)</f>
        <v>1</v>
      </c>
      <c r="AC35" s="104">
        <v>1</v>
      </c>
      <c r="AD35" s="104">
        <v>1</v>
      </c>
      <c r="AE35" s="104">
        <v>1</v>
      </c>
      <c r="AF35" s="106"/>
      <c r="AG35" s="106"/>
      <c r="AH35" s="104">
        <f t="shared" ref="AH35:AH66" si="4">IF(COUNTIF(AS:AS,"*"&amp;L35&amp;"*")&gt;0,1,0)</f>
        <v>1</v>
      </c>
      <c r="AI35" s="106"/>
      <c r="AJ35" s="106"/>
      <c r="AK35" s="104"/>
      <c r="AL35" s="104"/>
      <c r="AM35" s="104">
        <f t="shared" ref="AM35:AM66" si="5">IF(COUNTIF(AT:AT,"*"&amp;L35&amp;"*")&gt;0,1,0)</f>
        <v>1</v>
      </c>
      <c r="AN35" s="104">
        <v>1</v>
      </c>
      <c r="AO35" s="104">
        <v>1</v>
      </c>
      <c r="AP35" s="104">
        <v>1</v>
      </c>
      <c r="AQ35" s="104"/>
      <c r="AS35" s="99" t="s">
        <v>3433</v>
      </c>
      <c r="AT35" s="107" t="s">
        <v>3434</v>
      </c>
      <c r="AU35" s="75" t="s">
        <v>1985</v>
      </c>
    </row>
    <row r="36" spans="1:47">
      <c r="A36" s="107" t="s">
        <v>3435</v>
      </c>
      <c r="B36" s="107" t="s">
        <v>160</v>
      </c>
      <c r="C36" s="107" t="s">
        <v>73</v>
      </c>
      <c r="D36" s="107" t="s">
        <v>3436</v>
      </c>
      <c r="E36" s="107" t="s">
        <v>162</v>
      </c>
      <c r="F36" s="107" t="s">
        <v>3437</v>
      </c>
      <c r="G36" s="107" t="s">
        <v>3438</v>
      </c>
      <c r="H36" s="107" t="s">
        <v>165</v>
      </c>
      <c r="I36" s="107">
        <v>202605.5</v>
      </c>
      <c r="J36" s="107">
        <v>5.29</v>
      </c>
      <c r="K36" s="107" t="s">
        <v>73</v>
      </c>
      <c r="L36" s="107" t="s">
        <v>3439</v>
      </c>
      <c r="M36" s="107" t="s">
        <v>3440</v>
      </c>
      <c r="N36" s="104" t="s">
        <v>3441</v>
      </c>
      <c r="O36" s="105"/>
      <c r="P36" s="176" t="s">
        <v>146</v>
      </c>
      <c r="Q36" s="177" t="s">
        <v>100</v>
      </c>
      <c r="R36" s="177" t="s">
        <v>170</v>
      </c>
      <c r="S36" s="177" t="s">
        <v>3405</v>
      </c>
      <c r="T36" s="177" t="s">
        <v>103</v>
      </c>
      <c r="U36" s="177" t="s">
        <v>171</v>
      </c>
      <c r="V36" s="177" t="s">
        <v>171</v>
      </c>
      <c r="W36" s="172" t="s">
        <v>11</v>
      </c>
      <c r="X36" s="106" t="s">
        <v>172</v>
      </c>
      <c r="Y36" s="105" t="s">
        <v>173</v>
      </c>
      <c r="Z36" s="105" t="s">
        <v>174</v>
      </c>
      <c r="AA36" s="105" t="s">
        <v>175</v>
      </c>
      <c r="AB36" s="104">
        <f t="shared" si="3"/>
        <v>1</v>
      </c>
      <c r="AC36" s="104">
        <v>1</v>
      </c>
      <c r="AD36" s="104">
        <v>1</v>
      </c>
      <c r="AE36" s="104">
        <v>1</v>
      </c>
      <c r="AF36" s="106"/>
      <c r="AG36" s="106"/>
      <c r="AH36" s="104">
        <f t="shared" si="4"/>
        <v>1</v>
      </c>
      <c r="AI36" s="106"/>
      <c r="AJ36" s="106"/>
      <c r="AK36" s="104"/>
      <c r="AL36" s="104"/>
      <c r="AM36" s="104">
        <f t="shared" si="5"/>
        <v>1</v>
      </c>
      <c r="AN36" s="104">
        <v>1</v>
      </c>
      <c r="AO36" s="104">
        <v>1</v>
      </c>
      <c r="AP36" s="104">
        <v>1</v>
      </c>
      <c r="AQ36" s="104"/>
      <c r="AS36" s="99" t="s">
        <v>3442</v>
      </c>
      <c r="AT36" s="107" t="s">
        <v>3443</v>
      </c>
      <c r="AU36" s="75" t="s">
        <v>1916</v>
      </c>
    </row>
    <row r="37" spans="1:47">
      <c r="A37" s="107" t="s">
        <v>3444</v>
      </c>
      <c r="B37" s="107" t="s">
        <v>160</v>
      </c>
      <c r="C37" s="107" t="s">
        <v>73</v>
      </c>
      <c r="D37" s="107" t="s">
        <v>3445</v>
      </c>
      <c r="E37" s="107" t="s">
        <v>162</v>
      </c>
      <c r="F37" s="107" t="s">
        <v>3446</v>
      </c>
      <c r="G37" s="107" t="s">
        <v>3447</v>
      </c>
      <c r="H37" s="107" t="s">
        <v>165</v>
      </c>
      <c r="I37" s="107">
        <v>202605.5</v>
      </c>
      <c r="J37" s="107">
        <v>5.29</v>
      </c>
      <c r="K37" s="107" t="s">
        <v>73</v>
      </c>
      <c r="L37" s="107" t="s">
        <v>3448</v>
      </c>
      <c r="M37" s="107" t="s">
        <v>3449</v>
      </c>
      <c r="N37" s="104" t="s">
        <v>3450</v>
      </c>
      <c r="O37" s="105"/>
      <c r="P37" s="176" t="s">
        <v>146</v>
      </c>
      <c r="Q37" s="177" t="s">
        <v>100</v>
      </c>
      <c r="R37" s="177" t="s">
        <v>170</v>
      </c>
      <c r="S37" s="177" t="s">
        <v>3405</v>
      </c>
      <c r="T37" s="177" t="s">
        <v>103</v>
      </c>
      <c r="U37" s="177" t="s">
        <v>171</v>
      </c>
      <c r="V37" s="177" t="s">
        <v>171</v>
      </c>
      <c r="W37" s="172" t="s">
        <v>11</v>
      </c>
      <c r="X37" s="106" t="s">
        <v>172</v>
      </c>
      <c r="Y37" s="105" t="s">
        <v>173</v>
      </c>
      <c r="Z37" s="105" t="s">
        <v>174</v>
      </c>
      <c r="AA37" s="105" t="s">
        <v>175</v>
      </c>
      <c r="AB37" s="104">
        <f t="shared" si="3"/>
        <v>1</v>
      </c>
      <c r="AC37" s="104">
        <v>1</v>
      </c>
      <c r="AD37" s="104">
        <v>1</v>
      </c>
      <c r="AE37" s="104">
        <v>1</v>
      </c>
      <c r="AF37" s="106"/>
      <c r="AG37" s="106"/>
      <c r="AH37" s="104">
        <f t="shared" si="4"/>
        <v>1</v>
      </c>
      <c r="AI37" s="106"/>
      <c r="AJ37" s="106"/>
      <c r="AK37" s="104"/>
      <c r="AL37" s="104"/>
      <c r="AM37" s="104">
        <f t="shared" si="5"/>
        <v>1</v>
      </c>
      <c r="AN37" s="104">
        <v>1</v>
      </c>
      <c r="AO37" s="104">
        <v>1</v>
      </c>
      <c r="AP37" s="104">
        <v>1</v>
      </c>
      <c r="AQ37" s="104"/>
      <c r="AS37" s="99" t="s">
        <v>3451</v>
      </c>
      <c r="AT37" s="107" t="s">
        <v>3452</v>
      </c>
      <c r="AU37" s="75" t="s">
        <v>2660</v>
      </c>
    </row>
    <row r="38" spans="1:47">
      <c r="A38" s="107" t="s">
        <v>3453</v>
      </c>
      <c r="B38" s="107" t="s">
        <v>160</v>
      </c>
      <c r="C38" s="107" t="s">
        <v>73</v>
      </c>
      <c r="D38" s="107" t="s">
        <v>3454</v>
      </c>
      <c r="E38" s="107" t="s">
        <v>162</v>
      </c>
      <c r="F38" s="107" t="s">
        <v>3455</v>
      </c>
      <c r="G38" s="107" t="s">
        <v>3456</v>
      </c>
      <c r="H38" s="107" t="s">
        <v>165</v>
      </c>
      <c r="I38" s="107">
        <v>202605.5</v>
      </c>
      <c r="J38" s="107">
        <v>5.29</v>
      </c>
      <c r="K38" s="107" t="s">
        <v>73</v>
      </c>
      <c r="L38" s="107" t="s">
        <v>3457</v>
      </c>
      <c r="M38" s="107" t="s">
        <v>3458</v>
      </c>
      <c r="N38" s="104" t="s">
        <v>3459</v>
      </c>
      <c r="O38" s="105"/>
      <c r="P38" s="176" t="s">
        <v>146</v>
      </c>
      <c r="Q38" s="177" t="s">
        <v>100</v>
      </c>
      <c r="R38" s="177" t="s">
        <v>170</v>
      </c>
      <c r="S38" s="177" t="s">
        <v>3405</v>
      </c>
      <c r="T38" s="177" t="s">
        <v>103</v>
      </c>
      <c r="U38" s="177" t="s">
        <v>171</v>
      </c>
      <c r="V38" s="177" t="s">
        <v>171</v>
      </c>
      <c r="W38" s="172" t="s">
        <v>11</v>
      </c>
      <c r="X38" s="106" t="s">
        <v>172</v>
      </c>
      <c r="Y38" s="105" t="s">
        <v>173</v>
      </c>
      <c r="Z38" s="105" t="s">
        <v>174</v>
      </c>
      <c r="AA38" s="105" t="s">
        <v>175</v>
      </c>
      <c r="AB38" s="104">
        <f t="shared" si="3"/>
        <v>1</v>
      </c>
      <c r="AC38" s="104">
        <v>1</v>
      </c>
      <c r="AD38" s="104">
        <v>1</v>
      </c>
      <c r="AE38" s="104">
        <v>1</v>
      </c>
      <c r="AF38" s="106"/>
      <c r="AG38" s="106"/>
      <c r="AH38" s="104">
        <f t="shared" si="4"/>
        <v>1</v>
      </c>
      <c r="AI38" s="106"/>
      <c r="AJ38" s="106"/>
      <c r="AK38" s="104"/>
      <c r="AL38" s="104"/>
      <c r="AM38" s="104">
        <f t="shared" si="5"/>
        <v>1</v>
      </c>
      <c r="AN38" s="104">
        <v>1</v>
      </c>
      <c r="AO38" s="104">
        <v>1</v>
      </c>
      <c r="AP38" s="104">
        <v>1</v>
      </c>
      <c r="AQ38" s="104"/>
      <c r="AS38" s="99" t="s">
        <v>3460</v>
      </c>
      <c r="AT38" s="107" t="s">
        <v>3461</v>
      </c>
      <c r="AU38" s="75" t="s">
        <v>1840</v>
      </c>
    </row>
    <row r="39" spans="1:47">
      <c r="A39" s="107" t="s">
        <v>3462</v>
      </c>
      <c r="B39" s="107" t="s">
        <v>160</v>
      </c>
      <c r="C39" s="107" t="s">
        <v>73</v>
      </c>
      <c r="D39" s="107" t="s">
        <v>3463</v>
      </c>
      <c r="E39" s="107" t="s">
        <v>162</v>
      </c>
      <c r="F39" s="107" t="s">
        <v>3464</v>
      </c>
      <c r="G39" s="107" t="s">
        <v>3465</v>
      </c>
      <c r="H39" s="107" t="s">
        <v>165</v>
      </c>
      <c r="I39" s="107">
        <v>202605.5</v>
      </c>
      <c r="J39" s="107">
        <v>5.29</v>
      </c>
      <c r="K39" s="107" t="s">
        <v>73</v>
      </c>
      <c r="L39" s="107" t="s">
        <v>3466</v>
      </c>
      <c r="M39" s="107" t="s">
        <v>3467</v>
      </c>
      <c r="N39" s="104" t="s">
        <v>3468</v>
      </c>
      <c r="O39" s="105"/>
      <c r="P39" s="176" t="s">
        <v>146</v>
      </c>
      <c r="Q39" s="177" t="s">
        <v>100</v>
      </c>
      <c r="R39" s="177" t="s">
        <v>170</v>
      </c>
      <c r="S39" s="177" t="s">
        <v>3405</v>
      </c>
      <c r="T39" s="177" t="s">
        <v>103</v>
      </c>
      <c r="U39" s="177" t="s">
        <v>171</v>
      </c>
      <c r="V39" s="177" t="s">
        <v>171</v>
      </c>
      <c r="W39" s="172" t="s">
        <v>11</v>
      </c>
      <c r="X39" s="106" t="s">
        <v>172</v>
      </c>
      <c r="Y39" s="105" t="s">
        <v>173</v>
      </c>
      <c r="Z39" s="105" t="s">
        <v>174</v>
      </c>
      <c r="AA39" s="105" t="s">
        <v>175</v>
      </c>
      <c r="AB39" s="104">
        <f t="shared" si="3"/>
        <v>1</v>
      </c>
      <c r="AC39" s="104">
        <v>1</v>
      </c>
      <c r="AD39" s="104">
        <v>1</v>
      </c>
      <c r="AE39" s="104">
        <v>1</v>
      </c>
      <c r="AF39" s="106"/>
      <c r="AG39" s="106"/>
      <c r="AH39" s="104">
        <f t="shared" si="4"/>
        <v>1</v>
      </c>
      <c r="AI39" s="106"/>
      <c r="AJ39" s="106"/>
      <c r="AK39" s="104"/>
      <c r="AL39" s="104"/>
      <c r="AM39" s="104">
        <f t="shared" si="5"/>
        <v>1</v>
      </c>
      <c r="AN39" s="104">
        <v>1</v>
      </c>
      <c r="AO39" s="104">
        <v>1</v>
      </c>
      <c r="AP39" s="104">
        <v>1</v>
      </c>
      <c r="AQ39" s="104"/>
      <c r="AS39" s="99" t="s">
        <v>3469</v>
      </c>
      <c r="AT39" s="107" t="s">
        <v>3470</v>
      </c>
      <c r="AU39" s="75" t="s">
        <v>2065</v>
      </c>
    </row>
    <row r="40" spans="1:47">
      <c r="A40" s="107" t="s">
        <v>3471</v>
      </c>
      <c r="B40" s="107" t="s">
        <v>160</v>
      </c>
      <c r="C40" s="107" t="s">
        <v>73</v>
      </c>
      <c r="D40" s="107" t="s">
        <v>3472</v>
      </c>
      <c r="E40" s="107" t="s">
        <v>162</v>
      </c>
      <c r="F40" s="107" t="s">
        <v>3473</v>
      </c>
      <c r="G40" s="107" t="s">
        <v>3474</v>
      </c>
      <c r="H40" s="107" t="s">
        <v>165</v>
      </c>
      <c r="I40" s="107">
        <v>202605.5</v>
      </c>
      <c r="J40" s="107">
        <v>5.29</v>
      </c>
      <c r="K40" s="107" t="s">
        <v>73</v>
      </c>
      <c r="L40" s="107" t="s">
        <v>3475</v>
      </c>
      <c r="M40" s="107" t="s">
        <v>3476</v>
      </c>
      <c r="N40" s="104" t="s">
        <v>3477</v>
      </c>
      <c r="O40" s="105"/>
      <c r="P40" s="176" t="s">
        <v>146</v>
      </c>
      <c r="Q40" s="177" t="s">
        <v>100</v>
      </c>
      <c r="R40" s="177" t="s">
        <v>170</v>
      </c>
      <c r="S40" s="177" t="s">
        <v>3405</v>
      </c>
      <c r="T40" s="177" t="s">
        <v>103</v>
      </c>
      <c r="U40" s="177" t="s">
        <v>171</v>
      </c>
      <c r="V40" s="177" t="s">
        <v>171</v>
      </c>
      <c r="W40" s="172" t="s">
        <v>11</v>
      </c>
      <c r="X40" s="106" t="s">
        <v>172</v>
      </c>
      <c r="Y40" s="105" t="s">
        <v>173</v>
      </c>
      <c r="Z40" s="105" t="s">
        <v>174</v>
      </c>
      <c r="AA40" s="105" t="s">
        <v>175</v>
      </c>
      <c r="AB40" s="104">
        <f t="shared" si="3"/>
        <v>1</v>
      </c>
      <c r="AC40" s="104">
        <v>1</v>
      </c>
      <c r="AD40" s="104">
        <v>1</v>
      </c>
      <c r="AE40" s="104">
        <v>1</v>
      </c>
      <c r="AF40" s="106"/>
      <c r="AG40" s="106"/>
      <c r="AH40" s="104">
        <f t="shared" si="4"/>
        <v>1</v>
      </c>
      <c r="AI40" s="106"/>
      <c r="AJ40" s="106"/>
      <c r="AK40" s="104"/>
      <c r="AL40" s="104"/>
      <c r="AM40" s="104">
        <f t="shared" si="5"/>
        <v>1</v>
      </c>
      <c r="AN40" s="104">
        <v>1</v>
      </c>
      <c r="AO40" s="104">
        <v>1</v>
      </c>
      <c r="AP40" s="104">
        <v>1</v>
      </c>
      <c r="AQ40" s="104"/>
      <c r="AS40" s="99" t="s">
        <v>3478</v>
      </c>
      <c r="AT40" s="107" t="s">
        <v>3479</v>
      </c>
      <c r="AU40" s="75" t="s">
        <v>1912</v>
      </c>
    </row>
    <row r="41" spans="1:47">
      <c r="A41" s="107" t="s">
        <v>3480</v>
      </c>
      <c r="B41" s="107" t="s">
        <v>160</v>
      </c>
      <c r="C41" s="107" t="s">
        <v>73</v>
      </c>
      <c r="D41" s="107" t="s">
        <v>3481</v>
      </c>
      <c r="E41" s="107" t="s">
        <v>162</v>
      </c>
      <c r="F41" s="107" t="s">
        <v>3482</v>
      </c>
      <c r="G41" s="107" t="s">
        <v>3483</v>
      </c>
      <c r="H41" s="107" t="s">
        <v>165</v>
      </c>
      <c r="I41" s="107">
        <v>202605.5</v>
      </c>
      <c r="J41" s="107">
        <v>5.29</v>
      </c>
      <c r="K41" s="107" t="s">
        <v>73</v>
      </c>
      <c r="L41" s="107" t="s">
        <v>3484</v>
      </c>
      <c r="M41" s="107" t="s">
        <v>3485</v>
      </c>
      <c r="N41" s="104" t="s">
        <v>3486</v>
      </c>
      <c r="O41" s="105"/>
      <c r="P41" s="176" t="s">
        <v>146</v>
      </c>
      <c r="Q41" s="177" t="s">
        <v>100</v>
      </c>
      <c r="R41" s="177" t="s">
        <v>170</v>
      </c>
      <c r="S41" s="177" t="s">
        <v>3405</v>
      </c>
      <c r="T41" s="177" t="s">
        <v>103</v>
      </c>
      <c r="U41" s="177" t="s">
        <v>171</v>
      </c>
      <c r="V41" s="177" t="s">
        <v>171</v>
      </c>
      <c r="W41" s="172" t="s">
        <v>11</v>
      </c>
      <c r="X41" s="106" t="s">
        <v>172</v>
      </c>
      <c r="Y41" s="105" t="s">
        <v>173</v>
      </c>
      <c r="Z41" s="105" t="s">
        <v>174</v>
      </c>
      <c r="AA41" s="105" t="s">
        <v>175</v>
      </c>
      <c r="AB41" s="104">
        <f t="shared" si="3"/>
        <v>1</v>
      </c>
      <c r="AC41" s="104">
        <v>1</v>
      </c>
      <c r="AD41" s="104">
        <v>1</v>
      </c>
      <c r="AE41" s="104">
        <v>1</v>
      </c>
      <c r="AF41" s="106"/>
      <c r="AG41" s="106"/>
      <c r="AH41" s="104">
        <f t="shared" si="4"/>
        <v>1</v>
      </c>
      <c r="AI41" s="106"/>
      <c r="AJ41" s="106"/>
      <c r="AK41" s="104"/>
      <c r="AL41" s="104"/>
      <c r="AM41" s="104">
        <f t="shared" si="5"/>
        <v>1</v>
      </c>
      <c r="AN41" s="104">
        <v>1</v>
      </c>
      <c r="AO41" s="104">
        <v>1</v>
      </c>
      <c r="AP41" s="104">
        <v>1</v>
      </c>
      <c r="AQ41" s="104"/>
      <c r="AS41" s="99" t="s">
        <v>3487</v>
      </c>
      <c r="AT41" s="107" t="s">
        <v>3488</v>
      </c>
      <c r="AU41" s="75" t="s">
        <v>2058</v>
      </c>
    </row>
    <row r="42" spans="1:47">
      <c r="A42" s="107" t="s">
        <v>3489</v>
      </c>
      <c r="B42" s="107" t="s">
        <v>160</v>
      </c>
      <c r="C42" s="107" t="s">
        <v>73</v>
      </c>
      <c r="D42" s="107" t="s">
        <v>3490</v>
      </c>
      <c r="E42" s="107" t="s">
        <v>162</v>
      </c>
      <c r="F42" s="107" t="s">
        <v>3491</v>
      </c>
      <c r="G42" s="107" t="s">
        <v>3492</v>
      </c>
      <c r="H42" s="107" t="s">
        <v>165</v>
      </c>
      <c r="I42" s="107">
        <v>202605.5</v>
      </c>
      <c r="J42" s="107">
        <v>5.29</v>
      </c>
      <c r="K42" s="107" t="s">
        <v>73</v>
      </c>
      <c r="L42" s="107" t="s">
        <v>3493</v>
      </c>
      <c r="M42" s="107" t="s">
        <v>3494</v>
      </c>
      <c r="N42" s="104" t="s">
        <v>3495</v>
      </c>
      <c r="O42" s="105"/>
      <c r="P42" s="176" t="s">
        <v>146</v>
      </c>
      <c r="Q42" s="177" t="s">
        <v>100</v>
      </c>
      <c r="R42" s="177" t="s">
        <v>170</v>
      </c>
      <c r="S42" s="177" t="s">
        <v>3496</v>
      </c>
      <c r="T42" s="177" t="s">
        <v>103</v>
      </c>
      <c r="U42" s="177" t="s">
        <v>171</v>
      </c>
      <c r="V42" s="177" t="s">
        <v>171</v>
      </c>
      <c r="W42" s="172" t="s">
        <v>11</v>
      </c>
      <c r="X42" s="106" t="s">
        <v>172</v>
      </c>
      <c r="Y42" s="105" t="s">
        <v>173</v>
      </c>
      <c r="Z42" s="105" t="s">
        <v>174</v>
      </c>
      <c r="AA42" s="105" t="s">
        <v>175</v>
      </c>
      <c r="AB42" s="104">
        <f t="shared" si="3"/>
        <v>1</v>
      </c>
      <c r="AC42" s="104">
        <v>1</v>
      </c>
      <c r="AD42" s="104">
        <v>1</v>
      </c>
      <c r="AE42" s="104">
        <v>1</v>
      </c>
      <c r="AF42" s="106"/>
      <c r="AG42" s="106"/>
      <c r="AH42" s="104">
        <f t="shared" si="4"/>
        <v>1</v>
      </c>
      <c r="AI42" s="106"/>
      <c r="AJ42" s="106"/>
      <c r="AK42" s="104"/>
      <c r="AL42" s="104"/>
      <c r="AM42" s="104">
        <f t="shared" si="5"/>
        <v>1</v>
      </c>
      <c r="AN42" s="104">
        <v>1</v>
      </c>
      <c r="AO42" s="104">
        <v>1</v>
      </c>
      <c r="AP42" s="104">
        <v>1</v>
      </c>
      <c r="AQ42" s="104"/>
      <c r="AS42" s="99" t="s">
        <v>3457</v>
      </c>
      <c r="AT42" s="107" t="s">
        <v>3497</v>
      </c>
      <c r="AU42" s="75" t="s">
        <v>2002</v>
      </c>
    </row>
    <row r="43" spans="1:47">
      <c r="A43" s="107" t="s">
        <v>3498</v>
      </c>
      <c r="B43" s="107" t="s">
        <v>160</v>
      </c>
      <c r="C43" s="107" t="s">
        <v>73</v>
      </c>
      <c r="D43" s="107" t="s">
        <v>3499</v>
      </c>
      <c r="E43" s="107" t="s">
        <v>162</v>
      </c>
      <c r="F43" s="107" t="s">
        <v>3500</v>
      </c>
      <c r="G43" s="107" t="s">
        <v>3501</v>
      </c>
      <c r="H43" s="107" t="s">
        <v>165</v>
      </c>
      <c r="I43" s="107">
        <v>202605.5</v>
      </c>
      <c r="J43" s="107">
        <v>5.29</v>
      </c>
      <c r="K43" s="107" t="s">
        <v>73</v>
      </c>
      <c r="L43" s="107" t="s">
        <v>3502</v>
      </c>
      <c r="M43" s="107" t="s">
        <v>3503</v>
      </c>
      <c r="N43" s="104" t="s">
        <v>3504</v>
      </c>
      <c r="O43" s="105"/>
      <c r="P43" s="176" t="s">
        <v>146</v>
      </c>
      <c r="Q43" s="177" t="s">
        <v>100</v>
      </c>
      <c r="R43" s="177" t="s">
        <v>170</v>
      </c>
      <c r="S43" s="177" t="s">
        <v>3496</v>
      </c>
      <c r="T43" s="177" t="s">
        <v>103</v>
      </c>
      <c r="U43" s="177" t="s">
        <v>171</v>
      </c>
      <c r="V43" s="177" t="s">
        <v>171</v>
      </c>
      <c r="W43" s="172" t="s">
        <v>11</v>
      </c>
      <c r="X43" s="106" t="s">
        <v>172</v>
      </c>
      <c r="Y43" s="105" t="s">
        <v>173</v>
      </c>
      <c r="Z43" s="105" t="s">
        <v>174</v>
      </c>
      <c r="AA43" s="105" t="s">
        <v>175</v>
      </c>
      <c r="AB43" s="104">
        <f t="shared" si="3"/>
        <v>1</v>
      </c>
      <c r="AC43" s="104">
        <v>1</v>
      </c>
      <c r="AD43" s="104">
        <v>1</v>
      </c>
      <c r="AE43" s="104">
        <v>1</v>
      </c>
      <c r="AF43" s="106"/>
      <c r="AG43" s="106"/>
      <c r="AH43" s="104">
        <f t="shared" si="4"/>
        <v>1</v>
      </c>
      <c r="AI43" s="106"/>
      <c r="AJ43" s="106"/>
      <c r="AK43" s="104"/>
      <c r="AL43" s="104"/>
      <c r="AM43" s="104">
        <f t="shared" si="5"/>
        <v>1</v>
      </c>
      <c r="AN43" s="104">
        <v>1</v>
      </c>
      <c r="AO43" s="104">
        <v>1</v>
      </c>
      <c r="AP43" s="104">
        <v>1</v>
      </c>
      <c r="AQ43" s="104"/>
      <c r="AS43" s="99" t="s">
        <v>3475</v>
      </c>
      <c r="AT43" s="107" t="s">
        <v>3505</v>
      </c>
      <c r="AU43" s="75" t="s">
        <v>1896</v>
      </c>
    </row>
    <row r="44" spans="1:47">
      <c r="A44" s="107" t="s">
        <v>3506</v>
      </c>
      <c r="B44" s="107" t="s">
        <v>160</v>
      </c>
      <c r="C44" s="107" t="s">
        <v>73</v>
      </c>
      <c r="D44" s="107" t="s">
        <v>3507</v>
      </c>
      <c r="E44" s="107" t="s">
        <v>162</v>
      </c>
      <c r="F44" s="107" t="s">
        <v>3508</v>
      </c>
      <c r="G44" s="107" t="s">
        <v>3509</v>
      </c>
      <c r="H44" s="107" t="s">
        <v>165</v>
      </c>
      <c r="I44" s="107">
        <v>202605.5</v>
      </c>
      <c r="J44" s="107">
        <v>5.29</v>
      </c>
      <c r="K44" s="107" t="s">
        <v>73</v>
      </c>
      <c r="L44" s="107" t="s">
        <v>3510</v>
      </c>
      <c r="M44" s="107" t="s">
        <v>3511</v>
      </c>
      <c r="N44" s="104" t="s">
        <v>3512</v>
      </c>
      <c r="O44" s="105"/>
      <c r="P44" s="176" t="s">
        <v>146</v>
      </c>
      <c r="Q44" s="177" t="s">
        <v>100</v>
      </c>
      <c r="R44" s="177" t="s">
        <v>170</v>
      </c>
      <c r="S44" s="177" t="s">
        <v>3496</v>
      </c>
      <c r="T44" s="177" t="s">
        <v>103</v>
      </c>
      <c r="U44" s="177" t="s">
        <v>171</v>
      </c>
      <c r="V44" s="177" t="s">
        <v>171</v>
      </c>
      <c r="W44" s="172" t="s">
        <v>11</v>
      </c>
      <c r="X44" s="106" t="s">
        <v>172</v>
      </c>
      <c r="Y44" s="105" t="s">
        <v>173</v>
      </c>
      <c r="Z44" s="105" t="s">
        <v>174</v>
      </c>
      <c r="AA44" s="105" t="s">
        <v>175</v>
      </c>
      <c r="AB44" s="104">
        <f t="shared" si="3"/>
        <v>1</v>
      </c>
      <c r="AC44" s="104">
        <v>1</v>
      </c>
      <c r="AD44" s="104">
        <v>1</v>
      </c>
      <c r="AE44" s="104">
        <v>1</v>
      </c>
      <c r="AF44" s="106"/>
      <c r="AG44" s="106"/>
      <c r="AH44" s="104">
        <f t="shared" si="4"/>
        <v>1</v>
      </c>
      <c r="AI44" s="106"/>
      <c r="AJ44" s="106"/>
      <c r="AK44" s="104"/>
      <c r="AL44" s="104"/>
      <c r="AM44" s="104">
        <f t="shared" si="5"/>
        <v>1</v>
      </c>
      <c r="AN44" s="104">
        <v>1</v>
      </c>
      <c r="AO44" s="104">
        <v>1</v>
      </c>
      <c r="AP44" s="104">
        <v>1</v>
      </c>
      <c r="AQ44" s="104"/>
      <c r="AS44" s="99" t="s">
        <v>3502</v>
      </c>
      <c r="AT44" s="107" t="s">
        <v>3513</v>
      </c>
      <c r="AU44" s="75" t="s">
        <v>2015</v>
      </c>
    </row>
    <row r="45" spans="1:47">
      <c r="A45" s="107" t="s">
        <v>3514</v>
      </c>
      <c r="B45" s="107" t="s">
        <v>160</v>
      </c>
      <c r="C45" s="107" t="s">
        <v>73</v>
      </c>
      <c r="D45" s="107" t="s">
        <v>3515</v>
      </c>
      <c r="E45" s="107" t="s">
        <v>162</v>
      </c>
      <c r="F45" s="107" t="s">
        <v>3516</v>
      </c>
      <c r="G45" s="107" t="s">
        <v>3517</v>
      </c>
      <c r="H45" s="107" t="s">
        <v>165</v>
      </c>
      <c r="I45" s="107">
        <v>202605.5</v>
      </c>
      <c r="J45" s="107">
        <v>5.29</v>
      </c>
      <c r="K45" s="107" t="s">
        <v>73</v>
      </c>
      <c r="L45" s="107" t="s">
        <v>3518</v>
      </c>
      <c r="M45" s="107" t="s">
        <v>3519</v>
      </c>
      <c r="N45" s="104" t="s">
        <v>3520</v>
      </c>
      <c r="O45" s="105"/>
      <c r="P45" s="176" t="s">
        <v>146</v>
      </c>
      <c r="Q45" s="177" t="s">
        <v>100</v>
      </c>
      <c r="R45" s="177" t="s">
        <v>170</v>
      </c>
      <c r="S45" s="177" t="s">
        <v>3496</v>
      </c>
      <c r="T45" s="177" t="s">
        <v>103</v>
      </c>
      <c r="U45" s="177" t="s">
        <v>171</v>
      </c>
      <c r="V45" s="177" t="s">
        <v>171</v>
      </c>
      <c r="W45" s="172" t="s">
        <v>11</v>
      </c>
      <c r="X45" s="106" t="s">
        <v>172</v>
      </c>
      <c r="Y45" s="105" t="s">
        <v>173</v>
      </c>
      <c r="Z45" s="105" t="s">
        <v>174</v>
      </c>
      <c r="AA45" s="105" t="s">
        <v>175</v>
      </c>
      <c r="AB45" s="104">
        <f t="shared" si="3"/>
        <v>1</v>
      </c>
      <c r="AC45" s="104">
        <v>1</v>
      </c>
      <c r="AD45" s="104">
        <v>1</v>
      </c>
      <c r="AE45" s="104">
        <v>1</v>
      </c>
      <c r="AF45" s="106"/>
      <c r="AG45" s="106"/>
      <c r="AH45" s="104">
        <f t="shared" si="4"/>
        <v>1</v>
      </c>
      <c r="AI45" s="106"/>
      <c r="AJ45" s="106"/>
      <c r="AK45" s="104"/>
      <c r="AL45" s="104"/>
      <c r="AM45" s="104">
        <f t="shared" si="5"/>
        <v>1</v>
      </c>
      <c r="AN45" s="104">
        <v>1</v>
      </c>
      <c r="AO45" s="104">
        <v>1</v>
      </c>
      <c r="AP45" s="104">
        <v>1</v>
      </c>
      <c r="AQ45" s="104"/>
      <c r="AS45" s="99" t="s">
        <v>3470</v>
      </c>
      <c r="AT45" s="107" t="s">
        <v>3521</v>
      </c>
      <c r="AU45" s="75" t="s">
        <v>1968</v>
      </c>
    </row>
    <row r="46" spans="1:47">
      <c r="A46" s="107" t="s">
        <v>3522</v>
      </c>
      <c r="B46" s="107" t="s">
        <v>160</v>
      </c>
      <c r="C46" s="107" t="s">
        <v>73</v>
      </c>
      <c r="D46" s="107" t="s">
        <v>3523</v>
      </c>
      <c r="E46" s="107" t="s">
        <v>162</v>
      </c>
      <c r="F46" s="107" t="s">
        <v>3524</v>
      </c>
      <c r="G46" s="107" t="s">
        <v>3525</v>
      </c>
      <c r="H46" s="107" t="s">
        <v>165</v>
      </c>
      <c r="I46" s="107">
        <v>202605.5</v>
      </c>
      <c r="J46" s="107">
        <v>5.29</v>
      </c>
      <c r="K46" s="107" t="s">
        <v>73</v>
      </c>
      <c r="L46" s="107" t="s">
        <v>3526</v>
      </c>
      <c r="M46" s="107" t="s">
        <v>3527</v>
      </c>
      <c r="N46" s="104" t="s">
        <v>3528</v>
      </c>
      <c r="O46" s="105"/>
      <c r="P46" s="176" t="s">
        <v>146</v>
      </c>
      <c r="Q46" s="177" t="s">
        <v>100</v>
      </c>
      <c r="R46" s="177" t="s">
        <v>170</v>
      </c>
      <c r="S46" s="177" t="s">
        <v>3496</v>
      </c>
      <c r="T46" s="177" t="s">
        <v>103</v>
      </c>
      <c r="U46" s="177" t="s">
        <v>171</v>
      </c>
      <c r="V46" s="177" t="s">
        <v>171</v>
      </c>
      <c r="W46" s="172" t="s">
        <v>11</v>
      </c>
      <c r="X46" s="106" t="s">
        <v>172</v>
      </c>
      <c r="Y46" s="105" t="s">
        <v>173</v>
      </c>
      <c r="Z46" s="105" t="s">
        <v>174</v>
      </c>
      <c r="AA46" s="105" t="s">
        <v>175</v>
      </c>
      <c r="AB46" s="104">
        <f t="shared" si="3"/>
        <v>1</v>
      </c>
      <c r="AC46" s="104">
        <v>1</v>
      </c>
      <c r="AD46" s="104">
        <v>1</v>
      </c>
      <c r="AE46" s="104">
        <v>1</v>
      </c>
      <c r="AF46" s="106"/>
      <c r="AG46" s="106"/>
      <c r="AH46" s="104">
        <f t="shared" si="4"/>
        <v>1</v>
      </c>
      <c r="AI46" s="106"/>
      <c r="AJ46" s="106"/>
      <c r="AK46" s="104"/>
      <c r="AL46" s="104"/>
      <c r="AM46" s="104">
        <f t="shared" si="5"/>
        <v>1</v>
      </c>
      <c r="AN46" s="104">
        <v>1</v>
      </c>
      <c r="AO46" s="104">
        <v>1</v>
      </c>
      <c r="AP46" s="104">
        <v>1</v>
      </c>
      <c r="AQ46" s="104"/>
      <c r="AS46" s="99" t="s">
        <v>3434</v>
      </c>
      <c r="AT46" s="107" t="s">
        <v>3529</v>
      </c>
      <c r="AU46" s="75" t="s">
        <v>1955</v>
      </c>
    </row>
    <row r="47" spans="1:47" hidden="1">
      <c r="A47" s="107" t="s">
        <v>3530</v>
      </c>
      <c r="B47" s="107" t="s">
        <v>160</v>
      </c>
      <c r="C47" s="107" t="s">
        <v>73</v>
      </c>
      <c r="D47" s="107" t="s">
        <v>1675</v>
      </c>
      <c r="E47" s="107" t="s">
        <v>188</v>
      </c>
      <c r="F47" s="107" t="s">
        <v>3531</v>
      </c>
      <c r="G47" s="107" t="s">
        <v>3532</v>
      </c>
      <c r="H47" s="107" t="s">
        <v>165</v>
      </c>
      <c r="I47" s="107">
        <v>202605.5</v>
      </c>
      <c r="J47" s="175" t="s">
        <v>3213</v>
      </c>
      <c r="K47" s="107" t="s">
        <v>73</v>
      </c>
      <c r="L47" s="107" t="s">
        <v>3533</v>
      </c>
      <c r="M47" s="107" t="s">
        <v>3534</v>
      </c>
      <c r="N47" s="104" t="s">
        <v>3535</v>
      </c>
      <c r="O47" s="105"/>
      <c r="P47" s="176" t="s">
        <v>146</v>
      </c>
      <c r="Q47" s="177" t="s">
        <v>100</v>
      </c>
      <c r="R47" s="177" t="s">
        <v>170</v>
      </c>
      <c r="S47" s="177" t="s">
        <v>3496</v>
      </c>
      <c r="T47" s="177" t="s">
        <v>103</v>
      </c>
      <c r="U47" s="177" t="s">
        <v>171</v>
      </c>
      <c r="V47" s="177" t="s">
        <v>171</v>
      </c>
      <c r="W47" s="172" t="s">
        <v>11</v>
      </c>
      <c r="X47" s="106" t="s">
        <v>172</v>
      </c>
      <c r="Y47" s="105" t="s">
        <v>173</v>
      </c>
      <c r="Z47" s="105" t="s">
        <v>174</v>
      </c>
      <c r="AA47" s="105" t="s">
        <v>175</v>
      </c>
      <c r="AB47" s="104">
        <f t="shared" si="3"/>
        <v>1</v>
      </c>
      <c r="AC47" s="104">
        <v>1</v>
      </c>
      <c r="AD47" s="104">
        <v>1</v>
      </c>
      <c r="AE47" s="106"/>
      <c r="AF47" s="106"/>
      <c r="AG47" s="106"/>
      <c r="AH47" s="104">
        <f t="shared" si="4"/>
        <v>0</v>
      </c>
      <c r="AI47" s="106"/>
      <c r="AJ47" s="106"/>
      <c r="AK47" s="106"/>
      <c r="AL47" s="106"/>
      <c r="AM47" s="104">
        <f t="shared" si="5"/>
        <v>0</v>
      </c>
      <c r="AN47" s="106"/>
      <c r="AO47" s="106"/>
      <c r="AP47" s="106"/>
      <c r="AQ47" s="106"/>
      <c r="AU47" s="75" t="s">
        <v>2262</v>
      </c>
    </row>
    <row r="48" spans="1:47">
      <c r="A48" s="107" t="s">
        <v>3536</v>
      </c>
      <c r="B48" s="107" t="s">
        <v>160</v>
      </c>
      <c r="C48" s="107" t="s">
        <v>73</v>
      </c>
      <c r="D48" s="107" t="s">
        <v>3537</v>
      </c>
      <c r="E48" s="107" t="s">
        <v>162</v>
      </c>
      <c r="F48" s="107" t="s">
        <v>3538</v>
      </c>
      <c r="G48" s="107" t="s">
        <v>3539</v>
      </c>
      <c r="H48" s="107" t="s">
        <v>165</v>
      </c>
      <c r="I48" s="107">
        <v>202605.5</v>
      </c>
      <c r="J48" s="107">
        <v>5.29</v>
      </c>
      <c r="K48" s="107" t="s">
        <v>73</v>
      </c>
      <c r="L48" s="107" t="s">
        <v>3540</v>
      </c>
      <c r="M48" s="107" t="s">
        <v>3541</v>
      </c>
      <c r="N48" s="104" t="s">
        <v>3542</v>
      </c>
      <c r="O48" s="105"/>
      <c r="P48" s="176" t="s">
        <v>146</v>
      </c>
      <c r="Q48" s="177" t="s">
        <v>100</v>
      </c>
      <c r="R48" s="177" t="s">
        <v>170</v>
      </c>
      <c r="S48" s="177" t="s">
        <v>3496</v>
      </c>
      <c r="T48" s="177" t="s">
        <v>103</v>
      </c>
      <c r="U48" s="177" t="s">
        <v>171</v>
      </c>
      <c r="V48" s="177" t="s">
        <v>171</v>
      </c>
      <c r="W48" s="172" t="s">
        <v>11</v>
      </c>
      <c r="X48" s="106" t="s">
        <v>172</v>
      </c>
      <c r="Y48" s="105" t="s">
        <v>173</v>
      </c>
      <c r="Z48" s="105" t="s">
        <v>174</v>
      </c>
      <c r="AA48" s="105" t="s">
        <v>175</v>
      </c>
      <c r="AB48" s="104">
        <f t="shared" si="3"/>
        <v>1</v>
      </c>
      <c r="AC48" s="104">
        <v>1</v>
      </c>
      <c r="AD48" s="104">
        <v>1</v>
      </c>
      <c r="AE48" s="104">
        <v>1</v>
      </c>
      <c r="AF48" s="106"/>
      <c r="AG48" s="106"/>
      <c r="AH48" s="104">
        <f t="shared" si="4"/>
        <v>1</v>
      </c>
      <c r="AI48" s="106"/>
      <c r="AJ48" s="106"/>
      <c r="AK48" s="104"/>
      <c r="AL48" s="104"/>
      <c r="AM48" s="104">
        <f t="shared" si="5"/>
        <v>1</v>
      </c>
      <c r="AN48" s="104">
        <v>1</v>
      </c>
      <c r="AO48" s="104">
        <v>1</v>
      </c>
      <c r="AP48" s="104">
        <v>1</v>
      </c>
      <c r="AQ48" s="104"/>
      <c r="AS48" s="99" t="s">
        <v>3543</v>
      </c>
      <c r="AT48" s="107" t="s">
        <v>3544</v>
      </c>
      <c r="AU48" s="75" t="s">
        <v>1904</v>
      </c>
    </row>
    <row r="49" spans="1:47">
      <c r="A49" s="107" t="s">
        <v>3545</v>
      </c>
      <c r="B49" s="107" t="s">
        <v>160</v>
      </c>
      <c r="C49" s="107" t="s">
        <v>73</v>
      </c>
      <c r="D49" s="107" t="s">
        <v>3546</v>
      </c>
      <c r="E49" s="107" t="s">
        <v>162</v>
      </c>
      <c r="F49" s="107" t="s">
        <v>3547</v>
      </c>
      <c r="G49" s="107" t="s">
        <v>3548</v>
      </c>
      <c r="H49" s="107" t="s">
        <v>165</v>
      </c>
      <c r="I49" s="107">
        <v>202605.5</v>
      </c>
      <c r="J49" s="107">
        <v>5.29</v>
      </c>
      <c r="K49" s="107" t="s">
        <v>73</v>
      </c>
      <c r="L49" s="107" t="s">
        <v>3549</v>
      </c>
      <c r="M49" s="107" t="s">
        <v>3550</v>
      </c>
      <c r="N49" s="104" t="s">
        <v>3551</v>
      </c>
      <c r="O49" s="105"/>
      <c r="P49" s="176" t="s">
        <v>146</v>
      </c>
      <c r="Q49" s="177" t="s">
        <v>100</v>
      </c>
      <c r="R49" s="177" t="s">
        <v>170</v>
      </c>
      <c r="S49" s="177" t="s">
        <v>3496</v>
      </c>
      <c r="T49" s="177" t="s">
        <v>103</v>
      </c>
      <c r="U49" s="177" t="s">
        <v>171</v>
      </c>
      <c r="V49" s="177" t="s">
        <v>171</v>
      </c>
      <c r="W49" s="172" t="s">
        <v>11</v>
      </c>
      <c r="X49" s="106" t="s">
        <v>172</v>
      </c>
      <c r="Y49" s="105" t="s">
        <v>173</v>
      </c>
      <c r="Z49" s="105" t="s">
        <v>174</v>
      </c>
      <c r="AA49" s="105" t="s">
        <v>175</v>
      </c>
      <c r="AB49" s="104">
        <f t="shared" si="3"/>
        <v>1</v>
      </c>
      <c r="AC49" s="104">
        <v>1</v>
      </c>
      <c r="AD49" s="104">
        <v>1</v>
      </c>
      <c r="AE49" s="104">
        <v>1</v>
      </c>
      <c r="AF49" s="106"/>
      <c r="AG49" s="106"/>
      <c r="AH49" s="104">
        <f t="shared" si="4"/>
        <v>1</v>
      </c>
      <c r="AI49" s="106"/>
      <c r="AJ49" s="106"/>
      <c r="AK49" s="104"/>
      <c r="AL49" s="104"/>
      <c r="AM49" s="104">
        <f t="shared" si="5"/>
        <v>1</v>
      </c>
      <c r="AN49" s="104">
        <v>1</v>
      </c>
      <c r="AO49" s="104">
        <v>1</v>
      </c>
      <c r="AP49" s="104">
        <v>1</v>
      </c>
      <c r="AQ49" s="104"/>
      <c r="AS49" s="99" t="s">
        <v>3552</v>
      </c>
      <c r="AT49" s="107" t="s">
        <v>3553</v>
      </c>
      <c r="AU49" s="75" t="s">
        <v>1927</v>
      </c>
    </row>
    <row r="50" spans="1:47">
      <c r="A50" s="107" t="s">
        <v>3554</v>
      </c>
      <c r="B50" s="107" t="s">
        <v>160</v>
      </c>
      <c r="C50" s="107" t="s">
        <v>73</v>
      </c>
      <c r="D50" s="107" t="s">
        <v>3555</v>
      </c>
      <c r="E50" s="107" t="s">
        <v>162</v>
      </c>
      <c r="F50" s="107" t="s">
        <v>3556</v>
      </c>
      <c r="G50" s="107" t="s">
        <v>3557</v>
      </c>
      <c r="H50" s="107" t="s">
        <v>165</v>
      </c>
      <c r="I50" s="107">
        <v>202605.5</v>
      </c>
      <c r="J50" s="107">
        <v>5.29</v>
      </c>
      <c r="K50" s="107" t="s">
        <v>73</v>
      </c>
      <c r="L50" s="107" t="s">
        <v>3558</v>
      </c>
      <c r="M50" s="107" t="s">
        <v>3559</v>
      </c>
      <c r="N50" s="104" t="s">
        <v>3560</v>
      </c>
      <c r="O50" s="105"/>
      <c r="P50" s="176" t="s">
        <v>146</v>
      </c>
      <c r="Q50" s="177" t="s">
        <v>100</v>
      </c>
      <c r="R50" s="177" t="s">
        <v>170</v>
      </c>
      <c r="S50" s="177" t="s">
        <v>3496</v>
      </c>
      <c r="T50" s="177" t="s">
        <v>103</v>
      </c>
      <c r="U50" s="177" t="s">
        <v>171</v>
      </c>
      <c r="V50" s="177" t="s">
        <v>171</v>
      </c>
      <c r="W50" s="172" t="s">
        <v>11</v>
      </c>
      <c r="X50" s="106" t="s">
        <v>172</v>
      </c>
      <c r="Y50" s="105" t="s">
        <v>173</v>
      </c>
      <c r="Z50" s="105" t="s">
        <v>174</v>
      </c>
      <c r="AA50" s="105" t="s">
        <v>175</v>
      </c>
      <c r="AB50" s="104">
        <f t="shared" si="3"/>
        <v>1</v>
      </c>
      <c r="AC50" s="104">
        <v>1</v>
      </c>
      <c r="AD50" s="104">
        <v>1</v>
      </c>
      <c r="AE50" s="104">
        <v>1</v>
      </c>
      <c r="AF50" s="106"/>
      <c r="AG50" s="106"/>
      <c r="AH50" s="104">
        <f t="shared" si="4"/>
        <v>1</v>
      </c>
      <c r="AI50" s="106"/>
      <c r="AJ50" s="106"/>
      <c r="AK50" s="104"/>
      <c r="AL50" s="104"/>
      <c r="AM50" s="104">
        <f t="shared" si="5"/>
        <v>1</v>
      </c>
      <c r="AN50" s="104">
        <v>1</v>
      </c>
      <c r="AO50" s="104">
        <v>1</v>
      </c>
      <c r="AP50" s="104">
        <v>1</v>
      </c>
      <c r="AQ50" s="104"/>
      <c r="AS50" s="99" t="s">
        <v>3544</v>
      </c>
      <c r="AT50" s="107" t="s">
        <v>3561</v>
      </c>
      <c r="AU50" s="75" t="s">
        <v>1981</v>
      </c>
    </row>
    <row r="51" spans="1:47">
      <c r="A51" s="107" t="s">
        <v>3562</v>
      </c>
      <c r="B51" s="107" t="s">
        <v>160</v>
      </c>
      <c r="C51" s="107" t="s">
        <v>73</v>
      </c>
      <c r="D51" s="107" t="s">
        <v>3563</v>
      </c>
      <c r="E51" s="107" t="s">
        <v>162</v>
      </c>
      <c r="F51" s="107" t="s">
        <v>3564</v>
      </c>
      <c r="G51" s="107" t="s">
        <v>3565</v>
      </c>
      <c r="H51" s="107" t="s">
        <v>165</v>
      </c>
      <c r="I51" s="107">
        <v>202605.5</v>
      </c>
      <c r="J51" s="107">
        <v>5.29</v>
      </c>
      <c r="K51" s="107" t="s">
        <v>73</v>
      </c>
      <c r="L51" s="107" t="s">
        <v>3566</v>
      </c>
      <c r="M51" s="107" t="s">
        <v>3567</v>
      </c>
      <c r="N51" s="104" t="s">
        <v>3568</v>
      </c>
      <c r="O51" s="105"/>
      <c r="P51" s="176" t="s">
        <v>146</v>
      </c>
      <c r="Q51" s="177" t="s">
        <v>100</v>
      </c>
      <c r="R51" s="177" t="s">
        <v>170</v>
      </c>
      <c r="S51" s="177" t="s">
        <v>3496</v>
      </c>
      <c r="T51" s="177" t="s">
        <v>103</v>
      </c>
      <c r="U51" s="177" t="s">
        <v>171</v>
      </c>
      <c r="V51" s="177" t="s">
        <v>171</v>
      </c>
      <c r="W51" s="172" t="s">
        <v>11</v>
      </c>
      <c r="X51" s="106" t="s">
        <v>172</v>
      </c>
      <c r="Y51" s="105" t="s">
        <v>173</v>
      </c>
      <c r="Z51" s="105" t="s">
        <v>174</v>
      </c>
      <c r="AA51" s="105" t="s">
        <v>175</v>
      </c>
      <c r="AB51" s="104">
        <f t="shared" si="3"/>
        <v>1</v>
      </c>
      <c r="AC51" s="104">
        <v>1</v>
      </c>
      <c r="AD51" s="104">
        <v>1</v>
      </c>
      <c r="AE51" s="104">
        <v>1</v>
      </c>
      <c r="AF51" s="106"/>
      <c r="AG51" s="106"/>
      <c r="AH51" s="104">
        <f t="shared" si="4"/>
        <v>1</v>
      </c>
      <c r="AI51" s="106"/>
      <c r="AJ51" s="106"/>
      <c r="AK51" s="104"/>
      <c r="AL51" s="104"/>
      <c r="AM51" s="104">
        <f t="shared" si="5"/>
        <v>1</v>
      </c>
      <c r="AN51" s="104">
        <v>1</v>
      </c>
      <c r="AO51" s="104">
        <v>1</v>
      </c>
      <c r="AP51" s="104">
        <v>1</v>
      </c>
      <c r="AQ51" s="104"/>
      <c r="AS51" s="99" t="s">
        <v>3569</v>
      </c>
      <c r="AT51" s="107" t="s">
        <v>3570</v>
      </c>
      <c r="AU51" s="75" t="s">
        <v>2043</v>
      </c>
    </row>
    <row r="52" spans="1:47">
      <c r="A52" s="107" t="s">
        <v>3571</v>
      </c>
      <c r="B52" s="107" t="s">
        <v>160</v>
      </c>
      <c r="C52" s="107" t="s">
        <v>73</v>
      </c>
      <c r="D52" s="107" t="s">
        <v>3572</v>
      </c>
      <c r="E52" s="107" t="s">
        <v>162</v>
      </c>
      <c r="F52" s="107" t="s">
        <v>3573</v>
      </c>
      <c r="G52" s="107" t="s">
        <v>3574</v>
      </c>
      <c r="H52" s="107" t="s">
        <v>165</v>
      </c>
      <c r="I52" s="107">
        <v>202605.5</v>
      </c>
      <c r="J52" s="107">
        <v>5.29</v>
      </c>
      <c r="K52" s="107" t="s">
        <v>73</v>
      </c>
      <c r="L52" s="107" t="s">
        <v>3575</v>
      </c>
      <c r="M52" s="107" t="s">
        <v>3576</v>
      </c>
      <c r="N52" s="104" t="s">
        <v>3577</v>
      </c>
      <c r="O52" s="105"/>
      <c r="P52" s="176" t="s">
        <v>146</v>
      </c>
      <c r="Q52" s="177" t="s">
        <v>100</v>
      </c>
      <c r="R52" s="177" t="s">
        <v>170</v>
      </c>
      <c r="S52" s="177" t="s">
        <v>3496</v>
      </c>
      <c r="T52" s="177" t="s">
        <v>103</v>
      </c>
      <c r="U52" s="177" t="s">
        <v>171</v>
      </c>
      <c r="V52" s="177" t="s">
        <v>171</v>
      </c>
      <c r="W52" s="172" t="s">
        <v>11</v>
      </c>
      <c r="X52" s="106" t="s">
        <v>172</v>
      </c>
      <c r="Y52" s="105" t="s">
        <v>173</v>
      </c>
      <c r="Z52" s="105" t="s">
        <v>174</v>
      </c>
      <c r="AA52" s="105" t="s">
        <v>175</v>
      </c>
      <c r="AB52" s="104">
        <f t="shared" si="3"/>
        <v>1</v>
      </c>
      <c r="AC52" s="104">
        <v>1</v>
      </c>
      <c r="AD52" s="104">
        <v>1</v>
      </c>
      <c r="AE52" s="104">
        <v>1</v>
      </c>
      <c r="AF52" s="106"/>
      <c r="AG52" s="106"/>
      <c r="AH52" s="104">
        <f t="shared" si="4"/>
        <v>1</v>
      </c>
      <c r="AI52" s="106"/>
      <c r="AJ52" s="106"/>
      <c r="AK52" s="104"/>
      <c r="AL52" s="104"/>
      <c r="AM52" s="104">
        <f t="shared" si="5"/>
        <v>1</v>
      </c>
      <c r="AN52" s="104">
        <v>1</v>
      </c>
      <c r="AO52" s="104">
        <v>1</v>
      </c>
      <c r="AP52" s="104">
        <v>1</v>
      </c>
      <c r="AQ52" s="104"/>
      <c r="AS52" s="99" t="s">
        <v>3553</v>
      </c>
      <c r="AT52" s="107" t="s">
        <v>3578</v>
      </c>
      <c r="AU52" s="75" t="s">
        <v>2072</v>
      </c>
    </row>
    <row r="53" spans="1:47">
      <c r="A53" s="107" t="s">
        <v>3579</v>
      </c>
      <c r="B53" s="107" t="s">
        <v>160</v>
      </c>
      <c r="C53" s="107" t="s">
        <v>73</v>
      </c>
      <c r="D53" s="107" t="s">
        <v>3580</v>
      </c>
      <c r="E53" s="107" t="s">
        <v>162</v>
      </c>
      <c r="F53" s="107" t="s">
        <v>3581</v>
      </c>
      <c r="G53" s="107" t="s">
        <v>3582</v>
      </c>
      <c r="H53" s="107" t="s">
        <v>165</v>
      </c>
      <c r="I53" s="107">
        <v>202605.5</v>
      </c>
      <c r="J53" s="107">
        <v>5.29</v>
      </c>
      <c r="K53" s="107" t="s">
        <v>73</v>
      </c>
      <c r="L53" s="107" t="s">
        <v>3583</v>
      </c>
      <c r="M53" s="107" t="s">
        <v>3584</v>
      </c>
      <c r="N53" s="104" t="s">
        <v>3585</v>
      </c>
      <c r="O53" s="105"/>
      <c r="P53" s="176" t="s">
        <v>146</v>
      </c>
      <c r="Q53" s="177" t="s">
        <v>100</v>
      </c>
      <c r="R53" s="177" t="s">
        <v>170</v>
      </c>
      <c r="S53" s="177" t="s">
        <v>3586</v>
      </c>
      <c r="T53" s="177" t="s">
        <v>103</v>
      </c>
      <c r="U53" s="177" t="s">
        <v>171</v>
      </c>
      <c r="V53" s="177" t="s">
        <v>171</v>
      </c>
      <c r="W53" s="172" t="s">
        <v>13</v>
      </c>
      <c r="X53" s="106" t="s">
        <v>172</v>
      </c>
      <c r="Y53" s="105" t="s">
        <v>173</v>
      </c>
      <c r="Z53" s="105" t="s">
        <v>174</v>
      </c>
      <c r="AA53" s="105" t="s">
        <v>175</v>
      </c>
      <c r="AB53" s="104">
        <f t="shared" si="3"/>
        <v>1</v>
      </c>
      <c r="AC53" s="104">
        <v>1</v>
      </c>
      <c r="AD53" s="104">
        <v>1</v>
      </c>
      <c r="AE53" s="104">
        <v>1</v>
      </c>
      <c r="AF53" s="106"/>
      <c r="AG53" s="106"/>
      <c r="AH53" s="104">
        <f t="shared" si="4"/>
        <v>1</v>
      </c>
      <c r="AI53" s="106"/>
      <c r="AJ53" s="106"/>
      <c r="AK53" s="104"/>
      <c r="AL53" s="104"/>
      <c r="AM53" s="104">
        <f t="shared" si="5"/>
        <v>1</v>
      </c>
      <c r="AN53" s="104">
        <v>1</v>
      </c>
      <c r="AO53" s="104">
        <v>1</v>
      </c>
      <c r="AP53" s="104">
        <v>1</v>
      </c>
      <c r="AQ53" s="104"/>
      <c r="AS53" s="99" t="s">
        <v>3561</v>
      </c>
      <c r="AT53" s="107" t="s">
        <v>3587</v>
      </c>
      <c r="AU53" s="75" t="s">
        <v>2008</v>
      </c>
    </row>
    <row r="54" spans="1:47">
      <c r="A54" s="107" t="s">
        <v>3588</v>
      </c>
      <c r="B54" s="107" t="s">
        <v>160</v>
      </c>
      <c r="C54" s="107" t="s">
        <v>73</v>
      </c>
      <c r="D54" s="107" t="s">
        <v>3589</v>
      </c>
      <c r="E54" s="107" t="s">
        <v>162</v>
      </c>
      <c r="F54" s="107" t="s">
        <v>3590</v>
      </c>
      <c r="G54" s="107" t="s">
        <v>3591</v>
      </c>
      <c r="H54" s="107" t="s">
        <v>165</v>
      </c>
      <c r="I54" s="107">
        <v>202605.5</v>
      </c>
      <c r="J54" s="107">
        <v>5.29</v>
      </c>
      <c r="K54" s="107" t="s">
        <v>73</v>
      </c>
      <c r="L54" s="107" t="s">
        <v>3592</v>
      </c>
      <c r="M54" s="107" t="s">
        <v>3593</v>
      </c>
      <c r="N54" s="104" t="s">
        <v>3594</v>
      </c>
      <c r="O54" s="105"/>
      <c r="P54" s="176" t="s">
        <v>146</v>
      </c>
      <c r="Q54" s="177" t="s">
        <v>100</v>
      </c>
      <c r="R54" s="177" t="s">
        <v>170</v>
      </c>
      <c r="S54" s="177" t="s">
        <v>3586</v>
      </c>
      <c r="T54" s="177" t="s">
        <v>103</v>
      </c>
      <c r="U54" s="177" t="s">
        <v>171</v>
      </c>
      <c r="V54" s="177" t="s">
        <v>171</v>
      </c>
      <c r="W54" s="172" t="s">
        <v>13</v>
      </c>
      <c r="X54" s="106" t="s">
        <v>172</v>
      </c>
      <c r="Y54" s="105" t="s">
        <v>173</v>
      </c>
      <c r="Z54" s="105" t="s">
        <v>174</v>
      </c>
      <c r="AA54" s="105" t="s">
        <v>175</v>
      </c>
      <c r="AB54" s="104">
        <f t="shared" si="3"/>
        <v>1</v>
      </c>
      <c r="AC54" s="104">
        <v>1</v>
      </c>
      <c r="AD54" s="104">
        <v>1</v>
      </c>
      <c r="AE54" s="104">
        <v>1</v>
      </c>
      <c r="AF54" s="106"/>
      <c r="AG54" s="106"/>
      <c r="AH54" s="104">
        <f t="shared" si="4"/>
        <v>1</v>
      </c>
      <c r="AI54" s="106"/>
      <c r="AJ54" s="106"/>
      <c r="AK54" s="104"/>
      <c r="AL54" s="104"/>
      <c r="AM54" s="104">
        <f t="shared" si="5"/>
        <v>1</v>
      </c>
      <c r="AN54" s="104">
        <v>1</v>
      </c>
      <c r="AO54" s="104">
        <v>1</v>
      </c>
      <c r="AP54" s="104">
        <v>1</v>
      </c>
      <c r="AQ54" s="104"/>
      <c r="AS54" s="99" t="s">
        <v>3488</v>
      </c>
      <c r="AT54" s="107" t="s">
        <v>3552</v>
      </c>
      <c r="AU54" s="75" t="s">
        <v>1942</v>
      </c>
    </row>
    <row r="55" spans="1:47">
      <c r="A55" s="107" t="s">
        <v>3595</v>
      </c>
      <c r="B55" s="107" t="s">
        <v>160</v>
      </c>
      <c r="C55" s="107" t="s">
        <v>73</v>
      </c>
      <c r="D55" s="107" t="s">
        <v>3596</v>
      </c>
      <c r="E55" s="107" t="s">
        <v>162</v>
      </c>
      <c r="F55" s="107" t="s">
        <v>3597</v>
      </c>
      <c r="G55" s="107" t="s">
        <v>3598</v>
      </c>
      <c r="H55" s="107" t="s">
        <v>165</v>
      </c>
      <c r="I55" s="107">
        <v>202605.5</v>
      </c>
      <c r="J55" s="107">
        <v>5.29</v>
      </c>
      <c r="K55" s="107" t="s">
        <v>73</v>
      </c>
      <c r="L55" s="107" t="s">
        <v>3469</v>
      </c>
      <c r="M55" s="107" t="s">
        <v>3599</v>
      </c>
      <c r="N55" s="104" t="s">
        <v>3600</v>
      </c>
      <c r="O55" s="105"/>
      <c r="P55" s="176" t="s">
        <v>146</v>
      </c>
      <c r="Q55" s="177" t="s">
        <v>100</v>
      </c>
      <c r="R55" s="177" t="s">
        <v>170</v>
      </c>
      <c r="S55" s="177" t="s">
        <v>3586</v>
      </c>
      <c r="T55" s="177" t="s">
        <v>103</v>
      </c>
      <c r="U55" s="177" t="s">
        <v>171</v>
      </c>
      <c r="V55" s="177" t="s">
        <v>171</v>
      </c>
      <c r="W55" s="172" t="s">
        <v>13</v>
      </c>
      <c r="X55" s="106" t="s">
        <v>172</v>
      </c>
      <c r="Y55" s="105" t="s">
        <v>173</v>
      </c>
      <c r="Z55" s="105" t="s">
        <v>174</v>
      </c>
      <c r="AA55" s="105" t="s">
        <v>175</v>
      </c>
      <c r="AB55" s="104">
        <f t="shared" si="3"/>
        <v>1</v>
      </c>
      <c r="AC55" s="104">
        <v>1</v>
      </c>
      <c r="AD55" s="104">
        <v>1</v>
      </c>
      <c r="AE55" s="104">
        <v>1</v>
      </c>
      <c r="AF55" s="106"/>
      <c r="AG55" s="106"/>
      <c r="AH55" s="104">
        <f t="shared" si="4"/>
        <v>1</v>
      </c>
      <c r="AI55" s="106"/>
      <c r="AJ55" s="106"/>
      <c r="AK55" s="104"/>
      <c r="AL55" s="104"/>
      <c r="AM55" s="104">
        <f t="shared" si="5"/>
        <v>1</v>
      </c>
      <c r="AN55" s="104">
        <v>1</v>
      </c>
      <c r="AO55" s="104">
        <v>1</v>
      </c>
      <c r="AP55" s="104">
        <v>1</v>
      </c>
      <c r="AQ55" s="104"/>
      <c r="AS55" s="99" t="s">
        <v>3452</v>
      </c>
      <c r="AT55" s="107" t="s">
        <v>3601</v>
      </c>
      <c r="AU55" s="75" t="s">
        <v>1962</v>
      </c>
    </row>
    <row r="56" spans="1:47">
      <c r="A56" s="107" t="s">
        <v>3602</v>
      </c>
      <c r="B56" s="107" t="s">
        <v>160</v>
      </c>
      <c r="C56" s="107" t="s">
        <v>73</v>
      </c>
      <c r="D56" s="107" t="s">
        <v>3603</v>
      </c>
      <c r="E56" s="107" t="s">
        <v>162</v>
      </c>
      <c r="F56" s="107" t="s">
        <v>3604</v>
      </c>
      <c r="G56" s="107" t="s">
        <v>3605</v>
      </c>
      <c r="H56" s="107" t="s">
        <v>165</v>
      </c>
      <c r="I56" s="107">
        <v>202605.5</v>
      </c>
      <c r="J56" s="107">
        <v>5.29</v>
      </c>
      <c r="K56" s="107" t="s">
        <v>73</v>
      </c>
      <c r="L56" s="107" t="s">
        <v>3460</v>
      </c>
      <c r="M56" s="107" t="s">
        <v>3606</v>
      </c>
      <c r="N56" s="104" t="s">
        <v>3607</v>
      </c>
      <c r="O56" s="105"/>
      <c r="P56" s="176" t="s">
        <v>146</v>
      </c>
      <c r="Q56" s="177" t="s">
        <v>100</v>
      </c>
      <c r="R56" s="177" t="s">
        <v>170</v>
      </c>
      <c r="S56" s="177" t="s">
        <v>3586</v>
      </c>
      <c r="T56" s="177" t="s">
        <v>103</v>
      </c>
      <c r="U56" s="177" t="s">
        <v>171</v>
      </c>
      <c r="V56" s="177" t="s">
        <v>171</v>
      </c>
      <c r="W56" s="172" t="s">
        <v>13</v>
      </c>
      <c r="X56" s="106" t="s">
        <v>172</v>
      </c>
      <c r="Y56" s="105" t="s">
        <v>173</v>
      </c>
      <c r="Z56" s="105" t="s">
        <v>174</v>
      </c>
      <c r="AA56" s="105" t="s">
        <v>175</v>
      </c>
      <c r="AB56" s="104">
        <f t="shared" si="3"/>
        <v>1</v>
      </c>
      <c r="AC56" s="104">
        <v>1</v>
      </c>
      <c r="AD56" s="104">
        <v>1</v>
      </c>
      <c r="AE56" s="104">
        <v>1</v>
      </c>
      <c r="AF56" s="106"/>
      <c r="AG56" s="106"/>
      <c r="AH56" s="104">
        <f t="shared" si="4"/>
        <v>1</v>
      </c>
      <c r="AI56" s="106"/>
      <c r="AJ56" s="106"/>
      <c r="AK56" s="104"/>
      <c r="AL56" s="104"/>
      <c r="AM56" s="104">
        <f t="shared" si="5"/>
        <v>1</v>
      </c>
      <c r="AN56" s="104">
        <v>1</v>
      </c>
      <c r="AO56" s="104">
        <v>1</v>
      </c>
      <c r="AP56" s="104">
        <v>1</v>
      </c>
      <c r="AQ56" s="104"/>
      <c r="AS56" s="99" t="s">
        <v>3415</v>
      </c>
      <c r="AT56" s="107" t="s">
        <v>3608</v>
      </c>
      <c r="AU56" s="75" t="s">
        <v>2297</v>
      </c>
    </row>
    <row r="57" spans="1:47">
      <c r="A57" s="107" t="s">
        <v>3609</v>
      </c>
      <c r="B57" s="107" t="s">
        <v>160</v>
      </c>
      <c r="C57" s="107" t="s">
        <v>73</v>
      </c>
      <c r="D57" s="107" t="s">
        <v>3610</v>
      </c>
      <c r="E57" s="107" t="s">
        <v>162</v>
      </c>
      <c r="F57" s="107" t="s">
        <v>3611</v>
      </c>
      <c r="G57" s="107" t="s">
        <v>3612</v>
      </c>
      <c r="H57" s="107" t="s">
        <v>165</v>
      </c>
      <c r="I57" s="107">
        <v>202605.5</v>
      </c>
      <c r="J57" s="107">
        <v>5.29</v>
      </c>
      <c r="K57" s="107" t="s">
        <v>73</v>
      </c>
      <c r="L57" s="107" t="s">
        <v>3387</v>
      </c>
      <c r="M57" s="107" t="s">
        <v>3613</v>
      </c>
      <c r="N57" s="104" t="s">
        <v>3614</v>
      </c>
      <c r="O57" s="105"/>
      <c r="P57" s="176" t="s">
        <v>146</v>
      </c>
      <c r="Q57" s="177" t="s">
        <v>100</v>
      </c>
      <c r="R57" s="177" t="s">
        <v>170</v>
      </c>
      <c r="S57" s="177" t="s">
        <v>3586</v>
      </c>
      <c r="T57" s="177" t="s">
        <v>103</v>
      </c>
      <c r="U57" s="177" t="s">
        <v>171</v>
      </c>
      <c r="V57" s="177" t="s">
        <v>171</v>
      </c>
      <c r="W57" s="172" t="s">
        <v>13</v>
      </c>
      <c r="X57" s="106" t="s">
        <v>172</v>
      </c>
      <c r="Y57" s="105" t="s">
        <v>173</v>
      </c>
      <c r="Z57" s="105" t="s">
        <v>174</v>
      </c>
      <c r="AA57" s="105" t="s">
        <v>175</v>
      </c>
      <c r="AB57" s="104">
        <f t="shared" si="3"/>
        <v>1</v>
      </c>
      <c r="AC57" s="104">
        <v>1</v>
      </c>
      <c r="AD57" s="104">
        <v>1</v>
      </c>
      <c r="AE57" s="104">
        <v>1</v>
      </c>
      <c r="AF57" s="106"/>
      <c r="AG57" s="106"/>
      <c r="AH57" s="104">
        <f t="shared" si="4"/>
        <v>1</v>
      </c>
      <c r="AI57" s="106"/>
      <c r="AJ57" s="106"/>
      <c r="AK57" s="104"/>
      <c r="AL57" s="104"/>
      <c r="AM57" s="104">
        <f t="shared" si="5"/>
        <v>1</v>
      </c>
      <c r="AN57" s="104">
        <v>1</v>
      </c>
      <c r="AO57" s="104">
        <v>1</v>
      </c>
      <c r="AP57" s="104">
        <v>1</v>
      </c>
      <c r="AQ57" s="104"/>
      <c r="AS57" s="99" t="s">
        <v>3521</v>
      </c>
      <c r="AT57" s="107" t="s">
        <v>3615</v>
      </c>
      <c r="AU57" s="75" t="s">
        <v>1974</v>
      </c>
    </row>
    <row r="58" spans="1:47" hidden="1">
      <c r="A58" s="179" t="s">
        <v>3616</v>
      </c>
      <c r="B58" s="179" t="s">
        <v>160</v>
      </c>
      <c r="C58" s="179" t="s">
        <v>73</v>
      </c>
      <c r="D58" s="179" t="s">
        <v>3617</v>
      </c>
      <c r="E58" s="179" t="s">
        <v>162</v>
      </c>
      <c r="F58" s="179" t="s">
        <v>3618</v>
      </c>
      <c r="G58" s="179" t="s">
        <v>3619</v>
      </c>
      <c r="H58" s="179" t="s">
        <v>165</v>
      </c>
      <c r="I58" s="179">
        <v>202605.5</v>
      </c>
      <c r="J58" s="175" t="s">
        <v>3213</v>
      </c>
      <c r="K58" s="107" t="s">
        <v>73</v>
      </c>
      <c r="L58" s="107" t="s">
        <v>3620</v>
      </c>
      <c r="M58" s="107" t="s">
        <v>3621</v>
      </c>
      <c r="N58" s="104" t="s">
        <v>3622</v>
      </c>
      <c r="O58" s="105"/>
      <c r="P58" s="176" t="s">
        <v>146</v>
      </c>
      <c r="Q58" s="177" t="s">
        <v>100</v>
      </c>
      <c r="R58" s="177" t="s">
        <v>170</v>
      </c>
      <c r="S58" s="177" t="s">
        <v>3586</v>
      </c>
      <c r="T58" s="177" t="s">
        <v>103</v>
      </c>
      <c r="U58" s="177" t="s">
        <v>171</v>
      </c>
      <c r="V58" s="177" t="s">
        <v>171</v>
      </c>
      <c r="W58" s="172" t="s">
        <v>13</v>
      </c>
      <c r="X58" s="106" t="s">
        <v>172</v>
      </c>
      <c r="Y58" s="105" t="s">
        <v>173</v>
      </c>
      <c r="Z58" s="105" t="s">
        <v>174</v>
      </c>
      <c r="AA58" s="105" t="s">
        <v>175</v>
      </c>
      <c r="AB58" s="104">
        <f t="shared" si="3"/>
        <v>1</v>
      </c>
      <c r="AC58" s="106"/>
      <c r="AD58" s="106"/>
      <c r="AE58" s="106"/>
      <c r="AF58" s="106"/>
      <c r="AG58" s="106"/>
      <c r="AH58" s="104">
        <f t="shared" si="4"/>
        <v>0</v>
      </c>
      <c r="AI58" s="106"/>
      <c r="AJ58" s="106"/>
      <c r="AK58" s="106"/>
      <c r="AL58" s="106"/>
      <c r="AM58" s="104">
        <f t="shared" si="5"/>
        <v>0</v>
      </c>
      <c r="AN58" s="106"/>
      <c r="AO58" s="106"/>
      <c r="AP58" s="106"/>
      <c r="AQ58" s="106"/>
      <c r="AU58" s="75" t="s">
        <v>2029</v>
      </c>
    </row>
    <row r="59" spans="1:47">
      <c r="A59" s="107" t="s">
        <v>3623</v>
      </c>
      <c r="B59" s="107" t="s">
        <v>160</v>
      </c>
      <c r="C59" s="107" t="s">
        <v>73</v>
      </c>
      <c r="D59" s="107" t="s">
        <v>3624</v>
      </c>
      <c r="E59" s="107" t="s">
        <v>162</v>
      </c>
      <c r="F59" s="107" t="s">
        <v>3625</v>
      </c>
      <c r="G59" s="107" t="s">
        <v>3626</v>
      </c>
      <c r="H59" s="107" t="s">
        <v>165</v>
      </c>
      <c r="I59" s="107">
        <v>202605.5</v>
      </c>
      <c r="J59" s="107">
        <v>5.29</v>
      </c>
      <c r="K59" s="107" t="s">
        <v>73</v>
      </c>
      <c r="L59" s="107" t="s">
        <v>3451</v>
      </c>
      <c r="M59" s="107" t="s">
        <v>3627</v>
      </c>
      <c r="N59" s="104" t="s">
        <v>3628</v>
      </c>
      <c r="O59" s="105"/>
      <c r="P59" s="176" t="s">
        <v>146</v>
      </c>
      <c r="Q59" s="177" t="s">
        <v>100</v>
      </c>
      <c r="R59" s="177" t="s">
        <v>170</v>
      </c>
      <c r="S59" s="177" t="s">
        <v>3586</v>
      </c>
      <c r="T59" s="177" t="s">
        <v>103</v>
      </c>
      <c r="U59" s="177" t="s">
        <v>171</v>
      </c>
      <c r="V59" s="177" t="s">
        <v>171</v>
      </c>
      <c r="W59" s="172" t="s">
        <v>13</v>
      </c>
      <c r="X59" s="106" t="s">
        <v>172</v>
      </c>
      <c r="Y59" s="105" t="s">
        <v>173</v>
      </c>
      <c r="Z59" s="105" t="s">
        <v>174</v>
      </c>
      <c r="AA59" s="105" t="s">
        <v>175</v>
      </c>
      <c r="AB59" s="104">
        <f t="shared" si="3"/>
        <v>1</v>
      </c>
      <c r="AC59" s="104">
        <v>1</v>
      </c>
      <c r="AD59" s="104">
        <v>1</v>
      </c>
      <c r="AE59" s="104">
        <v>1</v>
      </c>
      <c r="AF59" s="106"/>
      <c r="AG59" s="106"/>
      <c r="AH59" s="104">
        <f t="shared" si="4"/>
        <v>1</v>
      </c>
      <c r="AI59" s="106"/>
      <c r="AJ59" s="106"/>
      <c r="AK59" s="104"/>
      <c r="AL59" s="104"/>
      <c r="AM59" s="104">
        <f t="shared" si="5"/>
        <v>1</v>
      </c>
      <c r="AN59" s="104">
        <v>1</v>
      </c>
      <c r="AO59" s="104">
        <v>1</v>
      </c>
      <c r="AP59" s="104">
        <v>1</v>
      </c>
      <c r="AQ59" s="104"/>
      <c r="AS59" s="99" t="s">
        <v>3479</v>
      </c>
      <c r="AT59" s="107" t="s">
        <v>3543</v>
      </c>
      <c r="AU59" s="75" t="s">
        <v>2022</v>
      </c>
    </row>
    <row r="60" spans="1:47">
      <c r="A60" s="107" t="s">
        <v>3629</v>
      </c>
      <c r="B60" s="107" t="s">
        <v>160</v>
      </c>
      <c r="C60" s="107" t="s">
        <v>73</v>
      </c>
      <c r="D60" s="107" t="s">
        <v>3630</v>
      </c>
      <c r="E60" s="107" t="s">
        <v>162</v>
      </c>
      <c r="F60" s="107" t="s">
        <v>3631</v>
      </c>
      <c r="G60" s="107" t="s">
        <v>3632</v>
      </c>
      <c r="H60" s="107" t="s">
        <v>165</v>
      </c>
      <c r="I60" s="107">
        <v>202605.5</v>
      </c>
      <c r="J60" s="107">
        <v>5.29</v>
      </c>
      <c r="K60" s="107" t="s">
        <v>73</v>
      </c>
      <c r="L60" s="107" t="s">
        <v>3396</v>
      </c>
      <c r="M60" s="107" t="s">
        <v>3633</v>
      </c>
      <c r="N60" s="104" t="s">
        <v>3634</v>
      </c>
      <c r="O60" s="105"/>
      <c r="P60" s="176" t="s">
        <v>146</v>
      </c>
      <c r="Q60" s="177" t="s">
        <v>100</v>
      </c>
      <c r="R60" s="177" t="s">
        <v>170</v>
      </c>
      <c r="S60" s="177" t="s">
        <v>3586</v>
      </c>
      <c r="T60" s="177" t="s">
        <v>103</v>
      </c>
      <c r="U60" s="177" t="s">
        <v>171</v>
      </c>
      <c r="V60" s="177" t="s">
        <v>171</v>
      </c>
      <c r="W60" s="172" t="s">
        <v>13</v>
      </c>
      <c r="X60" s="106" t="s">
        <v>172</v>
      </c>
      <c r="Y60" s="105" t="s">
        <v>173</v>
      </c>
      <c r="Z60" s="105" t="s">
        <v>174</v>
      </c>
      <c r="AA60" s="105" t="s">
        <v>175</v>
      </c>
      <c r="AB60" s="104">
        <f t="shared" si="3"/>
        <v>1</v>
      </c>
      <c r="AC60" s="104">
        <v>1</v>
      </c>
      <c r="AD60" s="104">
        <v>1</v>
      </c>
      <c r="AE60" s="104">
        <v>1</v>
      </c>
      <c r="AF60" s="106"/>
      <c r="AG60" s="106"/>
      <c r="AH60" s="104">
        <f t="shared" si="4"/>
        <v>1</v>
      </c>
      <c r="AI60" s="106"/>
      <c r="AJ60" s="106"/>
      <c r="AK60" s="104"/>
      <c r="AL60" s="104"/>
      <c r="AM60" s="104">
        <f t="shared" si="5"/>
        <v>1</v>
      </c>
      <c r="AN60" s="104">
        <v>1</v>
      </c>
      <c r="AO60" s="104">
        <v>1</v>
      </c>
      <c r="AP60" s="104">
        <v>1</v>
      </c>
      <c r="AQ60" s="104"/>
      <c r="AS60" s="99" t="s">
        <v>3443</v>
      </c>
      <c r="AT60" s="107" t="s">
        <v>3635</v>
      </c>
      <c r="AU60" s="75" t="s">
        <v>1949</v>
      </c>
    </row>
    <row r="61" spans="1:47">
      <c r="A61" s="107" t="s">
        <v>3636</v>
      </c>
      <c r="B61" s="107" t="s">
        <v>160</v>
      </c>
      <c r="C61" s="107" t="s">
        <v>73</v>
      </c>
      <c r="D61" s="107" t="s">
        <v>3637</v>
      </c>
      <c r="E61" s="107" t="s">
        <v>162</v>
      </c>
      <c r="F61" s="107" t="s">
        <v>3638</v>
      </c>
      <c r="G61" s="107" t="s">
        <v>3639</v>
      </c>
      <c r="H61" s="107" t="s">
        <v>165</v>
      </c>
      <c r="I61" s="107">
        <v>202605.5</v>
      </c>
      <c r="J61" s="107">
        <v>5.29</v>
      </c>
      <c r="K61" s="107" t="s">
        <v>73</v>
      </c>
      <c r="L61" s="107" t="s">
        <v>3640</v>
      </c>
      <c r="M61" s="107" t="s">
        <v>3641</v>
      </c>
      <c r="N61" s="104" t="s">
        <v>3642</v>
      </c>
      <c r="O61" s="105"/>
      <c r="P61" s="176" t="s">
        <v>146</v>
      </c>
      <c r="Q61" s="177" t="s">
        <v>100</v>
      </c>
      <c r="R61" s="177" t="s">
        <v>170</v>
      </c>
      <c r="S61" s="177" t="s">
        <v>3586</v>
      </c>
      <c r="T61" s="177" t="s">
        <v>103</v>
      </c>
      <c r="U61" s="177" t="s">
        <v>171</v>
      </c>
      <c r="V61" s="177" t="s">
        <v>171</v>
      </c>
      <c r="W61" s="172" t="s">
        <v>13</v>
      </c>
      <c r="X61" s="106" t="s">
        <v>172</v>
      </c>
      <c r="Y61" s="105" t="s">
        <v>173</v>
      </c>
      <c r="Z61" s="105" t="s">
        <v>174</v>
      </c>
      <c r="AA61" s="105" t="s">
        <v>175</v>
      </c>
      <c r="AB61" s="104">
        <f t="shared" si="3"/>
        <v>1</v>
      </c>
      <c r="AC61" s="104">
        <v>1</v>
      </c>
      <c r="AD61" s="104">
        <v>1</v>
      </c>
      <c r="AE61" s="104">
        <v>1</v>
      </c>
      <c r="AF61" s="106"/>
      <c r="AG61" s="106"/>
      <c r="AH61" s="104">
        <f t="shared" si="4"/>
        <v>1</v>
      </c>
      <c r="AI61" s="106"/>
      <c r="AJ61" s="106"/>
      <c r="AK61" s="104"/>
      <c r="AL61" s="104"/>
      <c r="AM61" s="104">
        <f t="shared" si="5"/>
        <v>1</v>
      </c>
      <c r="AN61" s="104">
        <v>1</v>
      </c>
      <c r="AO61" s="104">
        <v>1</v>
      </c>
      <c r="AP61" s="104">
        <v>1</v>
      </c>
      <c r="AQ61" s="104"/>
      <c r="AS61" s="99" t="s">
        <v>3407</v>
      </c>
      <c r="AT61" s="107" t="s">
        <v>3569</v>
      </c>
      <c r="AU61" s="75" t="s">
        <v>2051</v>
      </c>
    </row>
    <row r="62" spans="1:47">
      <c r="A62" s="107" t="s">
        <v>3643</v>
      </c>
      <c r="B62" s="107" t="s">
        <v>160</v>
      </c>
      <c r="C62" s="107" t="s">
        <v>73</v>
      </c>
      <c r="D62" s="107" t="s">
        <v>3644</v>
      </c>
      <c r="E62" s="107" t="s">
        <v>162</v>
      </c>
      <c r="F62" s="107" t="s">
        <v>3645</v>
      </c>
      <c r="G62" s="107" t="s">
        <v>3646</v>
      </c>
      <c r="H62" s="107" t="s">
        <v>165</v>
      </c>
      <c r="I62" s="107">
        <v>202605.5</v>
      </c>
      <c r="J62" s="107">
        <v>5.29</v>
      </c>
      <c r="K62" s="107" t="s">
        <v>73</v>
      </c>
      <c r="L62" s="107" t="s">
        <v>3442</v>
      </c>
      <c r="M62" s="107" t="s">
        <v>3647</v>
      </c>
      <c r="N62" s="104" t="s">
        <v>3648</v>
      </c>
      <c r="O62" s="105"/>
      <c r="P62" s="176" t="s">
        <v>146</v>
      </c>
      <c r="Q62" s="177" t="s">
        <v>100</v>
      </c>
      <c r="R62" s="177" t="s">
        <v>170</v>
      </c>
      <c r="S62" s="177" t="s">
        <v>3586</v>
      </c>
      <c r="T62" s="177" t="s">
        <v>103</v>
      </c>
      <c r="U62" s="177" t="s">
        <v>171</v>
      </c>
      <c r="V62" s="177" t="s">
        <v>171</v>
      </c>
      <c r="W62" s="172" t="s">
        <v>13</v>
      </c>
      <c r="X62" s="106" t="s">
        <v>172</v>
      </c>
      <c r="Y62" s="105" t="s">
        <v>173</v>
      </c>
      <c r="Z62" s="105" t="s">
        <v>174</v>
      </c>
      <c r="AA62" s="105" t="s">
        <v>175</v>
      </c>
      <c r="AB62" s="104">
        <f t="shared" si="3"/>
        <v>1</v>
      </c>
      <c r="AC62" s="104">
        <v>1</v>
      </c>
      <c r="AD62" s="104">
        <v>1</v>
      </c>
      <c r="AE62" s="104">
        <v>1</v>
      </c>
      <c r="AF62" s="106"/>
      <c r="AG62" s="106"/>
      <c r="AH62" s="104">
        <f t="shared" si="4"/>
        <v>1</v>
      </c>
      <c r="AI62" s="106"/>
      <c r="AJ62" s="106"/>
      <c r="AK62" s="104"/>
      <c r="AL62" s="104"/>
      <c r="AM62" s="104">
        <f t="shared" si="5"/>
        <v>1</v>
      </c>
      <c r="AN62" s="104">
        <v>1</v>
      </c>
      <c r="AO62" s="104">
        <v>1</v>
      </c>
      <c r="AP62" s="104">
        <v>1</v>
      </c>
      <c r="AQ62" s="104"/>
      <c r="AS62" s="99" t="s">
        <v>3397</v>
      </c>
      <c r="AT62" s="107" t="s">
        <v>3402</v>
      </c>
      <c r="AU62" s="75" t="s">
        <v>1935</v>
      </c>
    </row>
    <row r="63" spans="1:47" hidden="1">
      <c r="A63" s="179" t="s">
        <v>3649</v>
      </c>
      <c r="B63" s="179" t="s">
        <v>160</v>
      </c>
      <c r="C63" s="179" t="s">
        <v>73</v>
      </c>
      <c r="D63" s="179" t="s">
        <v>3650</v>
      </c>
      <c r="E63" s="179" t="s">
        <v>162</v>
      </c>
      <c r="F63" s="179" t="s">
        <v>3651</v>
      </c>
      <c r="G63" s="179" t="s">
        <v>3652</v>
      </c>
      <c r="H63" s="179" t="s">
        <v>165</v>
      </c>
      <c r="I63" s="179">
        <v>202605.5</v>
      </c>
      <c r="J63" s="175" t="s">
        <v>3213</v>
      </c>
      <c r="K63" s="107" t="s">
        <v>73</v>
      </c>
      <c r="L63" s="107" t="s">
        <v>3653</v>
      </c>
      <c r="M63" s="107" t="s">
        <v>3654</v>
      </c>
      <c r="N63" s="104" t="s">
        <v>3655</v>
      </c>
      <c r="O63" s="105"/>
      <c r="P63" s="176" t="s">
        <v>146</v>
      </c>
      <c r="Q63" s="177" t="s">
        <v>100</v>
      </c>
      <c r="R63" s="177" t="s">
        <v>170</v>
      </c>
      <c r="S63" s="177" t="s">
        <v>3656</v>
      </c>
      <c r="T63" s="177" t="s">
        <v>103</v>
      </c>
      <c r="U63" s="177" t="s">
        <v>171</v>
      </c>
      <c r="V63" s="177" t="s">
        <v>171</v>
      </c>
      <c r="W63" s="172" t="s">
        <v>13</v>
      </c>
      <c r="X63" s="106" t="s">
        <v>172</v>
      </c>
      <c r="Y63" s="105" t="s">
        <v>173</v>
      </c>
      <c r="Z63" s="105" t="s">
        <v>174</v>
      </c>
      <c r="AA63" s="105" t="s">
        <v>175</v>
      </c>
      <c r="AB63" s="104">
        <f t="shared" si="3"/>
        <v>1</v>
      </c>
      <c r="AC63" s="106"/>
      <c r="AD63" s="106"/>
      <c r="AE63" s="106"/>
      <c r="AF63" s="106"/>
      <c r="AG63" s="106"/>
      <c r="AH63" s="104">
        <f t="shared" si="4"/>
        <v>0</v>
      </c>
      <c r="AI63" s="106"/>
      <c r="AJ63" s="106"/>
      <c r="AK63" s="106"/>
      <c r="AL63" s="106"/>
      <c r="AM63" s="104">
        <f t="shared" si="5"/>
        <v>0</v>
      </c>
      <c r="AN63" s="106"/>
      <c r="AO63" s="106"/>
      <c r="AP63" s="106"/>
      <c r="AQ63" s="106"/>
      <c r="AU63" s="75" t="s">
        <v>1889</v>
      </c>
    </row>
    <row r="64" spans="1:47" hidden="1">
      <c r="A64" s="179" t="s">
        <v>3657</v>
      </c>
      <c r="B64" s="179" t="s">
        <v>160</v>
      </c>
      <c r="C64" s="179" t="s">
        <v>73</v>
      </c>
      <c r="D64" s="179" t="s">
        <v>3658</v>
      </c>
      <c r="E64" s="179" t="s">
        <v>162</v>
      </c>
      <c r="F64" s="179" t="s">
        <v>3659</v>
      </c>
      <c r="G64" s="179" t="s">
        <v>3660</v>
      </c>
      <c r="H64" s="179" t="s">
        <v>165</v>
      </c>
      <c r="I64" s="179">
        <v>202605.5</v>
      </c>
      <c r="J64" s="175" t="s">
        <v>3213</v>
      </c>
      <c r="K64" s="107" t="s">
        <v>73</v>
      </c>
      <c r="L64" s="107" t="s">
        <v>3661</v>
      </c>
      <c r="M64" s="107" t="s">
        <v>3662</v>
      </c>
      <c r="N64" s="104" t="s">
        <v>3663</v>
      </c>
      <c r="O64" s="105"/>
      <c r="P64" s="176" t="s">
        <v>146</v>
      </c>
      <c r="Q64" s="177" t="s">
        <v>100</v>
      </c>
      <c r="R64" s="177" t="s">
        <v>170</v>
      </c>
      <c r="S64" s="177" t="s">
        <v>3656</v>
      </c>
      <c r="T64" s="177" t="s">
        <v>103</v>
      </c>
      <c r="U64" s="177" t="s">
        <v>171</v>
      </c>
      <c r="V64" s="177" t="s">
        <v>171</v>
      </c>
      <c r="W64" s="172" t="s">
        <v>13</v>
      </c>
      <c r="X64" s="106" t="s">
        <v>172</v>
      </c>
      <c r="Y64" s="105" t="s">
        <v>173</v>
      </c>
      <c r="Z64" s="105" t="s">
        <v>174</v>
      </c>
      <c r="AA64" s="105" t="s">
        <v>175</v>
      </c>
      <c r="AB64" s="104">
        <f t="shared" si="3"/>
        <v>1</v>
      </c>
      <c r="AC64" s="106"/>
      <c r="AD64" s="106"/>
      <c r="AE64" s="106"/>
      <c r="AF64" s="106"/>
      <c r="AG64" s="106"/>
      <c r="AH64" s="104">
        <f t="shared" si="4"/>
        <v>0</v>
      </c>
      <c r="AI64" s="106"/>
      <c r="AJ64" s="106"/>
      <c r="AK64" s="106"/>
      <c r="AL64" s="106"/>
      <c r="AM64" s="104">
        <f t="shared" si="5"/>
        <v>0</v>
      </c>
      <c r="AN64" s="106"/>
      <c r="AO64" s="106"/>
      <c r="AP64" s="106"/>
      <c r="AQ64" s="106"/>
      <c r="AU64" s="75" t="s">
        <v>2036</v>
      </c>
    </row>
    <row r="65" spans="1:47">
      <c r="A65" s="107" t="s">
        <v>3664</v>
      </c>
      <c r="B65" s="107" t="s">
        <v>160</v>
      </c>
      <c r="C65" s="107" t="s">
        <v>73</v>
      </c>
      <c r="D65" s="107" t="s">
        <v>3665</v>
      </c>
      <c r="E65" s="107" t="s">
        <v>162</v>
      </c>
      <c r="F65" s="107" t="s">
        <v>3666</v>
      </c>
      <c r="G65" s="107" t="s">
        <v>3667</v>
      </c>
      <c r="H65" s="107" t="s">
        <v>165</v>
      </c>
      <c r="I65" s="107">
        <v>202605.5</v>
      </c>
      <c r="J65" s="107">
        <v>5.29</v>
      </c>
      <c r="K65" s="107" t="s">
        <v>73</v>
      </c>
      <c r="L65" s="107" t="s">
        <v>3377</v>
      </c>
      <c r="M65" s="107" t="s">
        <v>3668</v>
      </c>
      <c r="N65" s="104" t="s">
        <v>3669</v>
      </c>
      <c r="O65" s="105"/>
      <c r="P65" s="176" t="s">
        <v>146</v>
      </c>
      <c r="Q65" s="177" t="s">
        <v>100</v>
      </c>
      <c r="R65" s="177" t="s">
        <v>170</v>
      </c>
      <c r="S65" s="177" t="s">
        <v>3656</v>
      </c>
      <c r="T65" s="177" t="s">
        <v>103</v>
      </c>
      <c r="U65" s="177" t="s">
        <v>171</v>
      </c>
      <c r="V65" s="177" t="s">
        <v>171</v>
      </c>
      <c r="W65" s="172" t="s">
        <v>13</v>
      </c>
      <c r="X65" s="106" t="s">
        <v>172</v>
      </c>
      <c r="Y65" s="105" t="s">
        <v>173</v>
      </c>
      <c r="Z65" s="105" t="s">
        <v>174</v>
      </c>
      <c r="AA65" s="105" t="s">
        <v>175</v>
      </c>
      <c r="AB65" s="104">
        <f t="shared" si="3"/>
        <v>1</v>
      </c>
      <c r="AC65" s="104">
        <v>1</v>
      </c>
      <c r="AD65" s="104">
        <v>1</v>
      </c>
      <c r="AE65" s="104">
        <v>1</v>
      </c>
      <c r="AF65" s="106"/>
      <c r="AG65" s="106"/>
      <c r="AH65" s="104">
        <f t="shared" si="4"/>
        <v>1</v>
      </c>
      <c r="AI65" s="106"/>
      <c r="AJ65" s="106"/>
      <c r="AK65" s="104"/>
      <c r="AL65" s="104"/>
      <c r="AM65" s="104">
        <f t="shared" si="5"/>
        <v>1</v>
      </c>
      <c r="AN65" s="104">
        <v>1</v>
      </c>
      <c r="AO65" s="104">
        <v>1</v>
      </c>
      <c r="AP65" s="104">
        <v>1</v>
      </c>
      <c r="AQ65" s="104"/>
      <c r="AS65" s="99" t="s">
        <v>3513</v>
      </c>
      <c r="AT65" s="107" t="s">
        <v>3412</v>
      </c>
      <c r="AU65" s="75" t="s">
        <v>1996</v>
      </c>
    </row>
    <row r="66" spans="1:47">
      <c r="A66" s="107" t="s">
        <v>3670</v>
      </c>
      <c r="B66" s="107" t="s">
        <v>160</v>
      </c>
      <c r="C66" s="107" t="s">
        <v>73</v>
      </c>
      <c r="D66" s="107" t="s">
        <v>3671</v>
      </c>
      <c r="E66" s="107" t="s">
        <v>162</v>
      </c>
      <c r="F66" s="107" t="s">
        <v>3672</v>
      </c>
      <c r="G66" s="107" t="s">
        <v>3673</v>
      </c>
      <c r="H66" s="107" t="s">
        <v>165</v>
      </c>
      <c r="I66" s="107">
        <v>202605.5</v>
      </c>
      <c r="J66" s="107">
        <v>5.29</v>
      </c>
      <c r="K66" s="107" t="s">
        <v>73</v>
      </c>
      <c r="L66" s="107" t="s">
        <v>3433</v>
      </c>
      <c r="M66" s="107" t="s">
        <v>3674</v>
      </c>
      <c r="N66" s="104" t="s">
        <v>3675</v>
      </c>
      <c r="O66" s="105"/>
      <c r="P66" s="176" t="s">
        <v>146</v>
      </c>
      <c r="Q66" s="177" t="s">
        <v>100</v>
      </c>
      <c r="R66" s="177" t="s">
        <v>170</v>
      </c>
      <c r="S66" s="177" t="s">
        <v>3656</v>
      </c>
      <c r="T66" s="177" t="s">
        <v>103</v>
      </c>
      <c r="U66" s="177" t="s">
        <v>171</v>
      </c>
      <c r="V66" s="177" t="s">
        <v>171</v>
      </c>
      <c r="W66" s="172" t="s">
        <v>13</v>
      </c>
      <c r="X66" s="106" t="s">
        <v>172</v>
      </c>
      <c r="Y66" s="105" t="s">
        <v>173</v>
      </c>
      <c r="Z66" s="105" t="s">
        <v>174</v>
      </c>
      <c r="AA66" s="105" t="s">
        <v>175</v>
      </c>
      <c r="AB66" s="104">
        <f t="shared" si="3"/>
        <v>1</v>
      </c>
      <c r="AC66" s="104">
        <v>1</v>
      </c>
      <c r="AD66" s="104">
        <v>1</v>
      </c>
      <c r="AE66" s="104">
        <v>1</v>
      </c>
      <c r="AF66" s="106"/>
      <c r="AG66" s="106"/>
      <c r="AH66" s="104">
        <f t="shared" si="4"/>
        <v>1</v>
      </c>
      <c r="AI66" s="106"/>
      <c r="AJ66" s="106"/>
      <c r="AK66" s="104"/>
      <c r="AL66" s="104"/>
      <c r="AM66" s="104">
        <f t="shared" si="5"/>
        <v>1</v>
      </c>
      <c r="AN66" s="104">
        <v>1</v>
      </c>
      <c r="AO66" s="104">
        <v>1</v>
      </c>
      <c r="AP66" s="104">
        <v>1</v>
      </c>
      <c r="AQ66" s="104"/>
      <c r="AS66" s="99" t="s">
        <v>3461</v>
      </c>
      <c r="AT66" s="107" t="s">
        <v>3421</v>
      </c>
      <c r="AU66" s="75" t="s">
        <v>1989</v>
      </c>
    </row>
    <row r="67" spans="1:47">
      <c r="A67" s="107" t="s">
        <v>3676</v>
      </c>
      <c r="B67" s="107" t="s">
        <v>160</v>
      </c>
      <c r="C67" s="107" t="s">
        <v>73</v>
      </c>
      <c r="D67" s="107" t="s">
        <v>3677</v>
      </c>
      <c r="E67" s="107" t="s">
        <v>162</v>
      </c>
      <c r="F67" s="107" t="s">
        <v>3678</v>
      </c>
      <c r="G67" s="107" t="s">
        <v>3679</v>
      </c>
      <c r="H67" s="107" t="s">
        <v>165</v>
      </c>
      <c r="I67" s="107">
        <v>202605.5</v>
      </c>
      <c r="J67" s="107">
        <v>5.29</v>
      </c>
      <c r="K67" s="107" t="s">
        <v>73</v>
      </c>
      <c r="L67" s="107" t="s">
        <v>3333</v>
      </c>
      <c r="M67" s="107" t="s">
        <v>3680</v>
      </c>
      <c r="N67" s="104" t="s">
        <v>3681</v>
      </c>
      <c r="O67" s="105"/>
      <c r="P67" s="176" t="s">
        <v>146</v>
      </c>
      <c r="Q67" s="177" t="s">
        <v>100</v>
      </c>
      <c r="R67" s="177" t="s">
        <v>170</v>
      </c>
      <c r="S67" s="177" t="s">
        <v>3656</v>
      </c>
      <c r="T67" s="177" t="s">
        <v>103</v>
      </c>
      <c r="U67" s="177" t="s">
        <v>171</v>
      </c>
      <c r="V67" s="177" t="s">
        <v>171</v>
      </c>
      <c r="W67" s="172" t="s">
        <v>13</v>
      </c>
      <c r="X67" s="106" t="s">
        <v>172</v>
      </c>
      <c r="Y67" s="105" t="s">
        <v>173</v>
      </c>
      <c r="Z67" s="105" t="s">
        <v>174</v>
      </c>
      <c r="AA67" s="105" t="s">
        <v>175</v>
      </c>
      <c r="AB67" s="104">
        <f t="shared" ref="AB67:AB98" si="6">IF(COUNTIF(AU:AU,"*"&amp;D67&amp;"*")&gt;0,1,0)</f>
        <v>1</v>
      </c>
      <c r="AC67" s="104">
        <v>1</v>
      </c>
      <c r="AD67" s="104">
        <v>1</v>
      </c>
      <c r="AE67" s="104">
        <v>1</v>
      </c>
      <c r="AF67" s="106"/>
      <c r="AG67" s="106"/>
      <c r="AH67" s="104">
        <f t="shared" ref="AH67:AH98" si="7">IF(COUNTIF(AS:AS,"*"&amp;L67&amp;"*")&gt;0,1,0)</f>
        <v>1</v>
      </c>
      <c r="AI67" s="106"/>
      <c r="AJ67" s="106"/>
      <c r="AK67" s="104"/>
      <c r="AL67" s="104"/>
      <c r="AM67" s="104">
        <f t="shared" ref="AM67:AM98" si="8">IF(COUNTIF(AT:AT,"*"&amp;L67&amp;"*")&gt;0,1,0)</f>
        <v>1</v>
      </c>
      <c r="AN67" s="104">
        <v>1</v>
      </c>
      <c r="AO67" s="104">
        <v>1</v>
      </c>
      <c r="AP67" s="104">
        <v>1</v>
      </c>
      <c r="AQ67" s="104"/>
      <c r="AS67" s="99" t="s">
        <v>3635</v>
      </c>
      <c r="AT67" s="107" t="s">
        <v>3430</v>
      </c>
      <c r="AU67" s="75" t="s">
        <v>1881</v>
      </c>
    </row>
    <row r="68" spans="1:47" hidden="1">
      <c r="A68" s="179" t="s">
        <v>3682</v>
      </c>
      <c r="B68" s="179" t="s">
        <v>160</v>
      </c>
      <c r="C68" s="179" t="s">
        <v>73</v>
      </c>
      <c r="D68" s="179" t="s">
        <v>3683</v>
      </c>
      <c r="E68" s="179" t="s">
        <v>162</v>
      </c>
      <c r="F68" s="179" t="s">
        <v>3684</v>
      </c>
      <c r="G68" s="179" t="s">
        <v>3685</v>
      </c>
      <c r="H68" s="179" t="s">
        <v>165</v>
      </c>
      <c r="I68" s="179">
        <v>202605.5</v>
      </c>
      <c r="J68" s="182" t="s">
        <v>3213</v>
      </c>
      <c r="K68" s="179" t="s">
        <v>73</v>
      </c>
      <c r="L68" s="179" t="s">
        <v>3686</v>
      </c>
      <c r="M68" s="179" t="s">
        <v>3687</v>
      </c>
      <c r="N68" s="181" t="s">
        <v>3688</v>
      </c>
      <c r="O68" s="105"/>
      <c r="P68" s="176" t="s">
        <v>146</v>
      </c>
      <c r="Q68" s="177" t="s">
        <v>100</v>
      </c>
      <c r="R68" s="177" t="s">
        <v>170</v>
      </c>
      <c r="S68" s="177" t="s">
        <v>3656</v>
      </c>
      <c r="T68" s="177" t="s">
        <v>103</v>
      </c>
      <c r="U68" s="177" t="s">
        <v>171</v>
      </c>
      <c r="V68" s="177" t="s">
        <v>171</v>
      </c>
      <c r="W68" s="172" t="s">
        <v>13</v>
      </c>
      <c r="X68" s="106" t="s">
        <v>172</v>
      </c>
      <c r="Y68" s="105" t="s">
        <v>173</v>
      </c>
      <c r="Z68" s="105" t="s">
        <v>174</v>
      </c>
      <c r="AA68" s="105" t="s">
        <v>175</v>
      </c>
      <c r="AB68" s="104">
        <f t="shared" si="6"/>
        <v>1</v>
      </c>
      <c r="AC68" s="106"/>
      <c r="AD68" s="106"/>
      <c r="AE68" s="106"/>
      <c r="AF68" s="106"/>
      <c r="AG68" s="106"/>
      <c r="AH68" s="106">
        <f t="shared" si="7"/>
        <v>0</v>
      </c>
      <c r="AI68" s="106"/>
      <c r="AJ68" s="106"/>
      <c r="AK68" s="106"/>
      <c r="AL68" s="106"/>
      <c r="AM68" s="104">
        <f t="shared" si="8"/>
        <v>0</v>
      </c>
      <c r="AN68" s="106"/>
      <c r="AO68" s="106"/>
      <c r="AP68" s="106"/>
      <c r="AQ68" s="106"/>
      <c r="AU68" s="75" t="s">
        <v>1920</v>
      </c>
    </row>
    <row r="69" spans="1:47">
      <c r="A69" s="107" t="s">
        <v>3689</v>
      </c>
      <c r="B69" s="107" t="s">
        <v>160</v>
      </c>
      <c r="C69" s="107" t="s">
        <v>73</v>
      </c>
      <c r="D69" s="107" t="s">
        <v>3690</v>
      </c>
      <c r="E69" s="107" t="s">
        <v>162</v>
      </c>
      <c r="F69" s="107" t="s">
        <v>3691</v>
      </c>
      <c r="G69" s="107" t="s">
        <v>3692</v>
      </c>
      <c r="H69" s="107" t="s">
        <v>165</v>
      </c>
      <c r="I69" s="107">
        <v>202605.5</v>
      </c>
      <c r="J69" s="107">
        <v>5.29</v>
      </c>
      <c r="K69" s="107" t="s">
        <v>73</v>
      </c>
      <c r="L69" s="107" t="s">
        <v>3693</v>
      </c>
      <c r="M69" s="107" t="s">
        <v>3694</v>
      </c>
      <c r="N69" s="104" t="s">
        <v>3695</v>
      </c>
      <c r="O69" s="105"/>
      <c r="P69" s="176" t="s">
        <v>146</v>
      </c>
      <c r="Q69" s="177" t="s">
        <v>100</v>
      </c>
      <c r="R69" s="177" t="s">
        <v>170</v>
      </c>
      <c r="S69" s="177" t="s">
        <v>3656</v>
      </c>
      <c r="T69" s="177" t="s">
        <v>103</v>
      </c>
      <c r="U69" s="177" t="s">
        <v>171</v>
      </c>
      <c r="V69" s="177" t="s">
        <v>171</v>
      </c>
      <c r="W69" s="172" t="s">
        <v>13</v>
      </c>
      <c r="X69" s="106" t="s">
        <v>172</v>
      </c>
      <c r="Y69" s="105" t="s">
        <v>173</v>
      </c>
      <c r="Z69" s="105" t="s">
        <v>174</v>
      </c>
      <c r="AA69" s="105" t="s">
        <v>175</v>
      </c>
      <c r="AB69" s="104">
        <f t="shared" si="6"/>
        <v>1</v>
      </c>
      <c r="AC69" s="104">
        <v>1</v>
      </c>
      <c r="AD69" s="104">
        <v>1</v>
      </c>
      <c r="AE69" s="104">
        <v>1</v>
      </c>
      <c r="AF69" s="106"/>
      <c r="AG69" s="106"/>
      <c r="AH69" s="104">
        <f t="shared" si="7"/>
        <v>1</v>
      </c>
      <c r="AI69" s="106"/>
      <c r="AJ69" s="106"/>
      <c r="AK69" s="104"/>
      <c r="AL69" s="104"/>
      <c r="AM69" s="104">
        <f t="shared" si="8"/>
        <v>1</v>
      </c>
      <c r="AN69" s="104">
        <v>1</v>
      </c>
      <c r="AO69" s="104">
        <v>1</v>
      </c>
      <c r="AP69" s="104">
        <v>1</v>
      </c>
      <c r="AQ69" s="104"/>
      <c r="AS69" s="99" t="s">
        <v>3505</v>
      </c>
      <c r="AT69" s="107" t="s">
        <v>3439</v>
      </c>
      <c r="AU69" s="75" t="s">
        <v>2664</v>
      </c>
    </row>
    <row r="70" spans="1:47">
      <c r="A70" s="107" t="s">
        <v>3696</v>
      </c>
      <c r="B70" s="107" t="s">
        <v>160</v>
      </c>
      <c r="C70" s="107" t="s">
        <v>73</v>
      </c>
      <c r="D70" s="107" t="s">
        <v>3697</v>
      </c>
      <c r="E70" s="107" t="s">
        <v>162</v>
      </c>
      <c r="F70" s="107" t="s">
        <v>3698</v>
      </c>
      <c r="G70" s="107" t="s">
        <v>3699</v>
      </c>
      <c r="H70" s="107" t="s">
        <v>165</v>
      </c>
      <c r="I70" s="107">
        <v>202605.5</v>
      </c>
      <c r="J70" s="107">
        <v>5.29</v>
      </c>
      <c r="K70" s="107" t="s">
        <v>73</v>
      </c>
      <c r="L70" s="107" t="s">
        <v>3700</v>
      </c>
      <c r="M70" s="107" t="s">
        <v>3701</v>
      </c>
      <c r="N70" s="104" t="s">
        <v>3702</v>
      </c>
      <c r="O70" s="105"/>
      <c r="P70" s="176" t="s">
        <v>146</v>
      </c>
      <c r="Q70" s="177" t="s">
        <v>100</v>
      </c>
      <c r="R70" s="177" t="s">
        <v>170</v>
      </c>
      <c r="S70" s="177" t="s">
        <v>3656</v>
      </c>
      <c r="T70" s="177" t="s">
        <v>103</v>
      </c>
      <c r="U70" s="177" t="s">
        <v>171</v>
      </c>
      <c r="V70" s="177" t="s">
        <v>171</v>
      </c>
      <c r="W70" s="172" t="s">
        <v>13</v>
      </c>
      <c r="X70" s="106" t="s">
        <v>172</v>
      </c>
      <c r="Y70" s="105" t="s">
        <v>173</v>
      </c>
      <c r="Z70" s="105" t="s">
        <v>174</v>
      </c>
      <c r="AA70" s="105" t="s">
        <v>175</v>
      </c>
      <c r="AB70" s="104">
        <f t="shared" si="6"/>
        <v>1</v>
      </c>
      <c r="AC70" s="104">
        <v>1</v>
      </c>
      <c r="AD70" s="104">
        <v>1</v>
      </c>
      <c r="AE70" s="104">
        <v>1</v>
      </c>
      <c r="AF70" s="106"/>
      <c r="AG70" s="106"/>
      <c r="AH70" s="104">
        <f t="shared" si="7"/>
        <v>1</v>
      </c>
      <c r="AI70" s="106"/>
      <c r="AJ70" s="106"/>
      <c r="AK70" s="104"/>
      <c r="AL70" s="104"/>
      <c r="AM70" s="104">
        <f t="shared" si="8"/>
        <v>1</v>
      </c>
      <c r="AN70" s="104">
        <v>1</v>
      </c>
      <c r="AO70" s="104">
        <v>1</v>
      </c>
      <c r="AP70" s="104">
        <v>1</v>
      </c>
      <c r="AQ70" s="104"/>
      <c r="AS70" s="99" t="s">
        <v>3529</v>
      </c>
      <c r="AT70" s="107" t="s">
        <v>3448</v>
      </c>
      <c r="AU70" s="75" t="s">
        <v>3191</v>
      </c>
    </row>
    <row r="71" spans="1:47">
      <c r="A71" s="107" t="s">
        <v>3703</v>
      </c>
      <c r="B71" s="107" t="s">
        <v>160</v>
      </c>
      <c r="C71" s="107" t="s">
        <v>73</v>
      </c>
      <c r="D71" s="107" t="s">
        <v>3704</v>
      </c>
      <c r="E71" s="107" t="s">
        <v>162</v>
      </c>
      <c r="F71" s="107" t="s">
        <v>3705</v>
      </c>
      <c r="G71" s="107" t="s">
        <v>3706</v>
      </c>
      <c r="H71" s="107" t="s">
        <v>165</v>
      </c>
      <c r="I71" s="107">
        <v>202605.5</v>
      </c>
      <c r="J71" s="107">
        <v>5.29</v>
      </c>
      <c r="K71" s="107" t="s">
        <v>73</v>
      </c>
      <c r="L71" s="107" t="s">
        <v>3478</v>
      </c>
      <c r="M71" s="107" t="s">
        <v>3707</v>
      </c>
      <c r="N71" s="104" t="s">
        <v>3708</v>
      </c>
      <c r="O71" s="105"/>
      <c r="P71" s="176" t="s">
        <v>146</v>
      </c>
      <c r="Q71" s="177" t="s">
        <v>100</v>
      </c>
      <c r="R71" s="177" t="s">
        <v>170</v>
      </c>
      <c r="S71" s="177" t="s">
        <v>3656</v>
      </c>
      <c r="T71" s="177" t="s">
        <v>103</v>
      </c>
      <c r="U71" s="177" t="s">
        <v>171</v>
      </c>
      <c r="V71" s="177" t="s">
        <v>171</v>
      </c>
      <c r="W71" s="172" t="s">
        <v>13</v>
      </c>
      <c r="X71" s="106" t="s">
        <v>172</v>
      </c>
      <c r="Y71" s="105" t="s">
        <v>173</v>
      </c>
      <c r="Z71" s="105" t="s">
        <v>174</v>
      </c>
      <c r="AA71" s="105" t="s">
        <v>175</v>
      </c>
      <c r="AB71" s="104">
        <f t="shared" si="6"/>
        <v>1</v>
      </c>
      <c r="AC71" s="104">
        <v>1</v>
      </c>
      <c r="AD71" s="104">
        <v>1</v>
      </c>
      <c r="AE71" s="104">
        <v>1</v>
      </c>
      <c r="AF71" s="106"/>
      <c r="AG71" s="106"/>
      <c r="AH71" s="104">
        <f t="shared" si="7"/>
        <v>1</v>
      </c>
      <c r="AI71" s="106"/>
      <c r="AJ71" s="106"/>
      <c r="AK71" s="104"/>
      <c r="AL71" s="104"/>
      <c r="AM71" s="104">
        <f t="shared" si="8"/>
        <v>1</v>
      </c>
      <c r="AN71" s="104">
        <v>1</v>
      </c>
      <c r="AO71" s="104">
        <v>1</v>
      </c>
      <c r="AP71" s="104">
        <v>1</v>
      </c>
      <c r="AQ71" s="104"/>
      <c r="AS71" s="99" t="s">
        <v>3615</v>
      </c>
      <c r="AT71" s="107" t="s">
        <v>3457</v>
      </c>
      <c r="AU71" s="75" t="s">
        <v>3227</v>
      </c>
    </row>
    <row r="72" spans="1:47">
      <c r="A72" s="107" t="s">
        <v>3709</v>
      </c>
      <c r="B72" s="107" t="s">
        <v>160</v>
      </c>
      <c r="C72" s="107" t="s">
        <v>73</v>
      </c>
      <c r="D72" s="107" t="s">
        <v>3710</v>
      </c>
      <c r="E72" s="107" t="s">
        <v>499</v>
      </c>
      <c r="F72" s="107" t="s">
        <v>3711</v>
      </c>
      <c r="G72" s="107" t="s">
        <v>3712</v>
      </c>
      <c r="H72" s="107" t="s">
        <v>165</v>
      </c>
      <c r="I72" s="107">
        <v>202605.5</v>
      </c>
      <c r="J72" s="107">
        <v>5.29</v>
      </c>
      <c r="K72" s="107" t="s">
        <v>73</v>
      </c>
      <c r="L72" s="107" t="s">
        <v>3713</v>
      </c>
      <c r="M72" s="175" t="s">
        <v>3714</v>
      </c>
      <c r="N72" s="104" t="s">
        <v>3715</v>
      </c>
      <c r="O72" s="105"/>
      <c r="P72" s="176" t="s">
        <v>146</v>
      </c>
      <c r="Q72" s="177" t="s">
        <v>100</v>
      </c>
      <c r="R72" s="183" t="s">
        <v>3716</v>
      </c>
      <c r="S72" s="177" t="s">
        <v>3656</v>
      </c>
      <c r="T72" s="177" t="s">
        <v>112</v>
      </c>
      <c r="U72" s="177" t="s">
        <v>171</v>
      </c>
      <c r="V72" s="177" t="s">
        <v>171</v>
      </c>
      <c r="W72" s="172" t="s">
        <v>13</v>
      </c>
      <c r="X72" s="106" t="s">
        <v>172</v>
      </c>
      <c r="Y72" s="105" t="s">
        <v>173</v>
      </c>
      <c r="Z72" s="105" t="s">
        <v>174</v>
      </c>
      <c r="AA72" s="105" t="s">
        <v>175</v>
      </c>
      <c r="AB72" s="104">
        <f t="shared" si="6"/>
        <v>1</v>
      </c>
      <c r="AC72" s="104">
        <v>1</v>
      </c>
      <c r="AD72" s="104">
        <v>2</v>
      </c>
      <c r="AE72" s="104">
        <v>1</v>
      </c>
      <c r="AF72" s="106"/>
      <c r="AG72" s="106"/>
      <c r="AH72" s="104">
        <f t="shared" si="7"/>
        <v>1</v>
      </c>
      <c r="AI72" s="106"/>
      <c r="AJ72" s="106"/>
      <c r="AK72" s="104"/>
      <c r="AL72" s="104"/>
      <c r="AM72" s="104">
        <f t="shared" si="8"/>
        <v>1</v>
      </c>
      <c r="AN72" s="107">
        <v>1</v>
      </c>
      <c r="AO72" s="107">
        <v>1</v>
      </c>
      <c r="AP72" s="107">
        <v>1</v>
      </c>
      <c r="AQ72" s="104"/>
      <c r="AS72" s="99" t="s">
        <v>3497</v>
      </c>
      <c r="AT72" s="107" t="s">
        <v>3466</v>
      </c>
      <c r="AU72" s="75" t="s">
        <v>3145</v>
      </c>
    </row>
    <row r="73" spans="1:47">
      <c r="A73" s="107" t="s">
        <v>3717</v>
      </c>
      <c r="B73" s="107" t="s">
        <v>160</v>
      </c>
      <c r="C73" s="107" t="s">
        <v>73</v>
      </c>
      <c r="D73" s="107" t="s">
        <v>3718</v>
      </c>
      <c r="E73" s="107" t="s">
        <v>162</v>
      </c>
      <c r="F73" s="107" t="s">
        <v>3719</v>
      </c>
      <c r="G73" s="107" t="s">
        <v>3720</v>
      </c>
      <c r="H73" s="107" t="s">
        <v>165</v>
      </c>
      <c r="I73" s="107">
        <v>202605.5</v>
      </c>
      <c r="J73" s="107">
        <v>5.29</v>
      </c>
      <c r="K73" s="107" t="s">
        <v>73</v>
      </c>
      <c r="L73" s="107" t="s">
        <v>3406</v>
      </c>
      <c r="M73" s="107" t="s">
        <v>3721</v>
      </c>
      <c r="N73" s="104" t="s">
        <v>3722</v>
      </c>
      <c r="O73" s="105"/>
      <c r="P73" s="176" t="s">
        <v>146</v>
      </c>
      <c r="Q73" s="177" t="s">
        <v>100</v>
      </c>
      <c r="R73" s="177" t="s">
        <v>170</v>
      </c>
      <c r="S73" s="177" t="s">
        <v>3723</v>
      </c>
      <c r="T73" s="177" t="s">
        <v>103</v>
      </c>
      <c r="U73" s="177" t="s">
        <v>171</v>
      </c>
      <c r="V73" s="177" t="s">
        <v>171</v>
      </c>
      <c r="W73" s="172" t="s">
        <v>13</v>
      </c>
      <c r="X73" s="106" t="s">
        <v>172</v>
      </c>
      <c r="Y73" s="105" t="s">
        <v>173</v>
      </c>
      <c r="Z73" s="105" t="s">
        <v>174</v>
      </c>
      <c r="AA73" s="105" t="s">
        <v>175</v>
      </c>
      <c r="AB73" s="104">
        <f t="shared" si="6"/>
        <v>1</v>
      </c>
      <c r="AC73" s="104">
        <v>1</v>
      </c>
      <c r="AD73" s="104">
        <v>1</v>
      </c>
      <c r="AE73" s="104">
        <v>1</v>
      </c>
      <c r="AF73" s="106"/>
      <c r="AG73" s="106"/>
      <c r="AH73" s="104">
        <f t="shared" si="7"/>
        <v>1</v>
      </c>
      <c r="AI73" s="106"/>
      <c r="AJ73" s="106"/>
      <c r="AK73" s="104"/>
      <c r="AL73" s="104"/>
      <c r="AM73" s="104">
        <f t="shared" si="8"/>
        <v>1</v>
      </c>
      <c r="AN73" s="104">
        <v>1</v>
      </c>
      <c r="AO73" s="104">
        <v>1</v>
      </c>
      <c r="AP73" s="104">
        <v>1</v>
      </c>
      <c r="AQ73" s="104"/>
      <c r="AS73" s="99" t="s">
        <v>3608</v>
      </c>
      <c r="AT73" s="107" t="s">
        <v>3475</v>
      </c>
      <c r="AU73" s="75" t="s">
        <v>3201</v>
      </c>
    </row>
    <row r="74" spans="1:47" hidden="1">
      <c r="A74" s="107" t="s">
        <v>3724</v>
      </c>
      <c r="B74" s="107" t="s">
        <v>160</v>
      </c>
      <c r="C74" s="107" t="s">
        <v>73</v>
      </c>
      <c r="D74" s="107" t="s">
        <v>3725</v>
      </c>
      <c r="E74" s="107" t="s">
        <v>162</v>
      </c>
      <c r="F74" s="107" t="s">
        <v>3726</v>
      </c>
      <c r="G74" s="107" t="s">
        <v>3727</v>
      </c>
      <c r="H74" s="107" t="s">
        <v>165</v>
      </c>
      <c r="I74" s="107">
        <v>202605.5</v>
      </c>
      <c r="J74" s="175" t="s">
        <v>3213</v>
      </c>
      <c r="K74" s="107" t="s">
        <v>73</v>
      </c>
      <c r="L74" s="107" t="s">
        <v>3728</v>
      </c>
      <c r="M74" s="107" t="s">
        <v>3729</v>
      </c>
      <c r="N74" s="104" t="s">
        <v>3730</v>
      </c>
      <c r="O74" s="105"/>
      <c r="P74" s="176" t="s">
        <v>146</v>
      </c>
      <c r="Q74" s="177" t="s">
        <v>100</v>
      </c>
      <c r="R74" s="177" t="s">
        <v>170</v>
      </c>
      <c r="S74" s="177" t="s">
        <v>3723</v>
      </c>
      <c r="T74" s="177" t="s">
        <v>103</v>
      </c>
      <c r="U74" s="177" t="s">
        <v>171</v>
      </c>
      <c r="V74" s="177" t="s">
        <v>171</v>
      </c>
      <c r="W74" s="172" t="s">
        <v>13</v>
      </c>
      <c r="X74" s="106" t="s">
        <v>172</v>
      </c>
      <c r="Y74" s="105" t="s">
        <v>173</v>
      </c>
      <c r="Z74" s="105" t="s">
        <v>174</v>
      </c>
      <c r="AA74" s="105" t="s">
        <v>175</v>
      </c>
      <c r="AB74" s="104">
        <f t="shared" si="6"/>
        <v>1</v>
      </c>
      <c r="AC74" s="104">
        <v>1</v>
      </c>
      <c r="AD74" s="104">
        <v>1</v>
      </c>
      <c r="AE74" s="104">
        <v>1</v>
      </c>
      <c r="AF74" s="106"/>
      <c r="AG74" s="106"/>
      <c r="AH74" s="104">
        <f t="shared" si="7"/>
        <v>0</v>
      </c>
      <c r="AI74" s="106"/>
      <c r="AJ74" s="106"/>
      <c r="AK74" s="106"/>
      <c r="AL74" s="106"/>
      <c r="AM74" s="104">
        <f t="shared" si="8"/>
        <v>0</v>
      </c>
      <c r="AN74" s="106"/>
      <c r="AO74" s="106"/>
      <c r="AP74" s="106"/>
      <c r="AQ74" s="106"/>
      <c r="AU74" s="75" t="s">
        <v>3163</v>
      </c>
    </row>
    <row r="75" spans="1:47">
      <c r="A75" s="107" t="s">
        <v>3731</v>
      </c>
      <c r="B75" s="107" t="s">
        <v>160</v>
      </c>
      <c r="C75" s="107" t="s">
        <v>73</v>
      </c>
      <c r="D75" s="107" t="s">
        <v>3732</v>
      </c>
      <c r="E75" s="107" t="s">
        <v>162</v>
      </c>
      <c r="F75" s="107" t="s">
        <v>3733</v>
      </c>
      <c r="G75" s="107" t="s">
        <v>3734</v>
      </c>
      <c r="H75" s="107" t="s">
        <v>165</v>
      </c>
      <c r="I75" s="107">
        <v>202605.5</v>
      </c>
      <c r="J75" s="107">
        <v>5.29</v>
      </c>
      <c r="K75" s="107" t="s">
        <v>73</v>
      </c>
      <c r="L75" s="107" t="s">
        <v>3735</v>
      </c>
      <c r="M75" s="107" t="s">
        <v>3736</v>
      </c>
      <c r="N75" s="104" t="s">
        <v>3737</v>
      </c>
      <c r="O75" s="105"/>
      <c r="P75" s="176" t="s">
        <v>146</v>
      </c>
      <c r="Q75" s="177" t="s">
        <v>100</v>
      </c>
      <c r="R75" s="177" t="s">
        <v>170</v>
      </c>
      <c r="S75" s="177" t="s">
        <v>3723</v>
      </c>
      <c r="T75" s="177" t="s">
        <v>103</v>
      </c>
      <c r="U75" s="177" t="s">
        <v>171</v>
      </c>
      <c r="V75" s="177" t="s">
        <v>171</v>
      </c>
      <c r="W75" s="172" t="s">
        <v>13</v>
      </c>
      <c r="X75" s="106" t="s">
        <v>172</v>
      </c>
      <c r="Y75" s="105" t="s">
        <v>173</v>
      </c>
      <c r="Z75" s="105" t="s">
        <v>174</v>
      </c>
      <c r="AA75" s="105" t="s">
        <v>175</v>
      </c>
      <c r="AB75" s="104">
        <f t="shared" si="6"/>
        <v>1</v>
      </c>
      <c r="AC75" s="104">
        <v>1</v>
      </c>
      <c r="AD75" s="104">
        <v>1</v>
      </c>
      <c r="AE75" s="104">
        <v>1</v>
      </c>
      <c r="AF75" s="106"/>
      <c r="AG75" s="106"/>
      <c r="AH75" s="104">
        <f t="shared" si="7"/>
        <v>1</v>
      </c>
      <c r="AI75" s="106"/>
      <c r="AJ75" s="106"/>
      <c r="AK75" s="104"/>
      <c r="AL75" s="104"/>
      <c r="AM75" s="104">
        <f t="shared" si="8"/>
        <v>1</v>
      </c>
      <c r="AN75" s="104">
        <v>1</v>
      </c>
      <c r="AO75" s="104">
        <v>1</v>
      </c>
      <c r="AP75" s="104">
        <v>1</v>
      </c>
      <c r="AQ75" s="104"/>
      <c r="AS75" s="99" t="s">
        <v>3587</v>
      </c>
      <c r="AT75" s="107" t="s">
        <v>3484</v>
      </c>
      <c r="AU75" s="75" t="s">
        <v>3273</v>
      </c>
    </row>
    <row r="76" spans="1:47">
      <c r="A76" s="107" t="s">
        <v>3738</v>
      </c>
      <c r="B76" s="107" t="s">
        <v>160</v>
      </c>
      <c r="C76" s="107" t="s">
        <v>73</v>
      </c>
      <c r="D76" s="107" t="s">
        <v>3739</v>
      </c>
      <c r="E76" s="107" t="s">
        <v>162</v>
      </c>
      <c r="F76" s="107" t="s">
        <v>3740</v>
      </c>
      <c r="G76" s="107" t="s">
        <v>3741</v>
      </c>
      <c r="H76" s="107" t="s">
        <v>165</v>
      </c>
      <c r="I76" s="107">
        <v>202605.5</v>
      </c>
      <c r="J76" s="107">
        <v>5.29</v>
      </c>
      <c r="K76" s="107" t="s">
        <v>73</v>
      </c>
      <c r="L76" s="107" t="s">
        <v>3487</v>
      </c>
      <c r="M76" s="107" t="s">
        <v>3742</v>
      </c>
      <c r="N76" s="104" t="s">
        <v>3743</v>
      </c>
      <c r="O76" s="105"/>
      <c r="P76" s="176" t="s">
        <v>146</v>
      </c>
      <c r="Q76" s="177" t="s">
        <v>100</v>
      </c>
      <c r="R76" s="177" t="s">
        <v>170</v>
      </c>
      <c r="S76" s="177" t="s">
        <v>3723</v>
      </c>
      <c r="T76" s="177" t="s">
        <v>103</v>
      </c>
      <c r="U76" s="177" t="s">
        <v>171</v>
      </c>
      <c r="V76" s="177" t="s">
        <v>171</v>
      </c>
      <c r="W76" s="172" t="s">
        <v>13</v>
      </c>
      <c r="X76" s="106" t="s">
        <v>172</v>
      </c>
      <c r="Y76" s="105" t="s">
        <v>173</v>
      </c>
      <c r="Z76" s="105" t="s">
        <v>174</v>
      </c>
      <c r="AA76" s="105" t="s">
        <v>175</v>
      </c>
      <c r="AB76" s="104">
        <f t="shared" si="6"/>
        <v>1</v>
      </c>
      <c r="AC76" s="104">
        <v>1</v>
      </c>
      <c r="AD76" s="104">
        <v>1</v>
      </c>
      <c r="AE76" s="104">
        <v>1</v>
      </c>
      <c r="AF76" s="106"/>
      <c r="AG76" s="106"/>
      <c r="AH76" s="104">
        <f t="shared" si="7"/>
        <v>1</v>
      </c>
      <c r="AI76" s="106"/>
      <c r="AJ76" s="106"/>
      <c r="AK76" s="104"/>
      <c r="AL76" s="104"/>
      <c r="AM76" s="104">
        <f t="shared" si="8"/>
        <v>1</v>
      </c>
      <c r="AN76" s="104">
        <v>1</v>
      </c>
      <c r="AO76" s="104">
        <v>1</v>
      </c>
      <c r="AP76" s="104">
        <v>1</v>
      </c>
      <c r="AQ76" s="104"/>
      <c r="AS76" s="99" t="s">
        <v>3601</v>
      </c>
      <c r="AT76" s="107" t="s">
        <v>3493</v>
      </c>
      <c r="AU76" s="75" t="s">
        <v>3298</v>
      </c>
    </row>
    <row r="77" spans="1:47">
      <c r="A77" s="107" t="s">
        <v>3744</v>
      </c>
      <c r="B77" s="107" t="s">
        <v>160</v>
      </c>
      <c r="C77" s="107" t="s">
        <v>73</v>
      </c>
      <c r="D77" s="107" t="s">
        <v>3745</v>
      </c>
      <c r="E77" s="107" t="s">
        <v>162</v>
      </c>
      <c r="F77" s="107" t="s">
        <v>3746</v>
      </c>
      <c r="G77" s="107" t="s">
        <v>3747</v>
      </c>
      <c r="H77" s="107" t="s">
        <v>165</v>
      </c>
      <c r="I77" s="107">
        <v>202605.5</v>
      </c>
      <c r="J77" s="107">
        <v>5.29</v>
      </c>
      <c r="K77" s="107" t="s">
        <v>73</v>
      </c>
      <c r="L77" s="107" t="s">
        <v>3424</v>
      </c>
      <c r="M77" s="107" t="s">
        <v>3748</v>
      </c>
      <c r="N77" s="104" t="s">
        <v>3749</v>
      </c>
      <c r="O77" s="105"/>
      <c r="P77" s="176" t="s">
        <v>146</v>
      </c>
      <c r="Q77" s="177" t="s">
        <v>100</v>
      </c>
      <c r="R77" s="177" t="s">
        <v>170</v>
      </c>
      <c r="S77" s="177" t="s">
        <v>3723</v>
      </c>
      <c r="T77" s="177" t="s">
        <v>103</v>
      </c>
      <c r="U77" s="177" t="s">
        <v>171</v>
      </c>
      <c r="V77" s="177" t="s">
        <v>171</v>
      </c>
      <c r="W77" s="172" t="s">
        <v>13</v>
      </c>
      <c r="X77" s="106" t="s">
        <v>172</v>
      </c>
      <c r="Y77" s="105" t="s">
        <v>173</v>
      </c>
      <c r="Z77" s="105" t="s">
        <v>174</v>
      </c>
      <c r="AA77" s="105" t="s">
        <v>175</v>
      </c>
      <c r="AB77" s="104">
        <f t="shared" si="6"/>
        <v>1</v>
      </c>
      <c r="AC77" s="104">
        <v>1</v>
      </c>
      <c r="AD77" s="104">
        <v>1</v>
      </c>
      <c r="AE77" s="104">
        <v>1</v>
      </c>
      <c r="AF77" s="106"/>
      <c r="AG77" s="106"/>
      <c r="AH77" s="104">
        <f t="shared" si="7"/>
        <v>1</v>
      </c>
      <c r="AI77" s="106"/>
      <c r="AJ77" s="106"/>
      <c r="AK77" s="104"/>
      <c r="AL77" s="104"/>
      <c r="AM77" s="104">
        <f t="shared" si="8"/>
        <v>1</v>
      </c>
      <c r="AN77" s="104">
        <v>1</v>
      </c>
      <c r="AO77" s="104">
        <v>1</v>
      </c>
      <c r="AP77" s="104">
        <v>1</v>
      </c>
      <c r="AQ77" s="104"/>
      <c r="AS77" s="99" t="s">
        <v>3374</v>
      </c>
      <c r="AT77" s="107" t="s">
        <v>3502</v>
      </c>
      <c r="AU77" s="75" t="s">
        <v>3237</v>
      </c>
    </row>
    <row r="78" spans="1:47">
      <c r="A78" s="107" t="s">
        <v>3750</v>
      </c>
      <c r="B78" s="107" t="s">
        <v>160</v>
      </c>
      <c r="C78" s="107" t="s">
        <v>73</v>
      </c>
      <c r="D78" s="107" t="s">
        <v>3751</v>
      </c>
      <c r="E78" s="107" t="s">
        <v>162</v>
      </c>
      <c r="F78" s="107" t="s">
        <v>3752</v>
      </c>
      <c r="G78" s="107" t="s">
        <v>3753</v>
      </c>
      <c r="H78" s="107" t="s">
        <v>165</v>
      </c>
      <c r="I78" s="107">
        <v>202605.5</v>
      </c>
      <c r="J78" s="107">
        <v>5.29</v>
      </c>
      <c r="K78" s="107" t="s">
        <v>73</v>
      </c>
      <c r="L78" s="107" t="s">
        <v>3754</v>
      </c>
      <c r="M78" s="107" t="s">
        <v>3755</v>
      </c>
      <c r="N78" s="104" t="s">
        <v>3756</v>
      </c>
      <c r="O78" s="105"/>
      <c r="P78" s="176" t="s">
        <v>146</v>
      </c>
      <c r="Q78" s="177" t="s">
        <v>100</v>
      </c>
      <c r="R78" s="177" t="s">
        <v>170</v>
      </c>
      <c r="S78" s="177" t="s">
        <v>3723</v>
      </c>
      <c r="T78" s="177" t="s">
        <v>103</v>
      </c>
      <c r="U78" s="177" t="s">
        <v>171</v>
      </c>
      <c r="V78" s="177" t="s">
        <v>171</v>
      </c>
      <c r="W78" s="172" t="s">
        <v>13</v>
      </c>
      <c r="X78" s="106" t="s">
        <v>172</v>
      </c>
      <c r="Y78" s="105" t="s">
        <v>173</v>
      </c>
      <c r="Z78" s="105" t="s">
        <v>174</v>
      </c>
      <c r="AA78" s="105" t="s">
        <v>175</v>
      </c>
      <c r="AB78" s="104">
        <f t="shared" si="6"/>
        <v>1</v>
      </c>
      <c r="AC78" s="104">
        <v>1</v>
      </c>
      <c r="AD78" s="104">
        <v>1</v>
      </c>
      <c r="AE78" s="104">
        <v>1</v>
      </c>
      <c r="AF78" s="106"/>
      <c r="AG78" s="106"/>
      <c r="AH78" s="104">
        <f t="shared" si="7"/>
        <v>1</v>
      </c>
      <c r="AI78" s="106"/>
      <c r="AJ78" s="106"/>
      <c r="AK78" s="104"/>
      <c r="AL78" s="104"/>
      <c r="AM78" s="104">
        <f t="shared" si="8"/>
        <v>1</v>
      </c>
      <c r="AN78" s="104">
        <v>1</v>
      </c>
      <c r="AO78" s="104">
        <v>1</v>
      </c>
      <c r="AP78" s="104">
        <v>1</v>
      </c>
      <c r="AQ78" s="104"/>
      <c r="AS78" s="99" t="s">
        <v>3330</v>
      </c>
      <c r="AT78" s="107" t="s">
        <v>3510</v>
      </c>
      <c r="AU78" s="75" t="s">
        <v>3172</v>
      </c>
    </row>
    <row r="79" spans="1:47">
      <c r="A79" s="107" t="s">
        <v>3757</v>
      </c>
      <c r="B79" s="107" t="s">
        <v>160</v>
      </c>
      <c r="C79" s="107" t="s">
        <v>73</v>
      </c>
      <c r="D79" s="107" t="s">
        <v>3758</v>
      </c>
      <c r="E79" s="107" t="s">
        <v>162</v>
      </c>
      <c r="F79" s="107" t="s">
        <v>3759</v>
      </c>
      <c r="G79" s="107" t="s">
        <v>3760</v>
      </c>
      <c r="H79" s="107" t="s">
        <v>165</v>
      </c>
      <c r="I79" s="107">
        <v>202605.5</v>
      </c>
      <c r="J79" s="107">
        <v>5.29</v>
      </c>
      <c r="K79" s="107" t="s">
        <v>73</v>
      </c>
      <c r="L79" s="107" t="s">
        <v>3761</v>
      </c>
      <c r="M79" s="107" t="s">
        <v>3762</v>
      </c>
      <c r="N79" s="104" t="s">
        <v>3763</v>
      </c>
      <c r="O79" s="105"/>
      <c r="P79" s="176" t="s">
        <v>146</v>
      </c>
      <c r="Q79" s="177" t="s">
        <v>100</v>
      </c>
      <c r="R79" s="177" t="s">
        <v>170</v>
      </c>
      <c r="S79" s="177" t="s">
        <v>3723</v>
      </c>
      <c r="T79" s="177" t="s">
        <v>103</v>
      </c>
      <c r="U79" s="177" t="s">
        <v>171</v>
      </c>
      <c r="V79" s="177" t="s">
        <v>171</v>
      </c>
      <c r="W79" s="172" t="s">
        <v>13</v>
      </c>
      <c r="X79" s="106" t="s">
        <v>172</v>
      </c>
      <c r="Y79" s="105" t="s">
        <v>173</v>
      </c>
      <c r="Z79" s="105" t="s">
        <v>174</v>
      </c>
      <c r="AA79" s="105" t="s">
        <v>175</v>
      </c>
      <c r="AB79" s="104">
        <f t="shared" si="6"/>
        <v>1</v>
      </c>
      <c r="AC79" s="104">
        <v>1</v>
      </c>
      <c r="AD79" s="104">
        <v>1</v>
      </c>
      <c r="AE79" s="104">
        <v>1</v>
      </c>
      <c r="AF79" s="106"/>
      <c r="AG79" s="106"/>
      <c r="AH79" s="104">
        <f t="shared" si="7"/>
        <v>1</v>
      </c>
      <c r="AI79" s="106"/>
      <c r="AJ79" s="106"/>
      <c r="AK79" s="104"/>
      <c r="AL79" s="104"/>
      <c r="AM79" s="104">
        <f t="shared" si="8"/>
        <v>1</v>
      </c>
      <c r="AN79" s="104">
        <v>1</v>
      </c>
      <c r="AO79" s="104">
        <v>1</v>
      </c>
      <c r="AP79" s="104">
        <v>1</v>
      </c>
      <c r="AQ79" s="104"/>
      <c r="AS79" s="99" t="s">
        <v>3320</v>
      </c>
      <c r="AT79" s="107" t="s">
        <v>3518</v>
      </c>
      <c r="AU79" s="75" t="s">
        <v>3357</v>
      </c>
    </row>
    <row r="80" spans="1:47">
      <c r="A80" s="107" t="s">
        <v>3764</v>
      </c>
      <c r="B80" s="107" t="s">
        <v>160</v>
      </c>
      <c r="C80" s="107" t="s">
        <v>73</v>
      </c>
      <c r="D80" s="107" t="s">
        <v>3765</v>
      </c>
      <c r="E80" s="107" t="s">
        <v>162</v>
      </c>
      <c r="F80" s="107" t="s">
        <v>3766</v>
      </c>
      <c r="G80" s="107" t="s">
        <v>3767</v>
      </c>
      <c r="H80" s="107" t="s">
        <v>165</v>
      </c>
      <c r="I80" s="107">
        <v>202605.5</v>
      </c>
      <c r="J80" s="107">
        <v>5.29</v>
      </c>
      <c r="K80" s="107" t="s">
        <v>73</v>
      </c>
      <c r="L80" s="107" t="s">
        <v>3143</v>
      </c>
      <c r="M80" s="107" t="s">
        <v>3768</v>
      </c>
      <c r="N80" s="104" t="s">
        <v>3769</v>
      </c>
      <c r="O80" s="105"/>
      <c r="P80" s="176" t="s">
        <v>3770</v>
      </c>
      <c r="Q80" s="177" t="s">
        <v>100</v>
      </c>
      <c r="R80" s="177" t="s">
        <v>3771</v>
      </c>
      <c r="S80" s="177" t="s">
        <v>3772</v>
      </c>
      <c r="T80" s="177" t="s">
        <v>103</v>
      </c>
      <c r="U80" s="177" t="s">
        <v>3773</v>
      </c>
      <c r="V80" s="177" t="s">
        <v>3773</v>
      </c>
      <c r="W80" s="172" t="s">
        <v>15</v>
      </c>
      <c r="X80" s="106" t="s">
        <v>172</v>
      </c>
      <c r="Y80" s="105" t="s">
        <v>173</v>
      </c>
      <c r="Z80" s="105" t="s">
        <v>174</v>
      </c>
      <c r="AA80" s="105" t="s">
        <v>175</v>
      </c>
      <c r="AB80" s="104">
        <f t="shared" si="6"/>
        <v>1</v>
      </c>
      <c r="AC80" s="104">
        <v>1</v>
      </c>
      <c r="AD80" s="104">
        <v>1</v>
      </c>
      <c r="AE80" s="104">
        <v>1</v>
      </c>
      <c r="AF80" s="106"/>
      <c r="AG80" s="106"/>
      <c r="AH80" s="104">
        <f t="shared" si="7"/>
        <v>1</v>
      </c>
      <c r="AI80" s="106"/>
      <c r="AJ80" s="106"/>
      <c r="AK80" s="104"/>
      <c r="AL80" s="104"/>
      <c r="AM80" s="104">
        <f>IF(COUNTIF(AT:AT,"*AR81"&amp;L80&amp;"*")&gt;0,1,0)</f>
        <v>0</v>
      </c>
      <c r="AN80" s="104">
        <v>1</v>
      </c>
      <c r="AO80" s="104">
        <v>1</v>
      </c>
      <c r="AP80" s="104">
        <v>1</v>
      </c>
      <c r="AQ80" s="104"/>
      <c r="AS80" s="99" t="s">
        <v>3276</v>
      </c>
      <c r="AT80" s="107" t="s">
        <v>3526</v>
      </c>
      <c r="AU80" s="75" t="s">
        <v>3218</v>
      </c>
    </row>
    <row r="81" spans="1:47">
      <c r="A81" s="107" t="s">
        <v>3774</v>
      </c>
      <c r="B81" s="107" t="s">
        <v>160</v>
      </c>
      <c r="C81" s="107" t="s">
        <v>73</v>
      </c>
      <c r="D81" s="107" t="s">
        <v>3775</v>
      </c>
      <c r="E81" s="107" t="s">
        <v>162</v>
      </c>
      <c r="F81" s="107" t="s">
        <v>3776</v>
      </c>
      <c r="G81" s="107" t="s">
        <v>3777</v>
      </c>
      <c r="H81" s="107" t="s">
        <v>165</v>
      </c>
      <c r="I81" s="107">
        <v>202605.5</v>
      </c>
      <c r="J81" s="107">
        <v>5.29</v>
      </c>
      <c r="K81" s="107" t="s">
        <v>73</v>
      </c>
      <c r="L81" s="107" t="s">
        <v>3152</v>
      </c>
      <c r="M81" s="107" t="s">
        <v>3778</v>
      </c>
      <c r="N81" s="104" t="s">
        <v>3779</v>
      </c>
      <c r="O81" s="105"/>
      <c r="P81" s="176" t="s">
        <v>3770</v>
      </c>
      <c r="Q81" s="177" t="s">
        <v>100</v>
      </c>
      <c r="R81" s="177" t="s">
        <v>3771</v>
      </c>
      <c r="S81" s="177" t="s">
        <v>3772</v>
      </c>
      <c r="T81" s="177" t="s">
        <v>103</v>
      </c>
      <c r="U81" s="177" t="s">
        <v>3773</v>
      </c>
      <c r="V81" s="177" t="s">
        <v>3773</v>
      </c>
      <c r="W81" s="172" t="s">
        <v>15</v>
      </c>
      <c r="X81" s="106" t="s">
        <v>172</v>
      </c>
      <c r="Y81" s="105" t="s">
        <v>173</v>
      </c>
      <c r="Z81" s="105" t="s">
        <v>174</v>
      </c>
      <c r="AA81" s="105" t="s">
        <v>175</v>
      </c>
      <c r="AB81" s="104">
        <f t="shared" si="6"/>
        <v>1</v>
      </c>
      <c r="AC81" s="104">
        <v>1</v>
      </c>
      <c r="AD81" s="104">
        <v>1</v>
      </c>
      <c r="AE81" s="104">
        <v>1</v>
      </c>
      <c r="AF81" s="106"/>
      <c r="AG81" s="106"/>
      <c r="AH81" s="104">
        <f t="shared" si="7"/>
        <v>1</v>
      </c>
      <c r="AI81" s="106"/>
      <c r="AJ81" s="106"/>
      <c r="AK81" s="104"/>
      <c r="AL81" s="104"/>
      <c r="AM81" s="104">
        <f t="shared" si="8"/>
        <v>1</v>
      </c>
      <c r="AN81" s="104">
        <v>1</v>
      </c>
      <c r="AO81" s="104">
        <v>1</v>
      </c>
      <c r="AP81" s="104">
        <v>1</v>
      </c>
      <c r="AQ81" s="104"/>
      <c r="AS81" s="99" t="s">
        <v>3267</v>
      </c>
      <c r="AT81" s="107" t="s">
        <v>3540</v>
      </c>
      <c r="AU81" s="75" t="s">
        <v>3380</v>
      </c>
    </row>
    <row r="82" spans="1:47">
      <c r="A82" s="107" t="s">
        <v>3780</v>
      </c>
      <c r="B82" s="107" t="s">
        <v>160</v>
      </c>
      <c r="C82" s="107" t="s">
        <v>73</v>
      </c>
      <c r="D82" s="107" t="s">
        <v>3781</v>
      </c>
      <c r="E82" s="107" t="s">
        <v>162</v>
      </c>
      <c r="F82" s="107" t="s">
        <v>3782</v>
      </c>
      <c r="G82" s="107" t="s">
        <v>3783</v>
      </c>
      <c r="H82" s="107" t="s">
        <v>165</v>
      </c>
      <c r="I82" s="107">
        <v>202605.5</v>
      </c>
      <c r="J82" s="107">
        <v>5.29</v>
      </c>
      <c r="K82" s="107" t="s">
        <v>73</v>
      </c>
      <c r="L82" s="107" t="s">
        <v>3161</v>
      </c>
      <c r="M82" s="107" t="s">
        <v>3784</v>
      </c>
      <c r="N82" s="104" t="s">
        <v>3785</v>
      </c>
      <c r="O82" s="105"/>
      <c r="P82" s="176" t="s">
        <v>3770</v>
      </c>
      <c r="Q82" s="177" t="s">
        <v>100</v>
      </c>
      <c r="R82" s="177" t="s">
        <v>3771</v>
      </c>
      <c r="S82" s="177" t="s">
        <v>3772</v>
      </c>
      <c r="T82" s="177" t="s">
        <v>103</v>
      </c>
      <c r="U82" s="177" t="s">
        <v>3773</v>
      </c>
      <c r="V82" s="177" t="s">
        <v>3773</v>
      </c>
      <c r="W82" s="172" t="s">
        <v>15</v>
      </c>
      <c r="X82" s="106" t="s">
        <v>172</v>
      </c>
      <c r="Y82" s="105" t="s">
        <v>173</v>
      </c>
      <c r="Z82" s="105" t="s">
        <v>174</v>
      </c>
      <c r="AA82" s="105" t="s">
        <v>175</v>
      </c>
      <c r="AB82" s="104">
        <f t="shared" si="6"/>
        <v>1</v>
      </c>
      <c r="AC82" s="104">
        <v>1</v>
      </c>
      <c r="AD82" s="104">
        <v>1</v>
      </c>
      <c r="AE82" s="104">
        <v>1</v>
      </c>
      <c r="AF82" s="106"/>
      <c r="AG82" s="106"/>
      <c r="AH82" s="104">
        <f t="shared" si="7"/>
        <v>1</v>
      </c>
      <c r="AI82" s="106"/>
      <c r="AJ82" s="106"/>
      <c r="AK82" s="104"/>
      <c r="AL82" s="104"/>
      <c r="AM82" s="104">
        <f t="shared" si="8"/>
        <v>1</v>
      </c>
      <c r="AN82" s="104">
        <v>1</v>
      </c>
      <c r="AO82" s="104">
        <v>1</v>
      </c>
      <c r="AP82" s="104">
        <v>1</v>
      </c>
      <c r="AQ82" s="104"/>
      <c r="AS82" s="99" t="s">
        <v>3258</v>
      </c>
      <c r="AT82" s="107" t="s">
        <v>3549</v>
      </c>
      <c r="AU82" s="75" t="s">
        <v>3350</v>
      </c>
    </row>
    <row r="83" spans="1:47">
      <c r="A83" s="107" t="s">
        <v>3786</v>
      </c>
      <c r="B83" s="107" t="s">
        <v>160</v>
      </c>
      <c r="C83" s="107" t="s">
        <v>73</v>
      </c>
      <c r="D83" s="107" t="s">
        <v>3787</v>
      </c>
      <c r="E83" s="107" t="s">
        <v>162</v>
      </c>
      <c r="F83" s="107" t="s">
        <v>3788</v>
      </c>
      <c r="G83" s="107" t="s">
        <v>3789</v>
      </c>
      <c r="H83" s="107" t="s">
        <v>165</v>
      </c>
      <c r="I83" s="107">
        <v>202605.5</v>
      </c>
      <c r="J83" s="107">
        <v>5.29</v>
      </c>
      <c r="K83" s="107" t="s">
        <v>73</v>
      </c>
      <c r="L83" s="107" t="s">
        <v>3170</v>
      </c>
      <c r="M83" s="107" t="s">
        <v>3790</v>
      </c>
      <c r="N83" s="104" t="s">
        <v>3791</v>
      </c>
      <c r="O83" s="105"/>
      <c r="P83" s="176" t="s">
        <v>3770</v>
      </c>
      <c r="Q83" s="177" t="s">
        <v>100</v>
      </c>
      <c r="R83" s="177" t="s">
        <v>3771</v>
      </c>
      <c r="S83" s="177" t="s">
        <v>3772</v>
      </c>
      <c r="T83" s="177" t="s">
        <v>103</v>
      </c>
      <c r="U83" s="177" t="s">
        <v>3773</v>
      </c>
      <c r="V83" s="177" t="s">
        <v>3773</v>
      </c>
      <c r="W83" s="172" t="s">
        <v>15</v>
      </c>
      <c r="X83" s="106" t="s">
        <v>172</v>
      </c>
      <c r="Y83" s="105" t="s">
        <v>173</v>
      </c>
      <c r="Z83" s="105" t="s">
        <v>174</v>
      </c>
      <c r="AA83" s="105" t="s">
        <v>175</v>
      </c>
      <c r="AB83" s="104">
        <f t="shared" si="6"/>
        <v>1</v>
      </c>
      <c r="AC83" s="104">
        <v>1</v>
      </c>
      <c r="AD83" s="104">
        <v>1</v>
      </c>
      <c r="AE83" s="104">
        <v>1</v>
      </c>
      <c r="AF83" s="106"/>
      <c r="AG83" s="106"/>
      <c r="AH83" s="104">
        <f t="shared" si="7"/>
        <v>1</v>
      </c>
      <c r="AI83" s="106"/>
      <c r="AJ83" s="106"/>
      <c r="AK83" s="104"/>
      <c r="AL83" s="104"/>
      <c r="AM83" s="104">
        <f t="shared" si="8"/>
        <v>1</v>
      </c>
      <c r="AN83" s="104">
        <v>1</v>
      </c>
      <c r="AO83" s="104">
        <v>1</v>
      </c>
      <c r="AP83" s="104">
        <v>1</v>
      </c>
      <c r="AQ83" s="104"/>
      <c r="AS83" s="99" t="s">
        <v>3249</v>
      </c>
      <c r="AT83" s="107" t="s">
        <v>3558</v>
      </c>
      <c r="AU83" s="75" t="s">
        <v>3246</v>
      </c>
    </row>
    <row r="84" spans="1:47">
      <c r="A84" s="107" t="s">
        <v>3792</v>
      </c>
      <c r="B84" s="107" t="s">
        <v>160</v>
      </c>
      <c r="C84" s="107" t="s">
        <v>73</v>
      </c>
      <c r="D84" s="107" t="s">
        <v>3793</v>
      </c>
      <c r="E84" s="107" t="s">
        <v>162</v>
      </c>
      <c r="F84" s="107" t="s">
        <v>3794</v>
      </c>
      <c r="G84" s="107" t="s">
        <v>3795</v>
      </c>
      <c r="H84" s="107" t="s">
        <v>165</v>
      </c>
      <c r="I84" s="107">
        <v>202605.5</v>
      </c>
      <c r="J84" s="107">
        <v>5.29</v>
      </c>
      <c r="K84" s="107" t="s">
        <v>73</v>
      </c>
      <c r="L84" s="107" t="s">
        <v>3179</v>
      </c>
      <c r="M84" s="107" t="s">
        <v>3796</v>
      </c>
      <c r="N84" s="104" t="s">
        <v>3797</v>
      </c>
      <c r="O84" s="105"/>
      <c r="P84" s="176" t="s">
        <v>3770</v>
      </c>
      <c r="Q84" s="177" t="s">
        <v>100</v>
      </c>
      <c r="R84" s="177" t="s">
        <v>3771</v>
      </c>
      <c r="S84" s="177" t="s">
        <v>3772</v>
      </c>
      <c r="T84" s="177" t="s">
        <v>103</v>
      </c>
      <c r="U84" s="177" t="s">
        <v>3773</v>
      </c>
      <c r="V84" s="177" t="s">
        <v>3773</v>
      </c>
      <c r="W84" s="172" t="s">
        <v>15</v>
      </c>
      <c r="X84" s="106" t="s">
        <v>172</v>
      </c>
      <c r="Y84" s="105" t="s">
        <v>173</v>
      </c>
      <c r="Z84" s="105" t="s">
        <v>174</v>
      </c>
      <c r="AA84" s="105" t="s">
        <v>175</v>
      </c>
      <c r="AB84" s="104">
        <f t="shared" si="6"/>
        <v>1</v>
      </c>
      <c r="AC84" s="104">
        <v>1</v>
      </c>
      <c r="AD84" s="104">
        <v>1</v>
      </c>
      <c r="AE84" s="104">
        <v>1</v>
      </c>
      <c r="AF84" s="106"/>
      <c r="AG84" s="106"/>
      <c r="AH84" s="104">
        <f t="shared" si="7"/>
        <v>1</v>
      </c>
      <c r="AI84" s="106"/>
      <c r="AJ84" s="106"/>
      <c r="AK84" s="104"/>
      <c r="AL84" s="104"/>
      <c r="AM84" s="104">
        <f t="shared" si="8"/>
        <v>1</v>
      </c>
      <c r="AN84" s="104">
        <v>1</v>
      </c>
      <c r="AO84" s="104">
        <v>1</v>
      </c>
      <c r="AP84" s="104">
        <v>1</v>
      </c>
      <c r="AQ84" s="104"/>
      <c r="AS84" s="99" t="s">
        <v>3693</v>
      </c>
      <c r="AT84" s="107" t="s">
        <v>3566</v>
      </c>
      <c r="AU84" s="75" t="s">
        <v>3264</v>
      </c>
    </row>
    <row r="85" spans="1:47">
      <c r="A85" s="107" t="s">
        <v>3798</v>
      </c>
      <c r="B85" s="107" t="s">
        <v>160</v>
      </c>
      <c r="C85" s="107" t="s">
        <v>73</v>
      </c>
      <c r="D85" s="107" t="s">
        <v>3799</v>
      </c>
      <c r="E85" s="107" t="s">
        <v>162</v>
      </c>
      <c r="F85" s="107" t="s">
        <v>3800</v>
      </c>
      <c r="G85" s="107" t="s">
        <v>3801</v>
      </c>
      <c r="H85" s="107" t="s">
        <v>165</v>
      </c>
      <c r="I85" s="107">
        <v>202605.5</v>
      </c>
      <c r="J85" s="107">
        <v>5.29</v>
      </c>
      <c r="K85" s="107" t="s">
        <v>73</v>
      </c>
      <c r="L85" s="107" t="s">
        <v>3189</v>
      </c>
      <c r="M85" s="107" t="s">
        <v>3802</v>
      </c>
      <c r="N85" s="104" t="s">
        <v>3803</v>
      </c>
      <c r="O85" s="105"/>
      <c r="P85" s="176" t="s">
        <v>3770</v>
      </c>
      <c r="Q85" s="177" t="s">
        <v>100</v>
      </c>
      <c r="R85" s="177" t="s">
        <v>3771</v>
      </c>
      <c r="S85" s="177" t="s">
        <v>3772</v>
      </c>
      <c r="T85" s="177" t="s">
        <v>103</v>
      </c>
      <c r="U85" s="177" t="s">
        <v>3773</v>
      </c>
      <c r="V85" s="177" t="s">
        <v>3773</v>
      </c>
      <c r="W85" s="172" t="s">
        <v>15</v>
      </c>
      <c r="X85" s="106" t="s">
        <v>172</v>
      </c>
      <c r="Y85" s="105" t="s">
        <v>173</v>
      </c>
      <c r="Z85" s="105" t="s">
        <v>174</v>
      </c>
      <c r="AA85" s="105" t="s">
        <v>175</v>
      </c>
      <c r="AB85" s="104">
        <f t="shared" si="6"/>
        <v>1</v>
      </c>
      <c r="AC85" s="104">
        <v>1</v>
      </c>
      <c r="AD85" s="104">
        <v>1</v>
      </c>
      <c r="AE85" s="104">
        <v>1</v>
      </c>
      <c r="AF85" s="106"/>
      <c r="AG85" s="106"/>
      <c r="AH85" s="104">
        <f t="shared" si="7"/>
        <v>1</v>
      </c>
      <c r="AI85" s="106"/>
      <c r="AJ85" s="106"/>
      <c r="AK85" s="104"/>
      <c r="AL85" s="104"/>
      <c r="AM85" s="104">
        <f t="shared" si="8"/>
        <v>1</v>
      </c>
      <c r="AN85" s="104">
        <v>1</v>
      </c>
      <c r="AO85" s="104">
        <v>1</v>
      </c>
      <c r="AP85" s="104">
        <v>1</v>
      </c>
      <c r="AQ85" s="104"/>
      <c r="AS85" s="99" t="s">
        <v>3240</v>
      </c>
      <c r="AT85" s="107" t="s">
        <v>3575</v>
      </c>
      <c r="AU85" s="75" t="s">
        <v>3135</v>
      </c>
    </row>
    <row r="86" spans="1:47">
      <c r="A86" s="107" t="s">
        <v>3804</v>
      </c>
      <c r="B86" s="107" t="s">
        <v>160</v>
      </c>
      <c r="C86" s="107" t="s">
        <v>73</v>
      </c>
      <c r="D86" s="107" t="s">
        <v>3805</v>
      </c>
      <c r="E86" s="107" t="s">
        <v>162</v>
      </c>
      <c r="F86" s="107" t="s">
        <v>3806</v>
      </c>
      <c r="G86" s="107" t="s">
        <v>3807</v>
      </c>
      <c r="H86" s="107" t="s">
        <v>165</v>
      </c>
      <c r="I86" s="107">
        <v>202605.5</v>
      </c>
      <c r="J86" s="107">
        <v>5.29</v>
      </c>
      <c r="K86" s="107" t="s">
        <v>73</v>
      </c>
      <c r="L86" s="107" t="s">
        <v>3199</v>
      </c>
      <c r="M86" s="107" t="s">
        <v>3808</v>
      </c>
      <c r="N86" s="104" t="s">
        <v>3809</v>
      </c>
      <c r="O86" s="105"/>
      <c r="P86" s="176" t="s">
        <v>3770</v>
      </c>
      <c r="Q86" s="177" t="s">
        <v>100</v>
      </c>
      <c r="R86" s="177" t="s">
        <v>3771</v>
      </c>
      <c r="S86" s="177" t="s">
        <v>3772</v>
      </c>
      <c r="T86" s="177" t="s">
        <v>103</v>
      </c>
      <c r="U86" s="177" t="s">
        <v>3773</v>
      </c>
      <c r="V86" s="177" t="s">
        <v>3773</v>
      </c>
      <c r="W86" s="172" t="s">
        <v>15</v>
      </c>
      <c r="X86" s="106" t="s">
        <v>172</v>
      </c>
      <c r="Y86" s="105" t="s">
        <v>173</v>
      </c>
      <c r="Z86" s="105" t="s">
        <v>174</v>
      </c>
      <c r="AA86" s="105" t="s">
        <v>175</v>
      </c>
      <c r="AB86" s="104">
        <f t="shared" si="6"/>
        <v>1</v>
      </c>
      <c r="AC86" s="104">
        <v>1</v>
      </c>
      <c r="AD86" s="104">
        <v>1</v>
      </c>
      <c r="AE86" s="104">
        <v>1</v>
      </c>
      <c r="AF86" s="106"/>
      <c r="AG86" s="106"/>
      <c r="AH86" s="104">
        <f t="shared" si="7"/>
        <v>1</v>
      </c>
      <c r="AI86" s="106"/>
      <c r="AJ86" s="106"/>
      <c r="AK86" s="104"/>
      <c r="AL86" s="104"/>
      <c r="AM86" s="104">
        <f t="shared" si="8"/>
        <v>1</v>
      </c>
      <c r="AN86" s="104">
        <v>1</v>
      </c>
      <c r="AO86" s="104">
        <v>1</v>
      </c>
      <c r="AP86" s="104">
        <v>1</v>
      </c>
      <c r="AQ86" s="104"/>
      <c r="AS86" s="99" t="s">
        <v>3540</v>
      </c>
      <c r="AT86" s="107" t="s">
        <v>3583</v>
      </c>
      <c r="AU86" s="75" t="s">
        <v>3307</v>
      </c>
    </row>
    <row r="87" spans="1:47">
      <c r="A87" s="107" t="s">
        <v>3810</v>
      </c>
      <c r="B87" s="107" t="s">
        <v>160</v>
      </c>
      <c r="C87" s="107" t="s">
        <v>73</v>
      </c>
      <c r="D87" s="107" t="s">
        <v>3811</v>
      </c>
      <c r="E87" s="107" t="s">
        <v>162</v>
      </c>
      <c r="F87" s="107" t="s">
        <v>3812</v>
      </c>
      <c r="G87" s="107" t="s">
        <v>3813</v>
      </c>
      <c r="H87" s="107" t="s">
        <v>165</v>
      </c>
      <c r="I87" s="107">
        <v>202605.5</v>
      </c>
      <c r="J87" s="107">
        <v>5.29</v>
      </c>
      <c r="K87" s="107" t="s">
        <v>73</v>
      </c>
      <c r="L87" s="107" t="s">
        <v>3208</v>
      </c>
      <c r="M87" s="107" t="s">
        <v>3814</v>
      </c>
      <c r="N87" s="104" t="s">
        <v>3815</v>
      </c>
      <c r="O87" s="105"/>
      <c r="P87" s="176" t="s">
        <v>3770</v>
      </c>
      <c r="Q87" s="177" t="s">
        <v>100</v>
      </c>
      <c r="R87" s="177" t="s">
        <v>3771</v>
      </c>
      <c r="S87" s="177" t="s">
        <v>3772</v>
      </c>
      <c r="T87" s="177" t="s">
        <v>103</v>
      </c>
      <c r="U87" s="177" t="s">
        <v>3773</v>
      </c>
      <c r="V87" s="177" t="s">
        <v>3773</v>
      </c>
      <c r="W87" s="172" t="s">
        <v>15</v>
      </c>
      <c r="X87" s="106" t="s">
        <v>172</v>
      </c>
      <c r="Y87" s="105" t="s">
        <v>173</v>
      </c>
      <c r="Z87" s="105" t="s">
        <v>174</v>
      </c>
      <c r="AA87" s="105" t="s">
        <v>175</v>
      </c>
      <c r="AB87" s="104">
        <f t="shared" si="6"/>
        <v>1</v>
      </c>
      <c r="AC87" s="104">
        <v>1</v>
      </c>
      <c r="AD87" s="104">
        <v>1</v>
      </c>
      <c r="AE87" s="104">
        <v>1</v>
      </c>
      <c r="AF87" s="106"/>
      <c r="AG87" s="106"/>
      <c r="AH87" s="104">
        <f t="shared" si="7"/>
        <v>1</v>
      </c>
      <c r="AI87" s="106"/>
      <c r="AJ87" s="106"/>
      <c r="AK87" s="104"/>
      <c r="AL87" s="104"/>
      <c r="AM87" s="104">
        <f t="shared" si="8"/>
        <v>1</v>
      </c>
      <c r="AN87" s="104">
        <v>1</v>
      </c>
      <c r="AO87" s="104">
        <v>1</v>
      </c>
      <c r="AP87" s="104">
        <v>1</v>
      </c>
      <c r="AQ87" s="104"/>
      <c r="AS87" s="99" t="s">
        <v>3157</v>
      </c>
      <c r="AT87" s="107" t="s">
        <v>3592</v>
      </c>
      <c r="AU87" s="75" t="s">
        <v>3210</v>
      </c>
    </row>
    <row r="88" spans="1:47">
      <c r="A88" s="107" t="s">
        <v>3816</v>
      </c>
      <c r="B88" s="107" t="s">
        <v>160</v>
      </c>
      <c r="C88" s="107" t="s">
        <v>73</v>
      </c>
      <c r="D88" s="107" t="s">
        <v>3817</v>
      </c>
      <c r="E88" s="107" t="s">
        <v>162</v>
      </c>
      <c r="F88" s="107" t="s">
        <v>3818</v>
      </c>
      <c r="G88" s="107" t="s">
        <v>3819</v>
      </c>
      <c r="H88" s="107" t="s">
        <v>165</v>
      </c>
      <c r="I88" s="107">
        <v>202605.5</v>
      </c>
      <c r="J88" s="107">
        <v>5.29</v>
      </c>
      <c r="K88" s="107" t="s">
        <v>73</v>
      </c>
      <c r="L88" s="107" t="s">
        <v>3225</v>
      </c>
      <c r="M88" s="107" t="s">
        <v>3820</v>
      </c>
      <c r="N88" s="104" t="s">
        <v>3821</v>
      </c>
      <c r="O88" s="105"/>
      <c r="P88" s="176" t="s">
        <v>3770</v>
      </c>
      <c r="Q88" s="177" t="s">
        <v>100</v>
      </c>
      <c r="R88" s="177" t="s">
        <v>3771</v>
      </c>
      <c r="S88" s="177" t="s">
        <v>3772</v>
      </c>
      <c r="T88" s="177" t="s">
        <v>103</v>
      </c>
      <c r="U88" s="177" t="s">
        <v>3773</v>
      </c>
      <c r="V88" s="177" t="s">
        <v>3773</v>
      </c>
      <c r="W88" s="172" t="s">
        <v>15</v>
      </c>
      <c r="X88" s="106" t="s">
        <v>172</v>
      </c>
      <c r="Y88" s="105" t="s">
        <v>173</v>
      </c>
      <c r="Z88" s="105" t="s">
        <v>174</v>
      </c>
      <c r="AA88" s="105" t="s">
        <v>175</v>
      </c>
      <c r="AB88" s="104">
        <f t="shared" si="6"/>
        <v>1</v>
      </c>
      <c r="AC88" s="104">
        <v>1</v>
      </c>
      <c r="AD88" s="104">
        <v>1</v>
      </c>
      <c r="AE88" s="104">
        <v>1</v>
      </c>
      <c r="AF88" s="106"/>
      <c r="AG88" s="106"/>
      <c r="AH88" s="104">
        <f t="shared" si="7"/>
        <v>1</v>
      </c>
      <c r="AI88" s="106"/>
      <c r="AJ88" s="106"/>
      <c r="AK88" s="104"/>
      <c r="AL88" s="104"/>
      <c r="AM88" s="104">
        <f t="shared" si="8"/>
        <v>1</v>
      </c>
      <c r="AN88" s="104">
        <v>1</v>
      </c>
      <c r="AO88" s="104">
        <v>1</v>
      </c>
      <c r="AP88" s="104">
        <v>1</v>
      </c>
      <c r="AQ88" s="104"/>
      <c r="AS88" s="99" t="s">
        <v>3139</v>
      </c>
      <c r="AT88" s="107" t="s">
        <v>3469</v>
      </c>
      <c r="AU88" s="75" t="s">
        <v>3371</v>
      </c>
    </row>
    <row r="89" spans="1:47">
      <c r="A89" s="107" t="s">
        <v>3822</v>
      </c>
      <c r="B89" s="107" t="s">
        <v>160</v>
      </c>
      <c r="C89" s="107" t="s">
        <v>73</v>
      </c>
      <c r="D89" s="107" t="s">
        <v>3823</v>
      </c>
      <c r="E89" s="107" t="s">
        <v>162</v>
      </c>
      <c r="F89" s="107" t="s">
        <v>3824</v>
      </c>
      <c r="G89" s="107" t="s">
        <v>3825</v>
      </c>
      <c r="H89" s="107" t="s">
        <v>165</v>
      </c>
      <c r="I89" s="107">
        <v>202605.5</v>
      </c>
      <c r="J89" s="107">
        <v>5.29</v>
      </c>
      <c r="K89" s="107" t="s">
        <v>73</v>
      </c>
      <c r="L89" s="107" t="s">
        <v>3235</v>
      </c>
      <c r="M89" s="107" t="s">
        <v>3826</v>
      </c>
      <c r="N89" s="104" t="s">
        <v>3827</v>
      </c>
      <c r="O89" s="105"/>
      <c r="P89" s="176" t="s">
        <v>3770</v>
      </c>
      <c r="Q89" s="177" t="s">
        <v>100</v>
      </c>
      <c r="R89" s="177" t="s">
        <v>3771</v>
      </c>
      <c r="S89" s="177" t="s">
        <v>3772</v>
      </c>
      <c r="T89" s="177" t="s">
        <v>103</v>
      </c>
      <c r="U89" s="177" t="s">
        <v>3773</v>
      </c>
      <c r="V89" s="177" t="s">
        <v>3773</v>
      </c>
      <c r="W89" s="172" t="s">
        <v>15</v>
      </c>
      <c r="X89" s="106" t="s">
        <v>172</v>
      </c>
      <c r="Y89" s="105" t="s">
        <v>173</v>
      </c>
      <c r="Z89" s="105" t="s">
        <v>174</v>
      </c>
      <c r="AA89" s="105" t="s">
        <v>175</v>
      </c>
      <c r="AB89" s="104">
        <f t="shared" si="6"/>
        <v>1</v>
      </c>
      <c r="AC89" s="104">
        <v>1</v>
      </c>
      <c r="AD89" s="104">
        <v>1</v>
      </c>
      <c r="AE89" s="104">
        <v>1</v>
      </c>
      <c r="AF89" s="106"/>
      <c r="AG89" s="106"/>
      <c r="AH89" s="104">
        <f t="shared" si="7"/>
        <v>1</v>
      </c>
      <c r="AI89" s="106"/>
      <c r="AJ89" s="106"/>
      <c r="AK89" s="104"/>
      <c r="AL89" s="104"/>
      <c r="AM89" s="104">
        <f t="shared" si="8"/>
        <v>1</v>
      </c>
      <c r="AN89" s="104">
        <v>1</v>
      </c>
      <c r="AO89" s="104">
        <v>1</v>
      </c>
      <c r="AP89" s="104">
        <v>1</v>
      </c>
      <c r="AQ89" s="104"/>
      <c r="AS89" s="99" t="s">
        <v>3640</v>
      </c>
      <c r="AT89" s="107" t="s">
        <v>3460</v>
      </c>
      <c r="AU89" s="75" t="s">
        <v>3327</v>
      </c>
    </row>
    <row r="90" spans="1:47">
      <c r="A90" s="107" t="s">
        <v>3828</v>
      </c>
      <c r="B90" s="107" t="s">
        <v>160</v>
      </c>
      <c r="C90" s="107" t="s">
        <v>73</v>
      </c>
      <c r="D90" s="107" t="s">
        <v>3829</v>
      </c>
      <c r="E90" s="107" t="s">
        <v>162</v>
      </c>
      <c r="F90" s="107" t="s">
        <v>3830</v>
      </c>
      <c r="G90" s="107" t="s">
        <v>3831</v>
      </c>
      <c r="H90" s="107" t="s">
        <v>165</v>
      </c>
      <c r="I90" s="107">
        <v>202605.5</v>
      </c>
      <c r="J90" s="107">
        <v>5.29</v>
      </c>
      <c r="K90" s="107" t="s">
        <v>73</v>
      </c>
      <c r="L90" s="107" t="s">
        <v>3244</v>
      </c>
      <c r="M90" s="107" t="s">
        <v>3832</v>
      </c>
      <c r="N90" s="104" t="s">
        <v>3833</v>
      </c>
      <c r="O90" s="105"/>
      <c r="P90" s="176" t="s">
        <v>3770</v>
      </c>
      <c r="Q90" s="177" t="s">
        <v>100</v>
      </c>
      <c r="R90" s="177" t="s">
        <v>3771</v>
      </c>
      <c r="S90" s="177" t="s">
        <v>3834</v>
      </c>
      <c r="T90" s="177" t="s">
        <v>103</v>
      </c>
      <c r="U90" s="177" t="s">
        <v>3773</v>
      </c>
      <c r="V90" s="177" t="s">
        <v>3773</v>
      </c>
      <c r="W90" s="172" t="s">
        <v>15</v>
      </c>
      <c r="X90" s="106" t="s">
        <v>172</v>
      </c>
      <c r="Y90" s="105" t="s">
        <v>173</v>
      </c>
      <c r="Z90" s="105" t="s">
        <v>174</v>
      </c>
      <c r="AA90" s="105" t="s">
        <v>175</v>
      </c>
      <c r="AB90" s="104">
        <f t="shared" si="6"/>
        <v>1</v>
      </c>
      <c r="AC90" s="104">
        <v>1</v>
      </c>
      <c r="AD90" s="104">
        <v>1</v>
      </c>
      <c r="AE90" s="104">
        <v>1</v>
      </c>
      <c r="AF90" s="106"/>
      <c r="AG90" s="106"/>
      <c r="AH90" s="104">
        <f t="shared" si="7"/>
        <v>1</v>
      </c>
      <c r="AI90" s="106"/>
      <c r="AJ90" s="106"/>
      <c r="AK90" s="104"/>
      <c r="AL90" s="104"/>
      <c r="AM90" s="104">
        <f t="shared" si="8"/>
        <v>1</v>
      </c>
      <c r="AN90" s="104">
        <v>1</v>
      </c>
      <c r="AO90" s="104">
        <v>1</v>
      </c>
      <c r="AP90" s="104">
        <v>1</v>
      </c>
      <c r="AQ90" s="104"/>
      <c r="AS90" s="99" t="s">
        <v>3510</v>
      </c>
      <c r="AT90" s="107" t="s">
        <v>3387</v>
      </c>
      <c r="AU90" s="75" t="s">
        <v>3154</v>
      </c>
    </row>
    <row r="91" spans="1:47">
      <c r="A91" s="107" t="s">
        <v>3835</v>
      </c>
      <c r="B91" s="107" t="s">
        <v>160</v>
      </c>
      <c r="C91" s="107" t="s">
        <v>73</v>
      </c>
      <c r="D91" s="107" t="s">
        <v>3836</v>
      </c>
      <c r="E91" s="107" t="s">
        <v>162</v>
      </c>
      <c r="F91" s="107" t="s">
        <v>3837</v>
      </c>
      <c r="G91" s="107" t="s">
        <v>3838</v>
      </c>
      <c r="H91" s="107" t="s">
        <v>165</v>
      </c>
      <c r="I91" s="107">
        <v>202605.5</v>
      </c>
      <c r="J91" s="107">
        <v>5.29</v>
      </c>
      <c r="K91" s="107" t="s">
        <v>73</v>
      </c>
      <c r="L91" s="107" t="s">
        <v>3253</v>
      </c>
      <c r="M91" s="107" t="s">
        <v>3839</v>
      </c>
      <c r="N91" s="104" t="s">
        <v>3840</v>
      </c>
      <c r="O91" s="105"/>
      <c r="P91" s="176" t="s">
        <v>3770</v>
      </c>
      <c r="Q91" s="177" t="s">
        <v>100</v>
      </c>
      <c r="R91" s="177" t="s">
        <v>3771</v>
      </c>
      <c r="S91" s="177" t="s">
        <v>3834</v>
      </c>
      <c r="T91" s="177" t="s">
        <v>103</v>
      </c>
      <c r="U91" s="177" t="s">
        <v>3773</v>
      </c>
      <c r="V91" s="177" t="s">
        <v>3773</v>
      </c>
      <c r="W91" s="172" t="s">
        <v>15</v>
      </c>
      <c r="X91" s="106" t="s">
        <v>172</v>
      </c>
      <c r="Y91" s="105" t="s">
        <v>173</v>
      </c>
      <c r="Z91" s="105" t="s">
        <v>174</v>
      </c>
      <c r="AA91" s="105" t="s">
        <v>175</v>
      </c>
      <c r="AB91" s="104">
        <f t="shared" si="6"/>
        <v>1</v>
      </c>
      <c r="AC91" s="104">
        <v>1</v>
      </c>
      <c r="AD91" s="104">
        <v>1</v>
      </c>
      <c r="AE91" s="104">
        <v>1</v>
      </c>
      <c r="AF91" s="106"/>
      <c r="AG91" s="106"/>
      <c r="AH91" s="104">
        <f t="shared" si="7"/>
        <v>1</v>
      </c>
      <c r="AI91" s="106"/>
      <c r="AJ91" s="106"/>
      <c r="AK91" s="104"/>
      <c r="AL91" s="104"/>
      <c r="AM91" s="104">
        <f t="shared" si="8"/>
        <v>1</v>
      </c>
      <c r="AN91" s="104">
        <v>1</v>
      </c>
      <c r="AO91" s="104">
        <v>1</v>
      </c>
      <c r="AP91" s="104">
        <v>1</v>
      </c>
      <c r="AQ91" s="104"/>
      <c r="AS91" s="99" t="s">
        <v>3184</v>
      </c>
      <c r="AT91" s="107" t="s">
        <v>3451</v>
      </c>
      <c r="AU91" s="75" t="s">
        <v>3390</v>
      </c>
    </row>
    <row r="92" spans="1:47">
      <c r="A92" s="107" t="s">
        <v>3841</v>
      </c>
      <c r="B92" s="107" t="s">
        <v>160</v>
      </c>
      <c r="C92" s="107" t="s">
        <v>73</v>
      </c>
      <c r="D92" s="107" t="s">
        <v>3842</v>
      </c>
      <c r="E92" s="107" t="s">
        <v>162</v>
      </c>
      <c r="F92" s="107" t="s">
        <v>3843</v>
      </c>
      <c r="G92" s="107" t="s">
        <v>3844</v>
      </c>
      <c r="H92" s="107" t="s">
        <v>165</v>
      </c>
      <c r="I92" s="107">
        <v>202605.5</v>
      </c>
      <c r="J92" s="107">
        <v>5.29</v>
      </c>
      <c r="K92" s="107" t="s">
        <v>73</v>
      </c>
      <c r="L92" s="107" t="s">
        <v>3262</v>
      </c>
      <c r="M92" s="107" t="s">
        <v>3845</v>
      </c>
      <c r="N92" s="104" t="s">
        <v>3846</v>
      </c>
      <c r="O92" s="105"/>
      <c r="P92" s="176" t="s">
        <v>3770</v>
      </c>
      <c r="Q92" s="177" t="s">
        <v>100</v>
      </c>
      <c r="R92" s="177" t="s">
        <v>3771</v>
      </c>
      <c r="S92" s="177" t="s">
        <v>3834</v>
      </c>
      <c r="T92" s="177" t="s">
        <v>103</v>
      </c>
      <c r="U92" s="177" t="s">
        <v>3773</v>
      </c>
      <c r="V92" s="177" t="s">
        <v>3773</v>
      </c>
      <c r="W92" s="172" t="s">
        <v>15</v>
      </c>
      <c r="X92" s="106" t="s">
        <v>172</v>
      </c>
      <c r="Y92" s="105" t="s">
        <v>173</v>
      </c>
      <c r="Z92" s="105" t="s">
        <v>174</v>
      </c>
      <c r="AA92" s="105" t="s">
        <v>175</v>
      </c>
      <c r="AB92" s="104">
        <v>1</v>
      </c>
      <c r="AC92" s="104">
        <v>1</v>
      </c>
      <c r="AD92" s="104">
        <v>1</v>
      </c>
      <c r="AE92" s="104">
        <v>1</v>
      </c>
      <c r="AF92" s="106"/>
      <c r="AG92" s="106"/>
      <c r="AH92" s="104">
        <f t="shared" si="7"/>
        <v>1</v>
      </c>
      <c r="AI92" s="106"/>
      <c r="AJ92" s="106"/>
      <c r="AK92" s="104"/>
      <c r="AL92" s="104"/>
      <c r="AM92" s="104">
        <f t="shared" si="8"/>
        <v>1</v>
      </c>
      <c r="AN92" s="104">
        <v>1</v>
      </c>
      <c r="AO92" s="104">
        <v>1</v>
      </c>
      <c r="AP92" s="104">
        <v>1</v>
      </c>
      <c r="AQ92" s="104"/>
      <c r="AS92" s="99" t="s">
        <v>3310</v>
      </c>
      <c r="AT92" s="107" t="s">
        <v>3396</v>
      </c>
      <c r="AU92" s="75" t="s">
        <v>3316</v>
      </c>
    </row>
    <row r="93" spans="1:47">
      <c r="A93" s="107" t="s">
        <v>3847</v>
      </c>
      <c r="B93" s="107" t="s">
        <v>160</v>
      </c>
      <c r="C93" s="107" t="s">
        <v>73</v>
      </c>
      <c r="D93" s="107" t="s">
        <v>3848</v>
      </c>
      <c r="E93" s="107" t="s">
        <v>162</v>
      </c>
      <c r="F93" s="107" t="s">
        <v>3849</v>
      </c>
      <c r="G93" s="107" t="s">
        <v>3850</v>
      </c>
      <c r="H93" s="107" t="s">
        <v>165</v>
      </c>
      <c r="I93" s="107">
        <v>202605.5</v>
      </c>
      <c r="J93" s="107">
        <v>5.29</v>
      </c>
      <c r="K93" s="107" t="s">
        <v>73</v>
      </c>
      <c r="L93" s="107" t="s">
        <v>3271</v>
      </c>
      <c r="M93" s="107" t="s">
        <v>3851</v>
      </c>
      <c r="N93" s="104" t="s">
        <v>3852</v>
      </c>
      <c r="O93" s="105"/>
      <c r="P93" s="176" t="s">
        <v>3770</v>
      </c>
      <c r="Q93" s="177" t="s">
        <v>100</v>
      </c>
      <c r="R93" s="177" t="s">
        <v>3771</v>
      </c>
      <c r="S93" s="177" t="s">
        <v>3834</v>
      </c>
      <c r="T93" s="177" t="s">
        <v>103</v>
      </c>
      <c r="U93" s="177" t="s">
        <v>3773</v>
      </c>
      <c r="V93" s="177" t="s">
        <v>3773</v>
      </c>
      <c r="W93" s="172" t="s">
        <v>15</v>
      </c>
      <c r="X93" s="106" t="s">
        <v>172</v>
      </c>
      <c r="Y93" s="105" t="s">
        <v>173</v>
      </c>
      <c r="Z93" s="105" t="s">
        <v>174</v>
      </c>
      <c r="AA93" s="105" t="s">
        <v>175</v>
      </c>
      <c r="AB93" s="104">
        <f t="shared" si="6"/>
        <v>1</v>
      </c>
      <c r="AC93" s="104">
        <v>1</v>
      </c>
      <c r="AD93" s="104">
        <v>1</v>
      </c>
      <c r="AE93" s="104">
        <v>1</v>
      </c>
      <c r="AF93" s="106"/>
      <c r="AG93" s="106"/>
      <c r="AH93" s="104">
        <f t="shared" si="7"/>
        <v>1</v>
      </c>
      <c r="AI93" s="106"/>
      <c r="AJ93" s="106"/>
      <c r="AK93" s="104"/>
      <c r="AL93" s="104"/>
      <c r="AM93" s="104">
        <f t="shared" si="8"/>
        <v>1</v>
      </c>
      <c r="AN93" s="104">
        <v>1</v>
      </c>
      <c r="AO93" s="104">
        <v>1</v>
      </c>
      <c r="AP93" s="104">
        <v>1</v>
      </c>
      <c r="AQ93" s="104"/>
      <c r="AS93" s="99" t="s">
        <v>3412</v>
      </c>
      <c r="AT93" s="107" t="s">
        <v>3640</v>
      </c>
      <c r="AU93" s="75" t="s">
        <v>3255</v>
      </c>
    </row>
    <row r="94" spans="1:47">
      <c r="A94" s="107" t="s">
        <v>3853</v>
      </c>
      <c r="B94" s="107" t="s">
        <v>160</v>
      </c>
      <c r="C94" s="107" t="s">
        <v>73</v>
      </c>
      <c r="D94" s="107" t="s">
        <v>3854</v>
      </c>
      <c r="E94" s="107" t="s">
        <v>162</v>
      </c>
      <c r="F94" s="107" t="s">
        <v>3855</v>
      </c>
      <c r="G94" s="107" t="s">
        <v>3856</v>
      </c>
      <c r="H94" s="107" t="s">
        <v>165</v>
      </c>
      <c r="I94" s="107">
        <v>202605.5</v>
      </c>
      <c r="J94" s="107">
        <v>5.29</v>
      </c>
      <c r="K94" s="107" t="s">
        <v>73</v>
      </c>
      <c r="L94" s="107" t="s">
        <v>3280</v>
      </c>
      <c r="M94" s="107" t="s">
        <v>3857</v>
      </c>
      <c r="N94" s="104" t="s">
        <v>3858</v>
      </c>
      <c r="O94" s="105"/>
      <c r="P94" s="176" t="s">
        <v>3770</v>
      </c>
      <c r="Q94" s="177" t="s">
        <v>100</v>
      </c>
      <c r="R94" s="177" t="s">
        <v>3771</v>
      </c>
      <c r="S94" s="177" t="s">
        <v>3834</v>
      </c>
      <c r="T94" s="177" t="s">
        <v>103</v>
      </c>
      <c r="U94" s="177" t="s">
        <v>3773</v>
      </c>
      <c r="V94" s="177" t="s">
        <v>3773</v>
      </c>
      <c r="W94" s="172" t="s">
        <v>15</v>
      </c>
      <c r="X94" s="106" t="s">
        <v>172</v>
      </c>
      <c r="Y94" s="105" t="s">
        <v>173</v>
      </c>
      <c r="Z94" s="105" t="s">
        <v>174</v>
      </c>
      <c r="AA94" s="105" t="s">
        <v>175</v>
      </c>
      <c r="AB94" s="104">
        <f t="shared" si="6"/>
        <v>1</v>
      </c>
      <c r="AC94" s="104">
        <v>1</v>
      </c>
      <c r="AD94" s="104">
        <v>1</v>
      </c>
      <c r="AE94" s="104">
        <v>1</v>
      </c>
      <c r="AF94" s="106"/>
      <c r="AG94" s="106"/>
      <c r="AH94" s="104">
        <f t="shared" si="7"/>
        <v>1</v>
      </c>
      <c r="AI94" s="106"/>
      <c r="AJ94" s="106"/>
      <c r="AK94" s="104"/>
      <c r="AL94" s="104"/>
      <c r="AM94" s="104">
        <f t="shared" si="8"/>
        <v>1</v>
      </c>
      <c r="AN94" s="104">
        <v>1</v>
      </c>
      <c r="AO94" s="104">
        <v>1</v>
      </c>
      <c r="AP94" s="104">
        <v>1</v>
      </c>
      <c r="AQ94" s="104"/>
      <c r="AS94" s="99" t="s">
        <v>3285</v>
      </c>
      <c r="AT94" s="107" t="s">
        <v>3442</v>
      </c>
      <c r="AU94" s="75" t="s">
        <v>3282</v>
      </c>
    </row>
    <row r="95" spans="1:47">
      <c r="A95" s="107" t="s">
        <v>3859</v>
      </c>
      <c r="B95" s="107" t="s">
        <v>160</v>
      </c>
      <c r="C95" s="107" t="s">
        <v>73</v>
      </c>
      <c r="D95" s="107" t="s">
        <v>3860</v>
      </c>
      <c r="E95" s="107" t="s">
        <v>162</v>
      </c>
      <c r="F95" s="107" t="s">
        <v>3861</v>
      </c>
      <c r="G95" s="107" t="s">
        <v>3862</v>
      </c>
      <c r="H95" s="107" t="s">
        <v>165</v>
      </c>
      <c r="I95" s="107">
        <v>202605.5</v>
      </c>
      <c r="J95" s="107">
        <v>5.29</v>
      </c>
      <c r="K95" s="107" t="s">
        <v>73</v>
      </c>
      <c r="L95" s="107" t="s">
        <v>3289</v>
      </c>
      <c r="M95" s="107" t="s">
        <v>3863</v>
      </c>
      <c r="N95" s="104" t="s">
        <v>3864</v>
      </c>
      <c r="O95" s="105"/>
      <c r="P95" s="176" t="s">
        <v>3770</v>
      </c>
      <c r="Q95" s="177" t="s">
        <v>100</v>
      </c>
      <c r="R95" s="177" t="s">
        <v>3771</v>
      </c>
      <c r="S95" s="177" t="s">
        <v>3834</v>
      </c>
      <c r="T95" s="177" t="s">
        <v>103</v>
      </c>
      <c r="U95" s="177" t="s">
        <v>3773</v>
      </c>
      <c r="V95" s="177" t="s">
        <v>3773</v>
      </c>
      <c r="W95" s="172" t="s">
        <v>15</v>
      </c>
      <c r="X95" s="106" t="s">
        <v>172</v>
      </c>
      <c r="Y95" s="105" t="s">
        <v>173</v>
      </c>
      <c r="Z95" s="105" t="s">
        <v>174</v>
      </c>
      <c r="AA95" s="105" t="s">
        <v>175</v>
      </c>
      <c r="AB95" s="104">
        <f t="shared" si="6"/>
        <v>1</v>
      </c>
      <c r="AC95" s="104">
        <v>1</v>
      </c>
      <c r="AD95" s="104">
        <v>1</v>
      </c>
      <c r="AE95" s="104">
        <v>1</v>
      </c>
      <c r="AF95" s="106"/>
      <c r="AG95" s="106"/>
      <c r="AH95" s="104">
        <f t="shared" si="7"/>
        <v>1</v>
      </c>
      <c r="AI95" s="106"/>
      <c r="AJ95" s="106"/>
      <c r="AK95" s="104"/>
      <c r="AL95" s="104"/>
      <c r="AM95" s="104">
        <f t="shared" si="8"/>
        <v>1</v>
      </c>
      <c r="AN95" s="104">
        <v>1</v>
      </c>
      <c r="AO95" s="104">
        <v>1</v>
      </c>
      <c r="AP95" s="104">
        <v>1</v>
      </c>
      <c r="AQ95" s="104"/>
      <c r="AS95" s="99" t="s">
        <v>3430</v>
      </c>
      <c r="AT95" s="107" t="s">
        <v>3377</v>
      </c>
      <c r="AU95" s="75" t="s">
        <v>3181</v>
      </c>
    </row>
    <row r="96" spans="1:47">
      <c r="A96" s="107" t="s">
        <v>3865</v>
      </c>
      <c r="B96" s="107" t="s">
        <v>160</v>
      </c>
      <c r="C96" s="107" t="s">
        <v>73</v>
      </c>
      <c r="D96" s="107" t="s">
        <v>3866</v>
      </c>
      <c r="E96" s="107" t="s">
        <v>162</v>
      </c>
      <c r="F96" s="107" t="s">
        <v>3867</v>
      </c>
      <c r="G96" s="107" t="s">
        <v>3868</v>
      </c>
      <c r="H96" s="107" t="s">
        <v>165</v>
      </c>
      <c r="I96" s="107">
        <v>202605.5</v>
      </c>
      <c r="J96" s="107">
        <v>5.29</v>
      </c>
      <c r="K96" s="107" t="s">
        <v>73</v>
      </c>
      <c r="L96" s="107" t="s">
        <v>3305</v>
      </c>
      <c r="M96" s="107" t="s">
        <v>3869</v>
      </c>
      <c r="N96" s="104" t="s">
        <v>3870</v>
      </c>
      <c r="O96" s="105"/>
      <c r="P96" s="176" t="s">
        <v>3770</v>
      </c>
      <c r="Q96" s="177" t="s">
        <v>100</v>
      </c>
      <c r="R96" s="177" t="s">
        <v>3771</v>
      </c>
      <c r="S96" s="177" t="s">
        <v>3834</v>
      </c>
      <c r="T96" s="177" t="s">
        <v>103</v>
      </c>
      <c r="U96" s="177" t="s">
        <v>3773</v>
      </c>
      <c r="V96" s="177" t="s">
        <v>3773</v>
      </c>
      <c r="W96" s="172" t="s">
        <v>15</v>
      </c>
      <c r="X96" s="106" t="s">
        <v>172</v>
      </c>
      <c r="Y96" s="105" t="s">
        <v>173</v>
      </c>
      <c r="Z96" s="105" t="s">
        <v>174</v>
      </c>
      <c r="AA96" s="105" t="s">
        <v>175</v>
      </c>
      <c r="AB96" s="104">
        <f t="shared" si="6"/>
        <v>1</v>
      </c>
      <c r="AC96" s="104">
        <v>1</v>
      </c>
      <c r="AD96" s="104">
        <v>1</v>
      </c>
      <c r="AE96" s="104">
        <v>1</v>
      </c>
      <c r="AF96" s="106"/>
      <c r="AG96" s="106"/>
      <c r="AH96" s="104">
        <f t="shared" si="7"/>
        <v>1</v>
      </c>
      <c r="AI96" s="106"/>
      <c r="AJ96" s="106"/>
      <c r="AK96" s="104"/>
      <c r="AL96" s="104"/>
      <c r="AM96" s="104">
        <f t="shared" si="8"/>
        <v>1</v>
      </c>
      <c r="AN96" s="104">
        <v>1</v>
      </c>
      <c r="AO96" s="104">
        <v>1</v>
      </c>
      <c r="AP96" s="104">
        <v>1</v>
      </c>
      <c r="AQ96" s="104"/>
      <c r="AS96" s="99" t="s">
        <v>3421</v>
      </c>
      <c r="AT96" s="107" t="s">
        <v>3433</v>
      </c>
      <c r="AU96" s="75" t="s">
        <v>2076</v>
      </c>
    </row>
    <row r="97" spans="1:47">
      <c r="A97" s="107" t="s">
        <v>3871</v>
      </c>
      <c r="B97" s="107" t="s">
        <v>160</v>
      </c>
      <c r="C97" s="107" t="s">
        <v>73</v>
      </c>
      <c r="D97" s="107" t="s">
        <v>3872</v>
      </c>
      <c r="E97" s="107" t="s">
        <v>162</v>
      </c>
      <c r="F97" s="107" t="s">
        <v>3873</v>
      </c>
      <c r="G97" s="107" t="s">
        <v>3874</v>
      </c>
      <c r="H97" s="107" t="s">
        <v>165</v>
      </c>
      <c r="I97" s="107">
        <v>202605.5</v>
      </c>
      <c r="J97" s="107">
        <v>5.29</v>
      </c>
      <c r="K97" s="107" t="s">
        <v>73</v>
      </c>
      <c r="L97" s="107" t="s">
        <v>3314</v>
      </c>
      <c r="M97" s="107" t="s">
        <v>3875</v>
      </c>
      <c r="N97" s="104" t="s">
        <v>3876</v>
      </c>
      <c r="O97" s="105"/>
      <c r="P97" s="176" t="s">
        <v>3770</v>
      </c>
      <c r="Q97" s="177" t="s">
        <v>100</v>
      </c>
      <c r="R97" s="177" t="s">
        <v>3771</v>
      </c>
      <c r="S97" s="177" t="s">
        <v>3834</v>
      </c>
      <c r="T97" s="177" t="s">
        <v>103</v>
      </c>
      <c r="U97" s="177" t="s">
        <v>3773</v>
      </c>
      <c r="V97" s="177" t="s">
        <v>3773</v>
      </c>
      <c r="W97" s="172" t="s">
        <v>15</v>
      </c>
      <c r="X97" s="106" t="s">
        <v>172</v>
      </c>
      <c r="Y97" s="105" t="s">
        <v>173</v>
      </c>
      <c r="Z97" s="105" t="s">
        <v>174</v>
      </c>
      <c r="AA97" s="105" t="s">
        <v>175</v>
      </c>
      <c r="AB97" s="104">
        <f t="shared" si="6"/>
        <v>1</v>
      </c>
      <c r="AC97" s="104">
        <v>1</v>
      </c>
      <c r="AD97" s="104">
        <v>1</v>
      </c>
      <c r="AE97" s="104">
        <v>1</v>
      </c>
      <c r="AF97" s="106"/>
      <c r="AG97" s="106"/>
      <c r="AH97" s="104">
        <f t="shared" si="7"/>
        <v>1</v>
      </c>
      <c r="AI97" s="106"/>
      <c r="AJ97" s="106"/>
      <c r="AK97" s="104"/>
      <c r="AL97" s="104"/>
      <c r="AM97" s="104">
        <f t="shared" si="8"/>
        <v>1</v>
      </c>
      <c r="AN97" s="104">
        <v>1</v>
      </c>
      <c r="AO97" s="104">
        <v>1</v>
      </c>
      <c r="AP97" s="104">
        <v>1</v>
      </c>
      <c r="AQ97" s="104"/>
      <c r="AS97" s="99" t="s">
        <v>3221</v>
      </c>
      <c r="AT97" s="107" t="s">
        <v>3333</v>
      </c>
      <c r="AU97" s="94" t="s">
        <v>2079</v>
      </c>
    </row>
    <row r="98" spans="1:47" hidden="1">
      <c r="A98" s="179" t="s">
        <v>3877</v>
      </c>
      <c r="B98" s="179" t="s">
        <v>160</v>
      </c>
      <c r="C98" s="179" t="s">
        <v>73</v>
      </c>
      <c r="D98" s="179" t="s">
        <v>3878</v>
      </c>
      <c r="E98" s="179" t="s">
        <v>162</v>
      </c>
      <c r="F98" s="179" t="s">
        <v>3879</v>
      </c>
      <c r="G98" s="179" t="s">
        <v>3880</v>
      </c>
      <c r="H98" s="179" t="s">
        <v>165</v>
      </c>
      <c r="I98" s="179">
        <v>202605.5</v>
      </c>
      <c r="J98" s="182" t="s">
        <v>3213</v>
      </c>
      <c r="K98" s="179" t="s">
        <v>73</v>
      </c>
      <c r="L98" s="179" t="s">
        <v>3881</v>
      </c>
      <c r="M98" s="179" t="s">
        <v>3882</v>
      </c>
      <c r="N98" s="181" t="s">
        <v>3883</v>
      </c>
      <c r="O98" s="105"/>
      <c r="P98" s="176" t="s">
        <v>3770</v>
      </c>
      <c r="Q98" s="177" t="s">
        <v>100</v>
      </c>
      <c r="R98" s="177" t="s">
        <v>3771</v>
      </c>
      <c r="S98" s="177" t="s">
        <v>3834</v>
      </c>
      <c r="T98" s="177" t="s">
        <v>103</v>
      </c>
      <c r="U98" s="177" t="s">
        <v>3773</v>
      </c>
      <c r="V98" s="177" t="s">
        <v>3773</v>
      </c>
      <c r="W98" s="172" t="s">
        <v>15</v>
      </c>
      <c r="X98" s="106" t="s">
        <v>172</v>
      </c>
      <c r="Y98" s="105" t="s">
        <v>173</v>
      </c>
      <c r="Z98" s="105" t="s">
        <v>174</v>
      </c>
      <c r="AA98" s="105" t="s">
        <v>175</v>
      </c>
      <c r="AB98" s="104">
        <f t="shared" si="6"/>
        <v>1</v>
      </c>
      <c r="AC98" s="106"/>
      <c r="AD98" s="106"/>
      <c r="AE98" s="106"/>
      <c r="AF98" s="106"/>
      <c r="AG98" s="106"/>
      <c r="AH98" s="106">
        <f t="shared" si="7"/>
        <v>0</v>
      </c>
      <c r="AI98" s="106"/>
      <c r="AJ98" s="106"/>
      <c r="AK98" s="106"/>
      <c r="AL98" s="106"/>
      <c r="AM98" s="104">
        <f t="shared" si="8"/>
        <v>0</v>
      </c>
      <c r="AN98" s="106"/>
      <c r="AO98" s="106"/>
      <c r="AP98" s="106"/>
      <c r="AQ98" s="106"/>
      <c r="AU98" s="94" t="s">
        <v>585</v>
      </c>
    </row>
    <row r="99" spans="1:47">
      <c r="A99" s="107" t="s">
        <v>3884</v>
      </c>
      <c r="B99" s="107" t="s">
        <v>160</v>
      </c>
      <c r="C99" s="107" t="s">
        <v>73</v>
      </c>
      <c r="D99" s="107" t="s">
        <v>3885</v>
      </c>
      <c r="E99" s="107" t="s">
        <v>162</v>
      </c>
      <c r="F99" s="107" t="s">
        <v>3884</v>
      </c>
      <c r="G99" s="107" t="s">
        <v>3886</v>
      </c>
      <c r="H99" s="107" t="s">
        <v>165</v>
      </c>
      <c r="I99" s="107">
        <v>202605.5</v>
      </c>
      <c r="J99" s="107">
        <v>5.29</v>
      </c>
      <c r="K99" s="107" t="s">
        <v>73</v>
      </c>
      <c r="L99" s="107" t="s">
        <v>3325</v>
      </c>
      <c r="M99" s="107" t="s">
        <v>3887</v>
      </c>
      <c r="N99" s="104" t="s">
        <v>3888</v>
      </c>
      <c r="O99" s="105"/>
      <c r="P99" s="176" t="s">
        <v>3770</v>
      </c>
      <c r="Q99" s="177" t="s">
        <v>100</v>
      </c>
      <c r="R99" s="177" t="s">
        <v>3771</v>
      </c>
      <c r="S99" s="177" t="s">
        <v>3834</v>
      </c>
      <c r="T99" s="177" t="s">
        <v>103</v>
      </c>
      <c r="U99" s="177" t="s">
        <v>3773</v>
      </c>
      <c r="V99" s="177" t="s">
        <v>3773</v>
      </c>
      <c r="W99" s="172" t="s">
        <v>15</v>
      </c>
      <c r="X99" s="106" t="s">
        <v>172</v>
      </c>
      <c r="Y99" s="105" t="s">
        <v>173</v>
      </c>
      <c r="Z99" s="105" t="s">
        <v>174</v>
      </c>
      <c r="AA99" s="105" t="s">
        <v>175</v>
      </c>
      <c r="AB99" s="104">
        <f t="shared" ref="AB99:AB130" si="9">IF(COUNTIF(AU:AU,"*"&amp;D99&amp;"*")&gt;0,1,0)</f>
        <v>1</v>
      </c>
      <c r="AC99" s="104">
        <v>1</v>
      </c>
      <c r="AD99" s="104">
        <v>1</v>
      </c>
      <c r="AE99" s="104">
        <v>1</v>
      </c>
      <c r="AF99" s="106"/>
      <c r="AG99" s="106"/>
      <c r="AH99" s="104">
        <f t="shared" ref="AH99:AH130" si="10">IF(COUNTIF(AS:AS,"*"&amp;L99&amp;"*")&gt;0,1,0)</f>
        <v>1</v>
      </c>
      <c r="AI99" s="106"/>
      <c r="AJ99" s="106"/>
      <c r="AK99" s="104"/>
      <c r="AL99" s="104"/>
      <c r="AM99" s="104">
        <f t="shared" ref="AM99:AM130" si="11">IF(COUNTIF(AT:AT,"*"&amp;L99&amp;"*")&gt;0,1,0)</f>
        <v>1</v>
      </c>
      <c r="AN99" s="104">
        <v>1</v>
      </c>
      <c r="AO99" s="104">
        <v>1</v>
      </c>
      <c r="AP99" s="104">
        <v>1</v>
      </c>
      <c r="AQ99" s="104"/>
      <c r="AS99" s="99" t="s">
        <v>3175</v>
      </c>
      <c r="AT99" s="107" t="s">
        <v>3693</v>
      </c>
      <c r="AU99" s="94" t="s">
        <v>2137</v>
      </c>
    </row>
    <row r="100" spans="1:47">
      <c r="A100" s="107" t="s">
        <v>3889</v>
      </c>
      <c r="B100" s="107" t="s">
        <v>160</v>
      </c>
      <c r="C100" s="107" t="s">
        <v>73</v>
      </c>
      <c r="D100" s="107" t="s">
        <v>3890</v>
      </c>
      <c r="E100" s="107" t="s">
        <v>162</v>
      </c>
      <c r="F100" s="107" t="s">
        <v>3891</v>
      </c>
      <c r="G100" s="107" t="s">
        <v>3892</v>
      </c>
      <c r="H100" s="107" t="s">
        <v>165</v>
      </c>
      <c r="I100" s="107">
        <v>202605.5</v>
      </c>
      <c r="J100" s="107">
        <v>5.29</v>
      </c>
      <c r="K100" s="107" t="s">
        <v>73</v>
      </c>
      <c r="L100" s="107" t="s">
        <v>3334</v>
      </c>
      <c r="M100" s="107" t="s">
        <v>3893</v>
      </c>
      <c r="N100" s="104" t="s">
        <v>3894</v>
      </c>
      <c r="O100" s="105"/>
      <c r="P100" s="176" t="s">
        <v>3770</v>
      </c>
      <c r="Q100" s="177" t="s">
        <v>100</v>
      </c>
      <c r="R100" s="177" t="s">
        <v>3771</v>
      </c>
      <c r="S100" s="177" t="s">
        <v>3895</v>
      </c>
      <c r="T100" s="177" t="s">
        <v>103</v>
      </c>
      <c r="U100" s="177" t="s">
        <v>3773</v>
      </c>
      <c r="V100" s="177" t="s">
        <v>3773</v>
      </c>
      <c r="W100" s="172" t="s">
        <v>15</v>
      </c>
      <c r="X100" s="106" t="s">
        <v>172</v>
      </c>
      <c r="Y100" s="105" t="s">
        <v>173</v>
      </c>
      <c r="Z100" s="105" t="s">
        <v>174</v>
      </c>
      <c r="AA100" s="105" t="s">
        <v>175</v>
      </c>
      <c r="AB100" s="104">
        <f t="shared" si="9"/>
        <v>1</v>
      </c>
      <c r="AC100" s="104">
        <v>1</v>
      </c>
      <c r="AD100" s="104">
        <v>1</v>
      </c>
      <c r="AE100" s="104">
        <v>1</v>
      </c>
      <c r="AF100" s="106"/>
      <c r="AG100" s="106"/>
      <c r="AH100" s="104">
        <f t="shared" si="10"/>
        <v>1</v>
      </c>
      <c r="AI100" s="106"/>
      <c r="AJ100" s="106"/>
      <c r="AK100" s="104"/>
      <c r="AL100" s="104"/>
      <c r="AM100" s="104">
        <f t="shared" si="11"/>
        <v>1</v>
      </c>
      <c r="AN100" s="104">
        <v>1</v>
      </c>
      <c r="AO100" s="104">
        <v>1</v>
      </c>
      <c r="AP100" s="104">
        <v>1</v>
      </c>
      <c r="AQ100" s="104"/>
      <c r="AS100" s="99" t="s">
        <v>3566</v>
      </c>
      <c r="AT100" s="107" t="s">
        <v>3700</v>
      </c>
      <c r="AU100" s="94" t="s">
        <v>2141</v>
      </c>
    </row>
    <row r="101" spans="1:47">
      <c r="A101" s="107" t="s">
        <v>3896</v>
      </c>
      <c r="B101" s="107" t="s">
        <v>160</v>
      </c>
      <c r="C101" s="107" t="s">
        <v>73</v>
      </c>
      <c r="D101" s="107" t="s">
        <v>3897</v>
      </c>
      <c r="E101" s="107" t="s">
        <v>162</v>
      </c>
      <c r="F101" s="107" t="s">
        <v>3898</v>
      </c>
      <c r="G101" s="107" t="s">
        <v>3899</v>
      </c>
      <c r="H101" s="107" t="s">
        <v>165</v>
      </c>
      <c r="I101" s="107">
        <v>202605.5</v>
      </c>
      <c r="J101" s="107">
        <v>5.29</v>
      </c>
      <c r="K101" s="107" t="s">
        <v>73</v>
      </c>
      <c r="L101" s="107" t="s">
        <v>3378</v>
      </c>
      <c r="M101" s="107" t="s">
        <v>3900</v>
      </c>
      <c r="N101" s="104" t="s">
        <v>3901</v>
      </c>
      <c r="O101" s="105"/>
      <c r="P101" s="176" t="s">
        <v>3770</v>
      </c>
      <c r="Q101" s="177" t="s">
        <v>100</v>
      </c>
      <c r="R101" s="177" t="s">
        <v>3771</v>
      </c>
      <c r="S101" s="177" t="s">
        <v>3895</v>
      </c>
      <c r="T101" s="177" t="s">
        <v>103</v>
      </c>
      <c r="U101" s="177" t="s">
        <v>3773</v>
      </c>
      <c r="V101" s="177" t="s">
        <v>3773</v>
      </c>
      <c r="W101" s="172" t="s">
        <v>15</v>
      </c>
      <c r="X101" s="106" t="s">
        <v>172</v>
      </c>
      <c r="Y101" s="105" t="s">
        <v>173</v>
      </c>
      <c r="Z101" s="105" t="s">
        <v>174</v>
      </c>
      <c r="AA101" s="105" t="s">
        <v>175</v>
      </c>
      <c r="AB101" s="104">
        <f t="shared" si="9"/>
        <v>1</v>
      </c>
      <c r="AC101" s="104">
        <v>1</v>
      </c>
      <c r="AD101" s="104">
        <v>1</v>
      </c>
      <c r="AE101" s="104">
        <v>1</v>
      </c>
      <c r="AF101" s="106"/>
      <c r="AG101" s="106"/>
      <c r="AH101" s="104">
        <f t="shared" si="10"/>
        <v>1</v>
      </c>
      <c r="AI101" s="106"/>
      <c r="AJ101" s="106"/>
      <c r="AK101" s="104"/>
      <c r="AL101" s="104"/>
      <c r="AM101" s="104">
        <f t="shared" si="11"/>
        <v>1</v>
      </c>
      <c r="AN101" s="104">
        <v>1</v>
      </c>
      <c r="AO101" s="104">
        <v>1</v>
      </c>
      <c r="AP101" s="104">
        <v>1</v>
      </c>
      <c r="AQ101" s="104"/>
      <c r="AS101" s="99" t="s">
        <v>3558</v>
      </c>
      <c r="AT101" s="107" t="s">
        <v>3478</v>
      </c>
      <c r="AU101" s="94" t="s">
        <v>2145</v>
      </c>
    </row>
    <row r="102" spans="1:47">
      <c r="A102" s="107" t="s">
        <v>3902</v>
      </c>
      <c r="B102" s="107" t="s">
        <v>160</v>
      </c>
      <c r="C102" s="107" t="s">
        <v>73</v>
      </c>
      <c r="D102" s="107" t="s">
        <v>3903</v>
      </c>
      <c r="E102" s="107" t="s">
        <v>162</v>
      </c>
      <c r="F102" s="107" t="s">
        <v>3904</v>
      </c>
      <c r="G102" s="107" t="s">
        <v>3905</v>
      </c>
      <c r="H102" s="107" t="s">
        <v>165</v>
      </c>
      <c r="I102" s="107">
        <v>202605.5</v>
      </c>
      <c r="J102" s="107">
        <v>5.29</v>
      </c>
      <c r="K102" s="107" t="s">
        <v>73</v>
      </c>
      <c r="L102" s="107" t="s">
        <v>3388</v>
      </c>
      <c r="M102" s="107" t="s">
        <v>3906</v>
      </c>
      <c r="N102" s="104" t="s">
        <v>3907</v>
      </c>
      <c r="O102" s="105"/>
      <c r="P102" s="176" t="s">
        <v>3770</v>
      </c>
      <c r="Q102" s="177" t="s">
        <v>100</v>
      </c>
      <c r="R102" s="177" t="s">
        <v>3771</v>
      </c>
      <c r="S102" s="177" t="s">
        <v>3895</v>
      </c>
      <c r="T102" s="177" t="s">
        <v>103</v>
      </c>
      <c r="U102" s="177" t="s">
        <v>3773</v>
      </c>
      <c r="V102" s="177" t="s">
        <v>3773</v>
      </c>
      <c r="W102" s="172" t="s">
        <v>15</v>
      </c>
      <c r="X102" s="106" t="s">
        <v>172</v>
      </c>
      <c r="Y102" s="105" t="s">
        <v>173</v>
      </c>
      <c r="Z102" s="105" t="s">
        <v>174</v>
      </c>
      <c r="AA102" s="105" t="s">
        <v>175</v>
      </c>
      <c r="AB102" s="104">
        <f t="shared" si="9"/>
        <v>1</v>
      </c>
      <c r="AC102" s="104">
        <v>1</v>
      </c>
      <c r="AD102" s="104">
        <v>1</v>
      </c>
      <c r="AE102" s="104">
        <v>1</v>
      </c>
      <c r="AF102" s="106"/>
      <c r="AG102" s="106"/>
      <c r="AH102" s="104">
        <f t="shared" si="10"/>
        <v>1</v>
      </c>
      <c r="AI102" s="106"/>
      <c r="AJ102" s="106"/>
      <c r="AK102" s="104"/>
      <c r="AL102" s="104"/>
      <c r="AM102" s="104">
        <f t="shared" si="11"/>
        <v>1</v>
      </c>
      <c r="AN102" s="104">
        <v>1</v>
      </c>
      <c r="AO102" s="104">
        <v>1</v>
      </c>
      <c r="AP102" s="104">
        <v>1</v>
      </c>
      <c r="AQ102" s="104"/>
      <c r="AS102" s="99" t="s">
        <v>3549</v>
      </c>
      <c r="AT102" s="107" t="s">
        <v>3713</v>
      </c>
      <c r="AU102" s="94" t="s">
        <v>2148</v>
      </c>
    </row>
    <row r="103" spans="1:47">
      <c r="A103" s="107" t="s">
        <v>3908</v>
      </c>
      <c r="B103" s="107" t="s">
        <v>160</v>
      </c>
      <c r="C103" s="107" t="s">
        <v>73</v>
      </c>
      <c r="D103" s="107" t="s">
        <v>3909</v>
      </c>
      <c r="E103" s="107" t="s">
        <v>162</v>
      </c>
      <c r="F103" s="107" t="s">
        <v>3910</v>
      </c>
      <c r="G103" s="107" t="s">
        <v>3911</v>
      </c>
      <c r="H103" s="107" t="s">
        <v>165</v>
      </c>
      <c r="I103" s="107">
        <v>202605.5</v>
      </c>
      <c r="J103" s="107">
        <v>5.29</v>
      </c>
      <c r="K103" s="107" t="s">
        <v>73</v>
      </c>
      <c r="L103" s="107" t="s">
        <v>3397</v>
      </c>
      <c r="M103" s="107" t="s">
        <v>3912</v>
      </c>
      <c r="N103" s="104" t="s">
        <v>3913</v>
      </c>
      <c r="O103" s="105"/>
      <c r="P103" s="176" t="s">
        <v>138</v>
      </c>
      <c r="Q103" s="177" t="s">
        <v>100</v>
      </c>
      <c r="R103" s="177" t="s">
        <v>262</v>
      </c>
      <c r="S103" s="177" t="s">
        <v>263</v>
      </c>
      <c r="T103" s="177" t="s">
        <v>103</v>
      </c>
      <c r="U103" s="177" t="s">
        <v>264</v>
      </c>
      <c r="V103" s="171" t="s">
        <v>264</v>
      </c>
      <c r="W103" s="172" t="s">
        <v>17</v>
      </c>
      <c r="X103" s="106" t="s">
        <v>172</v>
      </c>
      <c r="Y103" s="105" t="s">
        <v>173</v>
      </c>
      <c r="Z103" s="105" t="s">
        <v>174</v>
      </c>
      <c r="AA103" s="105" t="s">
        <v>175</v>
      </c>
      <c r="AB103" s="104">
        <f t="shared" si="9"/>
        <v>1</v>
      </c>
      <c r="AC103" s="104">
        <v>1</v>
      </c>
      <c r="AD103" s="104">
        <v>1</v>
      </c>
      <c r="AE103" s="104">
        <v>1</v>
      </c>
      <c r="AF103" s="106"/>
      <c r="AG103" s="106"/>
      <c r="AH103" s="104">
        <f t="shared" si="10"/>
        <v>1</v>
      </c>
      <c r="AI103" s="106"/>
      <c r="AJ103" s="106"/>
      <c r="AK103" s="104"/>
      <c r="AL103" s="104"/>
      <c r="AM103" s="104">
        <f t="shared" si="11"/>
        <v>1</v>
      </c>
      <c r="AN103" s="104">
        <v>1</v>
      </c>
      <c r="AO103" s="104">
        <v>1</v>
      </c>
      <c r="AP103" s="104">
        <v>1</v>
      </c>
      <c r="AQ103" s="104"/>
      <c r="AS103" s="99" t="s">
        <v>3700</v>
      </c>
      <c r="AT103" s="107" t="s">
        <v>3406</v>
      </c>
      <c r="AU103" s="94" t="s">
        <v>2227</v>
      </c>
    </row>
    <row r="104" spans="1:47">
      <c r="A104" s="107" t="s">
        <v>3914</v>
      </c>
      <c r="B104" s="107" t="s">
        <v>160</v>
      </c>
      <c r="C104" s="107" t="s">
        <v>73</v>
      </c>
      <c r="D104" s="107" t="s">
        <v>3915</v>
      </c>
      <c r="E104" s="107" t="s">
        <v>162</v>
      </c>
      <c r="F104" s="107" t="s">
        <v>3916</v>
      </c>
      <c r="G104" s="107" t="s">
        <v>3917</v>
      </c>
      <c r="H104" s="107" t="s">
        <v>165</v>
      </c>
      <c r="I104" s="107">
        <v>202605.5</v>
      </c>
      <c r="J104" s="107">
        <v>5.29</v>
      </c>
      <c r="K104" s="107" t="s">
        <v>73</v>
      </c>
      <c r="L104" s="107" t="s">
        <v>3407</v>
      </c>
      <c r="M104" s="107" t="s">
        <v>3918</v>
      </c>
      <c r="N104" s="104" t="s">
        <v>3919</v>
      </c>
      <c r="O104" s="105"/>
      <c r="P104" s="176" t="s">
        <v>138</v>
      </c>
      <c r="Q104" s="177" t="s">
        <v>100</v>
      </c>
      <c r="R104" s="177" t="s">
        <v>262</v>
      </c>
      <c r="S104" s="177" t="s">
        <v>263</v>
      </c>
      <c r="T104" s="177" t="s">
        <v>103</v>
      </c>
      <c r="U104" s="177" t="s">
        <v>264</v>
      </c>
      <c r="V104" s="171" t="s">
        <v>264</v>
      </c>
      <c r="W104" s="172" t="s">
        <v>17</v>
      </c>
      <c r="X104" s="106" t="s">
        <v>172</v>
      </c>
      <c r="Y104" s="105" t="s">
        <v>173</v>
      </c>
      <c r="Z104" s="105" t="s">
        <v>174</v>
      </c>
      <c r="AA104" s="105" t="s">
        <v>175</v>
      </c>
      <c r="AB104" s="104">
        <f t="shared" si="9"/>
        <v>1</v>
      </c>
      <c r="AC104" s="104">
        <v>1</v>
      </c>
      <c r="AD104" s="104">
        <v>1</v>
      </c>
      <c r="AE104" s="104">
        <v>1</v>
      </c>
      <c r="AF104" s="106"/>
      <c r="AG104" s="106"/>
      <c r="AH104" s="104">
        <f t="shared" si="10"/>
        <v>1</v>
      </c>
      <c r="AI104" s="106"/>
      <c r="AJ104" s="106"/>
      <c r="AK104" s="104"/>
      <c r="AL104" s="104"/>
      <c r="AM104" s="104">
        <f t="shared" si="11"/>
        <v>1</v>
      </c>
      <c r="AN104" s="104">
        <v>1</v>
      </c>
      <c r="AO104" s="104">
        <v>1</v>
      </c>
      <c r="AP104" s="104">
        <v>1</v>
      </c>
      <c r="AQ104" s="104"/>
      <c r="AS104" s="99" t="s">
        <v>3713</v>
      </c>
      <c r="AT104" s="107" t="s">
        <v>3735</v>
      </c>
      <c r="AU104" s="94" t="s">
        <v>2230</v>
      </c>
    </row>
    <row r="105" spans="1:47">
      <c r="A105" s="107" t="s">
        <v>3920</v>
      </c>
      <c r="B105" s="107" t="s">
        <v>160</v>
      </c>
      <c r="C105" s="107" t="s">
        <v>73</v>
      </c>
      <c r="D105" s="107" t="s">
        <v>3921</v>
      </c>
      <c r="E105" s="107" t="s">
        <v>162</v>
      </c>
      <c r="F105" s="107" t="s">
        <v>3922</v>
      </c>
      <c r="G105" s="107" t="s">
        <v>3923</v>
      </c>
      <c r="H105" s="107" t="s">
        <v>165</v>
      </c>
      <c r="I105" s="107">
        <v>202605.5</v>
      </c>
      <c r="J105" s="107">
        <v>5.29</v>
      </c>
      <c r="K105" s="107" t="s">
        <v>73</v>
      </c>
      <c r="L105" s="107" t="s">
        <v>3415</v>
      </c>
      <c r="M105" s="107" t="s">
        <v>3924</v>
      </c>
      <c r="N105" s="104" t="s">
        <v>3925</v>
      </c>
      <c r="O105" s="105"/>
      <c r="P105" s="176" t="s">
        <v>138</v>
      </c>
      <c r="Q105" s="177" t="s">
        <v>100</v>
      </c>
      <c r="R105" s="177" t="s">
        <v>262</v>
      </c>
      <c r="S105" s="177" t="s">
        <v>263</v>
      </c>
      <c r="T105" s="177" t="s">
        <v>103</v>
      </c>
      <c r="U105" s="177" t="s">
        <v>264</v>
      </c>
      <c r="V105" s="171" t="s">
        <v>264</v>
      </c>
      <c r="W105" s="172" t="s">
        <v>17</v>
      </c>
      <c r="X105" s="106" t="s">
        <v>172</v>
      </c>
      <c r="Y105" s="105" t="s">
        <v>173</v>
      </c>
      <c r="Z105" s="105" t="s">
        <v>174</v>
      </c>
      <c r="AA105" s="105" t="s">
        <v>175</v>
      </c>
      <c r="AB105" s="104">
        <f t="shared" si="9"/>
        <v>1</v>
      </c>
      <c r="AC105" s="104">
        <v>1</v>
      </c>
      <c r="AD105" s="104">
        <v>1</v>
      </c>
      <c r="AE105" s="104">
        <v>1</v>
      </c>
      <c r="AF105" s="106"/>
      <c r="AG105" s="106"/>
      <c r="AH105" s="104">
        <f t="shared" si="10"/>
        <v>1</v>
      </c>
      <c r="AI105" s="106"/>
      <c r="AJ105" s="106"/>
      <c r="AK105" s="104"/>
      <c r="AL105" s="104"/>
      <c r="AM105" s="104">
        <f t="shared" si="11"/>
        <v>1</v>
      </c>
      <c r="AN105" s="104">
        <v>1</v>
      </c>
      <c r="AO105" s="104">
        <v>1</v>
      </c>
      <c r="AP105" s="104">
        <v>1</v>
      </c>
      <c r="AQ105" s="104"/>
      <c r="AS105" s="99" t="s">
        <v>3384</v>
      </c>
      <c r="AT105" s="107" t="s">
        <v>3487</v>
      </c>
      <c r="AU105" s="94" t="s">
        <v>2235</v>
      </c>
    </row>
    <row r="106" spans="1:47">
      <c r="A106" s="107" t="s">
        <v>3926</v>
      </c>
      <c r="B106" s="107" t="s">
        <v>160</v>
      </c>
      <c r="C106" s="107" t="s">
        <v>73</v>
      </c>
      <c r="D106" s="107" t="s">
        <v>3927</v>
      </c>
      <c r="E106" s="107" t="s">
        <v>162</v>
      </c>
      <c r="F106" s="107" t="s">
        <v>3928</v>
      </c>
      <c r="G106" s="107" t="s">
        <v>3929</v>
      </c>
      <c r="H106" s="107" t="s">
        <v>165</v>
      </c>
      <c r="I106" s="107">
        <v>202605.5</v>
      </c>
      <c r="J106" s="107">
        <v>5.29</v>
      </c>
      <c r="K106" s="107" t="s">
        <v>73</v>
      </c>
      <c r="L106" s="107" t="s">
        <v>3425</v>
      </c>
      <c r="M106" s="107" t="s">
        <v>3930</v>
      </c>
      <c r="N106" s="104" t="s">
        <v>3931</v>
      </c>
      <c r="O106" s="105"/>
      <c r="P106" s="176" t="s">
        <v>138</v>
      </c>
      <c r="Q106" s="177" t="s">
        <v>100</v>
      </c>
      <c r="R106" s="177" t="s">
        <v>262</v>
      </c>
      <c r="S106" s="177" t="s">
        <v>263</v>
      </c>
      <c r="T106" s="177" t="s">
        <v>103</v>
      </c>
      <c r="U106" s="177" t="s">
        <v>264</v>
      </c>
      <c r="V106" s="171" t="s">
        <v>264</v>
      </c>
      <c r="W106" s="172" t="s">
        <v>17</v>
      </c>
      <c r="X106" s="106" t="s">
        <v>172</v>
      </c>
      <c r="Y106" s="105" t="s">
        <v>173</v>
      </c>
      <c r="Z106" s="105" t="s">
        <v>174</v>
      </c>
      <c r="AA106" s="105" t="s">
        <v>175</v>
      </c>
      <c r="AB106" s="104">
        <f t="shared" si="9"/>
        <v>1</v>
      </c>
      <c r="AC106" s="104">
        <v>1</v>
      </c>
      <c r="AD106" s="104">
        <v>1</v>
      </c>
      <c r="AE106" s="104">
        <v>1</v>
      </c>
      <c r="AF106" s="106"/>
      <c r="AG106" s="106"/>
      <c r="AH106" s="104">
        <f t="shared" si="10"/>
        <v>1</v>
      </c>
      <c r="AI106" s="106"/>
      <c r="AJ106" s="107" t="s">
        <v>3932</v>
      </c>
      <c r="AK106" s="104"/>
      <c r="AL106" s="104"/>
      <c r="AM106" s="104">
        <f t="shared" si="11"/>
        <v>1</v>
      </c>
      <c r="AN106" s="104">
        <v>1</v>
      </c>
      <c r="AO106" s="104">
        <v>1</v>
      </c>
      <c r="AP106" s="104">
        <v>1</v>
      </c>
      <c r="AQ106" s="104"/>
      <c r="AS106" s="99" t="s">
        <v>3735</v>
      </c>
      <c r="AT106" s="107" t="s">
        <v>3424</v>
      </c>
      <c r="AU106" s="94" t="s">
        <v>2238</v>
      </c>
    </row>
    <row r="107" spans="1:47">
      <c r="A107" s="107" t="s">
        <v>3933</v>
      </c>
      <c r="B107" s="107" t="s">
        <v>160</v>
      </c>
      <c r="C107" s="107" t="s">
        <v>73</v>
      </c>
      <c r="D107" s="107" t="s">
        <v>3934</v>
      </c>
      <c r="E107" s="107" t="s">
        <v>162</v>
      </c>
      <c r="F107" s="107" t="s">
        <v>3935</v>
      </c>
      <c r="G107" s="107" t="s">
        <v>3936</v>
      </c>
      <c r="H107" s="107" t="s">
        <v>165</v>
      </c>
      <c r="I107" s="107">
        <v>202605.5</v>
      </c>
      <c r="J107" s="107">
        <v>5.29</v>
      </c>
      <c r="K107" s="107" t="s">
        <v>73</v>
      </c>
      <c r="L107" s="107" t="s">
        <v>3434</v>
      </c>
      <c r="M107" s="107" t="s">
        <v>3937</v>
      </c>
      <c r="N107" s="104" t="s">
        <v>3938</v>
      </c>
      <c r="O107" s="105"/>
      <c r="P107" s="176" t="s">
        <v>138</v>
      </c>
      <c r="Q107" s="177" t="s">
        <v>100</v>
      </c>
      <c r="R107" s="177" t="s">
        <v>262</v>
      </c>
      <c r="S107" s="177" t="s">
        <v>263</v>
      </c>
      <c r="T107" s="177" t="s">
        <v>103</v>
      </c>
      <c r="U107" s="177" t="s">
        <v>264</v>
      </c>
      <c r="V107" s="171" t="s">
        <v>264</v>
      </c>
      <c r="W107" s="172" t="s">
        <v>17</v>
      </c>
      <c r="X107" s="106" t="s">
        <v>172</v>
      </c>
      <c r="Y107" s="105" t="s">
        <v>173</v>
      </c>
      <c r="Z107" s="105" t="s">
        <v>174</v>
      </c>
      <c r="AA107" s="105" t="s">
        <v>175</v>
      </c>
      <c r="AB107" s="104">
        <f t="shared" si="9"/>
        <v>1</v>
      </c>
      <c r="AC107" s="104">
        <v>1</v>
      </c>
      <c r="AD107" s="104">
        <v>1</v>
      </c>
      <c r="AE107" s="104">
        <v>1</v>
      </c>
      <c r="AF107" s="106"/>
      <c r="AG107" s="106"/>
      <c r="AH107" s="104">
        <f t="shared" si="10"/>
        <v>1</v>
      </c>
      <c r="AI107" s="106"/>
      <c r="AJ107" s="106"/>
      <c r="AK107" s="104"/>
      <c r="AL107" s="104"/>
      <c r="AM107" s="104">
        <f t="shared" si="11"/>
        <v>1</v>
      </c>
      <c r="AN107" s="104">
        <v>1</v>
      </c>
      <c r="AO107" s="104">
        <v>1</v>
      </c>
      <c r="AP107" s="104">
        <v>1</v>
      </c>
      <c r="AQ107" s="104"/>
      <c r="AS107" s="99" t="s">
        <v>3583</v>
      </c>
      <c r="AT107" s="107" t="s">
        <v>3754</v>
      </c>
      <c r="AU107" s="94" t="s">
        <v>2103</v>
      </c>
    </row>
    <row r="108" spans="1:47">
      <c r="A108" s="107" t="s">
        <v>3939</v>
      </c>
      <c r="B108" s="107" t="s">
        <v>160</v>
      </c>
      <c r="C108" s="107" t="s">
        <v>73</v>
      </c>
      <c r="D108" s="107" t="s">
        <v>3940</v>
      </c>
      <c r="E108" s="107" t="s">
        <v>162</v>
      </c>
      <c r="F108" s="107" t="s">
        <v>3941</v>
      </c>
      <c r="G108" s="107" t="s">
        <v>3942</v>
      </c>
      <c r="H108" s="107" t="s">
        <v>165</v>
      </c>
      <c r="I108" s="107">
        <v>202605.5</v>
      </c>
      <c r="J108" s="107">
        <v>5.29</v>
      </c>
      <c r="K108" s="107" t="s">
        <v>73</v>
      </c>
      <c r="L108" s="107" t="s">
        <v>3443</v>
      </c>
      <c r="M108" s="107" t="s">
        <v>3943</v>
      </c>
      <c r="N108" s="104" t="s">
        <v>3944</v>
      </c>
      <c r="O108" s="105"/>
      <c r="P108" s="176" t="s">
        <v>138</v>
      </c>
      <c r="Q108" s="177" t="s">
        <v>100</v>
      </c>
      <c r="R108" s="177" t="s">
        <v>262</v>
      </c>
      <c r="S108" s="177" t="s">
        <v>263</v>
      </c>
      <c r="T108" s="177" t="s">
        <v>103</v>
      </c>
      <c r="U108" s="177" t="s">
        <v>264</v>
      </c>
      <c r="V108" s="171" t="s">
        <v>264</v>
      </c>
      <c r="W108" s="172" t="s">
        <v>17</v>
      </c>
      <c r="X108" s="106" t="s">
        <v>172</v>
      </c>
      <c r="Y108" s="105" t="s">
        <v>173</v>
      </c>
      <c r="Z108" s="105" t="s">
        <v>174</v>
      </c>
      <c r="AA108" s="105" t="s">
        <v>175</v>
      </c>
      <c r="AB108" s="104">
        <f t="shared" si="9"/>
        <v>1</v>
      </c>
      <c r="AC108" s="104">
        <v>1</v>
      </c>
      <c r="AD108" s="104">
        <v>1</v>
      </c>
      <c r="AE108" s="104">
        <v>1</v>
      </c>
      <c r="AF108" s="106"/>
      <c r="AG108" s="106"/>
      <c r="AH108" s="104">
        <f t="shared" si="10"/>
        <v>1</v>
      </c>
      <c r="AI108" s="106"/>
      <c r="AJ108" s="106"/>
      <c r="AK108" s="104"/>
      <c r="AL108" s="104"/>
      <c r="AM108" s="104">
        <f t="shared" si="11"/>
        <v>1</v>
      </c>
      <c r="AN108" s="104">
        <v>1</v>
      </c>
      <c r="AO108" s="104">
        <v>1</v>
      </c>
      <c r="AP108" s="104">
        <v>1</v>
      </c>
      <c r="AQ108" s="104"/>
      <c r="AS108" s="99" t="s">
        <v>3402</v>
      </c>
      <c r="AT108" s="107" t="s">
        <v>3761</v>
      </c>
      <c r="AU108" s="94" t="s">
        <v>2100</v>
      </c>
    </row>
    <row r="109" spans="1:47">
      <c r="A109" s="107" t="s">
        <v>3945</v>
      </c>
      <c r="B109" s="107" t="s">
        <v>160</v>
      </c>
      <c r="C109" s="107" t="s">
        <v>73</v>
      </c>
      <c r="D109" s="107" t="s">
        <v>3946</v>
      </c>
      <c r="E109" s="107" t="s">
        <v>162</v>
      </c>
      <c r="F109" s="107" t="s">
        <v>3947</v>
      </c>
      <c r="G109" s="107" t="s">
        <v>3948</v>
      </c>
      <c r="H109" s="107" t="s">
        <v>165</v>
      </c>
      <c r="I109" s="107">
        <v>202605.5</v>
      </c>
      <c r="J109" s="107">
        <v>5.29</v>
      </c>
      <c r="K109" s="107" t="s">
        <v>73</v>
      </c>
      <c r="L109" s="107" t="s">
        <v>3452</v>
      </c>
      <c r="M109" s="107" t="s">
        <v>3949</v>
      </c>
      <c r="N109" s="104" t="s">
        <v>3950</v>
      </c>
      <c r="O109" s="105"/>
      <c r="P109" s="176" t="s">
        <v>138</v>
      </c>
      <c r="Q109" s="177" t="s">
        <v>100</v>
      </c>
      <c r="R109" s="177" t="s">
        <v>262</v>
      </c>
      <c r="S109" s="177" t="s">
        <v>263</v>
      </c>
      <c r="T109" s="177" t="s">
        <v>103</v>
      </c>
      <c r="U109" s="177" t="s">
        <v>264</v>
      </c>
      <c r="V109" s="171" t="s">
        <v>264</v>
      </c>
      <c r="W109" s="172" t="s">
        <v>17</v>
      </c>
      <c r="X109" s="106" t="s">
        <v>172</v>
      </c>
      <c r="Y109" s="105" t="s">
        <v>173</v>
      </c>
      <c r="Z109" s="105" t="s">
        <v>174</v>
      </c>
      <c r="AA109" s="105" t="s">
        <v>175</v>
      </c>
      <c r="AB109" s="104">
        <f t="shared" si="9"/>
        <v>1</v>
      </c>
      <c r="AC109" s="104">
        <v>1</v>
      </c>
      <c r="AD109" s="104">
        <v>1</v>
      </c>
      <c r="AE109" s="104">
        <v>1</v>
      </c>
      <c r="AF109" s="106"/>
      <c r="AG109" s="106"/>
      <c r="AH109" s="104">
        <f t="shared" si="10"/>
        <v>1</v>
      </c>
      <c r="AI109" s="106"/>
      <c r="AJ109" s="106"/>
      <c r="AK109" s="104"/>
      <c r="AL109" s="104"/>
      <c r="AM109" s="104">
        <f t="shared" si="11"/>
        <v>1</v>
      </c>
      <c r="AN109" s="104">
        <v>1</v>
      </c>
      <c r="AO109" s="104">
        <v>1</v>
      </c>
      <c r="AP109" s="104">
        <v>1</v>
      </c>
      <c r="AQ109" s="104"/>
      <c r="AS109" s="99" t="s">
        <v>3204</v>
      </c>
      <c r="AT109" s="107" t="s">
        <v>3951</v>
      </c>
      <c r="AU109" s="94" t="s">
        <v>2107</v>
      </c>
    </row>
    <row r="110" spans="1:47" hidden="1">
      <c r="A110" s="107" t="s">
        <v>3952</v>
      </c>
      <c r="B110" s="107" t="s">
        <v>160</v>
      </c>
      <c r="C110" s="107" t="s">
        <v>73</v>
      </c>
      <c r="D110" s="107" t="s">
        <v>3953</v>
      </c>
      <c r="E110" s="107" t="s">
        <v>162</v>
      </c>
      <c r="F110" s="107" t="s">
        <v>3954</v>
      </c>
      <c r="G110" s="107" t="s">
        <v>3955</v>
      </c>
      <c r="H110" s="107" t="s">
        <v>165</v>
      </c>
      <c r="I110" s="107">
        <v>202605.5</v>
      </c>
      <c r="J110" s="175" t="s">
        <v>3213</v>
      </c>
      <c r="K110" s="107" t="s">
        <v>73</v>
      </c>
      <c r="L110" s="107" t="s">
        <v>3956</v>
      </c>
      <c r="M110" s="107" t="s">
        <v>3957</v>
      </c>
      <c r="N110" s="104" t="s">
        <v>3958</v>
      </c>
      <c r="O110" s="105"/>
      <c r="P110" s="176" t="s">
        <v>138</v>
      </c>
      <c r="Q110" s="177" t="s">
        <v>100</v>
      </c>
      <c r="R110" s="177" t="s">
        <v>262</v>
      </c>
      <c r="S110" s="177" t="s">
        <v>263</v>
      </c>
      <c r="T110" s="177" t="s">
        <v>103</v>
      </c>
      <c r="U110" s="177" t="s">
        <v>264</v>
      </c>
      <c r="V110" s="171" t="s">
        <v>264</v>
      </c>
      <c r="W110" s="172" t="s">
        <v>17</v>
      </c>
      <c r="X110" s="106" t="s">
        <v>172</v>
      </c>
      <c r="Y110" s="105" t="s">
        <v>173</v>
      </c>
      <c r="Z110" s="105" t="s">
        <v>174</v>
      </c>
      <c r="AA110" s="105" t="s">
        <v>175</v>
      </c>
      <c r="AB110" s="104">
        <f t="shared" si="9"/>
        <v>1</v>
      </c>
      <c r="AC110" s="104">
        <v>1</v>
      </c>
      <c r="AD110" s="104">
        <v>1</v>
      </c>
      <c r="AE110" s="106"/>
      <c r="AF110" s="106"/>
      <c r="AG110" s="106"/>
      <c r="AH110" s="104">
        <f t="shared" si="10"/>
        <v>0</v>
      </c>
      <c r="AI110" s="106"/>
      <c r="AJ110" s="106"/>
      <c r="AK110" s="106"/>
      <c r="AL110" s="106"/>
      <c r="AM110" s="104">
        <f t="shared" si="11"/>
        <v>0</v>
      </c>
      <c r="AN110" s="106"/>
      <c r="AO110" s="106"/>
      <c r="AP110" s="106"/>
      <c r="AQ110" s="106"/>
      <c r="AU110" s="94" t="s">
        <v>2110</v>
      </c>
    </row>
    <row r="111" spans="1:47">
      <c r="A111" s="107" t="s">
        <v>3959</v>
      </c>
      <c r="B111" s="107" t="s">
        <v>160</v>
      </c>
      <c r="C111" s="107" t="s">
        <v>73</v>
      </c>
      <c r="D111" s="107" t="s">
        <v>863</v>
      </c>
      <c r="E111" s="107" t="s">
        <v>162</v>
      </c>
      <c r="F111" s="107" t="s">
        <v>3960</v>
      </c>
      <c r="G111" s="107" t="s">
        <v>3961</v>
      </c>
      <c r="H111" s="107" t="s">
        <v>165</v>
      </c>
      <c r="I111" s="107">
        <v>202605.5</v>
      </c>
      <c r="J111" s="107">
        <v>5.29</v>
      </c>
      <c r="K111" s="107" t="s">
        <v>73</v>
      </c>
      <c r="L111" s="107" t="s">
        <v>3461</v>
      </c>
      <c r="M111" s="107" t="s">
        <v>3962</v>
      </c>
      <c r="N111" s="104" t="s">
        <v>3963</v>
      </c>
      <c r="O111" s="105"/>
      <c r="P111" s="176" t="s">
        <v>138</v>
      </c>
      <c r="Q111" s="177" t="s">
        <v>100</v>
      </c>
      <c r="R111" s="177" t="s">
        <v>262</v>
      </c>
      <c r="S111" s="177" t="s">
        <v>263</v>
      </c>
      <c r="T111" s="177" t="s">
        <v>103</v>
      </c>
      <c r="U111" s="177" t="s">
        <v>264</v>
      </c>
      <c r="V111" s="171" t="s">
        <v>264</v>
      </c>
      <c r="W111" s="184" t="s">
        <v>17</v>
      </c>
      <c r="X111" s="106" t="s">
        <v>172</v>
      </c>
      <c r="Y111" s="105" t="s">
        <v>173</v>
      </c>
      <c r="Z111" s="105" t="s">
        <v>174</v>
      </c>
      <c r="AA111" s="105" t="s">
        <v>175</v>
      </c>
      <c r="AB111" s="104">
        <f t="shared" si="9"/>
        <v>1</v>
      </c>
      <c r="AC111" s="104">
        <v>1</v>
      </c>
      <c r="AD111" s="104">
        <v>1</v>
      </c>
      <c r="AE111" s="104">
        <v>1</v>
      </c>
      <c r="AF111" s="106"/>
      <c r="AG111" s="106"/>
      <c r="AH111" s="104">
        <f t="shared" si="10"/>
        <v>1</v>
      </c>
      <c r="AI111" s="106"/>
      <c r="AJ111" s="106"/>
      <c r="AK111" s="104"/>
      <c r="AL111" s="104"/>
      <c r="AM111" s="104">
        <f t="shared" si="11"/>
        <v>1</v>
      </c>
      <c r="AN111" s="104">
        <v>1</v>
      </c>
      <c r="AO111" s="104">
        <v>1</v>
      </c>
      <c r="AP111" s="104">
        <v>1</v>
      </c>
      <c r="AQ111" s="104"/>
      <c r="AS111" s="99" t="s">
        <v>3592</v>
      </c>
      <c r="AT111" s="107" t="s">
        <v>3324</v>
      </c>
      <c r="AU111" s="94" t="s">
        <v>2160</v>
      </c>
    </row>
    <row r="112" spans="1:47">
      <c r="A112" s="107" t="s">
        <v>3964</v>
      </c>
      <c r="B112" s="107" t="s">
        <v>160</v>
      </c>
      <c r="C112" s="107" t="s">
        <v>73</v>
      </c>
      <c r="D112" s="107" t="s">
        <v>585</v>
      </c>
      <c r="E112" s="107" t="s">
        <v>162</v>
      </c>
      <c r="F112" s="107" t="s">
        <v>3965</v>
      </c>
      <c r="G112" s="107" t="s">
        <v>3966</v>
      </c>
      <c r="H112" s="107" t="s">
        <v>165</v>
      </c>
      <c r="I112" s="107">
        <v>202605.5</v>
      </c>
      <c r="J112" s="107">
        <v>5.29</v>
      </c>
      <c r="K112" s="107" t="s">
        <v>73</v>
      </c>
      <c r="L112" s="107" t="s">
        <v>3470</v>
      </c>
      <c r="M112" s="107" t="s">
        <v>3967</v>
      </c>
      <c r="N112" s="104" t="s">
        <v>3968</v>
      </c>
      <c r="O112" s="105"/>
      <c r="P112" s="176" t="s">
        <v>138</v>
      </c>
      <c r="Q112" s="177" t="s">
        <v>100</v>
      </c>
      <c r="R112" s="177" t="s">
        <v>262</v>
      </c>
      <c r="S112" s="177" t="s">
        <v>263</v>
      </c>
      <c r="T112" s="177" t="s">
        <v>103</v>
      </c>
      <c r="U112" s="177" t="s">
        <v>264</v>
      </c>
      <c r="V112" s="171" t="s">
        <v>264</v>
      </c>
      <c r="W112" s="172" t="s">
        <v>17</v>
      </c>
      <c r="X112" s="106" t="s">
        <v>172</v>
      </c>
      <c r="Y112" s="105" t="s">
        <v>173</v>
      </c>
      <c r="Z112" s="105" t="s">
        <v>174</v>
      </c>
      <c r="AA112" s="105" t="s">
        <v>175</v>
      </c>
      <c r="AB112" s="104">
        <f t="shared" si="9"/>
        <v>1</v>
      </c>
      <c r="AC112" s="104">
        <v>1</v>
      </c>
      <c r="AD112" s="104">
        <v>1</v>
      </c>
      <c r="AE112" s="104">
        <v>1</v>
      </c>
      <c r="AF112" s="106"/>
      <c r="AG112" s="106"/>
      <c r="AH112" s="104">
        <f t="shared" si="10"/>
        <v>1</v>
      </c>
      <c r="AI112" s="106"/>
      <c r="AJ112" s="106"/>
      <c r="AK112" s="104"/>
      <c r="AL112" s="104"/>
      <c r="AM112" s="104">
        <f t="shared" si="11"/>
        <v>1</v>
      </c>
      <c r="AN112" s="104">
        <v>1</v>
      </c>
      <c r="AO112" s="104">
        <v>1</v>
      </c>
      <c r="AP112" s="104">
        <v>1</v>
      </c>
      <c r="AQ112" s="104"/>
      <c r="AS112" s="99" t="s">
        <v>3148</v>
      </c>
      <c r="AT112" s="107" t="s">
        <v>3188</v>
      </c>
      <c r="AU112" s="94" t="s">
        <v>2163</v>
      </c>
    </row>
    <row r="113" spans="1:47">
      <c r="A113" s="107" t="s">
        <v>3969</v>
      </c>
      <c r="B113" s="107" t="s">
        <v>160</v>
      </c>
      <c r="C113" s="107" t="s">
        <v>73</v>
      </c>
      <c r="D113" s="107" t="s">
        <v>3970</v>
      </c>
      <c r="E113" s="107" t="s">
        <v>162</v>
      </c>
      <c r="F113" s="107" t="s">
        <v>3971</v>
      </c>
      <c r="G113" s="107" t="s">
        <v>3972</v>
      </c>
      <c r="H113" s="107" t="s">
        <v>165</v>
      </c>
      <c r="I113" s="107">
        <v>202605.5</v>
      </c>
      <c r="J113" s="107">
        <v>5.29</v>
      </c>
      <c r="K113" s="107" t="s">
        <v>73</v>
      </c>
      <c r="L113" s="107" t="s">
        <v>3479</v>
      </c>
      <c r="M113" s="107" t="s">
        <v>3973</v>
      </c>
      <c r="N113" s="104" t="s">
        <v>3974</v>
      </c>
      <c r="O113" s="105"/>
      <c r="P113" s="176" t="s">
        <v>138</v>
      </c>
      <c r="Q113" s="177" t="s">
        <v>100</v>
      </c>
      <c r="R113" s="177" t="s">
        <v>262</v>
      </c>
      <c r="S113" s="177" t="s">
        <v>263</v>
      </c>
      <c r="T113" s="177" t="s">
        <v>103</v>
      </c>
      <c r="U113" s="177" t="s">
        <v>264</v>
      </c>
      <c r="V113" s="171" t="s">
        <v>264</v>
      </c>
      <c r="W113" s="172" t="s">
        <v>17</v>
      </c>
      <c r="X113" s="106" t="s">
        <v>172</v>
      </c>
      <c r="Y113" s="105" t="s">
        <v>173</v>
      </c>
      <c r="Z113" s="105" t="s">
        <v>174</v>
      </c>
      <c r="AA113" s="105" t="s">
        <v>175</v>
      </c>
      <c r="AB113" s="104">
        <f t="shared" si="9"/>
        <v>1</v>
      </c>
      <c r="AC113" s="104">
        <v>1</v>
      </c>
      <c r="AD113" s="104">
        <v>1</v>
      </c>
      <c r="AE113" s="104">
        <v>1</v>
      </c>
      <c r="AF113" s="106"/>
      <c r="AG113" s="106"/>
      <c r="AH113" s="104">
        <f t="shared" si="10"/>
        <v>1</v>
      </c>
      <c r="AI113" s="106"/>
      <c r="AJ113" s="106"/>
      <c r="AK113" s="104"/>
      <c r="AL113" s="104"/>
      <c r="AM113" s="104">
        <f t="shared" si="11"/>
        <v>1</v>
      </c>
      <c r="AN113" s="104">
        <v>1</v>
      </c>
      <c r="AO113" s="104">
        <v>1</v>
      </c>
      <c r="AP113" s="104">
        <v>1</v>
      </c>
      <c r="AQ113" s="104"/>
      <c r="AS113" s="99" t="s">
        <v>3448</v>
      </c>
      <c r="AT113" s="107" t="s">
        <v>3270</v>
      </c>
      <c r="AU113" s="94" t="s">
        <v>2114</v>
      </c>
    </row>
    <row r="114" spans="1:47">
      <c r="A114" s="107" t="s">
        <v>3975</v>
      </c>
      <c r="B114" s="107" t="s">
        <v>160</v>
      </c>
      <c r="C114" s="107" t="s">
        <v>73</v>
      </c>
      <c r="D114" s="107" t="s">
        <v>3976</v>
      </c>
      <c r="E114" s="107" t="s">
        <v>162</v>
      </c>
      <c r="F114" s="107" t="s">
        <v>3977</v>
      </c>
      <c r="G114" s="107" t="s">
        <v>3978</v>
      </c>
      <c r="H114" s="107" t="s">
        <v>165</v>
      </c>
      <c r="I114" s="107">
        <v>202605.5</v>
      </c>
      <c r="J114" s="107">
        <v>5.29</v>
      </c>
      <c r="K114" s="107" t="s">
        <v>73</v>
      </c>
      <c r="L114" s="107" t="s">
        <v>3488</v>
      </c>
      <c r="M114" s="107" t="s">
        <v>3979</v>
      </c>
      <c r="N114" s="104" t="s">
        <v>3980</v>
      </c>
      <c r="O114" s="105"/>
      <c r="P114" s="176" t="s">
        <v>138</v>
      </c>
      <c r="Q114" s="177" t="s">
        <v>100</v>
      </c>
      <c r="R114" s="177" t="s">
        <v>262</v>
      </c>
      <c r="S114" s="177" t="s">
        <v>263</v>
      </c>
      <c r="T114" s="177" t="s">
        <v>103</v>
      </c>
      <c r="U114" s="177" t="s">
        <v>264</v>
      </c>
      <c r="V114" s="171" t="s">
        <v>264</v>
      </c>
      <c r="W114" s="172" t="s">
        <v>17</v>
      </c>
      <c r="X114" s="106" t="s">
        <v>172</v>
      </c>
      <c r="Y114" s="105" t="s">
        <v>173</v>
      </c>
      <c r="Z114" s="105" t="s">
        <v>174</v>
      </c>
      <c r="AA114" s="105" t="s">
        <v>175</v>
      </c>
      <c r="AB114" s="104">
        <f t="shared" si="9"/>
        <v>1</v>
      </c>
      <c r="AC114" s="104">
        <v>1</v>
      </c>
      <c r="AD114" s="104">
        <v>1</v>
      </c>
      <c r="AE114" s="104">
        <v>1</v>
      </c>
      <c r="AF114" s="106"/>
      <c r="AG114" s="106"/>
      <c r="AH114" s="104">
        <f t="shared" si="10"/>
        <v>1</v>
      </c>
      <c r="AI114" s="106"/>
      <c r="AJ114" s="106"/>
      <c r="AK114" s="104"/>
      <c r="AL114" s="104"/>
      <c r="AM114" s="104">
        <f t="shared" si="11"/>
        <v>1</v>
      </c>
      <c r="AN114" s="104">
        <v>1</v>
      </c>
      <c r="AO114" s="104">
        <v>1</v>
      </c>
      <c r="AP114" s="104">
        <v>1</v>
      </c>
      <c r="AQ114" s="104"/>
      <c r="AS114" s="99" t="s">
        <v>3761</v>
      </c>
      <c r="AT114" s="107" t="s">
        <v>3981</v>
      </c>
      <c r="AU114" s="94" t="s">
        <v>2117</v>
      </c>
    </row>
    <row r="115" spans="1:47">
      <c r="A115" s="107" t="s">
        <v>3982</v>
      </c>
      <c r="B115" s="107" t="s">
        <v>160</v>
      </c>
      <c r="C115" s="107" t="s">
        <v>73</v>
      </c>
      <c r="D115" s="107" t="s">
        <v>3983</v>
      </c>
      <c r="E115" s="107" t="s">
        <v>499</v>
      </c>
      <c r="F115" s="107" t="s">
        <v>3984</v>
      </c>
      <c r="G115" s="107" t="s">
        <v>3985</v>
      </c>
      <c r="H115" s="107" t="s">
        <v>165</v>
      </c>
      <c r="I115" s="107">
        <v>202605.5</v>
      </c>
      <c r="J115" s="107">
        <v>5.29</v>
      </c>
      <c r="K115" s="107" t="s">
        <v>73</v>
      </c>
      <c r="L115" s="107" t="s">
        <v>3497</v>
      </c>
      <c r="M115" s="107" t="s">
        <v>3986</v>
      </c>
      <c r="N115" s="104" t="s">
        <v>3987</v>
      </c>
      <c r="O115" s="105"/>
      <c r="P115" s="176" t="s">
        <v>138</v>
      </c>
      <c r="Q115" s="177" t="s">
        <v>100</v>
      </c>
      <c r="R115" s="177" t="s">
        <v>262</v>
      </c>
      <c r="S115" s="177" t="s">
        <v>263</v>
      </c>
      <c r="T115" s="177" t="s">
        <v>103</v>
      </c>
      <c r="U115" s="177" t="s">
        <v>264</v>
      </c>
      <c r="V115" s="171" t="s">
        <v>264</v>
      </c>
      <c r="W115" s="172" t="s">
        <v>17</v>
      </c>
      <c r="X115" s="106" t="s">
        <v>172</v>
      </c>
      <c r="Y115" s="105" t="s">
        <v>173</v>
      </c>
      <c r="Z115" s="105" t="s">
        <v>174</v>
      </c>
      <c r="AA115" s="105" t="s">
        <v>175</v>
      </c>
      <c r="AB115" s="104">
        <f t="shared" si="9"/>
        <v>1</v>
      </c>
      <c r="AC115" s="104">
        <v>1</v>
      </c>
      <c r="AD115" s="104">
        <v>1</v>
      </c>
      <c r="AE115" s="104">
        <v>1</v>
      </c>
      <c r="AF115" s="106"/>
      <c r="AG115" s="106"/>
      <c r="AH115" s="104">
        <f t="shared" si="10"/>
        <v>1</v>
      </c>
      <c r="AI115" s="106"/>
      <c r="AJ115" s="106"/>
      <c r="AK115" s="104"/>
      <c r="AL115" s="104"/>
      <c r="AM115" s="104">
        <f t="shared" si="11"/>
        <v>1</v>
      </c>
      <c r="AN115" s="104">
        <v>1</v>
      </c>
      <c r="AO115" s="104">
        <v>1</v>
      </c>
      <c r="AP115" s="104">
        <v>1</v>
      </c>
      <c r="AQ115" s="104"/>
      <c r="AS115" s="99" t="s">
        <v>3526</v>
      </c>
      <c r="AT115" s="107" t="s">
        <v>3178</v>
      </c>
      <c r="AU115" s="94" t="s">
        <v>2243</v>
      </c>
    </row>
    <row r="116" spans="1:47">
      <c r="A116" s="107" t="s">
        <v>3988</v>
      </c>
      <c r="B116" s="107" t="s">
        <v>160</v>
      </c>
      <c r="C116" s="107" t="s">
        <v>73</v>
      </c>
      <c r="D116" s="107" t="s">
        <v>3989</v>
      </c>
      <c r="E116" s="107" t="s">
        <v>162</v>
      </c>
      <c r="F116" s="107" t="s">
        <v>3990</v>
      </c>
      <c r="G116" s="107" t="s">
        <v>3991</v>
      </c>
      <c r="H116" s="107" t="s">
        <v>165</v>
      </c>
      <c r="I116" s="107">
        <v>202605.5</v>
      </c>
      <c r="J116" s="107">
        <v>5.29</v>
      </c>
      <c r="K116" s="107" t="s">
        <v>73</v>
      </c>
      <c r="L116" s="107" t="s">
        <v>3505</v>
      </c>
      <c r="M116" s="107" t="s">
        <v>3992</v>
      </c>
      <c r="N116" s="104" t="s">
        <v>3993</v>
      </c>
      <c r="O116" s="105"/>
      <c r="P116" s="176" t="s">
        <v>138</v>
      </c>
      <c r="Q116" s="177" t="s">
        <v>100</v>
      </c>
      <c r="R116" s="177" t="s">
        <v>262</v>
      </c>
      <c r="S116" s="177" t="s">
        <v>263</v>
      </c>
      <c r="T116" s="177" t="s">
        <v>103</v>
      </c>
      <c r="U116" s="177" t="s">
        <v>264</v>
      </c>
      <c r="V116" s="171" t="s">
        <v>264</v>
      </c>
      <c r="W116" s="172" t="s">
        <v>17</v>
      </c>
      <c r="X116" s="106" t="s">
        <v>172</v>
      </c>
      <c r="Y116" s="105" t="s">
        <v>173</v>
      </c>
      <c r="Z116" s="105" t="s">
        <v>174</v>
      </c>
      <c r="AA116" s="105" t="s">
        <v>175</v>
      </c>
      <c r="AB116" s="104">
        <f t="shared" si="9"/>
        <v>1</v>
      </c>
      <c r="AC116" s="104">
        <v>1</v>
      </c>
      <c r="AD116" s="104">
        <v>1</v>
      </c>
      <c r="AE116" s="104">
        <v>1</v>
      </c>
      <c r="AF116" s="106"/>
      <c r="AG116" s="106"/>
      <c r="AH116" s="104">
        <f t="shared" si="10"/>
        <v>1</v>
      </c>
      <c r="AI116" s="106"/>
      <c r="AJ116" s="106"/>
      <c r="AK116" s="104"/>
      <c r="AL116" s="104"/>
      <c r="AM116" s="104">
        <f t="shared" si="11"/>
        <v>1</v>
      </c>
      <c r="AN116" s="104">
        <v>1</v>
      </c>
      <c r="AO116" s="104">
        <v>1</v>
      </c>
      <c r="AP116" s="104">
        <v>1</v>
      </c>
      <c r="AQ116" s="104"/>
      <c r="AS116" s="99" t="s">
        <v>3393</v>
      </c>
      <c r="AT116" s="107" t="s">
        <v>3994</v>
      </c>
      <c r="AU116" s="94" t="s">
        <v>2246</v>
      </c>
    </row>
    <row r="117" spans="1:47">
      <c r="A117" s="107" t="s">
        <v>3995</v>
      </c>
      <c r="B117" s="107" t="s">
        <v>160</v>
      </c>
      <c r="C117" s="107" t="s">
        <v>73</v>
      </c>
      <c r="D117" s="107" t="s">
        <v>3996</v>
      </c>
      <c r="E117" s="107" t="s">
        <v>162</v>
      </c>
      <c r="F117" s="107" t="s">
        <v>3997</v>
      </c>
      <c r="G117" s="107" t="s">
        <v>3998</v>
      </c>
      <c r="H117" s="107" t="s">
        <v>165</v>
      </c>
      <c r="I117" s="107">
        <v>202605.5</v>
      </c>
      <c r="J117" s="107">
        <v>5.29</v>
      </c>
      <c r="K117" s="107" t="s">
        <v>73</v>
      </c>
      <c r="L117" s="107" t="s">
        <v>3513</v>
      </c>
      <c r="M117" s="107" t="s">
        <v>3999</v>
      </c>
      <c r="N117" s="104" t="s">
        <v>4000</v>
      </c>
      <c r="O117" s="105"/>
      <c r="P117" s="176" t="s">
        <v>138</v>
      </c>
      <c r="Q117" s="177" t="s">
        <v>100</v>
      </c>
      <c r="R117" s="177" t="s">
        <v>262</v>
      </c>
      <c r="S117" s="177" t="s">
        <v>263</v>
      </c>
      <c r="T117" s="177" t="s">
        <v>103</v>
      </c>
      <c r="U117" s="177" t="s">
        <v>264</v>
      </c>
      <c r="V117" s="171" t="s">
        <v>264</v>
      </c>
      <c r="W117" s="172" t="s">
        <v>17</v>
      </c>
      <c r="X117" s="106" t="s">
        <v>172</v>
      </c>
      <c r="Y117" s="105" t="s">
        <v>173</v>
      </c>
      <c r="Z117" s="105" t="s">
        <v>174</v>
      </c>
      <c r="AA117" s="105" t="s">
        <v>175</v>
      </c>
      <c r="AB117" s="104">
        <f t="shared" si="9"/>
        <v>1</v>
      </c>
      <c r="AC117" s="104">
        <v>1</v>
      </c>
      <c r="AD117" s="104">
        <v>1</v>
      </c>
      <c r="AE117" s="104">
        <v>1</v>
      </c>
      <c r="AF117" s="106"/>
      <c r="AG117" s="106"/>
      <c r="AH117" s="104">
        <f t="shared" si="10"/>
        <v>1</v>
      </c>
      <c r="AI117" s="106"/>
      <c r="AJ117" s="106"/>
      <c r="AK117" s="104"/>
      <c r="AL117" s="104"/>
      <c r="AM117" s="104">
        <f t="shared" si="11"/>
        <v>1</v>
      </c>
      <c r="AN117" s="104">
        <v>1</v>
      </c>
      <c r="AO117" s="104">
        <v>1</v>
      </c>
      <c r="AP117" s="104">
        <v>1</v>
      </c>
      <c r="AQ117" s="104"/>
      <c r="AS117" s="99" t="s">
        <v>3301</v>
      </c>
      <c r="AT117" s="107" t="s">
        <v>3313</v>
      </c>
      <c r="AU117" s="94" t="s">
        <v>3537</v>
      </c>
    </row>
    <row r="118" spans="1:47">
      <c r="A118" s="107" t="s">
        <v>4001</v>
      </c>
      <c r="B118" s="107" t="s">
        <v>160</v>
      </c>
      <c r="C118" s="107" t="s">
        <v>73</v>
      </c>
      <c r="D118" s="107" t="s">
        <v>683</v>
      </c>
      <c r="E118" s="107" t="s">
        <v>162</v>
      </c>
      <c r="F118" s="107" t="s">
        <v>4002</v>
      </c>
      <c r="G118" s="107" t="s">
        <v>4003</v>
      </c>
      <c r="H118" s="107" t="s">
        <v>165</v>
      </c>
      <c r="I118" s="107">
        <v>202605.5</v>
      </c>
      <c r="J118" s="107">
        <v>5.29</v>
      </c>
      <c r="K118" s="107" t="s">
        <v>73</v>
      </c>
      <c r="L118" s="107" t="s">
        <v>3521</v>
      </c>
      <c r="M118" s="107" t="s">
        <v>4004</v>
      </c>
      <c r="N118" s="104" t="s">
        <v>4005</v>
      </c>
      <c r="O118" s="105"/>
      <c r="P118" s="176" t="s">
        <v>138</v>
      </c>
      <c r="Q118" s="177" t="s">
        <v>100</v>
      </c>
      <c r="R118" s="177" t="s">
        <v>262</v>
      </c>
      <c r="S118" s="177" t="s">
        <v>584</v>
      </c>
      <c r="T118" s="177" t="s">
        <v>103</v>
      </c>
      <c r="U118" s="177" t="s">
        <v>264</v>
      </c>
      <c r="V118" s="171" t="s">
        <v>264</v>
      </c>
      <c r="W118" s="172" t="s">
        <v>17</v>
      </c>
      <c r="X118" s="106" t="s">
        <v>172</v>
      </c>
      <c r="Y118" s="105" t="s">
        <v>173</v>
      </c>
      <c r="Z118" s="105" t="s">
        <v>174</v>
      </c>
      <c r="AA118" s="105" t="s">
        <v>175</v>
      </c>
      <c r="AB118" s="104">
        <f t="shared" si="9"/>
        <v>1</v>
      </c>
      <c r="AC118" s="104">
        <v>1</v>
      </c>
      <c r="AD118" s="104">
        <v>1</v>
      </c>
      <c r="AE118" s="104">
        <v>1</v>
      </c>
      <c r="AF118" s="106"/>
      <c r="AG118" s="106"/>
      <c r="AH118" s="104">
        <f t="shared" si="10"/>
        <v>1</v>
      </c>
      <c r="AI118" s="106"/>
      <c r="AJ118" s="106"/>
      <c r="AK118" s="104"/>
      <c r="AL118" s="104"/>
      <c r="AM118" s="104">
        <f t="shared" si="11"/>
        <v>1</v>
      </c>
      <c r="AN118" s="104">
        <v>1</v>
      </c>
      <c r="AO118" s="104">
        <v>1</v>
      </c>
      <c r="AP118" s="104">
        <v>1</v>
      </c>
      <c r="AQ118" s="104"/>
      <c r="AS118" s="99" t="s">
        <v>3195</v>
      </c>
      <c r="AT118" s="107" t="s">
        <v>3304</v>
      </c>
      <c r="AU118" s="94" t="s">
        <v>3507</v>
      </c>
    </row>
    <row r="119" spans="1:47">
      <c r="A119" s="107" t="s">
        <v>4006</v>
      </c>
      <c r="B119" s="107" t="s">
        <v>160</v>
      </c>
      <c r="C119" s="107" t="s">
        <v>73</v>
      </c>
      <c r="D119" s="107" t="s">
        <v>4007</v>
      </c>
      <c r="E119" s="107" t="s">
        <v>162</v>
      </c>
      <c r="F119" s="107" t="s">
        <v>4008</v>
      </c>
      <c r="G119" s="107" t="s">
        <v>4009</v>
      </c>
      <c r="H119" s="107" t="s">
        <v>165</v>
      </c>
      <c r="I119" s="107">
        <v>202605.5</v>
      </c>
      <c r="J119" s="107">
        <v>5.29</v>
      </c>
      <c r="K119" s="107" t="s">
        <v>73</v>
      </c>
      <c r="L119" s="107" t="s">
        <v>3529</v>
      </c>
      <c r="M119" s="107" t="s">
        <v>4010</v>
      </c>
      <c r="N119" s="104" t="s">
        <v>4011</v>
      </c>
      <c r="O119" s="105"/>
      <c r="P119" s="176" t="s">
        <v>138</v>
      </c>
      <c r="Q119" s="177" t="s">
        <v>100</v>
      </c>
      <c r="R119" s="177" t="s">
        <v>262</v>
      </c>
      <c r="S119" s="177" t="s">
        <v>584</v>
      </c>
      <c r="T119" s="177" t="s">
        <v>103</v>
      </c>
      <c r="U119" s="177" t="s">
        <v>264</v>
      </c>
      <c r="V119" s="171" t="s">
        <v>264</v>
      </c>
      <c r="W119" s="172" t="s">
        <v>17</v>
      </c>
      <c r="X119" s="106" t="s">
        <v>172</v>
      </c>
      <c r="Y119" s="105" t="s">
        <v>173</v>
      </c>
      <c r="Z119" s="105" t="s">
        <v>174</v>
      </c>
      <c r="AA119" s="105" t="s">
        <v>175</v>
      </c>
      <c r="AB119" s="104">
        <f t="shared" si="9"/>
        <v>1</v>
      </c>
      <c r="AC119" s="104">
        <v>1</v>
      </c>
      <c r="AD119" s="104">
        <v>1</v>
      </c>
      <c r="AE119" s="104">
        <v>1</v>
      </c>
      <c r="AF119" s="106"/>
      <c r="AG119" s="106"/>
      <c r="AH119" s="104">
        <f t="shared" si="10"/>
        <v>1</v>
      </c>
      <c r="AI119" s="106"/>
      <c r="AJ119" s="106"/>
      <c r="AK119" s="104"/>
      <c r="AL119" s="104"/>
      <c r="AM119" s="104">
        <f t="shared" si="11"/>
        <v>1</v>
      </c>
      <c r="AN119" s="104">
        <v>1</v>
      </c>
      <c r="AO119" s="104">
        <v>1</v>
      </c>
      <c r="AP119" s="104">
        <v>1</v>
      </c>
      <c r="AQ119" s="104"/>
      <c r="AS119" s="99" t="s">
        <v>3466</v>
      </c>
      <c r="AT119" s="107" t="s">
        <v>3142</v>
      </c>
      <c r="AU119" s="94" t="s">
        <v>683</v>
      </c>
    </row>
    <row r="120" spans="1:47">
      <c r="A120" s="107" t="s">
        <v>4012</v>
      </c>
      <c r="B120" s="107" t="s">
        <v>160</v>
      </c>
      <c r="C120" s="107" t="s">
        <v>73</v>
      </c>
      <c r="D120" s="107" t="s">
        <v>4013</v>
      </c>
      <c r="E120" s="107" t="s">
        <v>162</v>
      </c>
      <c r="F120" s="107" t="s">
        <v>4014</v>
      </c>
      <c r="G120" s="107" t="s">
        <v>4015</v>
      </c>
      <c r="H120" s="107" t="s">
        <v>165</v>
      </c>
      <c r="I120" s="107">
        <v>202605.5</v>
      </c>
      <c r="J120" s="107">
        <v>5.29</v>
      </c>
      <c r="K120" s="107" t="s">
        <v>73</v>
      </c>
      <c r="L120" s="107" t="s">
        <v>3544</v>
      </c>
      <c r="M120" s="107" t="s">
        <v>4016</v>
      </c>
      <c r="N120" s="104" t="s">
        <v>4017</v>
      </c>
      <c r="O120" s="105"/>
      <c r="P120" s="176" t="s">
        <v>138</v>
      </c>
      <c r="Q120" s="177" t="s">
        <v>100</v>
      </c>
      <c r="R120" s="177" t="s">
        <v>262</v>
      </c>
      <c r="S120" s="177" t="s">
        <v>584</v>
      </c>
      <c r="T120" s="177" t="s">
        <v>103</v>
      </c>
      <c r="U120" s="177" t="s">
        <v>264</v>
      </c>
      <c r="V120" s="171" t="s">
        <v>264</v>
      </c>
      <c r="W120" s="172" t="s">
        <v>17</v>
      </c>
      <c r="X120" s="106" t="s">
        <v>172</v>
      </c>
      <c r="Y120" s="105" t="s">
        <v>173</v>
      </c>
      <c r="Z120" s="105" t="s">
        <v>174</v>
      </c>
      <c r="AA120" s="105" t="s">
        <v>175</v>
      </c>
      <c r="AB120" s="104">
        <f t="shared" si="9"/>
        <v>1</v>
      </c>
      <c r="AC120" s="104">
        <v>1</v>
      </c>
      <c r="AD120" s="104">
        <v>1</v>
      </c>
      <c r="AE120" s="104">
        <v>1</v>
      </c>
      <c r="AF120" s="106"/>
      <c r="AG120" s="106"/>
      <c r="AH120" s="104">
        <f t="shared" si="10"/>
        <v>1</v>
      </c>
      <c r="AI120" s="106"/>
      <c r="AJ120" s="106"/>
      <c r="AK120" s="104"/>
      <c r="AL120" s="104"/>
      <c r="AM120" s="104">
        <f t="shared" si="11"/>
        <v>1</v>
      </c>
      <c r="AN120" s="104">
        <v>1</v>
      </c>
      <c r="AO120" s="104">
        <v>1</v>
      </c>
      <c r="AP120" s="104">
        <v>1</v>
      </c>
      <c r="AQ120" s="104"/>
      <c r="AS120" s="99" t="s">
        <v>3484</v>
      </c>
      <c r="AT120" s="107" t="s">
        <v>3261</v>
      </c>
      <c r="AU120" s="94" t="s">
        <v>2287</v>
      </c>
    </row>
    <row r="121" spans="1:47">
      <c r="A121" s="107" t="s">
        <v>4018</v>
      </c>
      <c r="B121" s="107" t="s">
        <v>160</v>
      </c>
      <c r="C121" s="107" t="s">
        <v>73</v>
      </c>
      <c r="D121" s="107" t="s">
        <v>4019</v>
      </c>
      <c r="E121" s="107" t="s">
        <v>162</v>
      </c>
      <c r="F121" s="107" t="s">
        <v>4020</v>
      </c>
      <c r="G121" s="107" t="s">
        <v>4021</v>
      </c>
      <c r="H121" s="107" t="s">
        <v>165</v>
      </c>
      <c r="I121" s="107">
        <v>202605.5</v>
      </c>
      <c r="J121" s="107">
        <v>5.29</v>
      </c>
      <c r="K121" s="107" t="s">
        <v>73</v>
      </c>
      <c r="L121" s="107" t="s">
        <v>3553</v>
      </c>
      <c r="M121" s="107" t="s">
        <v>4022</v>
      </c>
      <c r="N121" s="104" t="s">
        <v>4023</v>
      </c>
      <c r="O121" s="105"/>
      <c r="P121" s="176" t="s">
        <v>138</v>
      </c>
      <c r="Q121" s="177" t="s">
        <v>100</v>
      </c>
      <c r="R121" s="177" t="s">
        <v>262</v>
      </c>
      <c r="S121" s="177" t="s">
        <v>584</v>
      </c>
      <c r="T121" s="177" t="s">
        <v>103</v>
      </c>
      <c r="U121" s="177" t="s">
        <v>264</v>
      </c>
      <c r="V121" s="171" t="s">
        <v>264</v>
      </c>
      <c r="W121" s="172" t="s">
        <v>17</v>
      </c>
      <c r="X121" s="106" t="s">
        <v>172</v>
      </c>
      <c r="Y121" s="105" t="s">
        <v>173</v>
      </c>
      <c r="Z121" s="105" t="s">
        <v>174</v>
      </c>
      <c r="AA121" s="105" t="s">
        <v>175</v>
      </c>
      <c r="AB121" s="104">
        <f t="shared" si="9"/>
        <v>1</v>
      </c>
      <c r="AC121" s="104">
        <v>1</v>
      </c>
      <c r="AD121" s="104">
        <v>1</v>
      </c>
      <c r="AE121" s="104">
        <v>1</v>
      </c>
      <c r="AF121" s="106"/>
      <c r="AG121" s="106"/>
      <c r="AH121" s="104">
        <f t="shared" si="10"/>
        <v>1</v>
      </c>
      <c r="AI121" s="106"/>
      <c r="AJ121" s="106"/>
      <c r="AK121" s="104"/>
      <c r="AL121" s="104"/>
      <c r="AM121" s="104">
        <f t="shared" si="11"/>
        <v>1</v>
      </c>
      <c r="AN121" s="104">
        <v>1</v>
      </c>
      <c r="AO121" s="104">
        <v>1</v>
      </c>
      <c r="AP121" s="104">
        <v>1</v>
      </c>
      <c r="AQ121" s="104"/>
      <c r="AS121" s="99" t="s">
        <v>3166</v>
      </c>
      <c r="AT121" s="107" t="s">
        <v>4024</v>
      </c>
      <c r="AU121" s="94" t="s">
        <v>2290</v>
      </c>
    </row>
    <row r="122" spans="1:47">
      <c r="A122" s="107" t="s">
        <v>4025</v>
      </c>
      <c r="B122" s="107" t="s">
        <v>160</v>
      </c>
      <c r="C122" s="107" t="s">
        <v>73</v>
      </c>
      <c r="D122" s="107" t="s">
        <v>4026</v>
      </c>
      <c r="E122" s="107" t="s">
        <v>499</v>
      </c>
      <c r="F122" s="107" t="s">
        <v>4027</v>
      </c>
      <c r="G122" s="107" t="s">
        <v>4028</v>
      </c>
      <c r="H122" s="107" t="s">
        <v>165</v>
      </c>
      <c r="I122" s="107">
        <v>202605.5</v>
      </c>
      <c r="J122" s="107">
        <v>5.29</v>
      </c>
      <c r="K122" s="107" t="s">
        <v>73</v>
      </c>
      <c r="L122" s="107" t="s">
        <v>3561</v>
      </c>
      <c r="M122" s="107" t="s">
        <v>4029</v>
      </c>
      <c r="N122" s="104" t="s">
        <v>4030</v>
      </c>
      <c r="O122" s="105"/>
      <c r="P122" s="176" t="s">
        <v>138</v>
      </c>
      <c r="Q122" s="177" t="s">
        <v>100</v>
      </c>
      <c r="R122" s="177" t="s">
        <v>262</v>
      </c>
      <c r="S122" s="177" t="s">
        <v>584</v>
      </c>
      <c r="T122" s="177" t="s">
        <v>103</v>
      </c>
      <c r="U122" s="177" t="s">
        <v>264</v>
      </c>
      <c r="V122" s="171" t="s">
        <v>264</v>
      </c>
      <c r="W122" s="172" t="s">
        <v>17</v>
      </c>
      <c r="X122" s="106" t="s">
        <v>172</v>
      </c>
      <c r="Y122" s="105" t="s">
        <v>173</v>
      </c>
      <c r="Z122" s="105" t="s">
        <v>174</v>
      </c>
      <c r="AA122" s="105" t="s">
        <v>175</v>
      </c>
      <c r="AB122" s="104">
        <f t="shared" si="9"/>
        <v>1</v>
      </c>
      <c r="AC122" s="104">
        <v>1</v>
      </c>
      <c r="AD122" s="104">
        <v>1</v>
      </c>
      <c r="AE122" s="104">
        <v>1</v>
      </c>
      <c r="AF122" s="106"/>
      <c r="AG122" s="106"/>
      <c r="AH122" s="104">
        <f t="shared" si="10"/>
        <v>1</v>
      </c>
      <c r="AI122" s="106"/>
      <c r="AJ122" s="106"/>
      <c r="AK122" s="104"/>
      <c r="AL122" s="104"/>
      <c r="AM122" s="104">
        <f t="shared" si="11"/>
        <v>1</v>
      </c>
      <c r="AN122" s="104">
        <v>1</v>
      </c>
      <c r="AO122" s="104">
        <v>1</v>
      </c>
      <c r="AP122" s="104">
        <v>1</v>
      </c>
      <c r="AQ122" s="104"/>
      <c r="AS122" s="99" t="s">
        <v>3518</v>
      </c>
      <c r="AT122" s="107" t="s">
        <v>3288</v>
      </c>
      <c r="AU122" s="94" t="s">
        <v>2276</v>
      </c>
    </row>
    <row r="123" spans="1:47">
      <c r="A123" s="107" t="s">
        <v>4031</v>
      </c>
      <c r="B123" s="107" t="s">
        <v>160</v>
      </c>
      <c r="C123" s="107" t="s">
        <v>73</v>
      </c>
      <c r="D123" s="107" t="s">
        <v>4032</v>
      </c>
      <c r="E123" s="107" t="s">
        <v>162</v>
      </c>
      <c r="F123" s="107" t="s">
        <v>4033</v>
      </c>
      <c r="G123" s="107" t="s">
        <v>4034</v>
      </c>
      <c r="H123" s="107" t="s">
        <v>165</v>
      </c>
      <c r="I123" s="107">
        <v>202605.5</v>
      </c>
      <c r="J123" s="107">
        <v>5.29</v>
      </c>
      <c r="K123" s="107" t="s">
        <v>73</v>
      </c>
      <c r="L123" s="107" t="s">
        <v>3570</v>
      </c>
      <c r="M123" s="107" t="s">
        <v>4035</v>
      </c>
      <c r="N123" s="104" t="s">
        <v>4036</v>
      </c>
      <c r="O123" s="105"/>
      <c r="P123" s="176" t="s">
        <v>138</v>
      </c>
      <c r="Q123" s="177" t="s">
        <v>100</v>
      </c>
      <c r="R123" s="177" t="s">
        <v>262</v>
      </c>
      <c r="S123" s="177" t="s">
        <v>584</v>
      </c>
      <c r="T123" s="177" t="s">
        <v>103</v>
      </c>
      <c r="U123" s="177" t="s">
        <v>264</v>
      </c>
      <c r="V123" s="171" t="s">
        <v>264</v>
      </c>
      <c r="W123" s="172" t="s">
        <v>17</v>
      </c>
      <c r="X123" s="106" t="s">
        <v>172</v>
      </c>
      <c r="Y123" s="105" t="s">
        <v>173</v>
      </c>
      <c r="Z123" s="105" t="s">
        <v>174</v>
      </c>
      <c r="AA123" s="105" t="s">
        <v>175</v>
      </c>
      <c r="AB123" s="104">
        <f t="shared" si="9"/>
        <v>1</v>
      </c>
      <c r="AC123" s="104">
        <v>1</v>
      </c>
      <c r="AD123" s="104">
        <v>1</v>
      </c>
      <c r="AE123" s="104">
        <v>1</v>
      </c>
      <c r="AF123" s="106"/>
      <c r="AG123" s="106"/>
      <c r="AH123" s="104">
        <f t="shared" si="10"/>
        <v>1</v>
      </c>
      <c r="AI123" s="106"/>
      <c r="AJ123" s="106"/>
      <c r="AK123" s="104"/>
      <c r="AL123" s="104"/>
      <c r="AM123" s="104">
        <f t="shared" si="11"/>
        <v>1</v>
      </c>
      <c r="AN123" s="104">
        <v>1</v>
      </c>
      <c r="AO123" s="104">
        <v>1</v>
      </c>
      <c r="AP123" s="104">
        <v>1</v>
      </c>
      <c r="AQ123" s="104"/>
      <c r="AS123" s="99" t="s">
        <v>3754</v>
      </c>
      <c r="AT123" s="107" t="s">
        <v>3279</v>
      </c>
      <c r="AU123" s="94" t="s">
        <v>2273</v>
      </c>
    </row>
    <row r="124" spans="1:47">
      <c r="A124" s="107" t="s">
        <v>4037</v>
      </c>
      <c r="B124" s="107" t="s">
        <v>160</v>
      </c>
      <c r="C124" s="107" t="s">
        <v>73</v>
      </c>
      <c r="D124" s="107" t="s">
        <v>4038</v>
      </c>
      <c r="E124" s="107" t="s">
        <v>162</v>
      </c>
      <c r="F124" s="107" t="s">
        <v>4039</v>
      </c>
      <c r="G124" s="107" t="s">
        <v>4040</v>
      </c>
      <c r="H124" s="107" t="s">
        <v>165</v>
      </c>
      <c r="I124" s="107">
        <v>202605.5</v>
      </c>
      <c r="J124" s="107">
        <v>5.29</v>
      </c>
      <c r="K124" s="107" t="s">
        <v>73</v>
      </c>
      <c r="L124" s="107" t="s">
        <v>3578</v>
      </c>
      <c r="M124" s="107" t="s">
        <v>4041</v>
      </c>
      <c r="N124" s="104" t="s">
        <v>4042</v>
      </c>
      <c r="O124" s="105"/>
      <c r="P124" s="176" t="s">
        <v>138</v>
      </c>
      <c r="Q124" s="177" t="s">
        <v>100</v>
      </c>
      <c r="R124" s="177" t="s">
        <v>262</v>
      </c>
      <c r="S124" s="177" t="s">
        <v>584</v>
      </c>
      <c r="T124" s="177" t="s">
        <v>103</v>
      </c>
      <c r="U124" s="177" t="s">
        <v>264</v>
      </c>
      <c r="V124" s="171" t="s">
        <v>264</v>
      </c>
      <c r="W124" s="172" t="s">
        <v>17</v>
      </c>
      <c r="X124" s="106" t="s">
        <v>172</v>
      </c>
      <c r="Y124" s="105" t="s">
        <v>173</v>
      </c>
      <c r="Z124" s="105" t="s">
        <v>174</v>
      </c>
      <c r="AA124" s="105" t="s">
        <v>175</v>
      </c>
      <c r="AB124" s="104">
        <f t="shared" si="9"/>
        <v>1</v>
      </c>
      <c r="AC124" s="104">
        <v>1</v>
      </c>
      <c r="AD124" s="104">
        <v>1</v>
      </c>
      <c r="AE124" s="104">
        <v>1</v>
      </c>
      <c r="AF124" s="106"/>
      <c r="AG124" s="106"/>
      <c r="AH124" s="104">
        <f t="shared" si="10"/>
        <v>1</v>
      </c>
      <c r="AI124" s="106"/>
      <c r="AJ124" s="106"/>
      <c r="AK124" s="104"/>
      <c r="AL124" s="104"/>
      <c r="AM124" s="104">
        <f t="shared" si="11"/>
        <v>1</v>
      </c>
      <c r="AN124" s="104">
        <v>1</v>
      </c>
      <c r="AO124" s="104">
        <v>1</v>
      </c>
      <c r="AP124" s="104">
        <v>1</v>
      </c>
      <c r="AQ124" s="104"/>
      <c r="AS124" s="99" t="s">
        <v>3575</v>
      </c>
      <c r="AT124" s="107" t="s">
        <v>3169</v>
      </c>
      <c r="AU124" s="94" t="s">
        <v>3409</v>
      </c>
    </row>
    <row r="125" spans="1:47">
      <c r="A125" s="107" t="s">
        <v>4043</v>
      </c>
      <c r="B125" s="107" t="s">
        <v>160</v>
      </c>
      <c r="C125" s="107" t="s">
        <v>73</v>
      </c>
      <c r="D125" s="107" t="s">
        <v>4044</v>
      </c>
      <c r="E125" s="107" t="s">
        <v>162</v>
      </c>
      <c r="F125" s="107" t="s">
        <v>4045</v>
      </c>
      <c r="G125" s="107" t="s">
        <v>4046</v>
      </c>
      <c r="H125" s="107" t="s">
        <v>165</v>
      </c>
      <c r="I125" s="107">
        <v>202605.5</v>
      </c>
      <c r="J125" s="107">
        <v>5.29</v>
      </c>
      <c r="K125" s="107" t="s">
        <v>73</v>
      </c>
      <c r="L125" s="107" t="s">
        <v>3587</v>
      </c>
      <c r="M125" s="107" t="s">
        <v>4047</v>
      </c>
      <c r="N125" s="104" t="s">
        <v>4048</v>
      </c>
      <c r="O125" s="105"/>
      <c r="P125" s="176" t="s">
        <v>138</v>
      </c>
      <c r="Q125" s="177" t="s">
        <v>100</v>
      </c>
      <c r="R125" s="177" t="s">
        <v>262</v>
      </c>
      <c r="S125" s="177" t="s">
        <v>584</v>
      </c>
      <c r="T125" s="177" t="s">
        <v>103</v>
      </c>
      <c r="U125" s="177" t="s">
        <v>264</v>
      </c>
      <c r="V125" s="171" t="s">
        <v>264</v>
      </c>
      <c r="W125" s="172" t="s">
        <v>17</v>
      </c>
      <c r="X125" s="106" t="s">
        <v>172</v>
      </c>
      <c r="Y125" s="105" t="s">
        <v>173</v>
      </c>
      <c r="Z125" s="105" t="s">
        <v>174</v>
      </c>
      <c r="AA125" s="105" t="s">
        <v>175</v>
      </c>
      <c r="AB125" s="104">
        <f t="shared" si="9"/>
        <v>1</v>
      </c>
      <c r="AC125" s="104">
        <v>1</v>
      </c>
      <c r="AD125" s="104">
        <v>1</v>
      </c>
      <c r="AE125" s="104">
        <v>1</v>
      </c>
      <c r="AF125" s="106"/>
      <c r="AG125" s="106"/>
      <c r="AH125" s="104">
        <f t="shared" si="10"/>
        <v>1</v>
      </c>
      <c r="AI125" s="106"/>
      <c r="AJ125" s="106"/>
      <c r="AK125" s="104"/>
      <c r="AL125" s="104"/>
      <c r="AM125" s="104">
        <f t="shared" si="11"/>
        <v>1</v>
      </c>
      <c r="AN125" s="104">
        <v>1</v>
      </c>
      <c r="AO125" s="104">
        <v>1</v>
      </c>
      <c r="AP125" s="104">
        <v>1</v>
      </c>
      <c r="AQ125" s="104"/>
      <c r="AS125" s="99" t="s">
        <v>3493</v>
      </c>
      <c r="AT125" s="107" t="s">
        <v>3224</v>
      </c>
      <c r="AU125" s="94" t="s">
        <v>3427</v>
      </c>
    </row>
    <row r="126" spans="1:47">
      <c r="A126" s="107" t="s">
        <v>4049</v>
      </c>
      <c r="B126" s="107" t="s">
        <v>160</v>
      </c>
      <c r="C126" s="107" t="s">
        <v>73</v>
      </c>
      <c r="D126" s="107" t="s">
        <v>4050</v>
      </c>
      <c r="E126" s="107" t="s">
        <v>162</v>
      </c>
      <c r="F126" s="107" t="s">
        <v>4051</v>
      </c>
      <c r="G126" s="107" t="s">
        <v>4052</v>
      </c>
      <c r="H126" s="107" t="s">
        <v>165</v>
      </c>
      <c r="I126" s="107">
        <v>202605.5</v>
      </c>
      <c r="J126" s="107">
        <v>5.29</v>
      </c>
      <c r="K126" s="107" t="s">
        <v>73</v>
      </c>
      <c r="L126" s="107" t="s">
        <v>3552</v>
      </c>
      <c r="M126" s="107" t="s">
        <v>4053</v>
      </c>
      <c r="N126" s="104" t="s">
        <v>4054</v>
      </c>
      <c r="O126" s="105"/>
      <c r="P126" s="176" t="s">
        <v>138</v>
      </c>
      <c r="Q126" s="177" t="s">
        <v>100</v>
      </c>
      <c r="R126" s="177" t="s">
        <v>262</v>
      </c>
      <c r="S126" s="177" t="s">
        <v>584</v>
      </c>
      <c r="T126" s="177" t="s">
        <v>103</v>
      </c>
      <c r="U126" s="177" t="s">
        <v>264</v>
      </c>
      <c r="V126" s="171" t="s">
        <v>264</v>
      </c>
      <c r="W126" s="172" t="s">
        <v>17</v>
      </c>
      <c r="X126" s="106" t="s">
        <v>172</v>
      </c>
      <c r="Y126" s="105" t="s">
        <v>173</v>
      </c>
      <c r="Z126" s="105" t="s">
        <v>174</v>
      </c>
      <c r="AA126" s="105" t="s">
        <v>175</v>
      </c>
      <c r="AB126" s="104">
        <f t="shared" si="9"/>
        <v>1</v>
      </c>
      <c r="AC126" s="104">
        <v>1</v>
      </c>
      <c r="AD126" s="104">
        <v>1</v>
      </c>
      <c r="AE126" s="104">
        <v>1</v>
      </c>
      <c r="AF126" s="106"/>
      <c r="AG126" s="106"/>
      <c r="AH126" s="104">
        <f t="shared" si="10"/>
        <v>1</v>
      </c>
      <c r="AI126" s="106"/>
      <c r="AJ126" s="106"/>
      <c r="AK126" s="104"/>
      <c r="AL126" s="104"/>
      <c r="AM126" s="104">
        <f t="shared" si="11"/>
        <v>1</v>
      </c>
      <c r="AN126" s="104">
        <v>1</v>
      </c>
      <c r="AO126" s="104">
        <v>1</v>
      </c>
      <c r="AP126" s="104">
        <v>1</v>
      </c>
      <c r="AQ126" s="104"/>
      <c r="AR126" s="185" t="s">
        <v>4055</v>
      </c>
      <c r="AS126" s="99" t="s">
        <v>4056</v>
      </c>
      <c r="AT126" s="107" t="s">
        <v>3198</v>
      </c>
      <c r="AU126" s="94" t="s">
        <v>3417</v>
      </c>
    </row>
    <row r="127" spans="1:47">
      <c r="A127" s="107" t="s">
        <v>4057</v>
      </c>
      <c r="B127" s="107" t="s">
        <v>160</v>
      </c>
      <c r="C127" s="107" t="s">
        <v>73</v>
      </c>
      <c r="D127" s="107" t="s">
        <v>4058</v>
      </c>
      <c r="E127" s="107" t="s">
        <v>162</v>
      </c>
      <c r="F127" s="107" t="s">
        <v>4059</v>
      </c>
      <c r="G127" s="107" t="s">
        <v>4060</v>
      </c>
      <c r="H127" s="107" t="s">
        <v>165</v>
      </c>
      <c r="I127" s="107">
        <v>202605.5</v>
      </c>
      <c r="J127" s="107">
        <v>5.29</v>
      </c>
      <c r="K127" s="107" t="s">
        <v>73</v>
      </c>
      <c r="L127" s="107" t="s">
        <v>3601</v>
      </c>
      <c r="M127" s="107" t="s">
        <v>4061</v>
      </c>
      <c r="N127" s="104" t="s">
        <v>4062</v>
      </c>
      <c r="O127" s="105"/>
      <c r="P127" s="176" t="s">
        <v>138</v>
      </c>
      <c r="Q127" s="177" t="s">
        <v>100</v>
      </c>
      <c r="R127" s="177" t="s">
        <v>262</v>
      </c>
      <c r="S127" s="177" t="s">
        <v>584</v>
      </c>
      <c r="T127" s="177" t="s">
        <v>103</v>
      </c>
      <c r="U127" s="177" t="s">
        <v>264</v>
      </c>
      <c r="V127" s="171" t="s">
        <v>264</v>
      </c>
      <c r="W127" s="172" t="s">
        <v>17</v>
      </c>
      <c r="X127" s="106" t="s">
        <v>172</v>
      </c>
      <c r="Y127" s="105" t="s">
        <v>173</v>
      </c>
      <c r="Z127" s="105" t="s">
        <v>174</v>
      </c>
      <c r="AA127" s="105" t="s">
        <v>175</v>
      </c>
      <c r="AB127" s="104">
        <f t="shared" si="9"/>
        <v>1</v>
      </c>
      <c r="AC127" s="104">
        <v>1</v>
      </c>
      <c r="AD127" s="104">
        <v>1</v>
      </c>
      <c r="AE127" s="104">
        <v>1</v>
      </c>
      <c r="AF127" s="106"/>
      <c r="AG127" s="106"/>
      <c r="AH127" s="104">
        <f t="shared" si="10"/>
        <v>1</v>
      </c>
      <c r="AI127" s="106"/>
      <c r="AJ127" s="106"/>
      <c r="AK127" s="104"/>
      <c r="AL127" s="104"/>
      <c r="AM127" s="104">
        <f t="shared" si="11"/>
        <v>1</v>
      </c>
      <c r="AN127" s="104">
        <v>1</v>
      </c>
      <c r="AO127" s="104">
        <v>1</v>
      </c>
      <c r="AP127" s="104">
        <v>1</v>
      </c>
      <c r="AQ127" s="104"/>
      <c r="AS127" s="99" t="s">
        <v>4063</v>
      </c>
      <c r="AT127" s="107" t="s">
        <v>3234</v>
      </c>
      <c r="AU127" s="94" t="s">
        <v>2219</v>
      </c>
    </row>
    <row r="128" spans="1:47">
      <c r="A128" s="107" t="s">
        <v>4064</v>
      </c>
      <c r="B128" s="107" t="s">
        <v>160</v>
      </c>
      <c r="C128" s="107" t="s">
        <v>73</v>
      </c>
      <c r="D128" s="107" t="s">
        <v>4065</v>
      </c>
      <c r="E128" s="107" t="s">
        <v>162</v>
      </c>
      <c r="F128" s="107" t="s">
        <v>4066</v>
      </c>
      <c r="G128" s="107" t="s">
        <v>4067</v>
      </c>
      <c r="H128" s="107" t="s">
        <v>165</v>
      </c>
      <c r="I128" s="107">
        <v>202605.5</v>
      </c>
      <c r="J128" s="107">
        <v>5.29</v>
      </c>
      <c r="K128" s="107" t="s">
        <v>73</v>
      </c>
      <c r="L128" s="107" t="s">
        <v>3608</v>
      </c>
      <c r="M128" s="107" t="s">
        <v>4068</v>
      </c>
      <c r="N128" s="104" t="s">
        <v>4069</v>
      </c>
      <c r="O128" s="105"/>
      <c r="P128" s="176" t="s">
        <v>138</v>
      </c>
      <c r="Q128" s="177" t="s">
        <v>100</v>
      </c>
      <c r="R128" s="177" t="s">
        <v>262</v>
      </c>
      <c r="S128" s="177" t="s">
        <v>584</v>
      </c>
      <c r="T128" s="177" t="s">
        <v>103</v>
      </c>
      <c r="U128" s="177" t="s">
        <v>264</v>
      </c>
      <c r="V128" s="171" t="s">
        <v>264</v>
      </c>
      <c r="W128" s="172" t="s">
        <v>17</v>
      </c>
      <c r="X128" s="106" t="s">
        <v>172</v>
      </c>
      <c r="Y128" s="105" t="s">
        <v>173</v>
      </c>
      <c r="Z128" s="105" t="s">
        <v>174</v>
      </c>
      <c r="AA128" s="105" t="s">
        <v>175</v>
      </c>
      <c r="AB128" s="104">
        <f t="shared" si="9"/>
        <v>1</v>
      </c>
      <c r="AC128" s="104">
        <v>1</v>
      </c>
      <c r="AD128" s="104">
        <v>1</v>
      </c>
      <c r="AE128" s="104">
        <v>1</v>
      </c>
      <c r="AF128" s="106"/>
      <c r="AG128" s="106"/>
      <c r="AH128" s="104">
        <f t="shared" si="10"/>
        <v>1</v>
      </c>
      <c r="AI128" s="106"/>
      <c r="AJ128" s="106"/>
      <c r="AK128" s="104"/>
      <c r="AL128" s="104"/>
      <c r="AM128" s="104">
        <f t="shared" si="11"/>
        <v>1</v>
      </c>
      <c r="AN128" s="104">
        <v>1</v>
      </c>
      <c r="AO128" s="104">
        <v>1</v>
      </c>
      <c r="AP128" s="104">
        <v>1</v>
      </c>
      <c r="AQ128" s="104"/>
      <c r="AS128" s="99" t="s">
        <v>4070</v>
      </c>
      <c r="AT128" s="107" t="s">
        <v>3252</v>
      </c>
      <c r="AU128" s="94" t="s">
        <v>2222</v>
      </c>
    </row>
    <row r="129" spans="1:47">
      <c r="A129" s="107" t="s">
        <v>4071</v>
      </c>
      <c r="B129" s="107" t="s">
        <v>160</v>
      </c>
      <c r="C129" s="107" t="s">
        <v>73</v>
      </c>
      <c r="D129" s="107" t="s">
        <v>4072</v>
      </c>
      <c r="E129" s="107" t="s">
        <v>162</v>
      </c>
      <c r="F129" s="107" t="s">
        <v>4073</v>
      </c>
      <c r="G129" s="107" t="s">
        <v>4074</v>
      </c>
      <c r="H129" s="107" t="s">
        <v>165</v>
      </c>
      <c r="I129" s="107">
        <v>202605.5</v>
      </c>
      <c r="J129" s="107">
        <v>5.29</v>
      </c>
      <c r="K129" s="107" t="s">
        <v>73</v>
      </c>
      <c r="L129" s="107" t="s">
        <v>3615</v>
      </c>
      <c r="M129" s="107" t="s">
        <v>4075</v>
      </c>
      <c r="N129" s="104" t="s">
        <v>4076</v>
      </c>
      <c r="O129" s="105"/>
      <c r="P129" s="176" t="s">
        <v>138</v>
      </c>
      <c r="Q129" s="177" t="s">
        <v>100</v>
      </c>
      <c r="R129" s="177" t="s">
        <v>262</v>
      </c>
      <c r="S129" s="177" t="s">
        <v>584</v>
      </c>
      <c r="T129" s="177" t="s">
        <v>103</v>
      </c>
      <c r="U129" s="177" t="s">
        <v>264</v>
      </c>
      <c r="V129" s="171" t="s">
        <v>264</v>
      </c>
      <c r="W129" s="172" t="s">
        <v>17</v>
      </c>
      <c r="X129" s="106" t="s">
        <v>172</v>
      </c>
      <c r="Y129" s="105" t="s">
        <v>173</v>
      </c>
      <c r="Z129" s="105" t="s">
        <v>174</v>
      </c>
      <c r="AA129" s="105" t="s">
        <v>175</v>
      </c>
      <c r="AB129" s="104">
        <f t="shared" si="9"/>
        <v>1</v>
      </c>
      <c r="AC129" s="104">
        <v>1</v>
      </c>
      <c r="AD129" s="104">
        <v>1</v>
      </c>
      <c r="AE129" s="104">
        <v>1</v>
      </c>
      <c r="AF129" s="106"/>
      <c r="AG129" s="106"/>
      <c r="AH129" s="104">
        <f t="shared" si="10"/>
        <v>1</v>
      </c>
      <c r="AI129" s="106"/>
      <c r="AJ129" s="106"/>
      <c r="AK129" s="104"/>
      <c r="AL129" s="104"/>
      <c r="AM129" s="104">
        <f t="shared" si="11"/>
        <v>1</v>
      </c>
      <c r="AN129" s="104">
        <v>1</v>
      </c>
      <c r="AO129" s="104">
        <v>1</v>
      </c>
      <c r="AP129" s="104">
        <v>1</v>
      </c>
      <c r="AQ129" s="104"/>
      <c r="AS129" s="99" t="s">
        <v>4077</v>
      </c>
      <c r="AT129" s="107" t="s">
        <v>4078</v>
      </c>
      <c r="AU129" s="94" t="s">
        <v>2187</v>
      </c>
    </row>
    <row r="130" spans="1:47">
      <c r="A130" s="107" t="s">
        <v>4079</v>
      </c>
      <c r="B130" s="107" t="s">
        <v>160</v>
      </c>
      <c r="C130" s="107" t="s">
        <v>73</v>
      </c>
      <c r="D130" s="107" t="s">
        <v>4080</v>
      </c>
      <c r="E130" s="107" t="s">
        <v>162</v>
      </c>
      <c r="F130" s="107" t="s">
        <v>4081</v>
      </c>
      <c r="G130" s="107" t="s">
        <v>4082</v>
      </c>
      <c r="H130" s="107" t="s">
        <v>165</v>
      </c>
      <c r="I130" s="107">
        <v>202605.5</v>
      </c>
      <c r="J130" s="107">
        <v>5.29</v>
      </c>
      <c r="K130" s="107" t="s">
        <v>73</v>
      </c>
      <c r="L130" s="107" t="s">
        <v>3543</v>
      </c>
      <c r="M130" s="107" t="s">
        <v>4083</v>
      </c>
      <c r="N130" s="104" t="s">
        <v>4084</v>
      </c>
      <c r="O130" s="105"/>
      <c r="P130" s="176" t="s">
        <v>138</v>
      </c>
      <c r="Q130" s="177" t="s">
        <v>100</v>
      </c>
      <c r="R130" s="177" t="s">
        <v>262</v>
      </c>
      <c r="S130" s="177" t="s">
        <v>584</v>
      </c>
      <c r="T130" s="177" t="s">
        <v>103</v>
      </c>
      <c r="U130" s="177" t="s">
        <v>264</v>
      </c>
      <c r="V130" s="171" t="s">
        <v>264</v>
      </c>
      <c r="W130" s="172" t="s">
        <v>17</v>
      </c>
      <c r="X130" s="106" t="s">
        <v>172</v>
      </c>
      <c r="Y130" s="105" t="s">
        <v>173</v>
      </c>
      <c r="Z130" s="105" t="s">
        <v>174</v>
      </c>
      <c r="AA130" s="105" t="s">
        <v>175</v>
      </c>
      <c r="AB130" s="104">
        <f t="shared" si="9"/>
        <v>1</v>
      </c>
      <c r="AC130" s="104">
        <v>1</v>
      </c>
      <c r="AD130" s="104">
        <v>1</v>
      </c>
      <c r="AE130" s="104">
        <v>1</v>
      </c>
      <c r="AF130" s="106"/>
      <c r="AG130" s="106"/>
      <c r="AH130" s="104">
        <f t="shared" si="10"/>
        <v>1</v>
      </c>
      <c r="AI130" s="106"/>
      <c r="AJ130" s="106"/>
      <c r="AK130" s="104"/>
      <c r="AL130" s="104"/>
      <c r="AM130" s="104">
        <f t="shared" si="11"/>
        <v>1</v>
      </c>
      <c r="AN130" s="104">
        <v>1</v>
      </c>
      <c r="AO130" s="104">
        <v>1</v>
      </c>
      <c r="AP130" s="104">
        <v>1</v>
      </c>
      <c r="AQ130" s="104"/>
      <c r="AS130" s="99" t="s">
        <v>4085</v>
      </c>
      <c r="AT130" s="107" t="s">
        <v>4086</v>
      </c>
      <c r="AU130" s="94" t="s">
        <v>2190</v>
      </c>
    </row>
    <row r="131" spans="1:47">
      <c r="A131" s="107" t="s">
        <v>4087</v>
      </c>
      <c r="B131" s="107" t="s">
        <v>160</v>
      </c>
      <c r="C131" s="107" t="s">
        <v>73</v>
      </c>
      <c r="D131" s="107" t="s">
        <v>4088</v>
      </c>
      <c r="E131" s="107" t="s">
        <v>499</v>
      </c>
      <c r="F131" s="107" t="s">
        <v>4089</v>
      </c>
      <c r="G131" s="107" t="s">
        <v>4090</v>
      </c>
      <c r="H131" s="107" t="s">
        <v>165</v>
      </c>
      <c r="I131" s="107">
        <v>202605.5</v>
      </c>
      <c r="J131" s="107">
        <v>5.29</v>
      </c>
      <c r="K131" s="107" t="s">
        <v>73</v>
      </c>
      <c r="L131" s="107" t="s">
        <v>3635</v>
      </c>
      <c r="M131" s="107" t="s">
        <v>4091</v>
      </c>
      <c r="N131" s="104" t="s">
        <v>4092</v>
      </c>
      <c r="O131" s="105"/>
      <c r="P131" s="176" t="s">
        <v>138</v>
      </c>
      <c r="Q131" s="177" t="s">
        <v>100</v>
      </c>
      <c r="R131" s="177" t="s">
        <v>262</v>
      </c>
      <c r="S131" s="177" t="s">
        <v>584</v>
      </c>
      <c r="T131" s="177" t="s">
        <v>103</v>
      </c>
      <c r="U131" s="177" t="s">
        <v>264</v>
      </c>
      <c r="V131" s="171" t="s">
        <v>264</v>
      </c>
      <c r="W131" s="172" t="s">
        <v>17</v>
      </c>
      <c r="X131" s="106" t="s">
        <v>172</v>
      </c>
      <c r="Y131" s="105" t="s">
        <v>173</v>
      </c>
      <c r="Z131" s="105" t="s">
        <v>174</v>
      </c>
      <c r="AA131" s="105" t="s">
        <v>175</v>
      </c>
      <c r="AB131" s="104">
        <f t="shared" ref="AB131:AB177" si="12">IF(COUNTIF(AU:AU,"*"&amp;D131&amp;"*")&gt;0,1,0)</f>
        <v>1</v>
      </c>
      <c r="AC131" s="104">
        <v>1</v>
      </c>
      <c r="AD131" s="104">
        <v>1</v>
      </c>
      <c r="AE131" s="104">
        <v>1</v>
      </c>
      <c r="AF131" s="106"/>
      <c r="AG131" s="106"/>
      <c r="AH131" s="104">
        <f t="shared" ref="AH131:AH177" si="13">IF(COUNTIF(AS:AS,"*"&amp;L131&amp;"*")&gt;0,1,0)</f>
        <v>1</v>
      </c>
      <c r="AI131" s="106"/>
      <c r="AJ131" s="106"/>
      <c r="AK131" s="104"/>
      <c r="AL131" s="104"/>
      <c r="AM131" s="104">
        <f t="shared" ref="AM131:AM177" si="14">IF(COUNTIF(AT:AT,"*"&amp;L131&amp;"*")&gt;0,1,0)</f>
        <v>1</v>
      </c>
      <c r="AN131" s="104">
        <v>1</v>
      </c>
      <c r="AO131" s="104">
        <v>1</v>
      </c>
      <c r="AP131" s="104">
        <v>1</v>
      </c>
      <c r="AQ131" s="104"/>
      <c r="AS131" s="99" t="s">
        <v>4093</v>
      </c>
      <c r="AT131" s="107" t="s">
        <v>4094</v>
      </c>
      <c r="AU131" s="94" t="s">
        <v>2174</v>
      </c>
    </row>
    <row r="132" spans="1:47">
      <c r="A132" s="107" t="s">
        <v>4095</v>
      </c>
      <c r="B132" s="107" t="s">
        <v>160</v>
      </c>
      <c r="C132" s="107" t="s">
        <v>73</v>
      </c>
      <c r="D132" s="107" t="s">
        <v>4096</v>
      </c>
      <c r="E132" s="107" t="s">
        <v>162</v>
      </c>
      <c r="F132" s="107" t="s">
        <v>4097</v>
      </c>
      <c r="G132" s="107" t="s">
        <v>4098</v>
      </c>
      <c r="H132" s="107" t="s">
        <v>165</v>
      </c>
      <c r="I132" s="107">
        <v>202605.5</v>
      </c>
      <c r="J132" s="107">
        <v>5.29</v>
      </c>
      <c r="K132" s="107" t="s">
        <v>73</v>
      </c>
      <c r="L132" s="107" t="s">
        <v>3569</v>
      </c>
      <c r="M132" s="107" t="s">
        <v>4099</v>
      </c>
      <c r="N132" s="104" t="s">
        <v>4100</v>
      </c>
      <c r="O132" s="105"/>
      <c r="P132" s="176" t="s">
        <v>138</v>
      </c>
      <c r="Q132" s="177" t="s">
        <v>100</v>
      </c>
      <c r="R132" s="177" t="s">
        <v>262</v>
      </c>
      <c r="S132" s="177" t="s">
        <v>584</v>
      </c>
      <c r="T132" s="177" t="s">
        <v>103</v>
      </c>
      <c r="U132" s="177" t="s">
        <v>264</v>
      </c>
      <c r="V132" s="171" t="s">
        <v>264</v>
      </c>
      <c r="W132" s="172" t="s">
        <v>17</v>
      </c>
      <c r="X132" s="106" t="s">
        <v>172</v>
      </c>
      <c r="Y132" s="105" t="s">
        <v>173</v>
      </c>
      <c r="Z132" s="105" t="s">
        <v>174</v>
      </c>
      <c r="AA132" s="105" t="s">
        <v>175</v>
      </c>
      <c r="AB132" s="104">
        <f t="shared" si="12"/>
        <v>1</v>
      </c>
      <c r="AC132" s="104">
        <v>1</v>
      </c>
      <c r="AD132" s="104">
        <v>1</v>
      </c>
      <c r="AE132" s="104">
        <v>1</v>
      </c>
      <c r="AF132" s="106"/>
      <c r="AG132" s="106"/>
      <c r="AH132" s="104">
        <f t="shared" si="13"/>
        <v>1</v>
      </c>
      <c r="AI132" s="106"/>
      <c r="AJ132" s="106"/>
      <c r="AK132" s="104"/>
      <c r="AL132" s="104"/>
      <c r="AM132" s="104">
        <f t="shared" si="14"/>
        <v>1</v>
      </c>
      <c r="AN132" s="104">
        <v>1</v>
      </c>
      <c r="AO132" s="104">
        <v>1</v>
      </c>
      <c r="AP132" s="104">
        <v>1</v>
      </c>
      <c r="AQ132" s="104"/>
      <c r="AS132" s="99" t="s">
        <v>4101</v>
      </c>
      <c r="AT132" s="107" t="s">
        <v>3160</v>
      </c>
      <c r="AU132" s="94" t="s">
        <v>2177</v>
      </c>
    </row>
    <row r="133" spans="1:47">
      <c r="A133" s="107" t="s">
        <v>4102</v>
      </c>
      <c r="B133" s="107" t="s">
        <v>160</v>
      </c>
      <c r="C133" s="107" t="s">
        <v>73</v>
      </c>
      <c r="D133" s="107" t="s">
        <v>4103</v>
      </c>
      <c r="E133" s="107" t="s">
        <v>499</v>
      </c>
      <c r="F133" s="107" t="s">
        <v>4104</v>
      </c>
      <c r="G133" s="107" t="s">
        <v>4105</v>
      </c>
      <c r="H133" s="107" t="s">
        <v>165</v>
      </c>
      <c r="I133" s="107">
        <v>202605.5</v>
      </c>
      <c r="J133" s="107">
        <v>5.29</v>
      </c>
      <c r="K133" s="107" t="s">
        <v>73</v>
      </c>
      <c r="L133" s="107" t="s">
        <v>3951</v>
      </c>
      <c r="M133" s="107" t="s">
        <v>4106</v>
      </c>
      <c r="N133" s="104" t="s">
        <v>4107</v>
      </c>
      <c r="O133" s="105"/>
      <c r="P133" s="176" t="s">
        <v>138</v>
      </c>
      <c r="Q133" s="177" t="s">
        <v>100</v>
      </c>
      <c r="R133" s="177" t="s">
        <v>262</v>
      </c>
      <c r="S133" s="177" t="s">
        <v>439</v>
      </c>
      <c r="T133" s="177" t="s">
        <v>103</v>
      </c>
      <c r="U133" s="177" t="s">
        <v>264</v>
      </c>
      <c r="V133" s="177" t="s">
        <v>264</v>
      </c>
      <c r="W133" s="172" t="s">
        <v>19</v>
      </c>
      <c r="X133" s="106" t="s">
        <v>172</v>
      </c>
      <c r="Y133" s="105" t="s">
        <v>173</v>
      </c>
      <c r="Z133" s="105" t="s">
        <v>174</v>
      </c>
      <c r="AA133" s="105" t="s">
        <v>175</v>
      </c>
      <c r="AB133" s="104">
        <f t="shared" si="12"/>
        <v>1</v>
      </c>
      <c r="AC133" s="104">
        <v>1</v>
      </c>
      <c r="AD133" s="104">
        <v>1</v>
      </c>
      <c r="AE133" s="104">
        <v>1</v>
      </c>
      <c r="AF133" s="106"/>
      <c r="AG133" s="106">
        <v>1</v>
      </c>
      <c r="AH133" s="104">
        <f t="shared" si="13"/>
        <v>1</v>
      </c>
      <c r="AI133" s="106"/>
      <c r="AJ133" s="104">
        <v>1</v>
      </c>
      <c r="AK133" s="104">
        <v>1</v>
      </c>
      <c r="AL133" s="104">
        <v>1</v>
      </c>
      <c r="AM133" s="104">
        <f t="shared" si="14"/>
        <v>1</v>
      </c>
      <c r="AN133" s="104">
        <v>1</v>
      </c>
      <c r="AO133" s="104">
        <v>1</v>
      </c>
      <c r="AP133" s="104">
        <v>1</v>
      </c>
      <c r="AQ133" s="104"/>
      <c r="AS133" s="99" t="s">
        <v>4108</v>
      </c>
      <c r="AT133" s="107" t="s">
        <v>4109</v>
      </c>
      <c r="AU133" s="94" t="s">
        <v>1675</v>
      </c>
    </row>
    <row r="134" spans="1:47">
      <c r="A134" s="107" t="s">
        <v>4110</v>
      </c>
      <c r="B134" s="107" t="s">
        <v>160</v>
      </c>
      <c r="C134" s="107" t="s">
        <v>73</v>
      </c>
      <c r="D134" s="107" t="s">
        <v>4111</v>
      </c>
      <c r="E134" s="107" t="s">
        <v>162</v>
      </c>
      <c r="F134" s="107" t="s">
        <v>4112</v>
      </c>
      <c r="G134" s="107" t="s">
        <v>4113</v>
      </c>
      <c r="H134" s="107" t="s">
        <v>165</v>
      </c>
      <c r="I134" s="107">
        <v>202605.5</v>
      </c>
      <c r="J134" s="107">
        <v>5.29</v>
      </c>
      <c r="K134" s="107" t="s">
        <v>73</v>
      </c>
      <c r="L134" s="107" t="s">
        <v>3324</v>
      </c>
      <c r="M134" s="107" t="s">
        <v>4114</v>
      </c>
      <c r="N134" s="104" t="s">
        <v>4115</v>
      </c>
      <c r="O134" s="105"/>
      <c r="P134" s="176" t="s">
        <v>138</v>
      </c>
      <c r="Q134" s="177" t="s">
        <v>100</v>
      </c>
      <c r="R134" s="177" t="s">
        <v>262</v>
      </c>
      <c r="S134" s="177" t="s">
        <v>439</v>
      </c>
      <c r="T134" s="177" t="s">
        <v>103</v>
      </c>
      <c r="U134" s="177" t="s">
        <v>264</v>
      </c>
      <c r="V134" s="177" t="s">
        <v>264</v>
      </c>
      <c r="W134" s="172" t="s">
        <v>19</v>
      </c>
      <c r="X134" s="106" t="s">
        <v>172</v>
      </c>
      <c r="Y134" s="105" t="s">
        <v>173</v>
      </c>
      <c r="Z134" s="105" t="s">
        <v>174</v>
      </c>
      <c r="AA134" s="105" t="s">
        <v>175</v>
      </c>
      <c r="AB134" s="104">
        <f t="shared" si="12"/>
        <v>1</v>
      </c>
      <c r="AC134" s="104">
        <v>1</v>
      </c>
      <c r="AD134" s="104">
        <v>1</v>
      </c>
      <c r="AE134" s="104">
        <v>1</v>
      </c>
      <c r="AF134" s="106"/>
      <c r="AG134" s="106">
        <v>1</v>
      </c>
      <c r="AH134" s="104">
        <f t="shared" si="13"/>
        <v>1</v>
      </c>
      <c r="AI134" s="106"/>
      <c r="AJ134" s="104">
        <v>1</v>
      </c>
      <c r="AK134" s="104">
        <v>1</v>
      </c>
      <c r="AL134" s="104">
        <v>1</v>
      </c>
      <c r="AM134" s="104">
        <f t="shared" si="14"/>
        <v>1</v>
      </c>
      <c r="AN134" s="104">
        <v>1</v>
      </c>
      <c r="AO134" s="104">
        <v>1</v>
      </c>
      <c r="AP134" s="104">
        <v>1</v>
      </c>
      <c r="AQ134" s="104"/>
      <c r="AS134" s="99" t="s">
        <v>4116</v>
      </c>
      <c r="AT134" s="107" t="s">
        <v>3207</v>
      </c>
      <c r="AU134" s="94" t="s">
        <v>2280</v>
      </c>
    </row>
    <row r="135" spans="1:47">
      <c r="A135" s="107" t="s">
        <v>4117</v>
      </c>
      <c r="B135" s="107" t="s">
        <v>160</v>
      </c>
      <c r="C135" s="107" t="s">
        <v>73</v>
      </c>
      <c r="D135" s="107" t="s">
        <v>4118</v>
      </c>
      <c r="E135" s="107" t="s">
        <v>162</v>
      </c>
      <c r="F135" s="107" t="s">
        <v>4119</v>
      </c>
      <c r="G135" s="107" t="s">
        <v>4120</v>
      </c>
      <c r="H135" s="107" t="s">
        <v>165</v>
      </c>
      <c r="I135" s="107">
        <v>202605.5</v>
      </c>
      <c r="J135" s="107">
        <v>5.29</v>
      </c>
      <c r="K135" s="107" t="s">
        <v>73</v>
      </c>
      <c r="L135" s="107" t="s">
        <v>3188</v>
      </c>
      <c r="M135" s="107" t="s">
        <v>4121</v>
      </c>
      <c r="N135" s="104" t="s">
        <v>4122</v>
      </c>
      <c r="O135" s="105"/>
      <c r="P135" s="176" t="s">
        <v>138</v>
      </c>
      <c r="Q135" s="177" t="s">
        <v>100</v>
      </c>
      <c r="R135" s="177" t="s">
        <v>262</v>
      </c>
      <c r="S135" s="177" t="s">
        <v>439</v>
      </c>
      <c r="T135" s="177" t="s">
        <v>103</v>
      </c>
      <c r="U135" s="177" t="s">
        <v>264</v>
      </c>
      <c r="V135" s="177" t="s">
        <v>264</v>
      </c>
      <c r="W135" s="172" t="s">
        <v>19</v>
      </c>
      <c r="X135" s="106" t="s">
        <v>172</v>
      </c>
      <c r="Y135" s="105" t="s">
        <v>173</v>
      </c>
      <c r="Z135" s="105" t="s">
        <v>174</v>
      </c>
      <c r="AA135" s="105" t="s">
        <v>175</v>
      </c>
      <c r="AB135" s="104">
        <f t="shared" si="12"/>
        <v>1</v>
      </c>
      <c r="AC135" s="104">
        <v>1</v>
      </c>
      <c r="AD135" s="104">
        <v>1</v>
      </c>
      <c r="AE135" s="104">
        <v>1</v>
      </c>
      <c r="AF135" s="106"/>
      <c r="AG135" s="106">
        <v>1</v>
      </c>
      <c r="AH135" s="104">
        <f t="shared" si="13"/>
        <v>1</v>
      </c>
      <c r="AI135" s="106"/>
      <c r="AJ135" s="104">
        <v>1</v>
      </c>
      <c r="AK135" s="104">
        <v>1</v>
      </c>
      <c r="AL135" s="104">
        <v>1</v>
      </c>
      <c r="AM135" s="104">
        <f t="shared" si="14"/>
        <v>1</v>
      </c>
      <c r="AN135" s="104">
        <v>1</v>
      </c>
      <c r="AO135" s="104">
        <v>1</v>
      </c>
      <c r="AP135" s="104">
        <v>1</v>
      </c>
      <c r="AQ135" s="104"/>
      <c r="AS135" s="99" t="s">
        <v>4123</v>
      </c>
      <c r="AT135" s="107" t="s">
        <v>4124</v>
      </c>
      <c r="AU135" s="94" t="s">
        <v>2283</v>
      </c>
    </row>
    <row r="136" spans="1:47">
      <c r="A136" s="107" t="s">
        <v>4125</v>
      </c>
      <c r="B136" s="107" t="s">
        <v>160</v>
      </c>
      <c r="C136" s="107" t="s">
        <v>73</v>
      </c>
      <c r="D136" s="107" t="s">
        <v>4126</v>
      </c>
      <c r="E136" s="107" t="s">
        <v>162</v>
      </c>
      <c r="F136" s="107" t="s">
        <v>4127</v>
      </c>
      <c r="G136" s="107" t="s">
        <v>4128</v>
      </c>
      <c r="H136" s="107" t="s">
        <v>165</v>
      </c>
      <c r="I136" s="107">
        <v>202605.5</v>
      </c>
      <c r="J136" s="107">
        <v>5.29</v>
      </c>
      <c r="K136" s="107" t="s">
        <v>73</v>
      </c>
      <c r="L136" s="107" t="s">
        <v>3270</v>
      </c>
      <c r="M136" s="107" t="s">
        <v>4129</v>
      </c>
      <c r="N136" s="104" t="s">
        <v>4130</v>
      </c>
      <c r="O136" s="105"/>
      <c r="P136" s="176" t="s">
        <v>138</v>
      </c>
      <c r="Q136" s="177" t="s">
        <v>100</v>
      </c>
      <c r="R136" s="177" t="s">
        <v>262</v>
      </c>
      <c r="S136" s="177" t="s">
        <v>439</v>
      </c>
      <c r="T136" s="177" t="s">
        <v>103</v>
      </c>
      <c r="U136" s="177" t="s">
        <v>264</v>
      </c>
      <c r="V136" s="177" t="s">
        <v>264</v>
      </c>
      <c r="W136" s="172" t="s">
        <v>19</v>
      </c>
      <c r="X136" s="106" t="s">
        <v>172</v>
      </c>
      <c r="Y136" s="105" t="s">
        <v>173</v>
      </c>
      <c r="Z136" s="105" t="s">
        <v>174</v>
      </c>
      <c r="AA136" s="105" t="s">
        <v>175</v>
      </c>
      <c r="AB136" s="104">
        <f t="shared" si="12"/>
        <v>1</v>
      </c>
      <c r="AC136" s="104">
        <v>1</v>
      </c>
      <c r="AD136" s="104">
        <v>1</v>
      </c>
      <c r="AE136" s="104">
        <v>1</v>
      </c>
      <c r="AF136" s="106"/>
      <c r="AG136" s="106">
        <v>1</v>
      </c>
      <c r="AH136" s="104">
        <f t="shared" si="13"/>
        <v>1</v>
      </c>
      <c r="AI136" s="106"/>
      <c r="AJ136" s="104">
        <v>1</v>
      </c>
      <c r="AK136" s="104">
        <v>1</v>
      </c>
      <c r="AL136" s="104">
        <v>1</v>
      </c>
      <c r="AM136" s="104">
        <f t="shared" si="14"/>
        <v>1</v>
      </c>
      <c r="AN136" s="104">
        <v>1</v>
      </c>
      <c r="AO136" s="104">
        <v>1</v>
      </c>
      <c r="AP136" s="104">
        <v>1</v>
      </c>
      <c r="AQ136" s="104"/>
      <c r="AS136" s="99" t="s">
        <v>4131</v>
      </c>
      <c r="AT136" s="186" t="s">
        <v>3243</v>
      </c>
      <c r="AU136" s="94" t="s">
        <v>3563</v>
      </c>
    </row>
    <row r="137" spans="1:47">
      <c r="A137" s="107" t="s">
        <v>4132</v>
      </c>
      <c r="B137" s="107" t="s">
        <v>160</v>
      </c>
      <c r="C137" s="107" t="s">
        <v>73</v>
      </c>
      <c r="D137" s="107" t="s">
        <v>4133</v>
      </c>
      <c r="E137" s="107" t="s">
        <v>162</v>
      </c>
      <c r="F137" s="107" t="s">
        <v>4134</v>
      </c>
      <c r="G137" s="107" t="s">
        <v>4135</v>
      </c>
      <c r="H137" s="107" t="s">
        <v>165</v>
      </c>
      <c r="I137" s="107">
        <v>202605.5</v>
      </c>
      <c r="J137" s="107">
        <v>5.29</v>
      </c>
      <c r="K137" s="107" t="s">
        <v>73</v>
      </c>
      <c r="L137" s="107" t="s">
        <v>3981</v>
      </c>
      <c r="M137" s="107" t="s">
        <v>4136</v>
      </c>
      <c r="N137" s="104" t="s">
        <v>4137</v>
      </c>
      <c r="O137" s="105"/>
      <c r="P137" s="176" t="s">
        <v>138</v>
      </c>
      <c r="Q137" s="177" t="s">
        <v>100</v>
      </c>
      <c r="R137" s="177" t="s">
        <v>262</v>
      </c>
      <c r="S137" s="177" t="s">
        <v>439</v>
      </c>
      <c r="T137" s="177" t="s">
        <v>103</v>
      </c>
      <c r="U137" s="177" t="s">
        <v>264</v>
      </c>
      <c r="V137" s="177" t="s">
        <v>264</v>
      </c>
      <c r="W137" s="172" t="s">
        <v>19</v>
      </c>
      <c r="X137" s="106" t="s">
        <v>172</v>
      </c>
      <c r="Y137" s="105" t="s">
        <v>173</v>
      </c>
      <c r="Z137" s="105" t="s">
        <v>174</v>
      </c>
      <c r="AA137" s="105" t="s">
        <v>175</v>
      </c>
      <c r="AB137" s="104">
        <f t="shared" si="12"/>
        <v>1</v>
      </c>
      <c r="AC137" s="104">
        <v>1</v>
      </c>
      <c r="AD137" s="104">
        <v>1</v>
      </c>
      <c r="AE137" s="104">
        <v>1</v>
      </c>
      <c r="AF137" s="106"/>
      <c r="AG137" s="106">
        <v>1</v>
      </c>
      <c r="AH137" s="104">
        <f t="shared" si="13"/>
        <v>1</v>
      </c>
      <c r="AI137" s="106"/>
      <c r="AJ137" s="104">
        <v>1</v>
      </c>
      <c r="AK137" s="104">
        <v>1</v>
      </c>
      <c r="AL137" s="104">
        <v>1</v>
      </c>
      <c r="AM137" s="104">
        <f t="shared" si="14"/>
        <v>1</v>
      </c>
      <c r="AN137" s="104">
        <v>1</v>
      </c>
      <c r="AO137" s="104">
        <v>1</v>
      </c>
      <c r="AP137" s="104">
        <v>1</v>
      </c>
      <c r="AQ137" s="104"/>
      <c r="AS137" s="99" t="s">
        <v>4138</v>
      </c>
      <c r="AT137" s="186" t="s">
        <v>4139</v>
      </c>
      <c r="AU137" s="94" t="s">
        <v>3555</v>
      </c>
    </row>
    <row r="138" spans="1:47">
      <c r="A138" s="107" t="s">
        <v>4140</v>
      </c>
      <c r="B138" s="107" t="s">
        <v>160</v>
      </c>
      <c r="C138" s="107" t="s">
        <v>73</v>
      </c>
      <c r="D138" s="107" t="s">
        <v>4141</v>
      </c>
      <c r="E138" s="107" t="s">
        <v>188</v>
      </c>
      <c r="F138" s="107" t="s">
        <v>4142</v>
      </c>
      <c r="G138" s="107" t="s">
        <v>4143</v>
      </c>
      <c r="H138" s="107" t="s">
        <v>165</v>
      </c>
      <c r="I138" s="107">
        <v>202605.5</v>
      </c>
      <c r="J138" s="107">
        <v>5.29</v>
      </c>
      <c r="K138" s="107" t="s">
        <v>73</v>
      </c>
      <c r="L138" s="107" t="s">
        <v>3178</v>
      </c>
      <c r="M138" s="107" t="s">
        <v>4144</v>
      </c>
      <c r="N138" s="104" t="s">
        <v>4145</v>
      </c>
      <c r="O138" s="105"/>
      <c r="P138" s="176" t="s">
        <v>138</v>
      </c>
      <c r="Q138" s="177" t="s">
        <v>100</v>
      </c>
      <c r="R138" s="177" t="s">
        <v>262</v>
      </c>
      <c r="S138" s="177" t="s">
        <v>439</v>
      </c>
      <c r="T138" s="177" t="s">
        <v>103</v>
      </c>
      <c r="U138" s="177" t="s">
        <v>264</v>
      </c>
      <c r="V138" s="177" t="s">
        <v>264</v>
      </c>
      <c r="W138" s="172" t="s">
        <v>19</v>
      </c>
      <c r="X138" s="106" t="s">
        <v>172</v>
      </c>
      <c r="Y138" s="105" t="s">
        <v>173</v>
      </c>
      <c r="Z138" s="105" t="s">
        <v>174</v>
      </c>
      <c r="AA138" s="105" t="s">
        <v>175</v>
      </c>
      <c r="AB138" s="104">
        <f t="shared" si="12"/>
        <v>1</v>
      </c>
      <c r="AC138" s="104">
        <v>1</v>
      </c>
      <c r="AD138" s="104">
        <v>1</v>
      </c>
      <c r="AE138" s="104">
        <v>1</v>
      </c>
      <c r="AF138" s="106"/>
      <c r="AG138" s="106">
        <v>1</v>
      </c>
      <c r="AH138" s="104">
        <f t="shared" si="13"/>
        <v>1</v>
      </c>
      <c r="AI138" s="106"/>
      <c r="AJ138" s="104">
        <v>1</v>
      </c>
      <c r="AK138" s="104">
        <v>1</v>
      </c>
      <c r="AL138" s="104">
        <v>1</v>
      </c>
      <c r="AM138" s="104">
        <f t="shared" si="14"/>
        <v>1</v>
      </c>
      <c r="AN138" s="104">
        <v>1</v>
      </c>
      <c r="AO138" s="104">
        <v>1</v>
      </c>
      <c r="AP138" s="104">
        <v>1</v>
      </c>
      <c r="AQ138" s="104"/>
      <c r="AS138" s="99" t="s">
        <v>4146</v>
      </c>
      <c r="AT138" s="186" t="s">
        <v>3151</v>
      </c>
      <c r="AU138" s="94" t="s">
        <v>3546</v>
      </c>
    </row>
    <row r="139" spans="1:47">
      <c r="A139" s="107" t="s">
        <v>4147</v>
      </c>
      <c r="B139" s="107" t="s">
        <v>160</v>
      </c>
      <c r="C139" s="107" t="s">
        <v>73</v>
      </c>
      <c r="D139" s="107" t="s">
        <v>4148</v>
      </c>
      <c r="E139" s="107" t="s">
        <v>162</v>
      </c>
      <c r="F139" s="107" t="s">
        <v>4149</v>
      </c>
      <c r="G139" s="107" t="s">
        <v>4150</v>
      </c>
      <c r="H139" s="107" t="s">
        <v>165</v>
      </c>
      <c r="I139" s="107">
        <v>202605.5</v>
      </c>
      <c r="J139" s="107">
        <v>5.29</v>
      </c>
      <c r="K139" s="107" t="s">
        <v>73</v>
      </c>
      <c r="L139" s="107" t="s">
        <v>3994</v>
      </c>
      <c r="M139" s="107" t="s">
        <v>4151</v>
      </c>
      <c r="N139" s="104" t="s">
        <v>4152</v>
      </c>
      <c r="O139" s="105"/>
      <c r="P139" s="176" t="s">
        <v>138</v>
      </c>
      <c r="Q139" s="177" t="s">
        <v>100</v>
      </c>
      <c r="R139" s="177" t="s">
        <v>262</v>
      </c>
      <c r="S139" s="177" t="s">
        <v>439</v>
      </c>
      <c r="T139" s="177" t="s">
        <v>103</v>
      </c>
      <c r="U139" s="177" t="s">
        <v>264</v>
      </c>
      <c r="V139" s="177" t="s">
        <v>264</v>
      </c>
      <c r="W139" s="172" t="s">
        <v>19</v>
      </c>
      <c r="X139" s="106" t="s">
        <v>172</v>
      </c>
      <c r="Y139" s="105" t="s">
        <v>173</v>
      </c>
      <c r="Z139" s="105" t="s">
        <v>174</v>
      </c>
      <c r="AA139" s="105" t="s">
        <v>175</v>
      </c>
      <c r="AB139" s="104">
        <f t="shared" si="12"/>
        <v>1</v>
      </c>
      <c r="AC139" s="104">
        <v>1</v>
      </c>
      <c r="AD139" s="104">
        <v>1</v>
      </c>
      <c r="AE139" s="104">
        <v>1</v>
      </c>
      <c r="AF139" s="106"/>
      <c r="AG139" s="106">
        <v>1</v>
      </c>
      <c r="AH139" s="104">
        <f t="shared" si="13"/>
        <v>1</v>
      </c>
      <c r="AI139" s="106"/>
      <c r="AJ139" s="104">
        <v>1</v>
      </c>
      <c r="AK139" s="104">
        <v>1</v>
      </c>
      <c r="AL139" s="104">
        <v>1</v>
      </c>
      <c r="AM139" s="104">
        <f t="shared" si="14"/>
        <v>1</v>
      </c>
      <c r="AN139" s="104">
        <v>1</v>
      </c>
      <c r="AO139" s="104">
        <v>1</v>
      </c>
      <c r="AP139" s="104">
        <v>1</v>
      </c>
      <c r="AQ139" s="104"/>
      <c r="AR139" s="185" t="s">
        <v>4153</v>
      </c>
      <c r="AS139" s="99" t="s">
        <v>4154</v>
      </c>
      <c r="AT139" s="187"/>
      <c r="AU139" s="94" t="s">
        <v>855</v>
      </c>
    </row>
    <row r="140" spans="1:47">
      <c r="A140" s="107" t="s">
        <v>4155</v>
      </c>
      <c r="B140" s="107" t="s">
        <v>160</v>
      </c>
      <c r="C140" s="107" t="s">
        <v>73</v>
      </c>
      <c r="D140" s="107" t="s">
        <v>4156</v>
      </c>
      <c r="E140" s="107" t="s">
        <v>162</v>
      </c>
      <c r="F140" s="107" t="s">
        <v>4157</v>
      </c>
      <c r="G140" s="107" t="s">
        <v>4158</v>
      </c>
      <c r="H140" s="107" t="s">
        <v>165</v>
      </c>
      <c r="I140" s="107">
        <v>202605.5</v>
      </c>
      <c r="J140" s="107">
        <v>5.29</v>
      </c>
      <c r="K140" s="107" t="s">
        <v>73</v>
      </c>
      <c r="L140" s="107" t="s">
        <v>3313</v>
      </c>
      <c r="M140" s="107" t="s">
        <v>4159</v>
      </c>
      <c r="N140" s="104" t="s">
        <v>4160</v>
      </c>
      <c r="O140" s="105"/>
      <c r="P140" s="176" t="s">
        <v>138</v>
      </c>
      <c r="Q140" s="177" t="s">
        <v>100</v>
      </c>
      <c r="R140" s="177" t="s">
        <v>262</v>
      </c>
      <c r="S140" s="177" t="s">
        <v>439</v>
      </c>
      <c r="T140" s="177" t="s">
        <v>103</v>
      </c>
      <c r="U140" s="177" t="s">
        <v>264</v>
      </c>
      <c r="V140" s="177" t="s">
        <v>264</v>
      </c>
      <c r="W140" s="172" t="s">
        <v>19</v>
      </c>
      <c r="X140" s="106" t="s">
        <v>172</v>
      </c>
      <c r="Y140" s="105" t="s">
        <v>173</v>
      </c>
      <c r="Z140" s="105" t="s">
        <v>174</v>
      </c>
      <c r="AA140" s="105" t="s">
        <v>175</v>
      </c>
      <c r="AB140" s="104">
        <f t="shared" si="12"/>
        <v>1</v>
      </c>
      <c r="AC140" s="104">
        <v>1</v>
      </c>
      <c r="AD140" s="104">
        <v>1</v>
      </c>
      <c r="AE140" s="104">
        <v>1</v>
      </c>
      <c r="AF140" s="106"/>
      <c r="AG140" s="106">
        <v>1</v>
      </c>
      <c r="AH140" s="104">
        <f t="shared" si="13"/>
        <v>1</v>
      </c>
      <c r="AI140" s="106"/>
      <c r="AJ140" s="104">
        <v>1</v>
      </c>
      <c r="AK140" s="104">
        <v>1</v>
      </c>
      <c r="AL140" s="104">
        <v>1</v>
      </c>
      <c r="AM140" s="104">
        <f t="shared" si="14"/>
        <v>1</v>
      </c>
      <c r="AN140" s="104">
        <v>1</v>
      </c>
      <c r="AO140" s="104">
        <v>1</v>
      </c>
      <c r="AP140" s="104">
        <v>1</v>
      </c>
      <c r="AQ140" s="104"/>
      <c r="AS140" s="99" t="s">
        <v>4161</v>
      </c>
      <c r="AU140" s="94" t="s">
        <v>2170</v>
      </c>
    </row>
    <row r="141" spans="1:47">
      <c r="A141" s="107" t="s">
        <v>4162</v>
      </c>
      <c r="B141" s="107" t="s">
        <v>160</v>
      </c>
      <c r="C141" s="107" t="s">
        <v>73</v>
      </c>
      <c r="D141" s="107" t="s">
        <v>4163</v>
      </c>
      <c r="E141" s="107" t="s">
        <v>162</v>
      </c>
      <c r="F141" s="107" t="s">
        <v>4164</v>
      </c>
      <c r="G141" s="107" t="s">
        <v>4165</v>
      </c>
      <c r="H141" s="107" t="s">
        <v>165</v>
      </c>
      <c r="I141" s="107">
        <v>202605.5</v>
      </c>
      <c r="J141" s="107">
        <v>5.29</v>
      </c>
      <c r="K141" s="107" t="s">
        <v>73</v>
      </c>
      <c r="L141" s="107" t="s">
        <v>3304</v>
      </c>
      <c r="M141" s="107" t="s">
        <v>4166</v>
      </c>
      <c r="N141" s="104" t="s">
        <v>4167</v>
      </c>
      <c r="O141" s="105"/>
      <c r="P141" s="176" t="s">
        <v>138</v>
      </c>
      <c r="Q141" s="177" t="s">
        <v>100</v>
      </c>
      <c r="R141" s="177" t="s">
        <v>262</v>
      </c>
      <c r="S141" s="177" t="s">
        <v>439</v>
      </c>
      <c r="T141" s="177" t="s">
        <v>103</v>
      </c>
      <c r="U141" s="177" t="s">
        <v>264</v>
      </c>
      <c r="V141" s="177" t="s">
        <v>264</v>
      </c>
      <c r="W141" s="172" t="s">
        <v>19</v>
      </c>
      <c r="X141" s="106" t="s">
        <v>172</v>
      </c>
      <c r="Y141" s="105" t="s">
        <v>173</v>
      </c>
      <c r="Z141" s="105" t="s">
        <v>174</v>
      </c>
      <c r="AA141" s="105" t="s">
        <v>175</v>
      </c>
      <c r="AB141" s="104">
        <f t="shared" si="12"/>
        <v>1</v>
      </c>
      <c r="AC141" s="104">
        <v>1</v>
      </c>
      <c r="AD141" s="104">
        <v>1</v>
      </c>
      <c r="AE141" s="104">
        <v>1</v>
      </c>
      <c r="AF141" s="106"/>
      <c r="AG141" s="106">
        <v>1</v>
      </c>
      <c r="AH141" s="104">
        <f t="shared" si="13"/>
        <v>1</v>
      </c>
      <c r="AI141" s="106"/>
      <c r="AJ141" s="104">
        <v>1</v>
      </c>
      <c r="AK141" s="104">
        <v>1</v>
      </c>
      <c r="AL141" s="104">
        <v>1</v>
      </c>
      <c r="AM141" s="104">
        <f t="shared" si="14"/>
        <v>1</v>
      </c>
      <c r="AN141" s="104">
        <v>1</v>
      </c>
      <c r="AO141" s="104">
        <v>1</v>
      </c>
      <c r="AP141" s="104">
        <v>1</v>
      </c>
      <c r="AQ141" s="104"/>
      <c r="AR141" s="185" t="s">
        <v>4153</v>
      </c>
      <c r="AS141" s="99" t="s">
        <v>4109</v>
      </c>
      <c r="AU141" s="94" t="s">
        <v>2251</v>
      </c>
    </row>
    <row r="142" spans="1:47">
      <c r="A142" s="107" t="s">
        <v>4168</v>
      </c>
      <c r="B142" s="107" t="s">
        <v>160</v>
      </c>
      <c r="C142" s="107" t="s">
        <v>73</v>
      </c>
      <c r="D142" s="107" t="s">
        <v>4169</v>
      </c>
      <c r="E142" s="107" t="s">
        <v>499</v>
      </c>
      <c r="F142" s="107" t="s">
        <v>4170</v>
      </c>
      <c r="G142" s="107" t="s">
        <v>4171</v>
      </c>
      <c r="H142" s="107" t="s">
        <v>165</v>
      </c>
      <c r="I142" s="107">
        <v>202605.5</v>
      </c>
      <c r="J142" s="107">
        <v>5.29</v>
      </c>
      <c r="K142" s="107" t="s">
        <v>73</v>
      </c>
      <c r="L142" s="107" t="s">
        <v>3142</v>
      </c>
      <c r="M142" s="107" t="s">
        <v>4172</v>
      </c>
      <c r="N142" s="104" t="s">
        <v>4173</v>
      </c>
      <c r="O142" s="105"/>
      <c r="P142" s="176" t="s">
        <v>138</v>
      </c>
      <c r="Q142" s="177" t="s">
        <v>100</v>
      </c>
      <c r="R142" s="177" t="s">
        <v>262</v>
      </c>
      <c r="S142" s="177" t="s">
        <v>439</v>
      </c>
      <c r="T142" s="177" t="s">
        <v>103</v>
      </c>
      <c r="U142" s="177" t="s">
        <v>264</v>
      </c>
      <c r="V142" s="177" t="s">
        <v>264</v>
      </c>
      <c r="W142" s="172" t="s">
        <v>19</v>
      </c>
      <c r="X142" s="106" t="s">
        <v>172</v>
      </c>
      <c r="Y142" s="105" t="s">
        <v>173</v>
      </c>
      <c r="Z142" s="105" t="s">
        <v>174</v>
      </c>
      <c r="AA142" s="105" t="s">
        <v>175</v>
      </c>
      <c r="AB142" s="104">
        <f t="shared" si="12"/>
        <v>1</v>
      </c>
      <c r="AC142" s="104">
        <v>1</v>
      </c>
      <c r="AD142" s="104">
        <v>1</v>
      </c>
      <c r="AE142" s="104">
        <v>1</v>
      </c>
      <c r="AF142" s="106"/>
      <c r="AG142" s="106">
        <v>1</v>
      </c>
      <c r="AH142" s="104">
        <f t="shared" si="13"/>
        <v>1</v>
      </c>
      <c r="AI142" s="106"/>
      <c r="AJ142" s="104">
        <v>1</v>
      </c>
      <c r="AK142" s="104">
        <v>1</v>
      </c>
      <c r="AL142" s="104">
        <v>1</v>
      </c>
      <c r="AM142" s="104">
        <f t="shared" si="14"/>
        <v>1</v>
      </c>
      <c r="AN142" s="104">
        <v>1</v>
      </c>
      <c r="AO142" s="104">
        <v>1</v>
      </c>
      <c r="AP142" s="104">
        <v>1</v>
      </c>
      <c r="AQ142" s="104"/>
      <c r="AS142" s="99" t="s">
        <v>4174</v>
      </c>
      <c r="AU142" s="94" t="s">
        <v>2254</v>
      </c>
    </row>
    <row r="143" spans="1:47">
      <c r="A143" s="107" t="s">
        <v>4175</v>
      </c>
      <c r="B143" s="107" t="s">
        <v>160</v>
      </c>
      <c r="C143" s="107" t="s">
        <v>73</v>
      </c>
      <c r="D143" s="107" t="s">
        <v>4176</v>
      </c>
      <c r="E143" s="107" t="s">
        <v>162</v>
      </c>
      <c r="F143" s="107" t="s">
        <v>4177</v>
      </c>
      <c r="G143" s="107" t="s">
        <v>4178</v>
      </c>
      <c r="H143" s="107" t="s">
        <v>165</v>
      </c>
      <c r="I143" s="107">
        <v>202605.5</v>
      </c>
      <c r="J143" s="107">
        <v>5.29</v>
      </c>
      <c r="K143" s="107" t="s">
        <v>73</v>
      </c>
      <c r="L143" s="107" t="s">
        <v>3261</v>
      </c>
      <c r="M143" s="107" t="s">
        <v>4179</v>
      </c>
      <c r="N143" s="104" t="s">
        <v>4180</v>
      </c>
      <c r="O143" s="105"/>
      <c r="P143" s="176" t="s">
        <v>138</v>
      </c>
      <c r="Q143" s="177" t="s">
        <v>100</v>
      </c>
      <c r="R143" s="177" t="s">
        <v>262</v>
      </c>
      <c r="S143" s="177" t="s">
        <v>439</v>
      </c>
      <c r="T143" s="177" t="s">
        <v>103</v>
      </c>
      <c r="U143" s="177" t="s">
        <v>264</v>
      </c>
      <c r="V143" s="177" t="s">
        <v>264</v>
      </c>
      <c r="W143" s="172" t="s">
        <v>19</v>
      </c>
      <c r="X143" s="106" t="s">
        <v>172</v>
      </c>
      <c r="Y143" s="105" t="s">
        <v>173</v>
      </c>
      <c r="Z143" s="105" t="s">
        <v>174</v>
      </c>
      <c r="AA143" s="105" t="s">
        <v>175</v>
      </c>
      <c r="AB143" s="104">
        <f t="shared" si="12"/>
        <v>1</v>
      </c>
      <c r="AC143" s="104">
        <v>1</v>
      </c>
      <c r="AD143" s="104">
        <v>1</v>
      </c>
      <c r="AE143" s="104">
        <v>1</v>
      </c>
      <c r="AF143" s="106"/>
      <c r="AG143" s="106">
        <v>1</v>
      </c>
      <c r="AH143" s="104">
        <f t="shared" si="13"/>
        <v>1</v>
      </c>
      <c r="AI143" s="106"/>
      <c r="AJ143" s="104">
        <v>1</v>
      </c>
      <c r="AK143" s="104">
        <v>1</v>
      </c>
      <c r="AL143" s="104">
        <v>1</v>
      </c>
      <c r="AM143" s="104">
        <f t="shared" si="14"/>
        <v>1</v>
      </c>
      <c r="AN143" s="104">
        <v>1</v>
      </c>
      <c r="AO143" s="104">
        <v>1</v>
      </c>
      <c r="AP143" s="104">
        <v>1</v>
      </c>
      <c r="AQ143" s="104"/>
      <c r="AR143" s="185" t="s">
        <v>4153</v>
      </c>
      <c r="AS143" s="99" t="s">
        <v>4139</v>
      </c>
      <c r="AU143" s="94" t="s">
        <v>2266</v>
      </c>
    </row>
    <row r="144" spans="1:47">
      <c r="A144" s="107" t="s">
        <v>4181</v>
      </c>
      <c r="B144" s="107" t="s">
        <v>160</v>
      </c>
      <c r="C144" s="107" t="s">
        <v>73</v>
      </c>
      <c r="D144" s="107" t="s">
        <v>4182</v>
      </c>
      <c r="E144" s="107" t="s">
        <v>162</v>
      </c>
      <c r="F144" s="107" t="s">
        <v>4183</v>
      </c>
      <c r="G144" s="107" t="s">
        <v>4184</v>
      </c>
      <c r="H144" s="107" t="s">
        <v>165</v>
      </c>
      <c r="I144" s="107">
        <v>202605.5</v>
      </c>
      <c r="J144" s="107">
        <v>5.29</v>
      </c>
      <c r="K144" s="107" t="s">
        <v>73</v>
      </c>
      <c r="L144" s="107" t="s">
        <v>4024</v>
      </c>
      <c r="M144" s="107" t="s">
        <v>4185</v>
      </c>
      <c r="N144" s="104" t="s">
        <v>4186</v>
      </c>
      <c r="O144" s="105"/>
      <c r="P144" s="176" t="s">
        <v>138</v>
      </c>
      <c r="Q144" s="177" t="s">
        <v>100</v>
      </c>
      <c r="R144" s="177" t="s">
        <v>262</v>
      </c>
      <c r="S144" s="177" t="s">
        <v>439</v>
      </c>
      <c r="T144" s="177" t="s">
        <v>103</v>
      </c>
      <c r="U144" s="177" t="s">
        <v>264</v>
      </c>
      <c r="V144" s="177" t="s">
        <v>264</v>
      </c>
      <c r="W144" s="172" t="s">
        <v>19</v>
      </c>
      <c r="X144" s="106" t="s">
        <v>172</v>
      </c>
      <c r="Y144" s="105" t="s">
        <v>173</v>
      </c>
      <c r="Z144" s="105" t="s">
        <v>174</v>
      </c>
      <c r="AA144" s="105" t="s">
        <v>175</v>
      </c>
      <c r="AB144" s="104">
        <f t="shared" si="12"/>
        <v>1</v>
      </c>
      <c r="AC144" s="104">
        <v>1</v>
      </c>
      <c r="AD144" s="104">
        <v>1</v>
      </c>
      <c r="AE144" s="104">
        <v>1</v>
      </c>
      <c r="AF144" s="106"/>
      <c r="AG144" s="106">
        <v>1</v>
      </c>
      <c r="AH144" s="104">
        <f t="shared" si="13"/>
        <v>1</v>
      </c>
      <c r="AI144" s="106"/>
      <c r="AJ144" s="104">
        <v>1</v>
      </c>
      <c r="AK144" s="104">
        <v>1</v>
      </c>
      <c r="AL144" s="104">
        <v>1</v>
      </c>
      <c r="AM144" s="104">
        <f t="shared" si="14"/>
        <v>1</v>
      </c>
      <c r="AN144" s="104">
        <v>1</v>
      </c>
      <c r="AO144" s="104">
        <v>1</v>
      </c>
      <c r="AP144" s="104">
        <v>1</v>
      </c>
      <c r="AQ144" s="104"/>
      <c r="AS144" s="99" t="s">
        <v>4094</v>
      </c>
      <c r="AU144" s="94" t="s">
        <v>2269</v>
      </c>
    </row>
    <row r="145" spans="1:47">
      <c r="A145" s="107" t="s">
        <v>4187</v>
      </c>
      <c r="B145" s="107" t="s">
        <v>160</v>
      </c>
      <c r="C145" s="107" t="s">
        <v>73</v>
      </c>
      <c r="D145" s="107" t="s">
        <v>4188</v>
      </c>
      <c r="E145" s="107" t="s">
        <v>162</v>
      </c>
      <c r="F145" s="107" t="s">
        <v>4189</v>
      </c>
      <c r="G145" s="107" t="s">
        <v>4190</v>
      </c>
      <c r="H145" s="107" t="s">
        <v>165</v>
      </c>
      <c r="I145" s="107">
        <v>202605.5</v>
      </c>
      <c r="J145" s="107">
        <v>5.29</v>
      </c>
      <c r="K145" s="107" t="s">
        <v>73</v>
      </c>
      <c r="L145" s="107" t="s">
        <v>3288</v>
      </c>
      <c r="M145" s="107" t="s">
        <v>4191</v>
      </c>
      <c r="N145" s="104" t="s">
        <v>4192</v>
      </c>
      <c r="O145" s="105"/>
      <c r="P145" s="176" t="s">
        <v>138</v>
      </c>
      <c r="Q145" s="177" t="s">
        <v>100</v>
      </c>
      <c r="R145" s="177" t="s">
        <v>262</v>
      </c>
      <c r="S145" s="177" t="s">
        <v>439</v>
      </c>
      <c r="T145" s="177" t="s">
        <v>103</v>
      </c>
      <c r="U145" s="177" t="s">
        <v>264</v>
      </c>
      <c r="V145" s="177" t="s">
        <v>264</v>
      </c>
      <c r="W145" s="172" t="s">
        <v>19</v>
      </c>
      <c r="X145" s="106" t="s">
        <v>172</v>
      </c>
      <c r="Y145" s="105" t="s">
        <v>173</v>
      </c>
      <c r="Z145" s="105" t="s">
        <v>174</v>
      </c>
      <c r="AA145" s="105" t="s">
        <v>175</v>
      </c>
      <c r="AB145" s="104">
        <f t="shared" si="12"/>
        <v>1</v>
      </c>
      <c r="AC145" s="104">
        <v>1</v>
      </c>
      <c r="AD145" s="104">
        <v>1</v>
      </c>
      <c r="AE145" s="104">
        <v>1</v>
      </c>
      <c r="AF145" s="106"/>
      <c r="AG145" s="106">
        <v>1</v>
      </c>
      <c r="AH145" s="104">
        <f t="shared" si="13"/>
        <v>1</v>
      </c>
      <c r="AI145" s="106"/>
      <c r="AJ145" s="104">
        <v>1</v>
      </c>
      <c r="AK145" s="104">
        <v>1</v>
      </c>
      <c r="AL145" s="104">
        <v>1</v>
      </c>
      <c r="AM145" s="104">
        <f t="shared" si="14"/>
        <v>1</v>
      </c>
      <c r="AN145" s="104">
        <v>1</v>
      </c>
      <c r="AO145" s="104">
        <v>1</v>
      </c>
      <c r="AP145" s="104">
        <v>1</v>
      </c>
      <c r="AQ145" s="104"/>
      <c r="AS145" s="99" t="s">
        <v>4124</v>
      </c>
      <c r="AU145" s="94" t="s">
        <v>2092</v>
      </c>
    </row>
    <row r="146" spans="1:47">
      <c r="A146" s="107" t="s">
        <v>4193</v>
      </c>
      <c r="B146" s="107" t="s">
        <v>160</v>
      </c>
      <c r="C146" s="107" t="s">
        <v>73</v>
      </c>
      <c r="D146" s="107" t="s">
        <v>4194</v>
      </c>
      <c r="E146" s="107" t="s">
        <v>162</v>
      </c>
      <c r="F146" s="107" t="s">
        <v>4195</v>
      </c>
      <c r="G146" s="107" t="s">
        <v>4196</v>
      </c>
      <c r="H146" s="107" t="s">
        <v>165</v>
      </c>
      <c r="I146" s="107">
        <v>202605.5</v>
      </c>
      <c r="J146" s="107">
        <v>5.29</v>
      </c>
      <c r="K146" s="107" t="s">
        <v>73</v>
      </c>
      <c r="L146" s="107" t="s">
        <v>3279</v>
      </c>
      <c r="M146" s="107" t="s">
        <v>4197</v>
      </c>
      <c r="N146" s="104" t="s">
        <v>4198</v>
      </c>
      <c r="O146" s="105"/>
      <c r="P146" s="176" t="s">
        <v>138</v>
      </c>
      <c r="Q146" s="177" t="s">
        <v>100</v>
      </c>
      <c r="R146" s="177" t="s">
        <v>262</v>
      </c>
      <c r="S146" s="177" t="s">
        <v>439</v>
      </c>
      <c r="T146" s="177" t="s">
        <v>103</v>
      </c>
      <c r="U146" s="177" t="s">
        <v>264</v>
      </c>
      <c r="V146" s="177" t="s">
        <v>264</v>
      </c>
      <c r="W146" s="172" t="s">
        <v>19</v>
      </c>
      <c r="X146" s="106" t="s">
        <v>172</v>
      </c>
      <c r="Y146" s="105" t="s">
        <v>173</v>
      </c>
      <c r="Z146" s="105" t="s">
        <v>174</v>
      </c>
      <c r="AA146" s="105" t="s">
        <v>175</v>
      </c>
      <c r="AB146" s="104">
        <f t="shared" si="12"/>
        <v>1</v>
      </c>
      <c r="AC146" s="104">
        <v>1</v>
      </c>
      <c r="AD146" s="104">
        <v>1</v>
      </c>
      <c r="AE146" s="104">
        <v>1</v>
      </c>
      <c r="AF146" s="106"/>
      <c r="AG146" s="106">
        <v>1</v>
      </c>
      <c r="AH146" s="104">
        <f t="shared" si="13"/>
        <v>1</v>
      </c>
      <c r="AI146" s="106"/>
      <c r="AJ146" s="104">
        <v>1</v>
      </c>
      <c r="AK146" s="104">
        <v>1</v>
      </c>
      <c r="AL146" s="104">
        <v>1</v>
      </c>
      <c r="AM146" s="104">
        <f t="shared" si="14"/>
        <v>1</v>
      </c>
      <c r="AN146" s="104">
        <v>1</v>
      </c>
      <c r="AO146" s="104">
        <v>1</v>
      </c>
      <c r="AP146" s="104">
        <v>1</v>
      </c>
      <c r="AQ146" s="104"/>
      <c r="AR146" s="185" t="s">
        <v>4153</v>
      </c>
      <c r="AS146" s="99" t="s">
        <v>4024</v>
      </c>
      <c r="AU146" s="94" t="s">
        <v>2096</v>
      </c>
    </row>
    <row r="147" spans="1:47">
      <c r="A147" s="107" t="s">
        <v>4199</v>
      </c>
      <c r="B147" s="107" t="s">
        <v>160</v>
      </c>
      <c r="C147" s="107" t="s">
        <v>73</v>
      </c>
      <c r="D147" s="107" t="s">
        <v>4200</v>
      </c>
      <c r="E147" s="107" t="s">
        <v>162</v>
      </c>
      <c r="F147" s="107" t="s">
        <v>4201</v>
      </c>
      <c r="G147" s="107" t="s">
        <v>4202</v>
      </c>
      <c r="H147" s="107" t="s">
        <v>165</v>
      </c>
      <c r="I147" s="107">
        <v>202605.5</v>
      </c>
      <c r="J147" s="107">
        <v>5.29</v>
      </c>
      <c r="K147" s="107" t="s">
        <v>73</v>
      </c>
      <c r="L147" s="107" t="s">
        <v>3169</v>
      </c>
      <c r="M147" s="107" t="s">
        <v>4203</v>
      </c>
      <c r="N147" s="104" t="s">
        <v>4204</v>
      </c>
      <c r="O147" s="105"/>
      <c r="P147" s="176" t="s">
        <v>138</v>
      </c>
      <c r="Q147" s="177" t="s">
        <v>100</v>
      </c>
      <c r="R147" s="177" t="s">
        <v>262</v>
      </c>
      <c r="S147" s="177" t="s">
        <v>439</v>
      </c>
      <c r="T147" s="177" t="s">
        <v>103</v>
      </c>
      <c r="U147" s="177" t="s">
        <v>264</v>
      </c>
      <c r="V147" s="177" t="s">
        <v>264</v>
      </c>
      <c r="W147" s="172" t="s">
        <v>19</v>
      </c>
      <c r="X147" s="106" t="s">
        <v>172</v>
      </c>
      <c r="Y147" s="105" t="s">
        <v>173</v>
      </c>
      <c r="Z147" s="105" t="s">
        <v>174</v>
      </c>
      <c r="AA147" s="105" t="s">
        <v>175</v>
      </c>
      <c r="AB147" s="104">
        <f t="shared" si="12"/>
        <v>1</v>
      </c>
      <c r="AC147" s="104">
        <v>1</v>
      </c>
      <c r="AD147" s="104">
        <v>1</v>
      </c>
      <c r="AE147" s="104">
        <v>1</v>
      </c>
      <c r="AF147" s="106"/>
      <c r="AG147" s="106">
        <v>1</v>
      </c>
      <c r="AH147" s="104">
        <f t="shared" si="13"/>
        <v>1</v>
      </c>
      <c r="AI147" s="106"/>
      <c r="AJ147" s="104">
        <v>1</v>
      </c>
      <c r="AK147" s="104">
        <v>1</v>
      </c>
      <c r="AL147" s="104">
        <v>1</v>
      </c>
      <c r="AM147" s="104">
        <f t="shared" si="14"/>
        <v>1</v>
      </c>
      <c r="AN147" s="104">
        <v>1</v>
      </c>
      <c r="AO147" s="104">
        <v>1</v>
      </c>
      <c r="AP147" s="104">
        <v>1</v>
      </c>
      <c r="AQ147" s="104"/>
      <c r="AR147" s="185" t="s">
        <v>4205</v>
      </c>
      <c r="AS147" s="99" t="s">
        <v>3994</v>
      </c>
      <c r="AU147" s="94" t="s">
        <v>2083</v>
      </c>
    </row>
    <row r="148" spans="1:47">
      <c r="A148" s="107" t="s">
        <v>4206</v>
      </c>
      <c r="B148" s="107" t="s">
        <v>160</v>
      </c>
      <c r="C148" s="107" t="s">
        <v>73</v>
      </c>
      <c r="D148" s="107" t="s">
        <v>4207</v>
      </c>
      <c r="E148" s="107" t="s">
        <v>499</v>
      </c>
      <c r="F148" s="107" t="s">
        <v>4208</v>
      </c>
      <c r="G148" s="107" t="s">
        <v>4209</v>
      </c>
      <c r="H148" s="107" t="s">
        <v>165</v>
      </c>
      <c r="I148" s="107">
        <v>202605.5</v>
      </c>
      <c r="J148" s="107">
        <v>5.29</v>
      </c>
      <c r="K148" s="107" t="s">
        <v>73</v>
      </c>
      <c r="L148" s="107" t="s">
        <v>3224</v>
      </c>
      <c r="M148" s="107" t="s">
        <v>4210</v>
      </c>
      <c r="N148" s="104" t="s">
        <v>4211</v>
      </c>
      <c r="O148" s="105"/>
      <c r="P148" s="176" t="s">
        <v>138</v>
      </c>
      <c r="Q148" s="177" t="s">
        <v>100</v>
      </c>
      <c r="R148" s="177" t="s">
        <v>262</v>
      </c>
      <c r="S148" s="177" t="s">
        <v>1282</v>
      </c>
      <c r="T148" s="177" t="s">
        <v>103</v>
      </c>
      <c r="U148" s="177" t="s">
        <v>264</v>
      </c>
      <c r="V148" s="177" t="s">
        <v>264</v>
      </c>
      <c r="W148" s="172" t="s">
        <v>19</v>
      </c>
      <c r="X148" s="106" t="s">
        <v>172</v>
      </c>
      <c r="Y148" s="105" t="s">
        <v>173</v>
      </c>
      <c r="Z148" s="105" t="s">
        <v>174</v>
      </c>
      <c r="AA148" s="105" t="s">
        <v>175</v>
      </c>
      <c r="AB148" s="104">
        <f t="shared" si="12"/>
        <v>1</v>
      </c>
      <c r="AC148" s="104">
        <v>1</v>
      </c>
      <c r="AD148" s="104">
        <v>1</v>
      </c>
      <c r="AE148" s="104">
        <v>1</v>
      </c>
      <c r="AF148" s="106"/>
      <c r="AG148" s="106">
        <v>1</v>
      </c>
      <c r="AH148" s="104">
        <f t="shared" si="13"/>
        <v>1</v>
      </c>
      <c r="AI148" s="106"/>
      <c r="AJ148" s="104">
        <v>1</v>
      </c>
      <c r="AK148" s="104">
        <v>1</v>
      </c>
      <c r="AL148" s="104">
        <v>1</v>
      </c>
      <c r="AM148" s="104">
        <f t="shared" si="14"/>
        <v>1</v>
      </c>
      <c r="AN148" s="104">
        <v>1</v>
      </c>
      <c r="AO148" s="104">
        <v>1</v>
      </c>
      <c r="AP148" s="104">
        <v>1</v>
      </c>
      <c r="AQ148" s="104"/>
      <c r="AS148" s="99" t="s">
        <v>3981</v>
      </c>
      <c r="AU148" s="94" t="s">
        <v>2087</v>
      </c>
    </row>
    <row r="149" spans="1:47">
      <c r="A149" s="107" t="s">
        <v>4212</v>
      </c>
      <c r="B149" s="107" t="s">
        <v>160</v>
      </c>
      <c r="C149" s="107" t="s">
        <v>73</v>
      </c>
      <c r="D149" s="107" t="s">
        <v>4213</v>
      </c>
      <c r="E149" s="107" t="s">
        <v>499</v>
      </c>
      <c r="F149" s="107" t="s">
        <v>4214</v>
      </c>
      <c r="G149" s="107" t="s">
        <v>4215</v>
      </c>
      <c r="H149" s="107" t="s">
        <v>165</v>
      </c>
      <c r="I149" s="107">
        <v>202605.5</v>
      </c>
      <c r="J149" s="107">
        <v>5.29</v>
      </c>
      <c r="K149" s="107" t="s">
        <v>73</v>
      </c>
      <c r="L149" s="107" t="s">
        <v>3198</v>
      </c>
      <c r="M149" s="107" t="s">
        <v>4216</v>
      </c>
      <c r="N149" s="104" t="s">
        <v>4217</v>
      </c>
      <c r="O149" s="105"/>
      <c r="P149" s="176" t="s">
        <v>138</v>
      </c>
      <c r="Q149" s="177" t="s">
        <v>100</v>
      </c>
      <c r="R149" s="177" t="s">
        <v>262</v>
      </c>
      <c r="S149" s="177" t="s">
        <v>1282</v>
      </c>
      <c r="T149" s="177" t="s">
        <v>103</v>
      </c>
      <c r="U149" s="177" t="s">
        <v>264</v>
      </c>
      <c r="V149" s="177" t="s">
        <v>264</v>
      </c>
      <c r="W149" s="172" t="s">
        <v>19</v>
      </c>
      <c r="X149" s="106" t="s">
        <v>172</v>
      </c>
      <c r="Y149" s="105" t="s">
        <v>173</v>
      </c>
      <c r="Z149" s="105" t="s">
        <v>174</v>
      </c>
      <c r="AA149" s="105" t="s">
        <v>175</v>
      </c>
      <c r="AB149" s="104">
        <f t="shared" si="12"/>
        <v>1</v>
      </c>
      <c r="AC149" s="104">
        <v>1</v>
      </c>
      <c r="AD149" s="104">
        <v>1</v>
      </c>
      <c r="AE149" s="104">
        <v>1</v>
      </c>
      <c r="AF149" s="106"/>
      <c r="AG149" s="106">
        <v>1</v>
      </c>
      <c r="AH149" s="104">
        <f t="shared" si="13"/>
        <v>1</v>
      </c>
      <c r="AI149" s="106"/>
      <c r="AJ149" s="104">
        <v>1</v>
      </c>
      <c r="AK149" s="104">
        <v>1</v>
      </c>
      <c r="AL149" s="104">
        <v>1</v>
      </c>
      <c r="AM149" s="104">
        <f t="shared" si="14"/>
        <v>1</v>
      </c>
      <c r="AN149" s="104">
        <v>1</v>
      </c>
      <c r="AO149" s="104">
        <v>1</v>
      </c>
      <c r="AP149" s="104">
        <v>1</v>
      </c>
      <c r="AQ149" s="104"/>
      <c r="AS149" s="99" t="s">
        <v>3570</v>
      </c>
      <c r="AU149" s="94" t="s">
        <v>2152</v>
      </c>
    </row>
    <row r="150" spans="1:47">
      <c r="A150" s="107" t="s">
        <v>4218</v>
      </c>
      <c r="B150" s="107" t="s">
        <v>160</v>
      </c>
      <c r="C150" s="107" t="s">
        <v>73</v>
      </c>
      <c r="D150" s="107" t="s">
        <v>4219</v>
      </c>
      <c r="E150" s="107" t="s">
        <v>162</v>
      </c>
      <c r="F150" s="107" t="s">
        <v>4220</v>
      </c>
      <c r="G150" s="107" t="s">
        <v>4221</v>
      </c>
      <c r="H150" s="107" t="s">
        <v>165</v>
      </c>
      <c r="I150" s="107">
        <v>202605.5</v>
      </c>
      <c r="J150" s="107">
        <v>5.29</v>
      </c>
      <c r="K150" s="107" t="s">
        <v>73</v>
      </c>
      <c r="L150" s="107" t="s">
        <v>3234</v>
      </c>
      <c r="M150" s="107" t="s">
        <v>4222</v>
      </c>
      <c r="N150" s="104" t="s">
        <v>4223</v>
      </c>
      <c r="O150" s="105"/>
      <c r="P150" s="176" t="s">
        <v>138</v>
      </c>
      <c r="Q150" s="177" t="s">
        <v>100</v>
      </c>
      <c r="R150" s="177" t="s">
        <v>262</v>
      </c>
      <c r="S150" s="177" t="s">
        <v>1282</v>
      </c>
      <c r="T150" s="177" t="s">
        <v>103</v>
      </c>
      <c r="U150" s="177" t="s">
        <v>264</v>
      </c>
      <c r="V150" s="177" t="s">
        <v>264</v>
      </c>
      <c r="W150" s="172" t="s">
        <v>19</v>
      </c>
      <c r="X150" s="106" t="s">
        <v>172</v>
      </c>
      <c r="Y150" s="105" t="s">
        <v>173</v>
      </c>
      <c r="Z150" s="105" t="s">
        <v>174</v>
      </c>
      <c r="AA150" s="105" t="s">
        <v>175</v>
      </c>
      <c r="AB150" s="104">
        <f t="shared" si="12"/>
        <v>1</v>
      </c>
      <c r="AC150" s="104">
        <v>1</v>
      </c>
      <c r="AD150" s="104">
        <v>1</v>
      </c>
      <c r="AE150" s="104">
        <v>1</v>
      </c>
      <c r="AF150" s="106"/>
      <c r="AG150" s="106">
        <v>1</v>
      </c>
      <c r="AH150" s="104">
        <f t="shared" si="13"/>
        <v>1</v>
      </c>
      <c r="AI150" s="106"/>
      <c r="AJ150" s="104">
        <v>1</v>
      </c>
      <c r="AK150" s="104">
        <v>1</v>
      </c>
      <c r="AL150" s="104">
        <v>1</v>
      </c>
      <c r="AM150" s="104">
        <f t="shared" si="14"/>
        <v>1</v>
      </c>
      <c r="AN150" s="104">
        <v>1</v>
      </c>
      <c r="AO150" s="104">
        <v>1</v>
      </c>
      <c r="AP150" s="104">
        <v>1</v>
      </c>
      <c r="AQ150" s="104"/>
      <c r="AR150" s="185" t="s">
        <v>4153</v>
      </c>
      <c r="AS150" s="99" t="s">
        <v>3951</v>
      </c>
      <c r="AU150" s="94" t="s">
        <v>2156</v>
      </c>
    </row>
    <row r="151" spans="1:47">
      <c r="A151" s="107" t="s">
        <v>4224</v>
      </c>
      <c r="B151" s="107" t="s">
        <v>160</v>
      </c>
      <c r="C151" s="107" t="s">
        <v>73</v>
      </c>
      <c r="D151" s="107" t="s">
        <v>4225</v>
      </c>
      <c r="E151" s="107" t="s">
        <v>162</v>
      </c>
      <c r="F151" s="107" t="s">
        <v>4226</v>
      </c>
      <c r="G151" s="107" t="s">
        <v>4227</v>
      </c>
      <c r="H151" s="107" t="s">
        <v>165</v>
      </c>
      <c r="I151" s="107">
        <v>202605.5</v>
      </c>
      <c r="J151" s="107">
        <v>5.29</v>
      </c>
      <c r="K151" s="107" t="s">
        <v>73</v>
      </c>
      <c r="L151" s="107" t="s">
        <v>3252</v>
      </c>
      <c r="M151" s="107" t="s">
        <v>4228</v>
      </c>
      <c r="N151" s="104" t="s">
        <v>4229</v>
      </c>
      <c r="O151" s="105"/>
      <c r="P151" s="176" t="s">
        <v>138</v>
      </c>
      <c r="Q151" s="177" t="s">
        <v>100</v>
      </c>
      <c r="R151" s="177" t="s">
        <v>262</v>
      </c>
      <c r="S151" s="177" t="s">
        <v>1282</v>
      </c>
      <c r="T151" s="177" t="s">
        <v>103</v>
      </c>
      <c r="U151" s="177" t="s">
        <v>264</v>
      </c>
      <c r="V151" s="177" t="s">
        <v>264</v>
      </c>
      <c r="W151" s="172" t="s">
        <v>19</v>
      </c>
      <c r="X151" s="106" t="s">
        <v>172</v>
      </c>
      <c r="Y151" s="105" t="s">
        <v>173</v>
      </c>
      <c r="Z151" s="105" t="s">
        <v>174</v>
      </c>
      <c r="AA151" s="105" t="s">
        <v>175</v>
      </c>
      <c r="AB151" s="104">
        <f t="shared" si="12"/>
        <v>1</v>
      </c>
      <c r="AC151" s="104">
        <v>1</v>
      </c>
      <c r="AD151" s="104">
        <v>1</v>
      </c>
      <c r="AE151" s="104">
        <v>1</v>
      </c>
      <c r="AF151" s="106"/>
      <c r="AG151" s="106">
        <v>1</v>
      </c>
      <c r="AH151" s="104">
        <f t="shared" si="13"/>
        <v>1</v>
      </c>
      <c r="AI151" s="106"/>
      <c r="AJ151" s="104">
        <v>1</v>
      </c>
      <c r="AK151" s="104">
        <v>1</v>
      </c>
      <c r="AL151" s="104">
        <v>1</v>
      </c>
      <c r="AM151" s="104">
        <f t="shared" si="14"/>
        <v>1</v>
      </c>
      <c r="AN151" s="104">
        <v>1</v>
      </c>
      <c r="AO151" s="104">
        <v>1</v>
      </c>
      <c r="AP151" s="104">
        <v>1</v>
      </c>
      <c r="AQ151" s="104"/>
      <c r="AS151" s="99" t="s">
        <v>3578</v>
      </c>
      <c r="AU151" s="94" t="s">
        <v>2195</v>
      </c>
    </row>
    <row r="152" spans="1:47">
      <c r="A152" s="107" t="s">
        <v>4230</v>
      </c>
      <c r="B152" s="107" t="s">
        <v>160</v>
      </c>
      <c r="C152" s="107" t="s">
        <v>73</v>
      </c>
      <c r="D152" s="107" t="s">
        <v>4231</v>
      </c>
      <c r="E152" s="107" t="s">
        <v>162</v>
      </c>
      <c r="F152" s="107" t="s">
        <v>4232</v>
      </c>
      <c r="G152" s="107" t="s">
        <v>4233</v>
      </c>
      <c r="H152" s="107" t="s">
        <v>165</v>
      </c>
      <c r="I152" s="107">
        <v>202605.5</v>
      </c>
      <c r="J152" s="107">
        <v>5.29</v>
      </c>
      <c r="K152" s="107" t="s">
        <v>73</v>
      </c>
      <c r="L152" s="107" t="s">
        <v>4078</v>
      </c>
      <c r="M152" s="107" t="s">
        <v>4234</v>
      </c>
      <c r="N152" s="104" t="s">
        <v>4235</v>
      </c>
      <c r="O152" s="105"/>
      <c r="P152" s="176" t="s">
        <v>138</v>
      </c>
      <c r="Q152" s="177" t="s">
        <v>100</v>
      </c>
      <c r="R152" s="177" t="s">
        <v>262</v>
      </c>
      <c r="S152" s="177" t="s">
        <v>1282</v>
      </c>
      <c r="T152" s="177" t="s">
        <v>103</v>
      </c>
      <c r="U152" s="177" t="s">
        <v>264</v>
      </c>
      <c r="V152" s="177" t="s">
        <v>264</v>
      </c>
      <c r="W152" s="172" t="s">
        <v>19</v>
      </c>
      <c r="X152" s="106" t="s">
        <v>172</v>
      </c>
      <c r="Y152" s="105" t="s">
        <v>173</v>
      </c>
      <c r="Z152" s="105" t="s">
        <v>174</v>
      </c>
      <c r="AA152" s="105" t="s">
        <v>175</v>
      </c>
      <c r="AB152" s="104">
        <f t="shared" si="12"/>
        <v>1</v>
      </c>
      <c r="AC152" s="104">
        <v>1</v>
      </c>
      <c r="AD152" s="104">
        <v>1</v>
      </c>
      <c r="AE152" s="104">
        <v>1</v>
      </c>
      <c r="AF152" s="106"/>
      <c r="AG152" s="106">
        <v>1</v>
      </c>
      <c r="AH152" s="104">
        <f t="shared" si="13"/>
        <v>1</v>
      </c>
      <c r="AI152" s="106"/>
      <c r="AJ152" s="104">
        <v>1</v>
      </c>
      <c r="AK152" s="104">
        <v>1</v>
      </c>
      <c r="AL152" s="104">
        <v>1</v>
      </c>
      <c r="AM152" s="104">
        <f t="shared" si="14"/>
        <v>1</v>
      </c>
      <c r="AN152" s="104">
        <v>1</v>
      </c>
      <c r="AO152" s="104">
        <v>1</v>
      </c>
      <c r="AP152" s="104">
        <v>1</v>
      </c>
      <c r="AQ152" s="104"/>
      <c r="AS152" s="99" t="s">
        <v>3439</v>
      </c>
      <c r="AU152" s="94" t="s">
        <v>2198</v>
      </c>
    </row>
    <row r="153" spans="1:47">
      <c r="A153" s="107" t="s">
        <v>4236</v>
      </c>
      <c r="B153" s="107" t="s">
        <v>160</v>
      </c>
      <c r="C153" s="107" t="s">
        <v>73</v>
      </c>
      <c r="D153" s="107" t="s">
        <v>1024</v>
      </c>
      <c r="E153" s="107" t="s">
        <v>162</v>
      </c>
      <c r="F153" s="107" t="s">
        <v>4237</v>
      </c>
      <c r="G153" s="107" t="s">
        <v>4238</v>
      </c>
      <c r="H153" s="107" t="s">
        <v>165</v>
      </c>
      <c r="I153" s="107">
        <v>202605.5</v>
      </c>
      <c r="J153" s="107">
        <v>5.29</v>
      </c>
      <c r="K153" s="107" t="s">
        <v>73</v>
      </c>
      <c r="L153" s="107" t="s">
        <v>4086</v>
      </c>
      <c r="M153" s="107" t="s">
        <v>4239</v>
      </c>
      <c r="N153" s="104" t="s">
        <v>4240</v>
      </c>
      <c r="O153" s="105"/>
      <c r="P153" s="176" t="s">
        <v>138</v>
      </c>
      <c r="Q153" s="177" t="s">
        <v>100</v>
      </c>
      <c r="R153" s="177" t="s">
        <v>262</v>
      </c>
      <c r="S153" s="177" t="s">
        <v>1282</v>
      </c>
      <c r="T153" s="177" t="s">
        <v>103</v>
      </c>
      <c r="U153" s="177" t="s">
        <v>264</v>
      </c>
      <c r="V153" s="177" t="s">
        <v>264</v>
      </c>
      <c r="W153" s="172" t="s">
        <v>19</v>
      </c>
      <c r="X153" s="106" t="s">
        <v>172</v>
      </c>
      <c r="Y153" s="105" t="s">
        <v>173</v>
      </c>
      <c r="Z153" s="105" t="s">
        <v>174</v>
      </c>
      <c r="AA153" s="105" t="s">
        <v>175</v>
      </c>
      <c r="AB153" s="104">
        <f t="shared" si="12"/>
        <v>1</v>
      </c>
      <c r="AC153" s="104">
        <v>1</v>
      </c>
      <c r="AD153" s="104">
        <v>1</v>
      </c>
      <c r="AE153" s="104">
        <v>1</v>
      </c>
      <c r="AF153" s="106"/>
      <c r="AG153" s="106">
        <v>1</v>
      </c>
      <c r="AH153" s="104">
        <f t="shared" si="13"/>
        <v>1</v>
      </c>
      <c r="AI153" s="106"/>
      <c r="AJ153" s="104">
        <v>1</v>
      </c>
      <c r="AK153" s="104">
        <v>1</v>
      </c>
      <c r="AL153" s="104">
        <v>1</v>
      </c>
      <c r="AM153" s="104">
        <f t="shared" si="14"/>
        <v>1</v>
      </c>
      <c r="AN153" s="104">
        <v>1</v>
      </c>
      <c r="AO153" s="104">
        <v>1</v>
      </c>
      <c r="AP153" s="104">
        <v>1</v>
      </c>
      <c r="AQ153" s="104"/>
      <c r="AR153" s="185"/>
      <c r="AS153" s="99" t="s">
        <v>4086</v>
      </c>
      <c r="AU153" s="94" t="s">
        <v>3399</v>
      </c>
    </row>
    <row r="154" spans="1:47">
      <c r="A154" s="107" t="s">
        <v>4241</v>
      </c>
      <c r="B154" s="107" t="s">
        <v>160</v>
      </c>
      <c r="C154" s="107" t="s">
        <v>73</v>
      </c>
      <c r="D154" s="107" t="s">
        <v>4242</v>
      </c>
      <c r="E154" s="107" t="s">
        <v>162</v>
      </c>
      <c r="F154" s="107" t="s">
        <v>4243</v>
      </c>
      <c r="G154" s="107" t="s">
        <v>4244</v>
      </c>
      <c r="H154" s="107" t="s">
        <v>165</v>
      </c>
      <c r="I154" s="107">
        <v>202605.5</v>
      </c>
      <c r="J154" s="107">
        <v>5.29</v>
      </c>
      <c r="K154" s="107" t="s">
        <v>73</v>
      </c>
      <c r="L154" s="107" t="s">
        <v>4094</v>
      </c>
      <c r="M154" s="107" t="s">
        <v>4245</v>
      </c>
      <c r="N154" s="104" t="s">
        <v>4246</v>
      </c>
      <c r="O154" s="105"/>
      <c r="P154" s="176" t="s">
        <v>138</v>
      </c>
      <c r="Q154" s="177" t="s">
        <v>100</v>
      </c>
      <c r="R154" s="177" t="s">
        <v>262</v>
      </c>
      <c r="S154" s="177" t="s">
        <v>1282</v>
      </c>
      <c r="T154" s="177" t="s">
        <v>103</v>
      </c>
      <c r="U154" s="177" t="s">
        <v>264</v>
      </c>
      <c r="V154" s="177" t="s">
        <v>264</v>
      </c>
      <c r="W154" s="172" t="s">
        <v>19</v>
      </c>
      <c r="X154" s="106" t="s">
        <v>172</v>
      </c>
      <c r="Y154" s="105" t="s">
        <v>173</v>
      </c>
      <c r="Z154" s="105" t="s">
        <v>174</v>
      </c>
      <c r="AA154" s="105" t="s">
        <v>175</v>
      </c>
      <c r="AB154" s="104">
        <f t="shared" si="12"/>
        <v>1</v>
      </c>
      <c r="AC154" s="104">
        <v>1</v>
      </c>
      <c r="AD154" s="104">
        <v>1</v>
      </c>
      <c r="AE154" s="104">
        <v>1</v>
      </c>
      <c r="AF154" s="106"/>
      <c r="AG154" s="106">
        <v>1</v>
      </c>
      <c r="AH154" s="104">
        <f t="shared" si="13"/>
        <v>1</v>
      </c>
      <c r="AI154" s="106"/>
      <c r="AJ154" s="104">
        <v>1</v>
      </c>
      <c r="AK154" s="104">
        <v>1</v>
      </c>
      <c r="AL154" s="104">
        <v>1</v>
      </c>
      <c r="AM154" s="104">
        <f t="shared" si="14"/>
        <v>1</v>
      </c>
      <c r="AN154" s="104">
        <v>1</v>
      </c>
      <c r="AO154" s="104">
        <v>1</v>
      </c>
      <c r="AP154" s="104">
        <v>1</v>
      </c>
      <c r="AQ154" s="104"/>
      <c r="AS154" s="99" t="s">
        <v>4078</v>
      </c>
      <c r="AU154" s="94" t="s">
        <v>2180</v>
      </c>
    </row>
    <row r="155" spans="1:47">
      <c r="A155" s="107" t="s">
        <v>4247</v>
      </c>
      <c r="B155" s="107" t="s">
        <v>160</v>
      </c>
      <c r="C155" s="107" t="s">
        <v>73</v>
      </c>
      <c r="D155" s="107" t="s">
        <v>4248</v>
      </c>
      <c r="E155" s="107" t="s">
        <v>162</v>
      </c>
      <c r="F155" s="107" t="s">
        <v>4249</v>
      </c>
      <c r="G155" s="107" t="s">
        <v>4250</v>
      </c>
      <c r="H155" s="107" t="s">
        <v>165</v>
      </c>
      <c r="I155" s="107">
        <v>202605.5</v>
      </c>
      <c r="J155" s="107">
        <v>5.29</v>
      </c>
      <c r="K155" s="107" t="s">
        <v>73</v>
      </c>
      <c r="L155" s="107" t="s">
        <v>3160</v>
      </c>
      <c r="M155" s="107" t="s">
        <v>4251</v>
      </c>
      <c r="N155" s="104" t="s">
        <v>4252</v>
      </c>
      <c r="O155" s="105"/>
      <c r="P155" s="176" t="s">
        <v>138</v>
      </c>
      <c r="Q155" s="177" t="s">
        <v>100</v>
      </c>
      <c r="R155" s="177" t="s">
        <v>262</v>
      </c>
      <c r="S155" s="177" t="s">
        <v>1282</v>
      </c>
      <c r="T155" s="177" t="s">
        <v>103</v>
      </c>
      <c r="U155" s="177" t="s">
        <v>264</v>
      </c>
      <c r="V155" s="177" t="s">
        <v>264</v>
      </c>
      <c r="W155" s="172" t="s">
        <v>19</v>
      </c>
      <c r="X155" s="106" t="s">
        <v>172</v>
      </c>
      <c r="Y155" s="105" t="s">
        <v>173</v>
      </c>
      <c r="Z155" s="105" t="s">
        <v>174</v>
      </c>
      <c r="AA155" s="105" t="s">
        <v>175</v>
      </c>
      <c r="AB155" s="104">
        <f t="shared" si="12"/>
        <v>1</v>
      </c>
      <c r="AC155" s="104">
        <v>1</v>
      </c>
      <c r="AD155" s="104">
        <v>1</v>
      </c>
      <c r="AE155" s="104">
        <v>1</v>
      </c>
      <c r="AF155" s="106"/>
      <c r="AG155" s="106">
        <v>1</v>
      </c>
      <c r="AH155" s="104">
        <f t="shared" si="13"/>
        <v>1</v>
      </c>
      <c r="AI155" s="106"/>
      <c r="AJ155" s="104">
        <v>1</v>
      </c>
      <c r="AK155" s="104">
        <v>1</v>
      </c>
      <c r="AL155" s="104">
        <v>1</v>
      </c>
      <c r="AM155" s="104">
        <f t="shared" si="14"/>
        <v>1</v>
      </c>
      <c r="AN155" s="104">
        <v>1</v>
      </c>
      <c r="AO155" s="104">
        <v>1</v>
      </c>
      <c r="AP155" s="104">
        <v>1</v>
      </c>
      <c r="AQ155" s="104"/>
      <c r="AR155" s="185" t="s">
        <v>4205</v>
      </c>
      <c r="AS155" s="99" t="s">
        <v>3425</v>
      </c>
      <c r="AU155" s="94" t="s">
        <v>2183</v>
      </c>
    </row>
    <row r="156" spans="1:47">
      <c r="A156" s="107" t="s">
        <v>4253</v>
      </c>
      <c r="B156" s="107" t="s">
        <v>160</v>
      </c>
      <c r="C156" s="107" t="s">
        <v>73</v>
      </c>
      <c r="D156" s="107" t="s">
        <v>4254</v>
      </c>
      <c r="E156" s="107" t="s">
        <v>162</v>
      </c>
      <c r="F156" s="107" t="s">
        <v>4255</v>
      </c>
      <c r="G156" s="107" t="s">
        <v>4256</v>
      </c>
      <c r="H156" s="107" t="s">
        <v>165</v>
      </c>
      <c r="I156" s="107">
        <v>202605.5</v>
      </c>
      <c r="J156" s="107">
        <v>5.29</v>
      </c>
      <c r="K156" s="107" t="s">
        <v>73</v>
      </c>
      <c r="L156" s="107" t="s">
        <v>4109</v>
      </c>
      <c r="M156" s="107" t="s">
        <v>4257</v>
      </c>
      <c r="N156" s="104" t="s">
        <v>4258</v>
      </c>
      <c r="O156" s="105"/>
      <c r="P156" s="176" t="s">
        <v>138</v>
      </c>
      <c r="Q156" s="177" t="s">
        <v>100</v>
      </c>
      <c r="R156" s="177" t="s">
        <v>262</v>
      </c>
      <c r="S156" s="177" t="s">
        <v>1282</v>
      </c>
      <c r="T156" s="177" t="s">
        <v>103</v>
      </c>
      <c r="U156" s="177" t="s">
        <v>264</v>
      </c>
      <c r="V156" s="177" t="s">
        <v>264</v>
      </c>
      <c r="W156" s="172" t="s">
        <v>19</v>
      </c>
      <c r="X156" s="106" t="s">
        <v>172</v>
      </c>
      <c r="Y156" s="105" t="s">
        <v>173</v>
      </c>
      <c r="Z156" s="105" t="s">
        <v>174</v>
      </c>
      <c r="AA156" s="105" t="s">
        <v>175</v>
      </c>
      <c r="AB156" s="104">
        <f t="shared" si="12"/>
        <v>1</v>
      </c>
      <c r="AC156" s="104">
        <v>1</v>
      </c>
      <c r="AD156" s="104">
        <v>1</v>
      </c>
      <c r="AE156" s="104">
        <v>1</v>
      </c>
      <c r="AF156" s="106"/>
      <c r="AG156" s="106">
        <v>1</v>
      </c>
      <c r="AH156" s="104">
        <f t="shared" si="13"/>
        <v>1</v>
      </c>
      <c r="AI156" s="106"/>
      <c r="AJ156" s="104">
        <v>1</v>
      </c>
      <c r="AK156" s="104">
        <v>1</v>
      </c>
      <c r="AL156" s="104">
        <v>1</v>
      </c>
      <c r="AM156" s="104">
        <f t="shared" si="14"/>
        <v>1</v>
      </c>
      <c r="AN156" s="104">
        <v>1</v>
      </c>
      <c r="AO156" s="104">
        <v>1</v>
      </c>
      <c r="AP156" s="104">
        <v>1</v>
      </c>
      <c r="AQ156" s="104"/>
      <c r="AS156" s="99" t="s">
        <v>3225</v>
      </c>
      <c r="AU156" s="94" t="s">
        <v>3436</v>
      </c>
    </row>
    <row r="157" spans="1:47">
      <c r="A157" s="107" t="s">
        <v>4259</v>
      </c>
      <c r="B157" s="107" t="s">
        <v>160</v>
      </c>
      <c r="C157" s="107" t="s">
        <v>73</v>
      </c>
      <c r="D157" s="107" t="s">
        <v>4260</v>
      </c>
      <c r="E157" s="107" t="s">
        <v>162</v>
      </c>
      <c r="F157" s="107" t="s">
        <v>4261</v>
      </c>
      <c r="G157" s="107" t="s">
        <v>4262</v>
      </c>
      <c r="H157" s="107" t="s">
        <v>165</v>
      </c>
      <c r="I157" s="107">
        <v>202605.5</v>
      </c>
      <c r="J157" s="107">
        <v>5.29</v>
      </c>
      <c r="K157" s="107" t="s">
        <v>73</v>
      </c>
      <c r="L157" s="107" t="s">
        <v>3207</v>
      </c>
      <c r="M157" s="107" t="s">
        <v>4263</v>
      </c>
      <c r="N157" s="104" t="s">
        <v>4264</v>
      </c>
      <c r="O157" s="105"/>
      <c r="P157" s="176" t="s">
        <v>138</v>
      </c>
      <c r="Q157" s="177" t="s">
        <v>100</v>
      </c>
      <c r="R157" s="177" t="s">
        <v>262</v>
      </c>
      <c r="S157" s="177" t="s">
        <v>1282</v>
      </c>
      <c r="T157" s="177" t="s">
        <v>103</v>
      </c>
      <c r="U157" s="177" t="s">
        <v>264</v>
      </c>
      <c r="V157" s="177" t="s">
        <v>264</v>
      </c>
      <c r="W157" s="172" t="s">
        <v>19</v>
      </c>
      <c r="X157" s="106" t="s">
        <v>172</v>
      </c>
      <c r="Y157" s="105" t="s">
        <v>173</v>
      </c>
      <c r="Z157" s="105" t="s">
        <v>174</v>
      </c>
      <c r="AA157" s="105" t="s">
        <v>175</v>
      </c>
      <c r="AB157" s="104">
        <f t="shared" si="12"/>
        <v>1</v>
      </c>
      <c r="AC157" s="104">
        <v>1</v>
      </c>
      <c r="AD157" s="104">
        <v>1</v>
      </c>
      <c r="AE157" s="104">
        <v>1</v>
      </c>
      <c r="AF157" s="106"/>
      <c r="AG157" s="106">
        <v>1</v>
      </c>
      <c r="AH157" s="104">
        <f t="shared" si="13"/>
        <v>1</v>
      </c>
      <c r="AI157" s="106"/>
      <c r="AJ157" s="104">
        <v>1</v>
      </c>
      <c r="AK157" s="104">
        <v>1</v>
      </c>
      <c r="AL157" s="104">
        <v>1</v>
      </c>
      <c r="AM157" s="104">
        <f t="shared" si="14"/>
        <v>1</v>
      </c>
      <c r="AN157" s="104">
        <v>1</v>
      </c>
      <c r="AO157" s="104">
        <v>1</v>
      </c>
      <c r="AP157" s="104">
        <v>1</v>
      </c>
      <c r="AQ157" s="104"/>
      <c r="AR157" s="185" t="s">
        <v>4205</v>
      </c>
      <c r="AS157" s="99" t="s">
        <v>3334</v>
      </c>
      <c r="AU157" s="94" t="s">
        <v>3445</v>
      </c>
    </row>
    <row r="158" spans="1:47">
      <c r="A158" s="107" t="s">
        <v>4265</v>
      </c>
      <c r="B158" s="107" t="s">
        <v>160</v>
      </c>
      <c r="C158" s="107" t="s">
        <v>73</v>
      </c>
      <c r="D158" s="107" t="s">
        <v>4266</v>
      </c>
      <c r="E158" s="107" t="s">
        <v>162</v>
      </c>
      <c r="F158" s="107" t="s">
        <v>4267</v>
      </c>
      <c r="G158" s="107" t="s">
        <v>4268</v>
      </c>
      <c r="H158" s="107" t="s">
        <v>165</v>
      </c>
      <c r="I158" s="107">
        <v>202605.5</v>
      </c>
      <c r="J158" s="107">
        <v>5.29</v>
      </c>
      <c r="K158" s="107" t="s">
        <v>73</v>
      </c>
      <c r="L158" s="107" t="s">
        <v>4174</v>
      </c>
      <c r="M158" s="107" t="s">
        <v>4269</v>
      </c>
      <c r="N158" s="104" t="s">
        <v>4270</v>
      </c>
      <c r="O158" s="105"/>
      <c r="P158" s="176" t="s">
        <v>138</v>
      </c>
      <c r="Q158" s="177" t="s">
        <v>100</v>
      </c>
      <c r="R158" s="177" t="s">
        <v>262</v>
      </c>
      <c r="S158" s="177" t="s">
        <v>1282</v>
      </c>
      <c r="T158" s="177" t="s">
        <v>103</v>
      </c>
      <c r="U158" s="177" t="s">
        <v>264</v>
      </c>
      <c r="V158" s="177" t="s">
        <v>264</v>
      </c>
      <c r="W158" s="172" t="s">
        <v>19</v>
      </c>
      <c r="X158" s="106" t="s">
        <v>172</v>
      </c>
      <c r="Y158" s="105" t="s">
        <v>173</v>
      </c>
      <c r="Z158" s="105" t="s">
        <v>174</v>
      </c>
      <c r="AA158" s="105" t="s">
        <v>175</v>
      </c>
      <c r="AB158" s="104">
        <f t="shared" si="12"/>
        <v>1</v>
      </c>
      <c r="AC158" s="104">
        <v>1</v>
      </c>
      <c r="AD158" s="104">
        <v>1</v>
      </c>
      <c r="AE158" s="104">
        <v>1</v>
      </c>
      <c r="AF158" s="106"/>
      <c r="AG158" s="106">
        <v>1</v>
      </c>
      <c r="AH158" s="104">
        <f t="shared" si="13"/>
        <v>1</v>
      </c>
      <c r="AI158" s="106"/>
      <c r="AJ158" s="104">
        <v>0</v>
      </c>
      <c r="AK158" s="104">
        <v>0</v>
      </c>
      <c r="AL158" s="104">
        <v>0</v>
      </c>
      <c r="AM158" s="104">
        <f t="shared" si="14"/>
        <v>0</v>
      </c>
      <c r="AN158" s="175" t="s">
        <v>4271</v>
      </c>
      <c r="AO158" s="175" t="s">
        <v>1211</v>
      </c>
      <c r="AP158" s="175" t="s">
        <v>1211</v>
      </c>
      <c r="AQ158" s="175" t="s">
        <v>1211</v>
      </c>
      <c r="AS158" s="99" t="s">
        <v>3170</v>
      </c>
      <c r="AU158" s="94" t="s">
        <v>2129</v>
      </c>
    </row>
    <row r="159" spans="1:47">
      <c r="A159" s="107" t="s">
        <v>4272</v>
      </c>
      <c r="B159" s="107" t="s">
        <v>160</v>
      </c>
      <c r="C159" s="107" t="s">
        <v>73</v>
      </c>
      <c r="D159" s="107" t="s">
        <v>4273</v>
      </c>
      <c r="E159" s="107" t="s">
        <v>162</v>
      </c>
      <c r="F159" s="107" t="s">
        <v>4274</v>
      </c>
      <c r="G159" s="107" t="s">
        <v>4275</v>
      </c>
      <c r="H159" s="107" t="s">
        <v>165</v>
      </c>
      <c r="I159" s="107">
        <v>202605.5</v>
      </c>
      <c r="J159" s="107">
        <v>5.29</v>
      </c>
      <c r="K159" s="107" t="s">
        <v>73</v>
      </c>
      <c r="L159" s="107" t="s">
        <v>4124</v>
      </c>
      <c r="M159" s="107" t="s">
        <v>4276</v>
      </c>
      <c r="N159" s="104" t="s">
        <v>4277</v>
      </c>
      <c r="O159" s="105"/>
      <c r="P159" s="176" t="s">
        <v>138</v>
      </c>
      <c r="Q159" s="177" t="s">
        <v>100</v>
      </c>
      <c r="R159" s="177" t="s">
        <v>262</v>
      </c>
      <c r="S159" s="177" t="s">
        <v>1282</v>
      </c>
      <c r="T159" s="177" t="s">
        <v>103</v>
      </c>
      <c r="U159" s="177" t="s">
        <v>264</v>
      </c>
      <c r="V159" s="177" t="s">
        <v>264</v>
      </c>
      <c r="W159" s="172" t="s">
        <v>19</v>
      </c>
      <c r="X159" s="106" t="s">
        <v>172</v>
      </c>
      <c r="Y159" s="105" t="s">
        <v>173</v>
      </c>
      <c r="Z159" s="105" t="s">
        <v>174</v>
      </c>
      <c r="AA159" s="105" t="s">
        <v>175</v>
      </c>
      <c r="AB159" s="104">
        <f t="shared" si="12"/>
        <v>1</v>
      </c>
      <c r="AC159" s="104">
        <v>1</v>
      </c>
      <c r="AD159" s="104">
        <v>1</v>
      </c>
      <c r="AE159" s="104">
        <v>1</v>
      </c>
      <c r="AF159" s="106"/>
      <c r="AG159" s="106">
        <v>1</v>
      </c>
      <c r="AH159" s="104">
        <f t="shared" si="13"/>
        <v>1</v>
      </c>
      <c r="AI159" s="106"/>
      <c r="AJ159" s="104">
        <v>1</v>
      </c>
      <c r="AK159" s="104">
        <v>1</v>
      </c>
      <c r="AL159" s="104">
        <v>1</v>
      </c>
      <c r="AM159" s="104">
        <f t="shared" si="14"/>
        <v>1</v>
      </c>
      <c r="AN159" s="104">
        <v>1</v>
      </c>
      <c r="AO159" s="104">
        <v>1</v>
      </c>
      <c r="AP159" s="104">
        <v>1</v>
      </c>
      <c r="AQ159" s="104"/>
      <c r="AS159" s="99" t="s">
        <v>3179</v>
      </c>
      <c r="AU159" s="94" t="s">
        <v>2133</v>
      </c>
    </row>
    <row r="160" spans="1:47">
      <c r="A160" s="107" t="s">
        <v>4278</v>
      </c>
      <c r="B160" s="107" t="s">
        <v>160</v>
      </c>
      <c r="C160" s="107" t="s">
        <v>73</v>
      </c>
      <c r="D160" s="107" t="s">
        <v>4279</v>
      </c>
      <c r="E160" s="107" t="s">
        <v>162</v>
      </c>
      <c r="F160" s="107" t="s">
        <v>4280</v>
      </c>
      <c r="G160" s="107" t="s">
        <v>4281</v>
      </c>
      <c r="H160" s="107" t="s">
        <v>165</v>
      </c>
      <c r="I160" s="107">
        <v>202605.5</v>
      </c>
      <c r="J160" s="107">
        <v>5.29</v>
      </c>
      <c r="K160" s="107" t="s">
        <v>73</v>
      </c>
      <c r="L160" s="107" t="s">
        <v>3243</v>
      </c>
      <c r="M160" s="107" t="s">
        <v>4282</v>
      </c>
      <c r="N160" s="104" t="s">
        <v>4283</v>
      </c>
      <c r="O160" s="105"/>
      <c r="P160" s="176" t="s">
        <v>138</v>
      </c>
      <c r="Q160" s="177" t="s">
        <v>100</v>
      </c>
      <c r="R160" s="177" t="s">
        <v>262</v>
      </c>
      <c r="S160" s="177" t="s">
        <v>1282</v>
      </c>
      <c r="T160" s="177" t="s">
        <v>103</v>
      </c>
      <c r="U160" s="177" t="s">
        <v>264</v>
      </c>
      <c r="V160" s="177" t="s">
        <v>264</v>
      </c>
      <c r="W160" s="172" t="s">
        <v>19</v>
      </c>
      <c r="X160" s="106" t="s">
        <v>172</v>
      </c>
      <c r="Y160" s="105" t="s">
        <v>173</v>
      </c>
      <c r="Z160" s="105" t="s">
        <v>174</v>
      </c>
      <c r="AA160" s="105" t="s">
        <v>175</v>
      </c>
      <c r="AB160" s="104">
        <f t="shared" si="12"/>
        <v>1</v>
      </c>
      <c r="AC160" s="104">
        <v>1</v>
      </c>
      <c r="AD160" s="104">
        <v>1</v>
      </c>
      <c r="AE160" s="104">
        <v>1</v>
      </c>
      <c r="AF160" s="106"/>
      <c r="AG160" s="106">
        <v>1</v>
      </c>
      <c r="AH160" s="104">
        <f t="shared" si="13"/>
        <v>1</v>
      </c>
      <c r="AI160" s="106"/>
      <c r="AJ160" s="104">
        <v>1</v>
      </c>
      <c r="AK160" s="104">
        <v>1</v>
      </c>
      <c r="AL160" s="104">
        <v>1</v>
      </c>
      <c r="AM160" s="104">
        <f t="shared" si="14"/>
        <v>1</v>
      </c>
      <c r="AN160" s="104">
        <v>1</v>
      </c>
      <c r="AO160" s="104">
        <v>1</v>
      </c>
      <c r="AP160" s="104">
        <v>1</v>
      </c>
      <c r="AQ160" s="104"/>
      <c r="AS160" s="99" t="s">
        <v>3208</v>
      </c>
      <c r="AU160" s="94" t="s">
        <v>2121</v>
      </c>
    </row>
    <row r="161" spans="1:47">
      <c r="A161" s="107" t="s">
        <v>4284</v>
      </c>
      <c r="B161" s="107" t="s">
        <v>160</v>
      </c>
      <c r="C161" s="107" t="s">
        <v>73</v>
      </c>
      <c r="D161" s="107" t="s">
        <v>4285</v>
      </c>
      <c r="E161" s="107" t="s">
        <v>162</v>
      </c>
      <c r="F161" s="107" t="s">
        <v>4286</v>
      </c>
      <c r="G161" s="107" t="s">
        <v>4287</v>
      </c>
      <c r="H161" s="107" t="s">
        <v>165</v>
      </c>
      <c r="I161" s="107">
        <v>202605.5</v>
      </c>
      <c r="J161" s="107">
        <v>5.29</v>
      </c>
      <c r="K161" s="107" t="s">
        <v>73</v>
      </c>
      <c r="L161" s="107" t="s">
        <v>4139</v>
      </c>
      <c r="M161" s="107" t="s">
        <v>4288</v>
      </c>
      <c r="N161" s="104" t="s">
        <v>4289</v>
      </c>
      <c r="O161" s="105"/>
      <c r="P161" s="176" t="s">
        <v>138</v>
      </c>
      <c r="Q161" s="177" t="s">
        <v>100</v>
      </c>
      <c r="R161" s="177" t="s">
        <v>262</v>
      </c>
      <c r="S161" s="177" t="s">
        <v>1282</v>
      </c>
      <c r="T161" s="177" t="s">
        <v>103</v>
      </c>
      <c r="U161" s="177" t="s">
        <v>264</v>
      </c>
      <c r="V161" s="177" t="s">
        <v>264</v>
      </c>
      <c r="W161" s="172" t="s">
        <v>19</v>
      </c>
      <c r="X161" s="106" t="s">
        <v>172</v>
      </c>
      <c r="Y161" s="105" t="s">
        <v>173</v>
      </c>
      <c r="Z161" s="105" t="s">
        <v>174</v>
      </c>
      <c r="AA161" s="105" t="s">
        <v>175</v>
      </c>
      <c r="AB161" s="104">
        <f t="shared" si="12"/>
        <v>1</v>
      </c>
      <c r="AC161" s="104">
        <v>1</v>
      </c>
      <c r="AD161" s="104">
        <v>1</v>
      </c>
      <c r="AE161" s="104">
        <v>1</v>
      </c>
      <c r="AF161" s="106"/>
      <c r="AG161" s="106">
        <v>1</v>
      </c>
      <c r="AH161" s="104">
        <f t="shared" si="13"/>
        <v>1</v>
      </c>
      <c r="AI161" s="106"/>
      <c r="AJ161" s="104">
        <v>1</v>
      </c>
      <c r="AK161" s="104">
        <v>1</v>
      </c>
      <c r="AL161" s="104">
        <v>1</v>
      </c>
      <c r="AM161" s="104">
        <f t="shared" si="14"/>
        <v>1</v>
      </c>
      <c r="AN161" s="104">
        <v>1</v>
      </c>
      <c r="AO161" s="104">
        <v>1</v>
      </c>
      <c r="AP161" s="104">
        <v>1</v>
      </c>
      <c r="AQ161" s="104"/>
      <c r="AS161" s="99" t="s">
        <v>3199</v>
      </c>
      <c r="AU161" s="94" t="s">
        <v>2125</v>
      </c>
    </row>
    <row r="162" spans="1:47">
      <c r="A162" s="107" t="s">
        <v>4290</v>
      </c>
      <c r="B162" s="107" t="s">
        <v>160</v>
      </c>
      <c r="C162" s="107" t="s">
        <v>73</v>
      </c>
      <c r="D162" s="107" t="s">
        <v>4291</v>
      </c>
      <c r="E162" s="107" t="s">
        <v>162</v>
      </c>
      <c r="F162" s="107" t="s">
        <v>4292</v>
      </c>
      <c r="G162" s="107" t="s">
        <v>4293</v>
      </c>
      <c r="H162" s="107" t="s">
        <v>165</v>
      </c>
      <c r="I162" s="107">
        <v>202605.5</v>
      </c>
      <c r="J162" s="107">
        <v>5.29</v>
      </c>
      <c r="K162" s="107" t="s">
        <v>73</v>
      </c>
      <c r="L162" s="107" t="s">
        <v>3151</v>
      </c>
      <c r="M162" s="107" t="s">
        <v>4294</v>
      </c>
      <c r="N162" s="104" t="s">
        <v>4295</v>
      </c>
      <c r="O162" s="105"/>
      <c r="P162" s="176" t="s">
        <v>138</v>
      </c>
      <c r="Q162" s="177" t="s">
        <v>100</v>
      </c>
      <c r="R162" s="177" t="s">
        <v>262</v>
      </c>
      <c r="S162" s="177" t="s">
        <v>1282</v>
      </c>
      <c r="T162" s="177" t="s">
        <v>103</v>
      </c>
      <c r="U162" s="177" t="s">
        <v>264</v>
      </c>
      <c r="V162" s="177" t="s">
        <v>264</v>
      </c>
      <c r="W162" s="172" t="s">
        <v>19</v>
      </c>
      <c r="X162" s="106" t="s">
        <v>172</v>
      </c>
      <c r="Y162" s="105" t="s">
        <v>173</v>
      </c>
      <c r="Z162" s="105" t="s">
        <v>174</v>
      </c>
      <c r="AA162" s="105" t="s">
        <v>175</v>
      </c>
      <c r="AB162" s="104">
        <f t="shared" si="12"/>
        <v>1</v>
      </c>
      <c r="AC162" s="104">
        <v>1</v>
      </c>
      <c r="AD162" s="104">
        <v>1</v>
      </c>
      <c r="AE162" s="104">
        <v>1</v>
      </c>
      <c r="AF162" s="106"/>
      <c r="AG162" s="106">
        <v>1</v>
      </c>
      <c r="AH162" s="104">
        <f t="shared" si="13"/>
        <v>1</v>
      </c>
      <c r="AI162" s="106"/>
      <c r="AJ162" s="104">
        <v>1</v>
      </c>
      <c r="AK162" s="104">
        <v>1</v>
      </c>
      <c r="AL162" s="104">
        <v>1</v>
      </c>
      <c r="AM162" s="104">
        <f t="shared" si="14"/>
        <v>1</v>
      </c>
      <c r="AN162" s="104">
        <v>1</v>
      </c>
      <c r="AO162" s="104">
        <v>1</v>
      </c>
      <c r="AP162" s="104">
        <v>1</v>
      </c>
      <c r="AQ162" s="104"/>
      <c r="AR162" s="185" t="s">
        <v>4153</v>
      </c>
      <c r="AS162" s="99" t="s">
        <v>3388</v>
      </c>
      <c r="AU162" s="94" t="s">
        <v>3523</v>
      </c>
    </row>
    <row r="163" spans="1:47">
      <c r="A163" s="107" t="s">
        <v>4296</v>
      </c>
      <c r="B163" s="107" t="s">
        <v>160</v>
      </c>
      <c r="C163" s="107" t="s">
        <v>73</v>
      </c>
      <c r="D163" s="107" t="s">
        <v>1654</v>
      </c>
      <c r="E163" s="107" t="s">
        <v>162</v>
      </c>
      <c r="F163" s="107" t="s">
        <v>4297</v>
      </c>
      <c r="G163" s="107" t="s">
        <v>4298</v>
      </c>
      <c r="H163" s="107" t="s">
        <v>165</v>
      </c>
      <c r="I163" s="107">
        <v>202605.5</v>
      </c>
      <c r="J163" s="107">
        <v>5.29</v>
      </c>
      <c r="K163" s="107" t="s">
        <v>73</v>
      </c>
      <c r="L163" s="107" t="s">
        <v>4101</v>
      </c>
      <c r="M163" s="107" t="s">
        <v>4299</v>
      </c>
      <c r="N163" s="104" t="s">
        <v>4300</v>
      </c>
      <c r="O163" s="105"/>
      <c r="P163" s="176" t="s">
        <v>138</v>
      </c>
      <c r="Q163" s="177" t="s">
        <v>100</v>
      </c>
      <c r="R163" s="177" t="s">
        <v>262</v>
      </c>
      <c r="S163" s="177" t="s">
        <v>753</v>
      </c>
      <c r="T163" s="177" t="s">
        <v>103</v>
      </c>
      <c r="U163" s="177" t="s">
        <v>264</v>
      </c>
      <c r="V163" s="177" t="s">
        <v>264</v>
      </c>
      <c r="W163" s="172" t="s">
        <v>21</v>
      </c>
      <c r="X163" s="106" t="s">
        <v>172</v>
      </c>
      <c r="Y163" s="105" t="s">
        <v>173</v>
      </c>
      <c r="Z163" s="105" t="s">
        <v>174</v>
      </c>
      <c r="AA163" s="105" t="s">
        <v>175</v>
      </c>
      <c r="AB163" s="104">
        <f t="shared" si="12"/>
        <v>1</v>
      </c>
      <c r="AC163" s="104">
        <v>1</v>
      </c>
      <c r="AD163" s="104">
        <v>1</v>
      </c>
      <c r="AE163" s="104">
        <v>1</v>
      </c>
      <c r="AF163" s="106"/>
      <c r="AG163" s="106"/>
      <c r="AH163" s="104">
        <f t="shared" si="13"/>
        <v>1</v>
      </c>
      <c r="AI163" s="106"/>
      <c r="AJ163" s="106"/>
      <c r="AK163" s="104"/>
      <c r="AL163" s="104"/>
      <c r="AM163" s="104">
        <v>1</v>
      </c>
      <c r="AN163" s="104">
        <v>1</v>
      </c>
      <c r="AO163" s="104">
        <v>1</v>
      </c>
      <c r="AP163" s="104">
        <v>1</v>
      </c>
      <c r="AQ163" s="104"/>
      <c r="AS163" s="99" t="s">
        <v>3378</v>
      </c>
      <c r="AU163" s="188" t="s">
        <v>2211</v>
      </c>
    </row>
    <row r="164" spans="1:47">
      <c r="A164" s="107" t="s">
        <v>4301</v>
      </c>
      <c r="B164" s="107" t="s">
        <v>160</v>
      </c>
      <c r="C164" s="107" t="s">
        <v>73</v>
      </c>
      <c r="D164" s="107" t="s">
        <v>4302</v>
      </c>
      <c r="E164" s="107" t="s">
        <v>162</v>
      </c>
      <c r="F164" s="107" t="s">
        <v>4303</v>
      </c>
      <c r="G164" s="107" t="s">
        <v>4304</v>
      </c>
      <c r="H164" s="107" t="s">
        <v>4305</v>
      </c>
      <c r="I164" s="107">
        <v>202605.5</v>
      </c>
      <c r="J164" s="107">
        <v>5.29</v>
      </c>
      <c r="K164" s="107" t="s">
        <v>73</v>
      </c>
      <c r="L164" s="107" t="s">
        <v>4161</v>
      </c>
      <c r="M164" s="107" t="s">
        <v>4306</v>
      </c>
      <c r="N164" s="104" t="s">
        <v>4307</v>
      </c>
      <c r="O164" s="105"/>
      <c r="P164" s="176" t="s">
        <v>138</v>
      </c>
      <c r="Q164" s="177" t="s">
        <v>100</v>
      </c>
      <c r="R164" s="177" t="s">
        <v>262</v>
      </c>
      <c r="S164" s="177" t="s">
        <v>753</v>
      </c>
      <c r="T164" s="177" t="s">
        <v>103</v>
      </c>
      <c r="U164" s="177" t="s">
        <v>264</v>
      </c>
      <c r="V164" s="177" t="s">
        <v>264</v>
      </c>
      <c r="W164" s="172" t="s">
        <v>21</v>
      </c>
      <c r="X164" s="106" t="s">
        <v>172</v>
      </c>
      <c r="Y164" s="105" t="s">
        <v>173</v>
      </c>
      <c r="Z164" s="105" t="s">
        <v>174</v>
      </c>
      <c r="AA164" s="105" t="s">
        <v>175</v>
      </c>
      <c r="AB164" s="104">
        <f t="shared" si="12"/>
        <v>1</v>
      </c>
      <c r="AC164" s="104">
        <v>1</v>
      </c>
      <c r="AD164" s="104">
        <v>1</v>
      </c>
      <c r="AE164" s="104">
        <v>1</v>
      </c>
      <c r="AF164" s="106"/>
      <c r="AG164" s="106"/>
      <c r="AH164" s="104">
        <f t="shared" si="13"/>
        <v>1</v>
      </c>
      <c r="AI164" s="106"/>
      <c r="AJ164" s="106"/>
      <c r="AK164" s="104"/>
      <c r="AL164" s="104"/>
      <c r="AM164" s="104">
        <v>1</v>
      </c>
      <c r="AN164" s="104">
        <v>1</v>
      </c>
      <c r="AO164" s="104">
        <v>1</v>
      </c>
      <c r="AP164" s="104">
        <v>1</v>
      </c>
      <c r="AQ164" s="104"/>
      <c r="AS164" s="99" t="s">
        <v>3244</v>
      </c>
      <c r="AU164" s="188" t="s">
        <v>2214</v>
      </c>
    </row>
    <row r="165" spans="1:47">
      <c r="A165" s="107" t="s">
        <v>4308</v>
      </c>
      <c r="B165" s="107" t="s">
        <v>160</v>
      </c>
      <c r="C165" s="107" t="s">
        <v>73</v>
      </c>
      <c r="D165" s="107" t="s">
        <v>4309</v>
      </c>
      <c r="E165" s="107" t="s">
        <v>162</v>
      </c>
      <c r="F165" s="107" t="s">
        <v>4310</v>
      </c>
      <c r="G165" s="107" t="s">
        <v>4311</v>
      </c>
      <c r="H165" s="107" t="s">
        <v>4305</v>
      </c>
      <c r="I165" s="107">
        <v>202605.5</v>
      </c>
      <c r="J165" s="107">
        <v>5.29</v>
      </c>
      <c r="K165" s="107" t="s">
        <v>73</v>
      </c>
      <c r="L165" s="107" t="s">
        <v>4154</v>
      </c>
      <c r="M165" s="107" t="s">
        <v>4312</v>
      </c>
      <c r="N165" s="104" t="s">
        <v>4313</v>
      </c>
      <c r="O165" s="105"/>
      <c r="P165" s="176" t="s">
        <v>138</v>
      </c>
      <c r="Q165" s="177" t="s">
        <v>100</v>
      </c>
      <c r="R165" s="177" t="s">
        <v>262</v>
      </c>
      <c r="S165" s="177" t="s">
        <v>753</v>
      </c>
      <c r="T165" s="177" t="s">
        <v>103</v>
      </c>
      <c r="U165" s="177" t="s">
        <v>264</v>
      </c>
      <c r="V165" s="177" t="s">
        <v>264</v>
      </c>
      <c r="W165" s="172" t="s">
        <v>21</v>
      </c>
      <c r="X165" s="106" t="s">
        <v>172</v>
      </c>
      <c r="Y165" s="105" t="s">
        <v>173</v>
      </c>
      <c r="Z165" s="105" t="s">
        <v>174</v>
      </c>
      <c r="AA165" s="105" t="s">
        <v>175</v>
      </c>
      <c r="AB165" s="104">
        <f t="shared" si="12"/>
        <v>1</v>
      </c>
      <c r="AC165" s="104">
        <v>1</v>
      </c>
      <c r="AD165" s="104">
        <v>1</v>
      </c>
      <c r="AE165" s="104">
        <v>1</v>
      </c>
      <c r="AF165" s="106"/>
      <c r="AG165" s="106"/>
      <c r="AH165" s="104">
        <f t="shared" si="13"/>
        <v>1</v>
      </c>
      <c r="AI165" s="106"/>
      <c r="AJ165" s="106"/>
      <c r="AK165" s="104"/>
      <c r="AL165" s="104"/>
      <c r="AM165" s="104">
        <v>1</v>
      </c>
      <c r="AN165" s="104">
        <v>1</v>
      </c>
      <c r="AO165" s="104">
        <v>1</v>
      </c>
      <c r="AP165" s="104">
        <v>1</v>
      </c>
      <c r="AQ165" s="104"/>
      <c r="AS165" s="99" t="s">
        <v>3235</v>
      </c>
      <c r="AU165" s="188" t="s">
        <v>2203</v>
      </c>
    </row>
    <row r="166" spans="1:47">
      <c r="A166" s="107" t="s">
        <v>4314</v>
      </c>
      <c r="B166" s="107" t="s">
        <v>160</v>
      </c>
      <c r="C166" s="107" t="s">
        <v>73</v>
      </c>
      <c r="D166" s="107" t="s">
        <v>4315</v>
      </c>
      <c r="E166" s="107" t="s">
        <v>162</v>
      </c>
      <c r="F166" s="107" t="s">
        <v>4316</v>
      </c>
      <c r="G166" s="107" t="s">
        <v>4317</v>
      </c>
      <c r="H166" s="107" t="s">
        <v>4305</v>
      </c>
      <c r="I166" s="107">
        <v>202605.5</v>
      </c>
      <c r="J166" s="107">
        <v>5.29</v>
      </c>
      <c r="K166" s="107" t="s">
        <v>73</v>
      </c>
      <c r="L166" s="107" t="s">
        <v>4146</v>
      </c>
      <c r="M166" s="107" t="s">
        <v>4318</v>
      </c>
      <c r="N166" s="104" t="s">
        <v>4319</v>
      </c>
      <c r="O166" s="105"/>
      <c r="P166" s="176" t="s">
        <v>138</v>
      </c>
      <c r="Q166" s="177" t="s">
        <v>100</v>
      </c>
      <c r="R166" s="177" t="s">
        <v>262</v>
      </c>
      <c r="S166" s="177" t="s">
        <v>753</v>
      </c>
      <c r="T166" s="177" t="s">
        <v>103</v>
      </c>
      <c r="U166" s="177" t="s">
        <v>264</v>
      </c>
      <c r="V166" s="177" t="s">
        <v>264</v>
      </c>
      <c r="W166" s="172" t="s">
        <v>21</v>
      </c>
      <c r="X166" s="106" t="s">
        <v>172</v>
      </c>
      <c r="Y166" s="105" t="s">
        <v>173</v>
      </c>
      <c r="Z166" s="105" t="s">
        <v>174</v>
      </c>
      <c r="AA166" s="105" t="s">
        <v>175</v>
      </c>
      <c r="AB166" s="104">
        <f t="shared" si="12"/>
        <v>1</v>
      </c>
      <c r="AC166" s="104">
        <v>1</v>
      </c>
      <c r="AD166" s="104">
        <v>1</v>
      </c>
      <c r="AE166" s="104">
        <v>1</v>
      </c>
      <c r="AF166" s="106"/>
      <c r="AG166" s="106"/>
      <c r="AH166" s="104">
        <f t="shared" si="13"/>
        <v>1</v>
      </c>
      <c r="AI166" s="106"/>
      <c r="AJ166" s="106"/>
      <c r="AK166" s="104"/>
      <c r="AL166" s="104"/>
      <c r="AM166" s="104">
        <v>1</v>
      </c>
      <c r="AN166" s="104">
        <v>1</v>
      </c>
      <c r="AO166" s="104">
        <v>1</v>
      </c>
      <c r="AP166" s="104">
        <v>1</v>
      </c>
      <c r="AQ166" s="104"/>
      <c r="AS166" s="99" t="s">
        <v>3305</v>
      </c>
      <c r="AU166" s="188" t="s">
        <v>2206</v>
      </c>
    </row>
    <row r="167" spans="1:47">
      <c r="A167" s="107" t="s">
        <v>4320</v>
      </c>
      <c r="B167" s="107" t="s">
        <v>160</v>
      </c>
      <c r="C167" s="107" t="s">
        <v>73</v>
      </c>
      <c r="D167" s="107" t="s">
        <v>4321</v>
      </c>
      <c r="E167" s="107" t="s">
        <v>162</v>
      </c>
      <c r="F167" s="107" t="s">
        <v>4322</v>
      </c>
      <c r="G167" s="107" t="s">
        <v>4323</v>
      </c>
      <c r="H167" s="107" t="s">
        <v>4305</v>
      </c>
      <c r="I167" s="107">
        <v>202605.5</v>
      </c>
      <c r="J167" s="107">
        <v>5.29</v>
      </c>
      <c r="K167" s="107" t="s">
        <v>73</v>
      </c>
      <c r="L167" s="107" t="s">
        <v>4138</v>
      </c>
      <c r="M167" s="107" t="s">
        <v>4324</v>
      </c>
      <c r="N167" s="104" t="s">
        <v>4325</v>
      </c>
      <c r="O167" s="105"/>
      <c r="P167" s="176" t="s">
        <v>138</v>
      </c>
      <c r="Q167" s="177" t="s">
        <v>100</v>
      </c>
      <c r="R167" s="177" t="s">
        <v>262</v>
      </c>
      <c r="S167" s="177" t="s">
        <v>1461</v>
      </c>
      <c r="T167" s="177" t="s">
        <v>103</v>
      </c>
      <c r="U167" s="177" t="s">
        <v>264</v>
      </c>
      <c r="V167" s="177" t="s">
        <v>264</v>
      </c>
      <c r="W167" s="172" t="s">
        <v>21</v>
      </c>
      <c r="X167" s="106" t="s">
        <v>172</v>
      </c>
      <c r="Y167" s="105" t="s">
        <v>173</v>
      </c>
      <c r="Z167" s="105" t="s">
        <v>174</v>
      </c>
      <c r="AA167" s="105" t="s">
        <v>175</v>
      </c>
      <c r="AB167" s="104">
        <f t="shared" si="12"/>
        <v>1</v>
      </c>
      <c r="AC167" s="104">
        <v>1</v>
      </c>
      <c r="AD167" s="104">
        <v>1</v>
      </c>
      <c r="AE167" s="104">
        <v>1</v>
      </c>
      <c r="AF167" s="106"/>
      <c r="AG167" s="106"/>
      <c r="AH167" s="104">
        <f t="shared" si="13"/>
        <v>1</v>
      </c>
      <c r="AI167" s="106"/>
      <c r="AJ167" s="106"/>
      <c r="AK167" s="104"/>
      <c r="AL167" s="104"/>
      <c r="AM167" s="104">
        <v>1</v>
      </c>
      <c r="AN167" s="104">
        <v>1</v>
      </c>
      <c r="AO167" s="104">
        <v>1</v>
      </c>
      <c r="AP167" s="104">
        <v>1</v>
      </c>
      <c r="AQ167" s="104"/>
      <c r="AS167" s="99" t="s">
        <v>3289</v>
      </c>
      <c r="AU167" s="188" t="s">
        <v>3463</v>
      </c>
    </row>
    <row r="168" spans="1:47">
      <c r="A168" s="107" t="s">
        <v>4326</v>
      </c>
      <c r="B168" s="107" t="s">
        <v>160</v>
      </c>
      <c r="C168" s="107" t="s">
        <v>73</v>
      </c>
      <c r="D168" s="107" t="s">
        <v>4327</v>
      </c>
      <c r="E168" s="107" t="s">
        <v>162</v>
      </c>
      <c r="F168" s="107" t="s">
        <v>4328</v>
      </c>
      <c r="G168" s="107" t="s">
        <v>4329</v>
      </c>
      <c r="H168" s="107" t="s">
        <v>4305</v>
      </c>
      <c r="I168" s="107">
        <v>202605.5</v>
      </c>
      <c r="J168" s="107">
        <v>5.29</v>
      </c>
      <c r="K168" s="107" t="s">
        <v>73</v>
      </c>
      <c r="L168" s="107" t="s">
        <v>4131</v>
      </c>
      <c r="M168" s="107" t="s">
        <v>4330</v>
      </c>
      <c r="N168" s="104" t="s">
        <v>4331</v>
      </c>
      <c r="O168" s="105"/>
      <c r="P168" s="176" t="s">
        <v>138</v>
      </c>
      <c r="Q168" s="177" t="s">
        <v>100</v>
      </c>
      <c r="R168" s="177" t="s">
        <v>262</v>
      </c>
      <c r="S168" s="177" t="s">
        <v>1461</v>
      </c>
      <c r="T168" s="177" t="s">
        <v>103</v>
      </c>
      <c r="U168" s="177" t="s">
        <v>264</v>
      </c>
      <c r="V168" s="177" t="s">
        <v>264</v>
      </c>
      <c r="W168" s="172" t="s">
        <v>21</v>
      </c>
      <c r="X168" s="106" t="s">
        <v>172</v>
      </c>
      <c r="Y168" s="105" t="s">
        <v>173</v>
      </c>
      <c r="Z168" s="105" t="s">
        <v>174</v>
      </c>
      <c r="AA168" s="105" t="s">
        <v>175</v>
      </c>
      <c r="AB168" s="104">
        <f t="shared" si="12"/>
        <v>1</v>
      </c>
      <c r="AC168" s="104">
        <v>1</v>
      </c>
      <c r="AD168" s="104">
        <v>1</v>
      </c>
      <c r="AE168" s="104">
        <v>1</v>
      </c>
      <c r="AF168" s="106"/>
      <c r="AG168" s="106"/>
      <c r="AH168" s="104">
        <f t="shared" si="13"/>
        <v>1</v>
      </c>
      <c r="AI168" s="106"/>
      <c r="AJ168" s="106"/>
      <c r="AK168" s="104"/>
      <c r="AL168" s="104"/>
      <c r="AM168" s="104">
        <v>1</v>
      </c>
      <c r="AN168" s="104">
        <v>1</v>
      </c>
      <c r="AO168" s="104">
        <v>1</v>
      </c>
      <c r="AP168" s="104">
        <v>1</v>
      </c>
      <c r="AQ168" s="104"/>
      <c r="AS168" s="99" t="s">
        <v>3271</v>
      </c>
      <c r="AU168" s="188" t="s">
        <v>3454</v>
      </c>
    </row>
    <row r="169" spans="1:47">
      <c r="A169" s="107" t="s">
        <v>4332</v>
      </c>
      <c r="B169" s="107" t="s">
        <v>160</v>
      </c>
      <c r="C169" s="107" t="s">
        <v>73</v>
      </c>
      <c r="D169" s="107" t="s">
        <v>4333</v>
      </c>
      <c r="E169" s="107" t="s">
        <v>162</v>
      </c>
      <c r="F169" s="107" t="s">
        <v>4334</v>
      </c>
      <c r="G169" s="107" t="s">
        <v>4335</v>
      </c>
      <c r="H169" s="107" t="s">
        <v>4336</v>
      </c>
      <c r="I169" s="107">
        <v>202605.5</v>
      </c>
      <c r="J169" s="107">
        <v>5.29</v>
      </c>
      <c r="K169" s="107" t="s">
        <v>73</v>
      </c>
      <c r="L169" s="107" t="s">
        <v>4123</v>
      </c>
      <c r="M169" s="107" t="s">
        <v>4337</v>
      </c>
      <c r="N169" s="104" t="s">
        <v>4338</v>
      </c>
      <c r="O169" s="105"/>
      <c r="P169" s="176" t="s">
        <v>138</v>
      </c>
      <c r="Q169" s="177" t="s">
        <v>100</v>
      </c>
      <c r="R169" s="177" t="s">
        <v>262</v>
      </c>
      <c r="S169" s="177" t="s">
        <v>1461</v>
      </c>
      <c r="T169" s="177" t="s">
        <v>103</v>
      </c>
      <c r="U169" s="177" t="s">
        <v>264</v>
      </c>
      <c r="V169" s="177" t="s">
        <v>264</v>
      </c>
      <c r="W169" s="172" t="s">
        <v>21</v>
      </c>
      <c r="X169" s="106" t="s">
        <v>172</v>
      </c>
      <c r="Y169" s="105" t="s">
        <v>173</v>
      </c>
      <c r="Z169" s="105" t="s">
        <v>174</v>
      </c>
      <c r="AA169" s="105" t="s">
        <v>175</v>
      </c>
      <c r="AB169" s="104">
        <f t="shared" si="12"/>
        <v>1</v>
      </c>
      <c r="AC169" s="104">
        <v>1</v>
      </c>
      <c r="AD169" s="104">
        <v>1</v>
      </c>
      <c r="AE169" s="104">
        <v>1</v>
      </c>
      <c r="AF169" s="106"/>
      <c r="AG169" s="106"/>
      <c r="AH169" s="104">
        <f t="shared" si="13"/>
        <v>1</v>
      </c>
      <c r="AI169" s="106"/>
      <c r="AJ169" s="106"/>
      <c r="AK169" s="104"/>
      <c r="AL169" s="104"/>
      <c r="AM169" s="104">
        <v>1</v>
      </c>
      <c r="AN169" s="104">
        <v>1</v>
      </c>
      <c r="AO169" s="104">
        <v>1</v>
      </c>
      <c r="AP169" s="104">
        <v>1</v>
      </c>
      <c r="AQ169" s="104"/>
      <c r="AS169" s="99" t="s">
        <v>3262</v>
      </c>
      <c r="AU169" s="188" t="s">
        <v>3481</v>
      </c>
    </row>
    <row r="170" spans="1:47">
      <c r="A170" s="107" t="s">
        <v>4339</v>
      </c>
      <c r="B170" s="107" t="s">
        <v>160</v>
      </c>
      <c r="C170" s="107" t="s">
        <v>73</v>
      </c>
      <c r="D170" s="107" t="s">
        <v>4340</v>
      </c>
      <c r="E170" s="107" t="s">
        <v>162</v>
      </c>
      <c r="F170" s="107" t="s">
        <v>4341</v>
      </c>
      <c r="G170" s="107" t="s">
        <v>4342</v>
      </c>
      <c r="H170" s="107" t="s">
        <v>4336</v>
      </c>
      <c r="I170" s="107">
        <v>202605.5</v>
      </c>
      <c r="J170" s="107">
        <v>5.29</v>
      </c>
      <c r="K170" s="107" t="s">
        <v>73</v>
      </c>
      <c r="L170" s="107" t="s">
        <v>4116</v>
      </c>
      <c r="M170" s="107" t="s">
        <v>4343</v>
      </c>
      <c r="N170" s="104" t="s">
        <v>4344</v>
      </c>
      <c r="O170" s="105"/>
      <c r="P170" s="176" t="s">
        <v>138</v>
      </c>
      <c r="Q170" s="177" t="s">
        <v>100</v>
      </c>
      <c r="R170" s="177" t="s">
        <v>262</v>
      </c>
      <c r="S170" s="177" t="s">
        <v>1461</v>
      </c>
      <c r="T170" s="177" t="s">
        <v>103</v>
      </c>
      <c r="U170" s="177" t="s">
        <v>264</v>
      </c>
      <c r="V170" s="177" t="s">
        <v>264</v>
      </c>
      <c r="W170" s="172" t="s">
        <v>21</v>
      </c>
      <c r="X170" s="106" t="s">
        <v>172</v>
      </c>
      <c r="Y170" s="105" t="s">
        <v>173</v>
      </c>
      <c r="Z170" s="105" t="s">
        <v>174</v>
      </c>
      <c r="AA170" s="105" t="s">
        <v>175</v>
      </c>
      <c r="AB170" s="104">
        <f t="shared" si="12"/>
        <v>1</v>
      </c>
      <c r="AC170" s="104">
        <v>1</v>
      </c>
      <c r="AD170" s="104">
        <v>1</v>
      </c>
      <c r="AE170" s="104">
        <v>1</v>
      </c>
      <c r="AF170" s="106"/>
      <c r="AG170" s="106"/>
      <c r="AH170" s="104">
        <f t="shared" si="13"/>
        <v>1</v>
      </c>
      <c r="AI170" s="106"/>
      <c r="AJ170" s="106"/>
      <c r="AK170" s="104"/>
      <c r="AL170" s="104"/>
      <c r="AM170" s="104">
        <v>1</v>
      </c>
      <c r="AN170" s="104">
        <v>1</v>
      </c>
      <c r="AO170" s="104">
        <v>1</v>
      </c>
      <c r="AP170" s="104">
        <v>1</v>
      </c>
      <c r="AQ170" s="104"/>
      <c r="AS170" s="99" t="s">
        <v>3325</v>
      </c>
      <c r="AU170" s="188" t="s">
        <v>3515</v>
      </c>
    </row>
    <row r="171" spans="1:47">
      <c r="A171" s="107" t="s">
        <v>4345</v>
      </c>
      <c r="B171" s="107" t="s">
        <v>160</v>
      </c>
      <c r="C171" s="107" t="s">
        <v>73</v>
      </c>
      <c r="D171" s="107" t="s">
        <v>4346</v>
      </c>
      <c r="E171" s="107" t="s">
        <v>162</v>
      </c>
      <c r="F171" s="107" t="s">
        <v>4347</v>
      </c>
      <c r="G171" s="107" t="s">
        <v>4348</v>
      </c>
      <c r="H171" s="107" t="s">
        <v>4336</v>
      </c>
      <c r="I171" s="107">
        <v>202605.5</v>
      </c>
      <c r="J171" s="107">
        <v>5.29</v>
      </c>
      <c r="K171" s="107" t="s">
        <v>73</v>
      </c>
      <c r="L171" s="107" t="s">
        <v>4108</v>
      </c>
      <c r="M171" s="107" t="s">
        <v>4349</v>
      </c>
      <c r="N171" s="104" t="s">
        <v>4350</v>
      </c>
      <c r="O171" s="105"/>
      <c r="P171" s="176" t="s">
        <v>138</v>
      </c>
      <c r="Q171" s="177" t="s">
        <v>100</v>
      </c>
      <c r="R171" s="177" t="s">
        <v>262</v>
      </c>
      <c r="S171" s="177" t="s">
        <v>920</v>
      </c>
      <c r="T171" s="177" t="s">
        <v>103</v>
      </c>
      <c r="U171" s="177" t="s">
        <v>264</v>
      </c>
      <c r="V171" s="177" t="s">
        <v>264</v>
      </c>
      <c r="W171" s="172" t="s">
        <v>21</v>
      </c>
      <c r="X171" s="106" t="s">
        <v>172</v>
      </c>
      <c r="Y171" s="105" t="s">
        <v>173</v>
      </c>
      <c r="Z171" s="105" t="s">
        <v>174</v>
      </c>
      <c r="AA171" s="105" t="s">
        <v>175</v>
      </c>
      <c r="AB171" s="104">
        <f t="shared" si="12"/>
        <v>1</v>
      </c>
      <c r="AC171" s="104">
        <v>1</v>
      </c>
      <c r="AD171" s="104">
        <v>1</v>
      </c>
      <c r="AE171" s="104">
        <v>1</v>
      </c>
      <c r="AF171" s="106"/>
      <c r="AG171" s="106"/>
      <c r="AH171" s="104">
        <f t="shared" si="13"/>
        <v>1</v>
      </c>
      <c r="AI171" s="106"/>
      <c r="AJ171" s="106"/>
      <c r="AK171" s="104"/>
      <c r="AL171" s="104"/>
      <c r="AM171" s="104">
        <v>1</v>
      </c>
      <c r="AN171" s="104">
        <v>1</v>
      </c>
      <c r="AO171" s="104">
        <v>1</v>
      </c>
      <c r="AP171" s="104">
        <v>1</v>
      </c>
      <c r="AQ171" s="104"/>
      <c r="AS171" s="99" t="s">
        <v>3280</v>
      </c>
      <c r="AU171" s="188" t="s">
        <v>3472</v>
      </c>
    </row>
    <row r="172" spans="1:47">
      <c r="A172" s="107" t="s">
        <v>4351</v>
      </c>
      <c r="B172" s="107" t="s">
        <v>160</v>
      </c>
      <c r="C172" s="107" t="s">
        <v>73</v>
      </c>
      <c r="D172" s="107" t="s">
        <v>4352</v>
      </c>
      <c r="E172" s="107" t="s">
        <v>162</v>
      </c>
      <c r="F172" s="107" t="s">
        <v>4353</v>
      </c>
      <c r="G172" s="107" t="s">
        <v>4354</v>
      </c>
      <c r="H172" s="107" t="s">
        <v>4355</v>
      </c>
      <c r="I172" s="107">
        <v>202605.5</v>
      </c>
      <c r="J172" s="107">
        <v>5.29</v>
      </c>
      <c r="K172" s="107" t="s">
        <v>73</v>
      </c>
      <c r="L172" s="107" t="s">
        <v>4070</v>
      </c>
      <c r="M172" s="107" t="s">
        <v>4356</v>
      </c>
      <c r="N172" s="104" t="s">
        <v>4357</v>
      </c>
      <c r="O172" s="105"/>
      <c r="P172" s="176" t="s">
        <v>138</v>
      </c>
      <c r="Q172" s="177" t="s">
        <v>100</v>
      </c>
      <c r="R172" s="177" t="s">
        <v>262</v>
      </c>
      <c r="S172" s="177" t="s">
        <v>920</v>
      </c>
      <c r="T172" s="177" t="s">
        <v>103</v>
      </c>
      <c r="U172" s="177" t="s">
        <v>264</v>
      </c>
      <c r="V172" s="177" t="s">
        <v>264</v>
      </c>
      <c r="W172" s="172" t="s">
        <v>21</v>
      </c>
      <c r="X172" s="106" t="s">
        <v>172</v>
      </c>
      <c r="Y172" s="105" t="s">
        <v>173</v>
      </c>
      <c r="Z172" s="105" t="s">
        <v>174</v>
      </c>
      <c r="AA172" s="105" t="s">
        <v>175</v>
      </c>
      <c r="AB172" s="104">
        <f t="shared" si="12"/>
        <v>1</v>
      </c>
      <c r="AC172" s="104">
        <v>1</v>
      </c>
      <c r="AD172" s="104">
        <v>1</v>
      </c>
      <c r="AE172" s="104">
        <v>1</v>
      </c>
      <c r="AF172" s="106"/>
      <c r="AG172" s="106"/>
      <c r="AH172" s="104">
        <f t="shared" si="13"/>
        <v>1</v>
      </c>
      <c r="AI172" s="106"/>
      <c r="AJ172" s="106"/>
      <c r="AK172" s="104"/>
      <c r="AL172" s="104"/>
      <c r="AM172" s="104">
        <v>1</v>
      </c>
      <c r="AN172" s="104">
        <v>1</v>
      </c>
      <c r="AO172" s="104">
        <v>1</v>
      </c>
      <c r="AP172" s="104">
        <v>1</v>
      </c>
      <c r="AQ172" s="104"/>
      <c r="AS172" s="99" t="s">
        <v>3152</v>
      </c>
      <c r="AU172" s="188" t="s">
        <v>3572</v>
      </c>
    </row>
    <row r="173" spans="1:47">
      <c r="A173" s="107" t="s">
        <v>4358</v>
      </c>
      <c r="B173" s="107" t="s">
        <v>160</v>
      </c>
      <c r="C173" s="107" t="s">
        <v>73</v>
      </c>
      <c r="D173" s="107" t="s">
        <v>4359</v>
      </c>
      <c r="E173" s="107" t="s">
        <v>162</v>
      </c>
      <c r="F173" s="107" t="s">
        <v>4360</v>
      </c>
      <c r="G173" s="107" t="s">
        <v>4361</v>
      </c>
      <c r="H173" s="107" t="s">
        <v>4355</v>
      </c>
      <c r="I173" s="107">
        <v>202605.5</v>
      </c>
      <c r="J173" s="107">
        <v>5.29</v>
      </c>
      <c r="K173" s="107" t="s">
        <v>73</v>
      </c>
      <c r="L173" s="107" t="s">
        <v>4077</v>
      </c>
      <c r="M173" s="107" t="s">
        <v>4362</v>
      </c>
      <c r="N173" s="104" t="s">
        <v>4363</v>
      </c>
      <c r="O173" s="105"/>
      <c r="P173" s="176" t="s">
        <v>138</v>
      </c>
      <c r="Q173" s="177" t="s">
        <v>100</v>
      </c>
      <c r="R173" s="177" t="s">
        <v>262</v>
      </c>
      <c r="S173" s="177" t="s">
        <v>920</v>
      </c>
      <c r="T173" s="177" t="s">
        <v>103</v>
      </c>
      <c r="U173" s="177" t="s">
        <v>264</v>
      </c>
      <c r="V173" s="177" t="s">
        <v>264</v>
      </c>
      <c r="W173" s="172" t="s">
        <v>21</v>
      </c>
      <c r="X173" s="106" t="s">
        <v>172</v>
      </c>
      <c r="Y173" s="105" t="s">
        <v>173</v>
      </c>
      <c r="Z173" s="105" t="s">
        <v>174</v>
      </c>
      <c r="AA173" s="105" t="s">
        <v>175</v>
      </c>
      <c r="AB173" s="104">
        <f t="shared" si="12"/>
        <v>1</v>
      </c>
      <c r="AC173" s="104">
        <v>1</v>
      </c>
      <c r="AD173" s="104">
        <v>1</v>
      </c>
      <c r="AE173" s="104">
        <v>1</v>
      </c>
      <c r="AF173" s="106"/>
      <c r="AG173" s="106"/>
      <c r="AH173" s="104">
        <f t="shared" si="13"/>
        <v>1</v>
      </c>
      <c r="AI173" s="106"/>
      <c r="AJ173" s="106"/>
      <c r="AK173" s="104"/>
      <c r="AL173" s="104"/>
      <c r="AM173" s="104">
        <v>1</v>
      </c>
      <c r="AN173" s="104">
        <v>1</v>
      </c>
      <c r="AO173" s="104">
        <v>1</v>
      </c>
      <c r="AP173" s="104">
        <v>1</v>
      </c>
      <c r="AQ173" s="104"/>
      <c r="AS173" s="99" t="s">
        <v>3143</v>
      </c>
      <c r="AU173" s="188" t="s">
        <v>3490</v>
      </c>
    </row>
    <row r="174" spans="1:47">
      <c r="A174" s="107" t="s">
        <v>4364</v>
      </c>
      <c r="B174" s="107" t="s">
        <v>160</v>
      </c>
      <c r="C174" s="107" t="s">
        <v>73</v>
      </c>
      <c r="D174" s="107" t="s">
        <v>4365</v>
      </c>
      <c r="E174" s="107" t="s">
        <v>499</v>
      </c>
      <c r="F174" s="107" t="s">
        <v>4366</v>
      </c>
      <c r="G174" s="107" t="s">
        <v>4367</v>
      </c>
      <c r="H174" s="107" t="s">
        <v>4355</v>
      </c>
      <c r="I174" s="107">
        <v>202605.5</v>
      </c>
      <c r="J174" s="107">
        <v>5.29</v>
      </c>
      <c r="K174" s="107" t="s">
        <v>73</v>
      </c>
      <c r="L174" s="107" t="s">
        <v>4063</v>
      </c>
      <c r="M174" s="107" t="s">
        <v>4368</v>
      </c>
      <c r="N174" s="104" t="s">
        <v>4369</v>
      </c>
      <c r="O174" s="105"/>
      <c r="P174" s="176" t="s">
        <v>138</v>
      </c>
      <c r="Q174" s="177" t="s">
        <v>100</v>
      </c>
      <c r="R174" s="177" t="s">
        <v>262</v>
      </c>
      <c r="S174" s="177" t="s">
        <v>920</v>
      </c>
      <c r="T174" s="177" t="s">
        <v>103</v>
      </c>
      <c r="U174" s="177" t="s">
        <v>264</v>
      </c>
      <c r="V174" s="177" t="s">
        <v>264</v>
      </c>
      <c r="W174" s="172" t="s">
        <v>21</v>
      </c>
      <c r="X174" s="106" t="s">
        <v>172</v>
      </c>
      <c r="Y174" s="105" t="s">
        <v>173</v>
      </c>
      <c r="Z174" s="105" t="s">
        <v>174</v>
      </c>
      <c r="AA174" s="105" t="s">
        <v>175</v>
      </c>
      <c r="AB174" s="104">
        <f t="shared" si="12"/>
        <v>1</v>
      </c>
      <c r="AC174" s="104">
        <v>1</v>
      </c>
      <c r="AD174" s="104">
        <v>1</v>
      </c>
      <c r="AE174" s="104">
        <v>1</v>
      </c>
      <c r="AF174" s="106"/>
      <c r="AG174" s="106"/>
      <c r="AH174" s="104">
        <f t="shared" si="13"/>
        <v>1</v>
      </c>
      <c r="AI174" s="106"/>
      <c r="AJ174" s="106"/>
      <c r="AK174" s="104"/>
      <c r="AL174" s="104"/>
      <c r="AM174" s="104">
        <v>1</v>
      </c>
      <c r="AN174" s="104">
        <v>1</v>
      </c>
      <c r="AO174" s="104">
        <v>1</v>
      </c>
      <c r="AP174" s="104">
        <v>1</v>
      </c>
      <c r="AQ174" s="104"/>
      <c r="AS174" s="99" t="s">
        <v>3314</v>
      </c>
      <c r="AU174" s="188" t="s">
        <v>3499</v>
      </c>
    </row>
    <row r="175" spans="1:47">
      <c r="A175" s="107" t="s">
        <v>4370</v>
      </c>
      <c r="B175" s="107" t="s">
        <v>160</v>
      </c>
      <c r="C175" s="107" t="s">
        <v>73</v>
      </c>
      <c r="D175" s="107" t="s">
        <v>4371</v>
      </c>
      <c r="E175" s="107" t="s">
        <v>499</v>
      </c>
      <c r="F175" s="107" t="s">
        <v>4372</v>
      </c>
      <c r="G175" s="107" t="s">
        <v>4373</v>
      </c>
      <c r="H175" s="107" t="s">
        <v>4355</v>
      </c>
      <c r="I175" s="107">
        <v>202605.5</v>
      </c>
      <c r="J175" s="107">
        <v>5.29</v>
      </c>
      <c r="K175" s="107" t="s">
        <v>73</v>
      </c>
      <c r="L175" s="107" t="s">
        <v>4056</v>
      </c>
      <c r="M175" s="107" t="s">
        <v>4374</v>
      </c>
      <c r="N175" s="104" t="s">
        <v>4375</v>
      </c>
      <c r="O175" s="105"/>
      <c r="P175" s="176" t="s">
        <v>138</v>
      </c>
      <c r="Q175" s="177" t="s">
        <v>100</v>
      </c>
      <c r="R175" s="177" t="s">
        <v>262</v>
      </c>
      <c r="S175" s="177" t="s">
        <v>1095</v>
      </c>
      <c r="T175" s="177" t="s">
        <v>103</v>
      </c>
      <c r="U175" s="177" t="s">
        <v>264</v>
      </c>
      <c r="V175" s="177" t="s">
        <v>264</v>
      </c>
      <c r="W175" s="172" t="s">
        <v>21</v>
      </c>
      <c r="X175" s="106" t="s">
        <v>172</v>
      </c>
      <c r="Y175" s="105" t="s">
        <v>173</v>
      </c>
      <c r="Z175" s="105" t="s">
        <v>174</v>
      </c>
      <c r="AA175" s="105" t="s">
        <v>175</v>
      </c>
      <c r="AB175" s="104">
        <f t="shared" si="12"/>
        <v>1</v>
      </c>
      <c r="AC175" s="104">
        <v>1</v>
      </c>
      <c r="AD175" s="104">
        <v>1</v>
      </c>
      <c r="AE175" s="104">
        <v>1</v>
      </c>
      <c r="AF175" s="106"/>
      <c r="AG175" s="106"/>
      <c r="AH175" s="104">
        <f t="shared" si="13"/>
        <v>1</v>
      </c>
      <c r="AI175" s="106"/>
      <c r="AJ175" s="106"/>
      <c r="AK175" s="104"/>
      <c r="AL175" s="104"/>
      <c r="AM175" s="104">
        <v>1</v>
      </c>
      <c r="AN175" s="104">
        <v>1</v>
      </c>
      <c r="AO175" s="104">
        <v>1</v>
      </c>
      <c r="AP175" s="104">
        <v>1</v>
      </c>
      <c r="AQ175" s="104"/>
      <c r="AS175" s="99" t="s">
        <v>3161</v>
      </c>
      <c r="AU175" s="189" t="s">
        <v>3677</v>
      </c>
    </row>
    <row r="176" spans="1:47">
      <c r="A176" s="107" t="s">
        <v>4376</v>
      </c>
      <c r="B176" s="107" t="s">
        <v>160</v>
      </c>
      <c r="C176" s="107" t="s">
        <v>73</v>
      </c>
      <c r="D176" s="107" t="s">
        <v>4377</v>
      </c>
      <c r="E176" s="107" t="s">
        <v>188</v>
      </c>
      <c r="F176" s="107" t="s">
        <v>4378</v>
      </c>
      <c r="G176" s="107" t="s">
        <v>4379</v>
      </c>
      <c r="H176" s="107" t="s">
        <v>2915</v>
      </c>
      <c r="I176" s="107">
        <v>202605.5</v>
      </c>
      <c r="J176" s="107">
        <v>5.29</v>
      </c>
      <c r="K176" s="107" t="s">
        <v>73</v>
      </c>
      <c r="L176" s="107" t="s">
        <v>4085</v>
      </c>
      <c r="M176" s="107" t="s">
        <v>4380</v>
      </c>
      <c r="N176" s="104" t="s">
        <v>4381</v>
      </c>
      <c r="O176" s="105"/>
      <c r="P176" s="176" t="s">
        <v>138</v>
      </c>
      <c r="Q176" s="177" t="s">
        <v>100</v>
      </c>
      <c r="R176" s="177" t="s">
        <v>262</v>
      </c>
      <c r="S176" s="177" t="s">
        <v>1095</v>
      </c>
      <c r="T176" s="177" t="s">
        <v>103</v>
      </c>
      <c r="U176" s="177" t="s">
        <v>264</v>
      </c>
      <c r="V176" s="177" t="s">
        <v>264</v>
      </c>
      <c r="W176" s="172" t="s">
        <v>21</v>
      </c>
      <c r="X176" s="106" t="s">
        <v>172</v>
      </c>
      <c r="Y176" s="105" t="s">
        <v>173</v>
      </c>
      <c r="Z176" s="105" t="s">
        <v>174</v>
      </c>
      <c r="AA176" s="105" t="s">
        <v>175</v>
      </c>
      <c r="AB176" s="104">
        <f t="shared" si="12"/>
        <v>1</v>
      </c>
      <c r="AC176" s="104">
        <v>1</v>
      </c>
      <c r="AD176" s="104">
        <v>1</v>
      </c>
      <c r="AE176" s="104">
        <v>1</v>
      </c>
      <c r="AF176" s="106"/>
      <c r="AG176" s="106"/>
      <c r="AH176" s="104">
        <f t="shared" si="13"/>
        <v>1</v>
      </c>
      <c r="AI176" s="106"/>
      <c r="AJ176" s="106"/>
      <c r="AK176" s="104"/>
      <c r="AL176" s="104"/>
      <c r="AM176" s="104">
        <v>1</v>
      </c>
      <c r="AN176" s="104">
        <v>1</v>
      </c>
      <c r="AO176" s="104">
        <v>1</v>
      </c>
      <c r="AP176" s="104">
        <v>1</v>
      </c>
      <c r="AQ176" s="104"/>
      <c r="AS176" s="99" t="s">
        <v>3253</v>
      </c>
      <c r="AU176" s="188" t="s">
        <v>3665</v>
      </c>
    </row>
    <row r="177" spans="1:47">
      <c r="A177" s="107" t="s">
        <v>4382</v>
      </c>
      <c r="B177" s="107" t="s">
        <v>4383</v>
      </c>
      <c r="C177" s="107" t="s">
        <v>73</v>
      </c>
      <c r="D177" s="107" t="s">
        <v>4384</v>
      </c>
      <c r="E177" s="107" t="s">
        <v>499</v>
      </c>
      <c r="F177" s="107" t="s">
        <v>4385</v>
      </c>
      <c r="G177" s="107" t="s">
        <v>4386</v>
      </c>
      <c r="H177" s="107" t="s">
        <v>165</v>
      </c>
      <c r="I177" s="107">
        <v>202605.5</v>
      </c>
      <c r="J177" s="107">
        <v>5.29</v>
      </c>
      <c r="K177" s="107" t="s">
        <v>73</v>
      </c>
      <c r="L177" s="107" t="s">
        <v>4093</v>
      </c>
      <c r="M177" s="175" t="s">
        <v>4387</v>
      </c>
      <c r="N177" s="104" t="s">
        <v>4388</v>
      </c>
      <c r="O177" s="105"/>
      <c r="P177" s="176" t="s">
        <v>146</v>
      </c>
      <c r="Q177" s="177" t="s">
        <v>100</v>
      </c>
      <c r="R177" s="183" t="s">
        <v>3716</v>
      </c>
      <c r="S177" s="177" t="s">
        <v>3656</v>
      </c>
      <c r="T177" s="177" t="s">
        <v>112</v>
      </c>
      <c r="U177" s="177" t="s">
        <v>171</v>
      </c>
      <c r="V177" s="177" t="s">
        <v>171</v>
      </c>
      <c r="W177" s="172" t="s">
        <v>21</v>
      </c>
      <c r="X177" s="106" t="s">
        <v>172</v>
      </c>
      <c r="Y177" s="105" t="s">
        <v>173</v>
      </c>
      <c r="Z177" s="105" t="s">
        <v>174</v>
      </c>
      <c r="AA177" s="105" t="s">
        <v>175</v>
      </c>
      <c r="AB177" s="104">
        <f t="shared" si="12"/>
        <v>1</v>
      </c>
      <c r="AC177" s="104">
        <v>1</v>
      </c>
      <c r="AD177" s="104">
        <v>2</v>
      </c>
      <c r="AE177" s="104">
        <v>1</v>
      </c>
      <c r="AF177" s="106"/>
      <c r="AG177" s="106"/>
      <c r="AH177" s="104">
        <f t="shared" si="13"/>
        <v>1</v>
      </c>
      <c r="AI177" s="106"/>
      <c r="AJ177" s="106"/>
      <c r="AK177" s="104"/>
      <c r="AL177" s="104"/>
      <c r="AM177" s="104">
        <f t="shared" si="14"/>
        <v>0</v>
      </c>
      <c r="AN177" s="175">
        <v>1</v>
      </c>
      <c r="AO177" s="104"/>
      <c r="AP177" s="175">
        <v>1</v>
      </c>
      <c r="AQ177" s="104"/>
      <c r="AS177" s="99" t="s">
        <v>3189</v>
      </c>
      <c r="AU177" s="188" t="s">
        <v>2406</v>
      </c>
    </row>
    <row r="178" spans="1:47">
      <c r="AU178" s="188" t="s">
        <v>2409</v>
      </c>
    </row>
    <row r="179" spans="1:47">
      <c r="AU179" s="188" t="s">
        <v>3610</v>
      </c>
    </row>
    <row r="180" spans="1:47">
      <c r="AU180" s="188" t="s">
        <v>3683</v>
      </c>
    </row>
    <row r="181" spans="1:47">
      <c r="AU181" s="188" t="s">
        <v>2469</v>
      </c>
    </row>
    <row r="182" spans="1:47">
      <c r="AU182" s="188" t="s">
        <v>2472</v>
      </c>
    </row>
    <row r="183" spans="1:47">
      <c r="AU183" s="188" t="s">
        <v>3690</v>
      </c>
    </row>
    <row r="184" spans="1:47">
      <c r="AU184" s="188" t="s">
        <v>3630</v>
      </c>
    </row>
    <row r="185" spans="1:47">
      <c r="AU185" s="188" t="s">
        <v>3718</v>
      </c>
    </row>
    <row r="186" spans="1:47">
      <c r="AU186" s="188" t="s">
        <v>2308</v>
      </c>
    </row>
    <row r="187" spans="1:47">
      <c r="AU187" s="188" t="s">
        <v>2311</v>
      </c>
    </row>
    <row r="188" spans="1:47">
      <c r="AU188" s="188" t="s">
        <v>2304</v>
      </c>
    </row>
    <row r="189" spans="1:47">
      <c r="AU189" s="188" t="s">
        <v>2301</v>
      </c>
    </row>
    <row r="190" spans="1:47">
      <c r="AU190" s="188" t="s">
        <v>3745</v>
      </c>
    </row>
    <row r="191" spans="1:47">
      <c r="AU191" s="188" t="s">
        <v>3637</v>
      </c>
    </row>
    <row r="192" spans="1:47">
      <c r="AU192" s="188" t="s">
        <v>2448</v>
      </c>
    </row>
    <row r="193" spans="47:47">
      <c r="AU193" s="188" t="s">
        <v>2451</v>
      </c>
    </row>
    <row r="194" spans="47:47">
      <c r="AU194" s="188" t="s">
        <v>3658</v>
      </c>
    </row>
    <row r="195" spans="47:47">
      <c r="AU195" s="188" t="s">
        <v>3617</v>
      </c>
    </row>
    <row r="196" spans="47:47">
      <c r="AU196" s="188" t="s">
        <v>2462</v>
      </c>
    </row>
    <row r="197" spans="47:47">
      <c r="AU197" s="188" t="s">
        <v>2465</v>
      </c>
    </row>
    <row r="198" spans="47:47">
      <c r="AU198" s="188" t="s">
        <v>2386</v>
      </c>
    </row>
    <row r="199" spans="47:47">
      <c r="AU199" s="188" t="s">
        <v>2389</v>
      </c>
    </row>
    <row r="200" spans="47:47">
      <c r="AU200" s="188" t="s">
        <v>3671</v>
      </c>
    </row>
    <row r="201" spans="47:47">
      <c r="AU201" s="188" t="s">
        <v>3644</v>
      </c>
    </row>
    <row r="202" spans="47:47">
      <c r="AU202" s="188" t="s">
        <v>3624</v>
      </c>
    </row>
    <row r="203" spans="47:47">
      <c r="AU203" s="188" t="s">
        <v>3697</v>
      </c>
    </row>
    <row r="204" spans="47:47">
      <c r="AU204" s="188" t="s">
        <v>2476</v>
      </c>
    </row>
    <row r="205" spans="47:47">
      <c r="AU205" s="188" t="s">
        <v>2479</v>
      </c>
    </row>
    <row r="206" spans="47:47">
      <c r="AU206" s="188" t="s">
        <v>3710</v>
      </c>
    </row>
    <row r="207" spans="47:47">
      <c r="AU207" s="188" t="s">
        <v>3732</v>
      </c>
    </row>
    <row r="208" spans="47:47">
      <c r="AU208" s="188" t="s">
        <v>3580</v>
      </c>
    </row>
    <row r="209" spans="47:47">
      <c r="AU209" s="188" t="s">
        <v>2434</v>
      </c>
    </row>
    <row r="210" spans="47:47">
      <c r="AU210" s="188" t="s">
        <v>2437</v>
      </c>
    </row>
    <row r="211" spans="47:47">
      <c r="AU211" s="188" t="s">
        <v>863</v>
      </c>
    </row>
    <row r="212" spans="47:47">
      <c r="AU212" s="188" t="s">
        <v>3725</v>
      </c>
    </row>
    <row r="213" spans="47:47">
      <c r="AU213" s="188" t="s">
        <v>3650</v>
      </c>
    </row>
    <row r="214" spans="47:47">
      <c r="AU214" s="188" t="s">
        <v>3589</v>
      </c>
    </row>
    <row r="215" spans="47:47">
      <c r="AU215" s="188" t="s">
        <v>3758</v>
      </c>
    </row>
    <row r="216" spans="47:47">
      <c r="AU216" s="188" t="s">
        <v>3603</v>
      </c>
    </row>
    <row r="217" spans="47:47">
      <c r="AU217" s="188" t="s">
        <v>3596</v>
      </c>
    </row>
    <row r="218" spans="47:47">
      <c r="AU218" s="188" t="s">
        <v>3704</v>
      </c>
    </row>
    <row r="219" spans="47:47">
      <c r="AU219" s="188" t="s">
        <v>2455</v>
      </c>
    </row>
    <row r="220" spans="47:47">
      <c r="AU220" s="188" t="s">
        <v>2458</v>
      </c>
    </row>
    <row r="221" spans="47:47">
      <c r="AU221" s="188" t="s">
        <v>2441</v>
      </c>
    </row>
    <row r="222" spans="47:47">
      <c r="AU222" s="188" t="s">
        <v>2444</v>
      </c>
    </row>
    <row r="223" spans="47:47">
      <c r="AU223" s="188" t="s">
        <v>2399</v>
      </c>
    </row>
    <row r="224" spans="47:47">
      <c r="AU224" s="188" t="s">
        <v>2402</v>
      </c>
    </row>
    <row r="225" spans="47:47">
      <c r="AU225" s="188" t="s">
        <v>2372</v>
      </c>
    </row>
    <row r="226" spans="47:47">
      <c r="AU226" s="188" t="s">
        <v>2375</v>
      </c>
    </row>
    <row r="227" spans="47:47">
      <c r="AU227" s="188" t="s">
        <v>2365</v>
      </c>
    </row>
    <row r="228" spans="47:47">
      <c r="AU228" s="188" t="s">
        <v>2368</v>
      </c>
    </row>
    <row r="229" spans="47:47">
      <c r="AU229" s="188" t="s">
        <v>2358</v>
      </c>
    </row>
    <row r="230" spans="47:47">
      <c r="AU230" s="188" t="s">
        <v>2361</v>
      </c>
    </row>
    <row r="231" spans="47:47">
      <c r="AU231" s="188" t="s">
        <v>2351</v>
      </c>
    </row>
    <row r="232" spans="47:47">
      <c r="AU232" s="188" t="s">
        <v>2354</v>
      </c>
    </row>
    <row r="233" spans="47:47">
      <c r="AU233" s="188" t="s">
        <v>2345</v>
      </c>
    </row>
    <row r="234" spans="47:47">
      <c r="AU234" s="188" t="s">
        <v>2348</v>
      </c>
    </row>
    <row r="235" spans="47:47">
      <c r="AU235" s="188" t="s">
        <v>2339</v>
      </c>
    </row>
    <row r="236" spans="47:47">
      <c r="AU236" s="188" t="s">
        <v>2342</v>
      </c>
    </row>
    <row r="237" spans="47:47">
      <c r="AU237" s="188" t="s">
        <v>2331</v>
      </c>
    </row>
    <row r="238" spans="47:47">
      <c r="AU238" s="188" t="s">
        <v>2335</v>
      </c>
    </row>
    <row r="239" spans="47:47">
      <c r="AU239" s="188" t="s">
        <v>2323</v>
      </c>
    </row>
    <row r="240" spans="47:47">
      <c r="AU240" s="188" t="s">
        <v>2327</v>
      </c>
    </row>
    <row r="241" spans="47:47">
      <c r="AU241" s="188" t="s">
        <v>2413</v>
      </c>
    </row>
    <row r="242" spans="47:47">
      <c r="AU242" s="188" t="s">
        <v>2416</v>
      </c>
    </row>
    <row r="243" spans="47:47">
      <c r="AU243" s="188" t="s">
        <v>3739</v>
      </c>
    </row>
    <row r="244" spans="47:47">
      <c r="AU244" s="188" t="s">
        <v>2427</v>
      </c>
    </row>
    <row r="245" spans="47:47">
      <c r="AU245" s="188" t="s">
        <v>2430</v>
      </c>
    </row>
    <row r="246" spans="47:47">
      <c r="AU246" s="188" t="s">
        <v>2420</v>
      </c>
    </row>
    <row r="247" spans="47:47">
      <c r="AU247" s="188" t="s">
        <v>2423</v>
      </c>
    </row>
    <row r="248" spans="47:47">
      <c r="AU248" s="188" t="s">
        <v>2392</v>
      </c>
    </row>
    <row r="249" spans="47:47">
      <c r="AU249" s="188" t="s">
        <v>2395</v>
      </c>
    </row>
    <row r="250" spans="47:47">
      <c r="AU250" s="188" t="s">
        <v>2379</v>
      </c>
    </row>
    <row r="251" spans="47:47">
      <c r="AU251" s="188" t="s">
        <v>2383</v>
      </c>
    </row>
    <row r="252" spans="47:47">
      <c r="AU252" s="188" t="s">
        <v>2315</v>
      </c>
    </row>
    <row r="253" spans="47:47">
      <c r="AU253" s="188" t="s">
        <v>2319</v>
      </c>
    </row>
    <row r="254" spans="47:47">
      <c r="AU254" s="188" t="s">
        <v>3751</v>
      </c>
    </row>
    <row r="255" spans="47:47">
      <c r="AU255" s="189" t="s">
        <v>2653</v>
      </c>
    </row>
    <row r="256" spans="47:47">
      <c r="AU256" s="188" t="s">
        <v>2656</v>
      </c>
    </row>
    <row r="257" spans="47:47">
      <c r="AU257" s="188" t="s">
        <v>2616</v>
      </c>
    </row>
    <row r="258" spans="47:47">
      <c r="AU258" s="188" t="s">
        <v>2619</v>
      </c>
    </row>
    <row r="259" spans="47:47">
      <c r="AU259" s="188" t="s">
        <v>2547</v>
      </c>
    </row>
    <row r="260" spans="47:47">
      <c r="AU260" s="188" t="s">
        <v>2550</v>
      </c>
    </row>
    <row r="261" spans="47:47">
      <c r="AU261" s="188" t="s">
        <v>3817</v>
      </c>
    </row>
    <row r="262" spans="47:47">
      <c r="AU262" s="188" t="s">
        <v>1040</v>
      </c>
    </row>
    <row r="263" spans="47:47">
      <c r="AU263" s="188" t="s">
        <v>2668</v>
      </c>
    </row>
    <row r="264" spans="47:47">
      <c r="AU264" s="188" t="s">
        <v>2671</v>
      </c>
    </row>
    <row r="265" spans="47:47">
      <c r="AU265" s="188" t="s">
        <v>3890</v>
      </c>
    </row>
    <row r="266" spans="47:47">
      <c r="AU266" s="188" t="s">
        <v>3787</v>
      </c>
    </row>
    <row r="267" spans="47:47">
      <c r="AU267" s="188" t="s">
        <v>2595</v>
      </c>
    </row>
    <row r="268" spans="47:47">
      <c r="AU268" s="188" t="s">
        <v>2598</v>
      </c>
    </row>
    <row r="269" spans="47:47">
      <c r="AU269" s="188" t="s">
        <v>2573</v>
      </c>
    </row>
    <row r="270" spans="47:47">
      <c r="AU270" s="188" t="s">
        <v>2591</v>
      </c>
    </row>
    <row r="271" spans="47:47">
      <c r="AU271" s="188" t="s">
        <v>2582</v>
      </c>
    </row>
    <row r="272" spans="47:47">
      <c r="AU272" s="188" t="s">
        <v>2585</v>
      </c>
    </row>
    <row r="273" spans="47:47">
      <c r="AU273" s="188" t="s">
        <v>2575</v>
      </c>
    </row>
    <row r="274" spans="47:47">
      <c r="AU274" s="188" t="s">
        <v>2578</v>
      </c>
    </row>
    <row r="275" spans="47:47">
      <c r="AU275" s="188" t="s">
        <v>2567</v>
      </c>
    </row>
    <row r="276" spans="47:47">
      <c r="AU276" s="188" t="s">
        <v>2570</v>
      </c>
    </row>
    <row r="277" spans="47:47">
      <c r="AU277" s="188" t="s">
        <v>2560</v>
      </c>
    </row>
    <row r="278" spans="47:47">
      <c r="AU278" s="188" t="s">
        <v>2563</v>
      </c>
    </row>
    <row r="279" spans="47:47">
      <c r="AU279" s="188" t="s">
        <v>2554</v>
      </c>
    </row>
    <row r="280" spans="47:47">
      <c r="AU280" s="188" t="s">
        <v>2557</v>
      </c>
    </row>
    <row r="281" spans="47:47">
      <c r="AU281" s="188" t="s">
        <v>2541</v>
      </c>
    </row>
    <row r="282" spans="47:47">
      <c r="AU282" s="188" t="s">
        <v>2544</v>
      </c>
    </row>
    <row r="283" spans="47:47">
      <c r="AU283" s="188" t="s">
        <v>2535</v>
      </c>
    </row>
    <row r="284" spans="47:47">
      <c r="AU284" s="188" t="s">
        <v>2538</v>
      </c>
    </row>
    <row r="285" spans="47:47">
      <c r="AU285" s="188" t="s">
        <v>2531</v>
      </c>
    </row>
    <row r="286" spans="47:47">
      <c r="AU286" s="188" t="s">
        <v>2528</v>
      </c>
    </row>
    <row r="287" spans="47:47">
      <c r="AU287" s="188" t="s">
        <v>2521</v>
      </c>
    </row>
    <row r="288" spans="47:47">
      <c r="AU288" s="188" t="s">
        <v>2524</v>
      </c>
    </row>
    <row r="289" spans="47:47">
      <c r="AU289" s="188" t="s">
        <v>2483</v>
      </c>
    </row>
    <row r="290" spans="47:47">
      <c r="AU290" s="188" t="s">
        <v>2487</v>
      </c>
    </row>
    <row r="291" spans="47:47">
      <c r="AU291" s="188" t="s">
        <v>3793</v>
      </c>
    </row>
    <row r="292" spans="47:47">
      <c r="AU292" s="188" t="s">
        <v>3811</v>
      </c>
    </row>
    <row r="293" spans="47:47">
      <c r="AU293" s="188" t="s">
        <v>3805</v>
      </c>
    </row>
    <row r="294" spans="47:47">
      <c r="AU294" s="188" t="s">
        <v>3878</v>
      </c>
    </row>
    <row r="295" spans="47:47">
      <c r="AU295" s="188" t="s">
        <v>3903</v>
      </c>
    </row>
    <row r="296" spans="47:47">
      <c r="AU296" s="188" t="s">
        <v>3897</v>
      </c>
    </row>
    <row r="297" spans="47:47">
      <c r="AU297" s="188" t="s">
        <v>3829</v>
      </c>
    </row>
    <row r="298" spans="47:47">
      <c r="AU298" s="188" t="s">
        <v>3823</v>
      </c>
    </row>
    <row r="299" spans="47:47">
      <c r="AU299" s="188" t="s">
        <v>3866</v>
      </c>
    </row>
    <row r="300" spans="47:47">
      <c r="AU300" s="188" t="s">
        <v>3860</v>
      </c>
    </row>
    <row r="301" spans="47:47">
      <c r="AU301" s="188" t="s">
        <v>3848</v>
      </c>
    </row>
    <row r="302" spans="47:47">
      <c r="AU302" s="188" t="s">
        <v>2514</v>
      </c>
    </row>
    <row r="303" spans="47:47">
      <c r="AU303" s="94" t="s">
        <v>2517</v>
      </c>
    </row>
    <row r="304" spans="47:47">
      <c r="AU304" s="94" t="s">
        <v>2623</v>
      </c>
    </row>
    <row r="305" spans="47:47">
      <c r="AU305" s="94" t="s">
        <v>2626</v>
      </c>
    </row>
    <row r="306" spans="47:47">
      <c r="AU306" s="94" t="s">
        <v>2601</v>
      </c>
    </row>
    <row r="307" spans="47:47">
      <c r="AU307" s="94" t="s">
        <v>2612</v>
      </c>
    </row>
    <row r="308" spans="47:47">
      <c r="AU308" s="94" t="s">
        <v>2603</v>
      </c>
    </row>
    <row r="309" spans="47:47">
      <c r="AU309" s="94" t="s">
        <v>2606</v>
      </c>
    </row>
    <row r="310" spans="47:47">
      <c r="AU310" s="94" t="s">
        <v>2499</v>
      </c>
    </row>
    <row r="311" spans="47:47">
      <c r="AU311" s="94" t="s">
        <v>2503</v>
      </c>
    </row>
    <row r="312" spans="47:47">
      <c r="AU312" s="94" t="s">
        <v>2491</v>
      </c>
    </row>
    <row r="313" spans="47:47">
      <c r="AU313" s="94" t="s">
        <v>2495</v>
      </c>
    </row>
    <row r="314" spans="47:47">
      <c r="AU314" s="94" t="s">
        <v>3885</v>
      </c>
    </row>
    <row r="315" spans="47:47">
      <c r="AU315" s="94" t="s">
        <v>2641</v>
      </c>
    </row>
    <row r="316" spans="47:47">
      <c r="AU316" s="94" t="s">
        <v>2638</v>
      </c>
    </row>
    <row r="317" spans="47:47">
      <c r="AU317" s="94" t="s">
        <v>2630</v>
      </c>
    </row>
    <row r="318" spans="47:47">
      <c r="AU318" s="94" t="s">
        <v>2634</v>
      </c>
    </row>
    <row r="319" spans="47:47">
      <c r="AU319" s="94" t="s">
        <v>2645</v>
      </c>
    </row>
    <row r="320" spans="47:47">
      <c r="AU320" s="94" t="s">
        <v>2649</v>
      </c>
    </row>
    <row r="321" spans="47:47">
      <c r="AU321" s="94" t="s">
        <v>3854</v>
      </c>
    </row>
    <row r="322" spans="47:47">
      <c r="AU322" s="94" t="s">
        <v>3775</v>
      </c>
    </row>
    <row r="323" spans="47:47">
      <c r="AU323" s="94" t="s">
        <v>3765</v>
      </c>
    </row>
    <row r="324" spans="47:47">
      <c r="AU324" s="94" t="s">
        <v>2506</v>
      </c>
    </row>
    <row r="325" spans="47:47">
      <c r="AU325" s="94" t="s">
        <v>2510</v>
      </c>
    </row>
    <row r="326" spans="47:47">
      <c r="AU326" s="94" t="s">
        <v>3872</v>
      </c>
    </row>
    <row r="327" spans="47:47">
      <c r="AU327" s="94" t="s">
        <v>3781</v>
      </c>
    </row>
    <row r="328" spans="47:47">
      <c r="AU328" s="94" t="s">
        <v>3836</v>
      </c>
    </row>
    <row r="329" spans="47:47">
      <c r="AU329" s="94" t="s">
        <v>3799</v>
      </c>
    </row>
    <row r="330" spans="47:47">
      <c r="AU330" s="75" t="s">
        <v>585</v>
      </c>
    </row>
    <row r="331" spans="47:47">
      <c r="AU331" s="94" t="s">
        <v>2772</v>
      </c>
    </row>
    <row r="332" spans="47:47">
      <c r="AU332" s="94" t="s">
        <v>2775</v>
      </c>
    </row>
    <row r="333" spans="47:47">
      <c r="AU333" s="94" t="s">
        <v>2750</v>
      </c>
    </row>
    <row r="334" spans="47:47">
      <c r="AU334" s="94" t="s">
        <v>2748</v>
      </c>
    </row>
    <row r="335" spans="47:47">
      <c r="AU335" s="94" t="s">
        <v>2753</v>
      </c>
    </row>
    <row r="336" spans="47:47">
      <c r="AU336" s="94" t="s">
        <v>2756</v>
      </c>
    </row>
    <row r="337" spans="47:47">
      <c r="AU337" s="94" t="s">
        <v>2689</v>
      </c>
    </row>
    <row r="338" spans="47:47">
      <c r="AU338" s="94" t="s">
        <v>2692</v>
      </c>
    </row>
    <row r="339" spans="47:47">
      <c r="AU339" s="94" t="s">
        <v>3934</v>
      </c>
    </row>
    <row r="340" spans="47:47">
      <c r="AU340" s="94" t="s">
        <v>2765</v>
      </c>
    </row>
    <row r="341" spans="47:47">
      <c r="AU341" s="94" t="s">
        <v>2768</v>
      </c>
    </row>
    <row r="342" spans="47:47">
      <c r="AU342" s="94" t="s">
        <v>4080</v>
      </c>
    </row>
    <row r="343" spans="47:47">
      <c r="AU343" s="94" t="s">
        <v>4050</v>
      </c>
    </row>
    <row r="344" spans="47:47">
      <c r="AU344" s="94" t="s">
        <v>4013</v>
      </c>
    </row>
    <row r="345" spans="47:47">
      <c r="AU345" s="94" t="s">
        <v>2881</v>
      </c>
    </row>
    <row r="346" spans="47:47">
      <c r="AU346" s="94" t="s">
        <v>3104</v>
      </c>
    </row>
    <row r="347" spans="47:47">
      <c r="AU347" s="94" t="s">
        <v>2986</v>
      </c>
    </row>
    <row r="348" spans="47:47">
      <c r="AU348" s="94" t="s">
        <v>2988</v>
      </c>
    </row>
    <row r="349" spans="47:47">
      <c r="AU349" s="94" t="s">
        <v>4096</v>
      </c>
    </row>
    <row r="350" spans="47:47">
      <c r="AU350" s="94" t="s">
        <v>4019</v>
      </c>
    </row>
    <row r="351" spans="47:47">
      <c r="AU351" s="94" t="s">
        <v>4026</v>
      </c>
    </row>
    <row r="352" spans="47:47">
      <c r="AU352" s="94" t="s">
        <v>3976</v>
      </c>
    </row>
    <row r="353" spans="47:47">
      <c r="AU353" s="94" t="s">
        <v>3946</v>
      </c>
    </row>
    <row r="354" spans="47:47">
      <c r="AU354" s="94" t="s">
        <v>3921</v>
      </c>
    </row>
    <row r="355" spans="47:47">
      <c r="AU355" s="94" t="s">
        <v>2875</v>
      </c>
    </row>
    <row r="356" spans="47:47">
      <c r="AU356" s="94" t="s">
        <v>2878</v>
      </c>
    </row>
    <row r="357" spans="47:47">
      <c r="AU357" s="94" t="s">
        <v>2856</v>
      </c>
    </row>
    <row r="358" spans="47:47">
      <c r="AU358" s="94" t="s">
        <v>2859</v>
      </c>
    </row>
    <row r="359" spans="47:47">
      <c r="AU359" s="94" t="s">
        <v>2849</v>
      </c>
    </row>
    <row r="360" spans="47:47">
      <c r="AU360" s="94" t="s">
        <v>2852</v>
      </c>
    </row>
    <row r="361" spans="47:47">
      <c r="AU361" s="94" t="s">
        <v>2842</v>
      </c>
    </row>
    <row r="362" spans="47:47">
      <c r="AU362" s="94" t="s">
        <v>2845</v>
      </c>
    </row>
    <row r="363" spans="47:47">
      <c r="AU363" s="94" t="s">
        <v>2835</v>
      </c>
    </row>
    <row r="364" spans="47:47">
      <c r="AU364" s="94" t="s">
        <v>2838</v>
      </c>
    </row>
    <row r="365" spans="47:47">
      <c r="AU365" s="94" t="s">
        <v>2828</v>
      </c>
    </row>
    <row r="366" spans="47:47">
      <c r="AU366" s="94" t="s">
        <v>2831</v>
      </c>
    </row>
    <row r="367" spans="47:47">
      <c r="AU367" s="94" t="s">
        <v>2821</v>
      </c>
    </row>
    <row r="368" spans="47:47">
      <c r="AU368" s="94" t="s">
        <v>2824</v>
      </c>
    </row>
    <row r="369" spans="47:47">
      <c r="AU369" s="94" t="s">
        <v>2742</v>
      </c>
    </row>
    <row r="370" spans="47:47">
      <c r="AU370" s="94" t="s">
        <v>2745</v>
      </c>
    </row>
    <row r="371" spans="47:47">
      <c r="AU371" s="94" t="s">
        <v>2685</v>
      </c>
    </row>
    <row r="372" spans="47:47">
      <c r="AU372" s="94" t="s">
        <v>2682</v>
      </c>
    </row>
    <row r="373" spans="47:47">
      <c r="AU373" s="94" t="s">
        <v>2675</v>
      </c>
    </row>
    <row r="374" spans="47:47">
      <c r="AU374" s="94" t="s">
        <v>2679</v>
      </c>
    </row>
    <row r="375" spans="47:47">
      <c r="AU375" s="94" t="s">
        <v>683</v>
      </c>
    </row>
    <row r="376" spans="47:47">
      <c r="AU376" s="94" t="s">
        <v>3970</v>
      </c>
    </row>
    <row r="377" spans="47:47">
      <c r="AU377" s="94" t="s">
        <v>3953</v>
      </c>
    </row>
    <row r="378" spans="47:47">
      <c r="AU378" s="94" t="s">
        <v>3940</v>
      </c>
    </row>
    <row r="379" spans="47:47">
      <c r="AU379" s="94" t="s">
        <v>3927</v>
      </c>
    </row>
    <row r="380" spans="47:47">
      <c r="AU380" s="94" t="s">
        <v>3915</v>
      </c>
    </row>
    <row r="381" spans="47:47">
      <c r="AU381" s="94" t="s">
        <v>2779</v>
      </c>
    </row>
    <row r="382" spans="47:47">
      <c r="AU382" s="94" t="s">
        <v>2782</v>
      </c>
    </row>
    <row r="383" spans="47:47">
      <c r="AU383" s="94" t="s">
        <v>2814</v>
      </c>
    </row>
    <row r="384" spans="47:47">
      <c r="AU384" s="94" t="s">
        <v>2817</v>
      </c>
    </row>
    <row r="385" spans="47:47">
      <c r="AU385" s="94" t="s">
        <v>2807</v>
      </c>
    </row>
    <row r="386" spans="47:47">
      <c r="AU386" s="94" t="s">
        <v>2810</v>
      </c>
    </row>
    <row r="387" spans="47:47">
      <c r="AU387" s="94" t="s">
        <v>2759</v>
      </c>
    </row>
    <row r="388" spans="47:47">
      <c r="AU388" s="94" t="s">
        <v>2762</v>
      </c>
    </row>
    <row r="389" spans="47:47">
      <c r="AU389" s="94" t="s">
        <v>3909</v>
      </c>
    </row>
    <row r="390" spans="47:47">
      <c r="AU390" s="94" t="s">
        <v>4032</v>
      </c>
    </row>
    <row r="391" spans="47:47">
      <c r="AU391" s="94" t="s">
        <v>2793</v>
      </c>
    </row>
    <row r="392" spans="47:47">
      <c r="AU392" s="94" t="s">
        <v>2796</v>
      </c>
    </row>
    <row r="393" spans="47:47">
      <c r="AU393" s="94" t="s">
        <v>2712</v>
      </c>
    </row>
    <row r="394" spans="47:47">
      <c r="AU394" s="94" t="s">
        <v>2716</v>
      </c>
    </row>
    <row r="395" spans="47:47">
      <c r="AU395" s="94" t="s">
        <v>2786</v>
      </c>
    </row>
    <row r="396" spans="47:47">
      <c r="AU396" s="94" t="s">
        <v>2789</v>
      </c>
    </row>
    <row r="397" spans="47:47">
      <c r="AU397" s="94" t="s">
        <v>3996</v>
      </c>
    </row>
    <row r="398" spans="47:47">
      <c r="AU398" s="94" t="s">
        <v>2735</v>
      </c>
    </row>
    <row r="399" spans="47:47">
      <c r="AU399" s="94" t="s">
        <v>2739</v>
      </c>
    </row>
    <row r="400" spans="47:47">
      <c r="AU400" s="94" t="s">
        <v>2727</v>
      </c>
    </row>
    <row r="401" spans="47:47">
      <c r="AU401" s="94" t="s">
        <v>2731</v>
      </c>
    </row>
    <row r="402" spans="47:47">
      <c r="AU402" s="94" t="s">
        <v>2720</v>
      </c>
    </row>
    <row r="403" spans="47:47">
      <c r="AU403" s="94" t="s">
        <v>2724</v>
      </c>
    </row>
    <row r="404" spans="47:47">
      <c r="AU404" s="94" t="s">
        <v>2704</v>
      </c>
    </row>
    <row r="405" spans="47:47">
      <c r="AU405" s="94" t="s">
        <v>2708</v>
      </c>
    </row>
    <row r="406" spans="47:47">
      <c r="AU406" s="94" t="s">
        <v>2696</v>
      </c>
    </row>
    <row r="407" spans="47:47">
      <c r="AU407" s="94" t="s">
        <v>2700</v>
      </c>
    </row>
    <row r="408" spans="47:47">
      <c r="AU408" s="94" t="s">
        <v>2991</v>
      </c>
    </row>
    <row r="409" spans="47:47">
      <c r="AU409" s="94" t="s">
        <v>2995</v>
      </c>
    </row>
    <row r="410" spans="47:47">
      <c r="AU410" s="94" t="s">
        <v>4088</v>
      </c>
    </row>
    <row r="411" spans="47:47">
      <c r="AU411" s="94" t="s">
        <v>3989</v>
      </c>
    </row>
    <row r="412" spans="47:47">
      <c r="AU412" s="94" t="s">
        <v>4007</v>
      </c>
    </row>
    <row r="413" spans="47:47">
      <c r="AU413" s="94" t="s">
        <v>4072</v>
      </c>
    </row>
    <row r="414" spans="47:47">
      <c r="AU414" s="94" t="s">
        <v>3983</v>
      </c>
    </row>
    <row r="415" spans="47:47">
      <c r="AU415" s="94" t="s">
        <v>4065</v>
      </c>
    </row>
    <row r="416" spans="47:47">
      <c r="AU416" s="94" t="s">
        <v>4044</v>
      </c>
    </row>
    <row r="417" spans="47:47">
      <c r="AU417" s="94" t="s">
        <v>4058</v>
      </c>
    </row>
    <row r="418" spans="47:47">
      <c r="AU418" s="94" t="s">
        <v>4038</v>
      </c>
    </row>
    <row r="419" spans="47:47">
      <c r="AU419" s="75" t="s">
        <v>1690</v>
      </c>
    </row>
    <row r="420" spans="47:47">
      <c r="AU420" s="94" t="s">
        <v>3018</v>
      </c>
    </row>
    <row r="421" spans="47:47">
      <c r="AU421" s="94" t="s">
        <v>2982</v>
      </c>
    </row>
    <row r="422" spans="47:47">
      <c r="AU422" s="94" t="s">
        <v>1699</v>
      </c>
    </row>
    <row r="423" spans="47:47">
      <c r="AU423" s="94" t="s">
        <v>1707</v>
      </c>
    </row>
    <row r="424" spans="47:47">
      <c r="AU424" s="94" t="s">
        <v>2897</v>
      </c>
    </row>
    <row r="425" spans="47:47">
      <c r="AU425" s="94" t="s">
        <v>1775</v>
      </c>
    </row>
    <row r="426" spans="47:47">
      <c r="AU426" s="94" t="s">
        <v>2891</v>
      </c>
    </row>
    <row r="427" spans="47:47">
      <c r="AU427" s="94" t="s">
        <v>1825</v>
      </c>
    </row>
    <row r="428" spans="47:47">
      <c r="AU428" s="94" t="s">
        <v>2909</v>
      </c>
    </row>
    <row r="429" spans="47:47">
      <c r="AU429" s="94" t="s">
        <v>1834</v>
      </c>
    </row>
    <row r="430" spans="47:47">
      <c r="AU430" s="94" t="s">
        <v>2885</v>
      </c>
    </row>
    <row r="431" spans="47:47">
      <c r="AU431" s="94" t="s">
        <v>1843</v>
      </c>
    </row>
    <row r="432" spans="47:47">
      <c r="AU432" s="94" t="s">
        <v>2871</v>
      </c>
    </row>
    <row r="433" spans="47:47">
      <c r="AU433" s="94" t="s">
        <v>1851</v>
      </c>
    </row>
    <row r="434" spans="47:47">
      <c r="AU434" s="94" t="s">
        <v>2865</v>
      </c>
    </row>
    <row r="435" spans="47:47">
      <c r="AU435" s="94" t="s">
        <v>4219</v>
      </c>
    </row>
    <row r="436" spans="47:47">
      <c r="AU436" s="94" t="s">
        <v>1654</v>
      </c>
    </row>
    <row r="437" spans="47:47">
      <c r="AU437" s="94" t="s">
        <v>1859</v>
      </c>
    </row>
    <row r="438" spans="47:47">
      <c r="AU438" s="94" t="s">
        <v>2903</v>
      </c>
    </row>
    <row r="439" spans="47:47">
      <c r="AU439" s="94" t="s">
        <v>2143</v>
      </c>
    </row>
    <row r="440" spans="47:47">
      <c r="AU440" s="94" t="s">
        <v>3007</v>
      </c>
    </row>
    <row r="441" spans="47:47">
      <c r="AU441" s="94" t="s">
        <v>2150</v>
      </c>
    </row>
    <row r="442" spans="47:47">
      <c r="AU442" s="94" t="s">
        <v>3013</v>
      </c>
    </row>
    <row r="443" spans="47:47">
      <c r="AU443" s="94" t="s">
        <v>2158</v>
      </c>
    </row>
    <row r="444" spans="47:47">
      <c r="AU444" s="94" t="s">
        <v>2934</v>
      </c>
    </row>
    <row r="445" spans="47:47">
      <c r="AU445" s="94" t="s">
        <v>2166</v>
      </c>
    </row>
    <row r="446" spans="47:47">
      <c r="AU446" s="94" t="s">
        <v>2928</v>
      </c>
    </row>
    <row r="447" spans="47:47">
      <c r="AU447" s="94" t="s">
        <v>2185</v>
      </c>
    </row>
    <row r="448" spans="47:47">
      <c r="AU448" s="94" t="s">
        <v>2922</v>
      </c>
    </row>
    <row r="449" spans="47:47">
      <c r="AU449" s="94" t="s">
        <v>2193</v>
      </c>
    </row>
    <row r="450" spans="47:47">
      <c r="AU450" s="94" t="s">
        <v>2916</v>
      </c>
    </row>
    <row r="451" spans="47:47">
      <c r="AU451" s="94" t="s">
        <v>2201</v>
      </c>
    </row>
    <row r="452" spans="47:47">
      <c r="AU452" s="94" t="s">
        <v>3001</v>
      </c>
    </row>
    <row r="453" spans="47:47">
      <c r="AU453" s="94" t="s">
        <v>2209</v>
      </c>
    </row>
    <row r="454" spans="47:47">
      <c r="AU454" s="94" t="s">
        <v>2970</v>
      </c>
    </row>
    <row r="455" spans="47:47">
      <c r="AU455" s="94" t="s">
        <v>2217</v>
      </c>
    </row>
    <row r="456" spans="47:47">
      <c r="AU456" s="94" t="s">
        <v>2964</v>
      </c>
    </row>
    <row r="457" spans="47:47">
      <c r="AU457" s="94" t="s">
        <v>2225</v>
      </c>
    </row>
    <row r="458" spans="47:47">
      <c r="AU458" s="94" t="s">
        <v>2958</v>
      </c>
    </row>
    <row r="459" spans="47:47">
      <c r="AU459" s="94" t="s">
        <v>2233</v>
      </c>
    </row>
    <row r="460" spans="47:47">
      <c r="AU460" s="94" t="s">
        <v>2952</v>
      </c>
    </row>
    <row r="461" spans="47:47">
      <c r="AU461" s="94" t="s">
        <v>2241</v>
      </c>
    </row>
    <row r="462" spans="47:47">
      <c r="AU462" s="94" t="s">
        <v>2946</v>
      </c>
    </row>
    <row r="463" spans="47:47">
      <c r="AU463" s="94" t="s">
        <v>2249</v>
      </c>
    </row>
    <row r="464" spans="47:47">
      <c r="AU464" s="94" t="s">
        <v>2940</v>
      </c>
    </row>
    <row r="465" spans="47:47">
      <c r="AU465" s="94" t="s">
        <v>2257</v>
      </c>
    </row>
    <row r="466" spans="47:47">
      <c r="AU466" s="94" t="s">
        <v>2976</v>
      </c>
    </row>
    <row r="467" spans="47:47">
      <c r="AU467" s="75" t="s">
        <v>3125</v>
      </c>
    </row>
    <row r="468" spans="47:47">
      <c r="AU468" s="94" t="s">
        <v>3128</v>
      </c>
    </row>
    <row r="469" spans="47:47">
      <c r="AU469" s="94" t="s">
        <v>3119</v>
      </c>
    </row>
    <row r="470" spans="47:47">
      <c r="AU470" s="94" t="s">
        <v>3122</v>
      </c>
    </row>
    <row r="471" spans="47:47">
      <c r="AU471" s="94" t="s">
        <v>3113</v>
      </c>
    </row>
    <row r="472" spans="47:47">
      <c r="AU472" s="94" t="s">
        <v>3116</v>
      </c>
    </row>
    <row r="473" spans="47:47">
      <c r="AU473" s="94" t="s">
        <v>3048</v>
      </c>
    </row>
    <row r="474" spans="47:47">
      <c r="AU474" s="94" t="s">
        <v>3051</v>
      </c>
    </row>
    <row r="475" spans="47:47">
      <c r="AU475" s="94" t="s">
        <v>4371</v>
      </c>
    </row>
    <row r="476" spans="47:47">
      <c r="AU476" s="94" t="s">
        <v>4359</v>
      </c>
    </row>
    <row r="477" spans="47:47">
      <c r="AU477" s="94" t="s">
        <v>4377</v>
      </c>
    </row>
    <row r="478" spans="47:47">
      <c r="AU478" s="94" t="s">
        <v>3107</v>
      </c>
    </row>
    <row r="479" spans="47:47">
      <c r="AU479" s="94" t="s">
        <v>3110</v>
      </c>
    </row>
    <row r="480" spans="47:47">
      <c r="AU480" s="94" t="s">
        <v>3096</v>
      </c>
    </row>
    <row r="481" spans="47:47">
      <c r="AU481" s="94" t="s">
        <v>3099</v>
      </c>
    </row>
    <row r="482" spans="47:47">
      <c r="AU482" s="94" t="s">
        <v>3042</v>
      </c>
    </row>
    <row r="483" spans="47:47">
      <c r="AU483" s="94" t="s">
        <v>3045</v>
      </c>
    </row>
    <row r="484" spans="47:47">
      <c r="AU484" s="94" t="s">
        <v>3054</v>
      </c>
    </row>
    <row r="485" spans="47:47">
      <c r="AU485" s="94" t="s">
        <v>3057</v>
      </c>
    </row>
    <row r="486" spans="47:47">
      <c r="AU486" s="94" t="s">
        <v>1654</v>
      </c>
    </row>
    <row r="487" spans="47:47">
      <c r="AU487" s="94" t="s">
        <v>1675</v>
      </c>
    </row>
    <row r="488" spans="47:47">
      <c r="AU488" s="94" t="s">
        <v>3090</v>
      </c>
    </row>
    <row r="489" spans="47:47">
      <c r="AU489" s="94" t="s">
        <v>3093</v>
      </c>
    </row>
    <row r="490" spans="47:47">
      <c r="AU490" s="94" t="s">
        <v>3084</v>
      </c>
    </row>
    <row r="491" spans="47:47">
      <c r="AU491" s="94" t="s">
        <v>3087</v>
      </c>
    </row>
    <row r="492" spans="47:47">
      <c r="AU492" s="94" t="s">
        <v>3072</v>
      </c>
    </row>
    <row r="493" spans="47:47">
      <c r="AU493" s="94" t="s">
        <v>3075</v>
      </c>
    </row>
    <row r="494" spans="47:47">
      <c r="AU494" s="94" t="s">
        <v>3066</v>
      </c>
    </row>
    <row r="495" spans="47:47">
      <c r="AU495" s="94" t="s">
        <v>3069</v>
      </c>
    </row>
    <row r="496" spans="47:47">
      <c r="AU496" s="94" t="s">
        <v>3036</v>
      </c>
    </row>
    <row r="497" spans="47:47">
      <c r="AU497" s="94" t="s">
        <v>3039</v>
      </c>
    </row>
    <row r="498" spans="47:47">
      <c r="AU498" s="94" t="s">
        <v>3029</v>
      </c>
    </row>
    <row r="499" spans="47:47">
      <c r="AU499" s="94" t="s">
        <v>3032</v>
      </c>
    </row>
    <row r="500" spans="47:47">
      <c r="AU500" s="94" t="s">
        <v>3022</v>
      </c>
    </row>
    <row r="501" spans="47:47">
      <c r="AU501" s="94" t="s">
        <v>3025</v>
      </c>
    </row>
    <row r="502" spans="47:47">
      <c r="AU502" s="94" t="s">
        <v>4346</v>
      </c>
    </row>
    <row r="503" spans="47:47">
      <c r="AU503" s="94" t="s">
        <v>4340</v>
      </c>
    </row>
    <row r="504" spans="47:47">
      <c r="AU504" s="94" t="s">
        <v>4333</v>
      </c>
    </row>
    <row r="505" spans="47:47">
      <c r="AU505" s="94" t="s">
        <v>3078</v>
      </c>
    </row>
    <row r="506" spans="47:47">
      <c r="AU506" s="94" t="s">
        <v>3081</v>
      </c>
    </row>
    <row r="507" spans="47:47">
      <c r="AU507" s="94" t="s">
        <v>3060</v>
      </c>
    </row>
    <row r="508" spans="47:47">
      <c r="AU508" s="94" t="s">
        <v>3063</v>
      </c>
    </row>
    <row r="509" spans="47:47">
      <c r="AU509" s="94" t="s">
        <v>4327</v>
      </c>
    </row>
    <row r="510" spans="47:47">
      <c r="AU510" s="94" t="s">
        <v>4321</v>
      </c>
    </row>
    <row r="511" spans="47:47">
      <c r="AU511" s="94" t="s">
        <v>4315</v>
      </c>
    </row>
    <row r="512" spans="47:47">
      <c r="AU512" s="75" t="s">
        <v>4169</v>
      </c>
    </row>
    <row r="513" spans="47:47">
      <c r="AU513" s="94" t="s">
        <v>1690</v>
      </c>
    </row>
    <row r="514" spans="47:47">
      <c r="AU514" s="94" t="s">
        <v>3018</v>
      </c>
    </row>
    <row r="515" spans="47:47">
      <c r="AU515" s="94" t="s">
        <v>2982</v>
      </c>
    </row>
    <row r="516" spans="47:47">
      <c r="AU516" s="94" t="s">
        <v>1699</v>
      </c>
    </row>
    <row r="517" spans="47:47">
      <c r="AU517" s="94" t="s">
        <v>1707</v>
      </c>
    </row>
    <row r="518" spans="47:47">
      <c r="AU518" s="94" t="s">
        <v>2897</v>
      </c>
    </row>
    <row r="519" spans="47:47">
      <c r="AU519" s="94" t="s">
        <v>4291</v>
      </c>
    </row>
    <row r="520" spans="47:47">
      <c r="AU520" s="94" t="s">
        <v>4248</v>
      </c>
    </row>
    <row r="521" spans="47:47">
      <c r="AU521" s="94" t="s">
        <v>4200</v>
      </c>
    </row>
    <row r="522" spans="47:47">
      <c r="AU522" s="94" t="s">
        <v>4141</v>
      </c>
    </row>
    <row r="523" spans="47:47">
      <c r="AU523" s="94" t="s">
        <v>4118</v>
      </c>
    </row>
    <row r="524" spans="47:47">
      <c r="AU524" s="94" t="s">
        <v>1024</v>
      </c>
    </row>
    <row r="525" spans="47:47">
      <c r="AU525" s="94" t="s">
        <v>1775</v>
      </c>
    </row>
    <row r="526" spans="47:47">
      <c r="AU526" s="94" t="s">
        <v>2891</v>
      </c>
    </row>
    <row r="527" spans="47:47">
      <c r="AU527" s="94" t="s">
        <v>4213</v>
      </c>
    </row>
    <row r="528" spans="47:47">
      <c r="AU528" s="94" t="s">
        <v>4231</v>
      </c>
    </row>
    <row r="529" spans="47:47">
      <c r="AU529" s="94" t="s">
        <v>4260</v>
      </c>
    </row>
    <row r="530" spans="47:47">
      <c r="AU530" s="94" t="s">
        <v>4254</v>
      </c>
    </row>
    <row r="531" spans="47:47">
      <c r="AU531" s="94" t="s">
        <v>4266</v>
      </c>
    </row>
    <row r="532" spans="47:47">
      <c r="AU532" s="94" t="s">
        <v>1825</v>
      </c>
    </row>
    <row r="533" spans="47:47">
      <c r="AU533" s="94" t="s">
        <v>2909</v>
      </c>
    </row>
    <row r="534" spans="47:47">
      <c r="AU534" s="94" t="s">
        <v>4207</v>
      </c>
    </row>
    <row r="535" spans="47:47">
      <c r="AU535" s="94" t="s">
        <v>4285</v>
      </c>
    </row>
    <row r="536" spans="47:47">
      <c r="AU536" s="94" t="s">
        <v>1834</v>
      </c>
    </row>
    <row r="537" spans="47:47">
      <c r="AU537" s="94" t="s">
        <v>2885</v>
      </c>
    </row>
    <row r="538" spans="47:47">
      <c r="AU538" s="94" t="s">
        <v>1843</v>
      </c>
    </row>
    <row r="539" spans="47:47">
      <c r="AU539" s="94" t="s">
        <v>2871</v>
      </c>
    </row>
    <row r="540" spans="47:47">
      <c r="AU540" s="94" t="s">
        <v>1851</v>
      </c>
    </row>
    <row r="541" spans="47:47">
      <c r="AU541" s="94" t="s">
        <v>2865</v>
      </c>
    </row>
    <row r="542" spans="47:47">
      <c r="AU542" s="94" t="s">
        <v>4242</v>
      </c>
    </row>
    <row r="543" spans="47:47">
      <c r="AU543" s="94" t="s">
        <v>4219</v>
      </c>
    </row>
    <row r="544" spans="47:47">
      <c r="AU544" s="94" t="s">
        <v>4279</v>
      </c>
    </row>
    <row r="545" spans="47:47">
      <c r="AU545" s="94" t="s">
        <v>4225</v>
      </c>
    </row>
    <row r="546" spans="47:47">
      <c r="AU546" s="94" t="s">
        <v>4273</v>
      </c>
    </row>
    <row r="547" spans="47:47">
      <c r="AU547" s="94" t="s">
        <v>1654</v>
      </c>
    </row>
    <row r="548" spans="47:47">
      <c r="AU548" s="94" t="s">
        <v>4182</v>
      </c>
    </row>
    <row r="549" spans="47:47">
      <c r="AU549" s="94" t="s">
        <v>4176</v>
      </c>
    </row>
    <row r="550" spans="47:47">
      <c r="AU550" s="94" t="s">
        <v>4148</v>
      </c>
    </row>
    <row r="551" spans="47:47">
      <c r="AU551" s="94" t="s">
        <v>4133</v>
      </c>
    </row>
    <row r="552" spans="47:47">
      <c r="AU552" s="94" t="s">
        <v>4126</v>
      </c>
    </row>
    <row r="553" spans="47:47">
      <c r="AU553" s="94" t="s">
        <v>1859</v>
      </c>
    </row>
    <row r="554" spans="47:47">
      <c r="AU554" s="94" t="s">
        <v>2903</v>
      </c>
    </row>
    <row r="555" spans="47:47">
      <c r="AU555" s="94" t="s">
        <v>4194</v>
      </c>
    </row>
    <row r="556" spans="47:47">
      <c r="AU556" s="94" t="s">
        <v>2143</v>
      </c>
    </row>
    <row r="557" spans="47:47">
      <c r="AU557" s="94" t="s">
        <v>3007</v>
      </c>
    </row>
    <row r="558" spans="47:47">
      <c r="AU558" s="94" t="s">
        <v>2150</v>
      </c>
    </row>
    <row r="559" spans="47:47">
      <c r="AU559" s="94" t="s">
        <v>3013</v>
      </c>
    </row>
    <row r="560" spans="47:47">
      <c r="AU560" s="94" t="s">
        <v>2158</v>
      </c>
    </row>
    <row r="561" spans="47:47">
      <c r="AU561" s="94" t="s">
        <v>2934</v>
      </c>
    </row>
    <row r="562" spans="47:47">
      <c r="AU562" s="94" t="s">
        <v>2166</v>
      </c>
    </row>
    <row r="563" spans="47:47">
      <c r="AU563" s="94" t="s">
        <v>2928</v>
      </c>
    </row>
    <row r="564" spans="47:47">
      <c r="AU564" s="94" t="s">
        <v>4188</v>
      </c>
    </row>
    <row r="565" spans="47:47">
      <c r="AU565" s="94" t="s">
        <v>2185</v>
      </c>
    </row>
    <row r="566" spans="47:47">
      <c r="AU566" s="94" t="s">
        <v>2922</v>
      </c>
    </row>
    <row r="567" spans="47:47">
      <c r="AU567" s="94" t="s">
        <v>2193</v>
      </c>
    </row>
    <row r="568" spans="47:47">
      <c r="AU568" s="94" t="s">
        <v>2916</v>
      </c>
    </row>
    <row r="569" spans="47:47">
      <c r="AU569" s="94" t="s">
        <v>4163</v>
      </c>
    </row>
    <row r="570" spans="47:47">
      <c r="AU570" s="94" t="s">
        <v>4156</v>
      </c>
    </row>
    <row r="571" spans="47:47">
      <c r="AU571" s="94" t="s">
        <v>2201</v>
      </c>
    </row>
    <row r="572" spans="47:47">
      <c r="AU572" s="94" t="s">
        <v>3001</v>
      </c>
    </row>
    <row r="573" spans="47:47">
      <c r="AU573" s="94" t="s">
        <v>2209</v>
      </c>
    </row>
    <row r="574" spans="47:47">
      <c r="AU574" s="94" t="s">
        <v>2970</v>
      </c>
    </row>
    <row r="575" spans="47:47">
      <c r="AU575" s="94" t="s">
        <v>2217</v>
      </c>
    </row>
    <row r="576" spans="47:47">
      <c r="AU576" s="94" t="s">
        <v>2964</v>
      </c>
    </row>
    <row r="577" spans="47:47">
      <c r="AU577" s="94" t="s">
        <v>2225</v>
      </c>
    </row>
    <row r="578" spans="47:47">
      <c r="AU578" s="94" t="s">
        <v>2958</v>
      </c>
    </row>
    <row r="579" spans="47:47">
      <c r="AU579" s="94" t="s">
        <v>2233</v>
      </c>
    </row>
    <row r="580" spans="47:47">
      <c r="AU580" s="94" t="s">
        <v>2952</v>
      </c>
    </row>
    <row r="581" spans="47:47">
      <c r="AU581" s="94" t="s">
        <v>2241</v>
      </c>
    </row>
    <row r="582" spans="47:47">
      <c r="AU582" s="94" t="s">
        <v>2946</v>
      </c>
    </row>
    <row r="583" spans="47:47">
      <c r="AU583" s="94" t="s">
        <v>2249</v>
      </c>
    </row>
    <row r="584" spans="47:47">
      <c r="AU584" s="94" t="s">
        <v>2940</v>
      </c>
    </row>
    <row r="585" spans="47:47">
      <c r="AU585" s="94" t="s">
        <v>4111</v>
      </c>
    </row>
    <row r="586" spans="47:47">
      <c r="AU586" s="94" t="s">
        <v>4103</v>
      </c>
    </row>
    <row r="587" spans="47:47">
      <c r="AU587" s="94" t="s">
        <v>2257</v>
      </c>
    </row>
    <row r="588" spans="47:47">
      <c r="AU588" s="94" t="s">
        <v>2976</v>
      </c>
    </row>
    <row r="589" spans="47:47">
      <c r="AU589" s="75" t="s">
        <v>3125</v>
      </c>
    </row>
    <row r="590" spans="47:47">
      <c r="AU590" s="94" t="s">
        <v>3128</v>
      </c>
    </row>
    <row r="591" spans="47:47">
      <c r="AU591" s="94" t="s">
        <v>3119</v>
      </c>
    </row>
    <row r="592" spans="47:47">
      <c r="AU592" s="94" t="s">
        <v>3122</v>
      </c>
    </row>
    <row r="593" spans="47:47">
      <c r="AU593" s="94" t="s">
        <v>3113</v>
      </c>
    </row>
    <row r="594" spans="47:47">
      <c r="AU594" s="94" t="s">
        <v>3116</v>
      </c>
    </row>
    <row r="595" spans="47:47">
      <c r="AU595" s="94" t="s">
        <v>3048</v>
      </c>
    </row>
    <row r="596" spans="47:47">
      <c r="AU596" s="94" t="s">
        <v>3051</v>
      </c>
    </row>
    <row r="597" spans="47:47">
      <c r="AU597" s="94" t="s">
        <v>4371</v>
      </c>
    </row>
    <row r="598" spans="47:47">
      <c r="AU598" s="94" t="s">
        <v>4365</v>
      </c>
    </row>
    <row r="599" spans="47:47">
      <c r="AU599" s="94" t="s">
        <v>4352</v>
      </c>
    </row>
    <row r="600" spans="47:47">
      <c r="AU600" s="94" t="s">
        <v>4359</v>
      </c>
    </row>
    <row r="601" spans="47:47">
      <c r="AU601" s="94" t="s">
        <v>4377</v>
      </c>
    </row>
    <row r="602" spans="47:47">
      <c r="AU602" s="94" t="s">
        <v>4384</v>
      </c>
    </row>
    <row r="603" spans="47:47">
      <c r="AU603" s="94" t="s">
        <v>3107</v>
      </c>
    </row>
    <row r="604" spans="47:47">
      <c r="AU604" s="94" t="s">
        <v>3110</v>
      </c>
    </row>
    <row r="605" spans="47:47">
      <c r="AU605" s="94" t="s">
        <v>3096</v>
      </c>
    </row>
    <row r="606" spans="47:47">
      <c r="AU606" s="94" t="s">
        <v>3099</v>
      </c>
    </row>
    <row r="607" spans="47:47">
      <c r="AU607" s="94" t="s">
        <v>3042</v>
      </c>
    </row>
    <row r="608" spans="47:47">
      <c r="AU608" s="94" t="s">
        <v>3045</v>
      </c>
    </row>
    <row r="609" spans="47:47">
      <c r="AU609" s="94" t="s">
        <v>3054</v>
      </c>
    </row>
    <row r="610" spans="47:47">
      <c r="AU610" s="94" t="s">
        <v>3057</v>
      </c>
    </row>
    <row r="611" spans="47:47">
      <c r="AU611" s="94" t="s">
        <v>1654</v>
      </c>
    </row>
    <row r="612" spans="47:47">
      <c r="AU612" s="94" t="s">
        <v>1675</v>
      </c>
    </row>
    <row r="613" spans="47:47">
      <c r="AU613" s="94" t="s">
        <v>3090</v>
      </c>
    </row>
    <row r="614" spans="47:47">
      <c r="AU614" s="94" t="s">
        <v>3093</v>
      </c>
    </row>
    <row r="615" spans="47:47">
      <c r="AU615" s="94" t="s">
        <v>3084</v>
      </c>
    </row>
    <row r="616" spans="47:47">
      <c r="AU616" s="94" t="s">
        <v>3087</v>
      </c>
    </row>
    <row r="617" spans="47:47">
      <c r="AU617" s="94" t="s">
        <v>3072</v>
      </c>
    </row>
    <row r="618" spans="47:47">
      <c r="AU618" s="94" t="s">
        <v>3075</v>
      </c>
    </row>
    <row r="619" spans="47:47">
      <c r="AU619" s="94" t="s">
        <v>3066</v>
      </c>
    </row>
    <row r="620" spans="47:47">
      <c r="AU620" s="94" t="s">
        <v>3069</v>
      </c>
    </row>
    <row r="621" spans="47:47">
      <c r="AU621" s="94" t="s">
        <v>3036</v>
      </c>
    </row>
    <row r="622" spans="47:47">
      <c r="AU622" s="94" t="s">
        <v>3039</v>
      </c>
    </row>
    <row r="623" spans="47:47">
      <c r="AU623" s="94" t="s">
        <v>3029</v>
      </c>
    </row>
    <row r="624" spans="47:47">
      <c r="AU624" s="94" t="s">
        <v>3032</v>
      </c>
    </row>
    <row r="625" spans="47:47">
      <c r="AU625" s="94" t="s">
        <v>3022</v>
      </c>
    </row>
    <row r="626" spans="47:47">
      <c r="AU626" s="94" t="s">
        <v>3025</v>
      </c>
    </row>
    <row r="627" spans="47:47">
      <c r="AU627" s="94" t="s">
        <v>4346</v>
      </c>
    </row>
    <row r="628" spans="47:47">
      <c r="AU628" s="94" t="s">
        <v>4340</v>
      </c>
    </row>
    <row r="629" spans="47:47">
      <c r="AU629" s="94" t="s">
        <v>4333</v>
      </c>
    </row>
    <row r="630" spans="47:47">
      <c r="AU630" s="94" t="s">
        <v>3078</v>
      </c>
    </row>
    <row r="631" spans="47:47">
      <c r="AU631" s="94" t="s">
        <v>3081</v>
      </c>
    </row>
    <row r="632" spans="47:47">
      <c r="AU632" s="94" t="s">
        <v>3060</v>
      </c>
    </row>
    <row r="633" spans="47:47">
      <c r="AU633" s="94" t="s">
        <v>3063</v>
      </c>
    </row>
    <row r="634" spans="47:47">
      <c r="AU634" s="94" t="s">
        <v>4327</v>
      </c>
    </row>
    <row r="635" spans="47:47">
      <c r="AU635" s="94" t="s">
        <v>4321</v>
      </c>
    </row>
    <row r="636" spans="47:47">
      <c r="AU636" s="94" t="s">
        <v>4315</v>
      </c>
    </row>
    <row r="637" spans="47:47">
      <c r="AU637" s="94" t="s">
        <v>4309</v>
      </c>
    </row>
    <row r="638" spans="47:47">
      <c r="AU638" s="94" t="s">
        <v>4302</v>
      </c>
    </row>
  </sheetData>
  <sheetProtection sheet="1" formatCells="0" formatColumns="0" formatRows="0" insertColumns="0" insertRows="0" insertHyperlinks="0" deleteColumns="0" deleteRows="0" sort="0" autoFilter="0" pivotTables="0"/>
  <protectedRanges>
    <protectedRange sqref="A1:O1048576" name="Range1"/>
  </protectedRanges>
  <autoFilter ref="A1:AR177" xr:uid="{00000000-0009-0000-0000-000004000000}">
    <filterColumn colId="9">
      <filters>
        <filter val="5.29"/>
      </filters>
    </filterColumn>
  </autoFilter>
  <phoneticPr fontId="67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Z113"/>
  <sheetViews>
    <sheetView workbookViewId="0">
      <pane xSplit="15" ySplit="1" topLeftCell="AW47" activePane="bottomRight" state="frozen"/>
      <selection pane="topRight"/>
      <selection pane="bottomLeft"/>
      <selection pane="bottomRight" activeCell="C1" sqref="C1:C1048576"/>
    </sheetView>
  </sheetViews>
  <sheetFormatPr defaultColWidth="9" defaultRowHeight="14.5"/>
  <cols>
    <col min="1" max="1" width="11" style="2" customWidth="1"/>
    <col min="2" max="2" width="9" style="2"/>
    <col min="3" max="3" width="5.54296875" style="2" customWidth="1"/>
    <col min="4" max="4" width="13.6328125" style="2" customWidth="1"/>
    <col min="5" max="5" width="11.26953125" style="2" customWidth="1"/>
    <col min="6" max="6" width="7.54296875" style="2" customWidth="1"/>
    <col min="7" max="7" width="13.90625" style="2" hidden="1" customWidth="1"/>
    <col min="8" max="8" width="9" style="2" hidden="1" customWidth="1"/>
    <col min="9" max="9" width="6.6328125" style="2" hidden="1" customWidth="1"/>
    <col min="10" max="11" width="9" style="2" hidden="1" customWidth="1"/>
    <col min="12" max="12" width="7.26953125" style="2" customWidth="1"/>
    <col min="13" max="13" width="5.1796875" style="2" customWidth="1"/>
    <col min="14" max="14" width="11.6328125" style="2" customWidth="1"/>
    <col min="15" max="15" width="12.26953125" style="2" customWidth="1"/>
    <col min="16" max="16" width="18.453125" style="2" customWidth="1"/>
    <col min="17" max="17" width="9" style="2"/>
    <col min="18" max="18" width="6.90625" style="4" customWidth="1"/>
    <col min="19" max="19" width="9" style="4"/>
    <col min="20" max="20" width="10.36328125" style="4" customWidth="1"/>
    <col min="21" max="22" width="12.7265625" style="2" customWidth="1"/>
    <col min="23" max="23" width="17" style="2" customWidth="1"/>
    <col min="24" max="24" width="19.6328125" style="2" customWidth="1"/>
    <col min="25" max="25" width="9.90625" style="2" customWidth="1"/>
    <col min="26" max="27" width="19.7265625" style="2" customWidth="1"/>
    <col min="28" max="28" width="17.90625" style="4" customWidth="1"/>
    <col min="29" max="29" width="9" style="2" customWidth="1"/>
    <col min="30" max="30" width="11.90625" style="2" customWidth="1"/>
    <col min="31" max="31" width="9" style="4" customWidth="1"/>
    <col min="32" max="32" width="9" style="2" customWidth="1"/>
    <col min="33" max="33" width="9" style="4"/>
    <col min="34" max="36" width="9" style="4" customWidth="1"/>
    <col min="37" max="38" width="9" style="2" customWidth="1"/>
    <col min="39" max="39" width="9" style="4" customWidth="1"/>
    <col min="40" max="40" width="9" style="2" customWidth="1"/>
    <col min="41" max="41" width="9" style="4" customWidth="1"/>
    <col min="42" max="42" width="9" style="2" customWidth="1"/>
    <col min="43" max="43" width="7.08984375" style="2" customWidth="1"/>
    <col min="44" max="45" width="9" style="4" customWidth="1"/>
    <col min="46" max="46" width="11.26953125" style="4" customWidth="1"/>
    <col min="47" max="47" width="14.453125" style="4" customWidth="1"/>
    <col min="48" max="48" width="9" style="2" customWidth="1"/>
    <col min="49" max="49" width="13.6328125" style="4" customWidth="1"/>
    <col min="50" max="16384" width="9" style="2"/>
  </cols>
  <sheetData>
    <row r="1" spans="1:52" s="154" customFormat="1" ht="55.4" customHeight="1">
      <c r="A1" s="155" t="s">
        <v>25</v>
      </c>
      <c r="B1" s="155" t="s">
        <v>26</v>
      </c>
      <c r="C1" s="155" t="s">
        <v>27</v>
      </c>
      <c r="D1" s="155" t="s">
        <v>28</v>
      </c>
      <c r="E1" s="155" t="s">
        <v>29</v>
      </c>
      <c r="F1" s="155" t="s">
        <v>30</v>
      </c>
      <c r="G1" s="155" t="s">
        <v>31</v>
      </c>
      <c r="H1" s="155" t="s">
        <v>4389</v>
      </c>
      <c r="I1" s="155" t="s">
        <v>4390</v>
      </c>
      <c r="J1" s="155" t="s">
        <v>4391</v>
      </c>
      <c r="K1" s="155" t="s">
        <v>32</v>
      </c>
      <c r="L1" s="156" t="s">
        <v>33</v>
      </c>
      <c r="M1" s="155" t="s">
        <v>34</v>
      </c>
      <c r="N1" s="155" t="s">
        <v>35</v>
      </c>
      <c r="O1" s="155" t="s">
        <v>36</v>
      </c>
      <c r="P1" s="157" t="s">
        <v>37</v>
      </c>
      <c r="Q1" s="155" t="s">
        <v>38</v>
      </c>
      <c r="R1" s="80" t="s">
        <v>4392</v>
      </c>
      <c r="S1" s="80" t="s">
        <v>4393</v>
      </c>
      <c r="T1" s="80" t="s">
        <v>4394</v>
      </c>
      <c r="U1" s="81" t="s">
        <v>39</v>
      </c>
      <c r="V1" s="81" t="s">
        <v>40</v>
      </c>
      <c r="W1" s="81" t="s">
        <v>41</v>
      </c>
      <c r="X1" s="81" t="s">
        <v>42</v>
      </c>
      <c r="Y1" s="81" t="s">
        <v>43</v>
      </c>
      <c r="Z1" s="81" t="s">
        <v>44</v>
      </c>
      <c r="AA1" s="81" t="s">
        <v>45</v>
      </c>
      <c r="AB1" s="83" t="s">
        <v>46</v>
      </c>
      <c r="AC1" s="84" t="s">
        <v>47</v>
      </c>
      <c r="AD1" s="84" t="s">
        <v>48</v>
      </c>
      <c r="AE1" s="84" t="s">
        <v>49</v>
      </c>
      <c r="AF1" s="84" t="s">
        <v>50</v>
      </c>
      <c r="AG1" s="85" t="s">
        <v>51</v>
      </c>
      <c r="AH1" s="85" t="s">
        <v>52</v>
      </c>
      <c r="AI1" s="85" t="s">
        <v>4395</v>
      </c>
      <c r="AJ1" s="86" t="s">
        <v>54</v>
      </c>
      <c r="AK1" s="85" t="s">
        <v>55</v>
      </c>
      <c r="AL1" s="85" t="s">
        <v>4396</v>
      </c>
      <c r="AM1" s="87" t="s">
        <v>57</v>
      </c>
      <c r="AN1" s="88" t="s">
        <v>58</v>
      </c>
      <c r="AO1" s="88" t="s">
        <v>59</v>
      </c>
      <c r="AP1" s="89" t="s">
        <v>60</v>
      </c>
      <c r="AQ1" s="89" t="s">
        <v>61</v>
      </c>
      <c r="AR1" s="86" t="s">
        <v>62</v>
      </c>
      <c r="AS1" s="86" t="s">
        <v>63</v>
      </c>
      <c r="AT1" s="86" t="s">
        <v>155</v>
      </c>
      <c r="AU1" s="86" t="s">
        <v>65</v>
      </c>
      <c r="AV1" s="86" t="s">
        <v>66</v>
      </c>
      <c r="AW1" s="149"/>
      <c r="AX1" s="101" t="s">
        <v>1680</v>
      </c>
      <c r="AY1" s="102" t="s">
        <v>3133</v>
      </c>
      <c r="AZ1" s="103" t="s">
        <v>158</v>
      </c>
    </row>
    <row r="2" spans="1:52">
      <c r="A2" s="25" t="s">
        <v>4397</v>
      </c>
      <c r="B2" s="25" t="s">
        <v>4398</v>
      </c>
      <c r="C2" s="25" t="s">
        <v>68</v>
      </c>
      <c r="D2" s="25" t="s">
        <v>4399</v>
      </c>
      <c r="E2" s="258" t="s">
        <v>4400</v>
      </c>
      <c r="F2" s="25" t="s">
        <v>4401</v>
      </c>
      <c r="G2" s="25" t="s">
        <v>165</v>
      </c>
      <c r="H2" s="25"/>
      <c r="I2" s="26" t="s">
        <v>4402</v>
      </c>
      <c r="J2" s="26" t="s">
        <v>4403</v>
      </c>
      <c r="K2" s="38" t="s">
        <v>4404</v>
      </c>
      <c r="L2" s="158" t="s">
        <v>4405</v>
      </c>
      <c r="M2" s="25" t="s">
        <v>73</v>
      </c>
      <c r="N2" s="25" t="s">
        <v>4406</v>
      </c>
      <c r="O2" s="26" t="s">
        <v>4407</v>
      </c>
      <c r="P2" t="s">
        <v>4408</v>
      </c>
      <c r="Q2" s="26"/>
      <c r="R2" s="29">
        <v>4</v>
      </c>
      <c r="S2" s="29" t="s">
        <v>4409</v>
      </c>
      <c r="T2" s="29" t="s">
        <v>4410</v>
      </c>
      <c r="U2" s="26" t="s">
        <v>77</v>
      </c>
      <c r="V2" s="30" t="s">
        <v>78</v>
      </c>
      <c r="W2" s="30" t="s">
        <v>79</v>
      </c>
      <c r="X2" s="26" t="s">
        <v>4411</v>
      </c>
      <c r="Y2" s="26" t="s">
        <v>4412</v>
      </c>
      <c r="Z2" s="26" t="s">
        <v>81</v>
      </c>
      <c r="AA2" s="26" t="s">
        <v>81</v>
      </c>
      <c r="AB2" s="25" t="s">
        <v>7</v>
      </c>
      <c r="AC2" s="30" t="s">
        <v>172</v>
      </c>
      <c r="AD2" s="25" t="s">
        <v>172</v>
      </c>
      <c r="AE2" s="25" t="s">
        <v>174</v>
      </c>
      <c r="AF2" s="26" t="s">
        <v>175</v>
      </c>
      <c r="AG2" s="32">
        <f>IF(COUNTIF(AZ:AZ,D2)&gt;0,1,0)</f>
        <v>1</v>
      </c>
      <c r="AH2" s="32">
        <v>1</v>
      </c>
      <c r="AI2" s="32">
        <v>1</v>
      </c>
      <c r="AJ2" s="32">
        <v>1</v>
      </c>
      <c r="AK2" s="30"/>
      <c r="AL2" s="30"/>
      <c r="AM2" s="32">
        <f>IF(COUNTIF(AX:AX,"*"&amp;N2&amp;"*")&gt;0,1,0)</f>
        <v>1</v>
      </c>
      <c r="AN2" s="30"/>
      <c r="AO2" s="32">
        <v>1</v>
      </c>
      <c r="AP2" s="30"/>
      <c r="AQ2" s="30"/>
      <c r="AR2" s="32">
        <f>IF(COUNTIF(AY:AY,"*"&amp;N2&amp;"*")&gt;0,1,0)</f>
        <v>0</v>
      </c>
      <c r="AS2" s="32"/>
      <c r="AT2" s="32"/>
      <c r="AU2" s="32">
        <v>1</v>
      </c>
      <c r="AV2" s="30"/>
      <c r="AW2" s="2"/>
      <c r="AX2" s="2" t="s">
        <v>4413</v>
      </c>
      <c r="AZ2" s="2" t="s">
        <v>106</v>
      </c>
    </row>
    <row r="3" spans="1:52">
      <c r="A3" s="25" t="s">
        <v>4414</v>
      </c>
      <c r="B3" s="25" t="s">
        <v>4398</v>
      </c>
      <c r="C3" s="25" t="s">
        <v>73</v>
      </c>
      <c r="D3" s="25" t="s">
        <v>4415</v>
      </c>
      <c r="E3" s="258" t="s">
        <v>4416</v>
      </c>
      <c r="F3" s="25" t="s">
        <v>4417</v>
      </c>
      <c r="G3" s="25" t="s">
        <v>165</v>
      </c>
      <c r="H3" s="25"/>
      <c r="I3" s="26" t="s">
        <v>4402</v>
      </c>
      <c r="J3" s="26" t="s">
        <v>4403</v>
      </c>
      <c r="K3" s="38" t="s">
        <v>4404</v>
      </c>
      <c r="L3" s="158" t="s">
        <v>4405</v>
      </c>
      <c r="M3" s="25" t="s">
        <v>73</v>
      </c>
      <c r="N3" s="25" t="s">
        <v>4418</v>
      </c>
      <c r="O3" s="26" t="s">
        <v>4419</v>
      </c>
      <c r="P3" t="s">
        <v>4420</v>
      </c>
      <c r="Q3" s="26"/>
      <c r="R3" s="32">
        <v>8</v>
      </c>
      <c r="S3" s="25" t="s">
        <v>4421</v>
      </c>
      <c r="T3" s="32" t="s">
        <v>4422</v>
      </c>
      <c r="U3" s="26" t="s">
        <v>77</v>
      </c>
      <c r="V3" s="30" t="s">
        <v>78</v>
      </c>
      <c r="W3" s="30" t="s">
        <v>79</v>
      </c>
      <c r="X3" s="26" t="s">
        <v>4411</v>
      </c>
      <c r="Y3" s="26" t="s">
        <v>4412</v>
      </c>
      <c r="Z3" s="26" t="s">
        <v>81</v>
      </c>
      <c r="AA3" s="26" t="s">
        <v>81</v>
      </c>
      <c r="AB3" s="25" t="s">
        <v>7</v>
      </c>
      <c r="AC3" s="30" t="s">
        <v>172</v>
      </c>
      <c r="AD3" s="25" t="s">
        <v>4423</v>
      </c>
      <c r="AE3" s="25" t="s">
        <v>174</v>
      </c>
      <c r="AF3" s="26" t="s">
        <v>175</v>
      </c>
      <c r="AG3" s="32">
        <f t="shared" ref="AG3:AG40" si="0">IF(COUNTIF(AZ:AZ,D3)&gt;0,1,0)</f>
        <v>1</v>
      </c>
      <c r="AH3" s="32">
        <v>1</v>
      </c>
      <c r="AI3" s="32">
        <v>1</v>
      </c>
      <c r="AJ3" s="32">
        <v>1</v>
      </c>
      <c r="AK3" s="30"/>
      <c r="AL3" s="30"/>
      <c r="AM3" s="32">
        <f t="shared" ref="AM3:AM40" si="1">IF(COUNTIF(AX:AX,"*"&amp;N3&amp;"*")&gt;0,1,0)</f>
        <v>1</v>
      </c>
      <c r="AN3" s="30"/>
      <c r="AO3" s="32">
        <v>1</v>
      </c>
      <c r="AP3" s="30"/>
      <c r="AQ3" s="30"/>
      <c r="AR3" s="32">
        <f t="shared" ref="AR3:AR40" si="2">IF(COUNTIF(AY:AY,"*"&amp;N3&amp;"*")&gt;0,1,0)</f>
        <v>0</v>
      </c>
      <c r="AS3" s="32"/>
      <c r="AT3" s="32"/>
      <c r="AU3" s="32">
        <v>1</v>
      </c>
      <c r="AV3" s="30"/>
      <c r="AW3" s="2"/>
      <c r="AX3" s="2" t="s">
        <v>4424</v>
      </c>
      <c r="AZ3" s="2" t="s">
        <v>4399</v>
      </c>
    </row>
    <row r="4" spans="1:52">
      <c r="A4" s="25" t="s">
        <v>4425</v>
      </c>
      <c r="B4" s="25" t="s">
        <v>4398</v>
      </c>
      <c r="C4" s="25" t="s">
        <v>68</v>
      </c>
      <c r="D4" s="25" t="s">
        <v>4426</v>
      </c>
      <c r="E4" s="258" t="s">
        <v>4427</v>
      </c>
      <c r="F4" s="25" t="s">
        <v>4428</v>
      </c>
      <c r="G4" s="25" t="s">
        <v>165</v>
      </c>
      <c r="H4" s="25"/>
      <c r="I4" s="26" t="s">
        <v>4402</v>
      </c>
      <c r="J4" s="26" t="s">
        <v>4403</v>
      </c>
      <c r="K4" s="38" t="s">
        <v>4404</v>
      </c>
      <c r="L4" s="158" t="s">
        <v>4405</v>
      </c>
      <c r="M4" s="25" t="s">
        <v>73</v>
      </c>
      <c r="N4" s="25" t="s">
        <v>4429</v>
      </c>
      <c r="O4" s="26" t="s">
        <v>4430</v>
      </c>
      <c r="P4" t="s">
        <v>4431</v>
      </c>
      <c r="Q4" s="26"/>
      <c r="R4" s="29">
        <v>4</v>
      </c>
      <c r="S4" s="29" t="s">
        <v>4409</v>
      </c>
      <c r="T4" s="29" t="s">
        <v>4432</v>
      </c>
      <c r="U4" s="26" t="s">
        <v>77</v>
      </c>
      <c r="V4" s="30" t="s">
        <v>78</v>
      </c>
      <c r="W4" s="30" t="s">
        <v>79</v>
      </c>
      <c r="X4" s="26" t="s">
        <v>4411</v>
      </c>
      <c r="Y4" s="26" t="s">
        <v>4412</v>
      </c>
      <c r="Z4" s="26" t="s">
        <v>81</v>
      </c>
      <c r="AA4" s="26" t="s">
        <v>81</v>
      </c>
      <c r="AB4" s="25" t="s">
        <v>7</v>
      </c>
      <c r="AC4" s="30" t="s">
        <v>172</v>
      </c>
      <c r="AD4" s="25" t="s">
        <v>172</v>
      </c>
      <c r="AE4" s="25" t="s">
        <v>174</v>
      </c>
      <c r="AF4" s="26" t="s">
        <v>175</v>
      </c>
      <c r="AG4" s="32">
        <f t="shared" si="0"/>
        <v>1</v>
      </c>
      <c r="AH4" s="32">
        <v>1</v>
      </c>
      <c r="AI4" s="32">
        <v>1</v>
      </c>
      <c r="AJ4" s="32">
        <v>1</v>
      </c>
      <c r="AK4" s="30"/>
      <c r="AL4" s="30"/>
      <c r="AM4" s="32">
        <f t="shared" si="1"/>
        <v>1</v>
      </c>
      <c r="AN4" s="30"/>
      <c r="AO4" s="32">
        <v>1</v>
      </c>
      <c r="AP4" s="30"/>
      <c r="AQ4" s="30"/>
      <c r="AR4" s="32">
        <f t="shared" si="2"/>
        <v>0</v>
      </c>
      <c r="AS4" s="32"/>
      <c r="AT4" s="32"/>
      <c r="AU4" s="32">
        <v>1</v>
      </c>
      <c r="AV4" s="30"/>
      <c r="AW4" s="2"/>
      <c r="AX4" s="2" t="s">
        <v>4433</v>
      </c>
      <c r="AZ4" s="2" t="s">
        <v>4426</v>
      </c>
    </row>
    <row r="5" spans="1:52">
      <c r="A5" s="25" t="s">
        <v>4434</v>
      </c>
      <c r="B5" s="25" t="s">
        <v>4398</v>
      </c>
      <c r="C5" s="25" t="s">
        <v>68</v>
      </c>
      <c r="D5" s="25" t="s">
        <v>4435</v>
      </c>
      <c r="E5" s="258" t="s">
        <v>4436</v>
      </c>
      <c r="F5" s="25" t="s">
        <v>4437</v>
      </c>
      <c r="G5" s="25" t="s">
        <v>165</v>
      </c>
      <c r="H5" s="25"/>
      <c r="I5" s="26" t="s">
        <v>4402</v>
      </c>
      <c r="J5" s="26" t="s">
        <v>4403</v>
      </c>
      <c r="K5" s="38" t="s">
        <v>4404</v>
      </c>
      <c r="L5" s="158" t="s">
        <v>4405</v>
      </c>
      <c r="M5" s="25" t="s">
        <v>73</v>
      </c>
      <c r="N5" s="25" t="s">
        <v>4413</v>
      </c>
      <c r="O5" s="26" t="s">
        <v>4438</v>
      </c>
      <c r="P5" t="s">
        <v>4439</v>
      </c>
      <c r="Q5" s="26"/>
      <c r="R5" s="29">
        <v>4</v>
      </c>
      <c r="S5" s="29" t="s">
        <v>4409</v>
      </c>
      <c r="T5" s="29" t="s">
        <v>4440</v>
      </c>
      <c r="U5" s="26" t="s">
        <v>77</v>
      </c>
      <c r="V5" s="30" t="s">
        <v>78</v>
      </c>
      <c r="W5" s="30" t="s">
        <v>79</v>
      </c>
      <c r="X5" s="26" t="s">
        <v>4411</v>
      </c>
      <c r="Y5" s="26" t="s">
        <v>4412</v>
      </c>
      <c r="Z5" s="26" t="s">
        <v>81</v>
      </c>
      <c r="AA5" s="26" t="s">
        <v>81</v>
      </c>
      <c r="AB5" s="25" t="s">
        <v>7</v>
      </c>
      <c r="AC5" s="30" t="s">
        <v>172</v>
      </c>
      <c r="AD5" s="25" t="s">
        <v>172</v>
      </c>
      <c r="AE5" s="25" t="s">
        <v>174</v>
      </c>
      <c r="AF5" s="26" t="s">
        <v>175</v>
      </c>
      <c r="AG5" s="32">
        <f t="shared" si="0"/>
        <v>1</v>
      </c>
      <c r="AH5" s="32">
        <v>1</v>
      </c>
      <c r="AI5" s="32">
        <v>1</v>
      </c>
      <c r="AJ5" s="32">
        <v>1</v>
      </c>
      <c r="AK5" s="30"/>
      <c r="AL5" s="30"/>
      <c r="AM5" s="32">
        <f t="shared" si="1"/>
        <v>1</v>
      </c>
      <c r="AN5" s="30"/>
      <c r="AO5" s="32">
        <v>1</v>
      </c>
      <c r="AP5" s="30"/>
      <c r="AQ5" s="30"/>
      <c r="AR5" s="32">
        <f t="shared" si="2"/>
        <v>0</v>
      </c>
      <c r="AS5" s="32"/>
      <c r="AT5" s="32"/>
      <c r="AU5" s="32">
        <v>1</v>
      </c>
      <c r="AV5" s="30"/>
      <c r="AW5" s="2"/>
      <c r="AX5" s="2" t="s">
        <v>4441</v>
      </c>
      <c r="AZ5" s="2" t="s">
        <v>4442</v>
      </c>
    </row>
    <row r="6" spans="1:52">
      <c r="A6" s="25" t="s">
        <v>4443</v>
      </c>
      <c r="B6" s="25" t="s">
        <v>4398</v>
      </c>
      <c r="C6" s="25" t="s">
        <v>68</v>
      </c>
      <c r="D6" s="25" t="s">
        <v>4442</v>
      </c>
      <c r="E6" s="258" t="s">
        <v>4444</v>
      </c>
      <c r="F6" s="25" t="s">
        <v>333</v>
      </c>
      <c r="G6" s="25" t="s">
        <v>165</v>
      </c>
      <c r="H6" s="25"/>
      <c r="I6" s="26" t="s">
        <v>4402</v>
      </c>
      <c r="J6" s="26" t="s">
        <v>4403</v>
      </c>
      <c r="K6" s="38" t="s">
        <v>4404</v>
      </c>
      <c r="L6" s="158" t="s">
        <v>4405</v>
      </c>
      <c r="M6" s="25" t="s">
        <v>73</v>
      </c>
      <c r="N6" s="25" t="s">
        <v>4445</v>
      </c>
      <c r="O6" s="26" t="s">
        <v>4446</v>
      </c>
      <c r="P6" t="s">
        <v>4447</v>
      </c>
      <c r="Q6" s="26"/>
      <c r="R6" s="29">
        <v>4</v>
      </c>
      <c r="S6" s="29" t="s">
        <v>4409</v>
      </c>
      <c r="T6" s="29" t="s">
        <v>4448</v>
      </c>
      <c r="U6" s="26" t="s">
        <v>77</v>
      </c>
      <c r="V6" s="30" t="s">
        <v>78</v>
      </c>
      <c r="W6" s="30" t="s">
        <v>79</v>
      </c>
      <c r="X6" s="26" t="s">
        <v>4411</v>
      </c>
      <c r="Y6" s="26" t="s">
        <v>4412</v>
      </c>
      <c r="Z6" s="26" t="s">
        <v>81</v>
      </c>
      <c r="AA6" s="26" t="s">
        <v>81</v>
      </c>
      <c r="AB6" s="25" t="s">
        <v>7</v>
      </c>
      <c r="AC6" s="30" t="s">
        <v>172</v>
      </c>
      <c r="AD6" s="25" t="s">
        <v>172</v>
      </c>
      <c r="AE6" s="25" t="s">
        <v>174</v>
      </c>
      <c r="AF6" s="26" t="s">
        <v>175</v>
      </c>
      <c r="AG6" s="32">
        <f t="shared" si="0"/>
        <v>1</v>
      </c>
      <c r="AH6" s="32">
        <v>1</v>
      </c>
      <c r="AI6" s="32">
        <v>1</v>
      </c>
      <c r="AJ6" s="32">
        <v>1</v>
      </c>
      <c r="AK6" s="30"/>
      <c r="AL6" s="30"/>
      <c r="AM6" s="32">
        <f t="shared" si="1"/>
        <v>1</v>
      </c>
      <c r="AN6" s="30"/>
      <c r="AO6" s="32">
        <v>1</v>
      </c>
      <c r="AP6" s="30"/>
      <c r="AQ6" s="30"/>
      <c r="AR6" s="32">
        <f t="shared" si="2"/>
        <v>0</v>
      </c>
      <c r="AS6" s="32"/>
      <c r="AT6" s="32"/>
      <c r="AU6" s="32">
        <v>1</v>
      </c>
      <c r="AV6" s="30"/>
      <c r="AW6" s="2"/>
      <c r="AX6" s="2" t="s">
        <v>4449</v>
      </c>
      <c r="AZ6" s="2" t="s">
        <v>4450</v>
      </c>
    </row>
    <row r="7" spans="1:52">
      <c r="A7" s="25" t="s">
        <v>4451</v>
      </c>
      <c r="B7" s="25" t="s">
        <v>4398</v>
      </c>
      <c r="C7" s="25" t="s">
        <v>68</v>
      </c>
      <c r="D7" s="25" t="s">
        <v>4452</v>
      </c>
      <c r="E7" s="258" t="s">
        <v>4453</v>
      </c>
      <c r="F7" s="25" t="s">
        <v>4454</v>
      </c>
      <c r="G7" s="25" t="s">
        <v>165</v>
      </c>
      <c r="H7" s="25"/>
      <c r="I7" s="26" t="s">
        <v>4402</v>
      </c>
      <c r="J7" s="26" t="s">
        <v>4403</v>
      </c>
      <c r="K7" s="38" t="s">
        <v>4404</v>
      </c>
      <c r="L7" s="158" t="s">
        <v>4405</v>
      </c>
      <c r="M7" s="25" t="s">
        <v>73</v>
      </c>
      <c r="N7" s="25" t="s">
        <v>4455</v>
      </c>
      <c r="O7" s="26" t="s">
        <v>4456</v>
      </c>
      <c r="P7" t="s">
        <v>4457</v>
      </c>
      <c r="Q7" s="26"/>
      <c r="R7" s="29">
        <v>4</v>
      </c>
      <c r="S7" s="29" t="s">
        <v>4409</v>
      </c>
      <c r="T7" s="29" t="s">
        <v>4458</v>
      </c>
      <c r="U7" s="26" t="s">
        <v>77</v>
      </c>
      <c r="V7" s="30" t="s">
        <v>78</v>
      </c>
      <c r="W7" s="30" t="s">
        <v>79</v>
      </c>
      <c r="X7" s="26" t="s">
        <v>4411</v>
      </c>
      <c r="Y7" s="26" t="s">
        <v>4412</v>
      </c>
      <c r="Z7" s="26" t="s">
        <v>81</v>
      </c>
      <c r="AA7" s="26" t="s">
        <v>81</v>
      </c>
      <c r="AB7" s="25" t="s">
        <v>7</v>
      </c>
      <c r="AC7" s="30" t="s">
        <v>172</v>
      </c>
      <c r="AD7" s="25" t="s">
        <v>172</v>
      </c>
      <c r="AE7" s="25" t="s">
        <v>174</v>
      </c>
      <c r="AF7" s="26" t="s">
        <v>175</v>
      </c>
      <c r="AG7" s="32">
        <f t="shared" si="0"/>
        <v>1</v>
      </c>
      <c r="AH7" s="32">
        <v>1</v>
      </c>
      <c r="AI7" s="32">
        <v>1</v>
      </c>
      <c r="AJ7" s="32">
        <v>1</v>
      </c>
      <c r="AK7" s="30"/>
      <c r="AL7" s="30"/>
      <c r="AM7" s="32">
        <f t="shared" si="1"/>
        <v>1</v>
      </c>
      <c r="AN7" s="30"/>
      <c r="AO7" s="32">
        <v>1</v>
      </c>
      <c r="AP7" s="30"/>
      <c r="AQ7" s="30"/>
      <c r="AR7" s="32">
        <f t="shared" si="2"/>
        <v>0</v>
      </c>
      <c r="AS7" s="32"/>
      <c r="AT7" s="32"/>
      <c r="AU7" s="32">
        <v>1</v>
      </c>
      <c r="AV7" s="30"/>
      <c r="AW7" s="2"/>
      <c r="AX7" s="2" t="s">
        <v>4459</v>
      </c>
      <c r="AZ7" s="2" t="s">
        <v>4452</v>
      </c>
    </row>
    <row r="8" spans="1:52">
      <c r="A8" s="25" t="s">
        <v>4460</v>
      </c>
      <c r="B8" s="25" t="s">
        <v>4398</v>
      </c>
      <c r="C8" s="25" t="s">
        <v>68</v>
      </c>
      <c r="D8" s="25" t="s">
        <v>4450</v>
      </c>
      <c r="E8" s="258" t="s">
        <v>4461</v>
      </c>
      <c r="F8" s="25" t="s">
        <v>4462</v>
      </c>
      <c r="G8" s="25" t="s">
        <v>165</v>
      </c>
      <c r="H8" s="25"/>
      <c r="I8" s="26" t="s">
        <v>4402</v>
      </c>
      <c r="J8" s="26" t="s">
        <v>4403</v>
      </c>
      <c r="K8" s="38" t="s">
        <v>4404</v>
      </c>
      <c r="L8" s="158" t="s">
        <v>4405</v>
      </c>
      <c r="M8" s="25" t="s">
        <v>73</v>
      </c>
      <c r="N8" s="25" t="s">
        <v>4463</v>
      </c>
      <c r="O8" s="26" t="s">
        <v>4464</v>
      </c>
      <c r="P8" t="s">
        <v>4465</v>
      </c>
      <c r="Q8" s="26"/>
      <c r="R8" s="29">
        <v>4</v>
      </c>
      <c r="S8" s="29" t="s">
        <v>4409</v>
      </c>
      <c r="T8" s="29" t="s">
        <v>4466</v>
      </c>
      <c r="U8" s="26" t="s">
        <v>77</v>
      </c>
      <c r="V8" s="30" t="s">
        <v>78</v>
      </c>
      <c r="W8" s="30" t="s">
        <v>79</v>
      </c>
      <c r="X8" s="26" t="s">
        <v>4411</v>
      </c>
      <c r="Y8" s="26" t="s">
        <v>4412</v>
      </c>
      <c r="Z8" s="26" t="s">
        <v>81</v>
      </c>
      <c r="AA8" s="26" t="s">
        <v>81</v>
      </c>
      <c r="AB8" s="25" t="s">
        <v>7</v>
      </c>
      <c r="AC8" s="30" t="s">
        <v>172</v>
      </c>
      <c r="AD8" s="25" t="s">
        <v>172</v>
      </c>
      <c r="AE8" s="25" t="s">
        <v>174</v>
      </c>
      <c r="AF8" s="26" t="s">
        <v>175</v>
      </c>
      <c r="AG8" s="32">
        <f t="shared" si="0"/>
        <v>1</v>
      </c>
      <c r="AH8" s="32">
        <v>1</v>
      </c>
      <c r="AI8" s="32">
        <v>1</v>
      </c>
      <c r="AJ8" s="32">
        <v>1</v>
      </c>
      <c r="AK8" s="30"/>
      <c r="AL8" s="30"/>
      <c r="AM8" s="32">
        <f t="shared" si="1"/>
        <v>1</v>
      </c>
      <c r="AN8" s="26" t="s">
        <v>4467</v>
      </c>
      <c r="AO8" s="32">
        <v>1</v>
      </c>
      <c r="AP8" s="30"/>
      <c r="AQ8" s="30"/>
      <c r="AR8" s="32">
        <f t="shared" si="2"/>
        <v>0</v>
      </c>
      <c r="AS8" s="32"/>
      <c r="AT8" s="32"/>
      <c r="AU8" s="32">
        <v>1</v>
      </c>
      <c r="AV8" s="30"/>
      <c r="AW8" s="2"/>
      <c r="AX8" s="2" t="s">
        <v>4468</v>
      </c>
      <c r="AZ8" s="2" t="s">
        <v>4435</v>
      </c>
    </row>
    <row r="9" spans="1:52">
      <c r="A9" s="25" t="s">
        <v>4469</v>
      </c>
      <c r="B9" s="25" t="s">
        <v>4398</v>
      </c>
      <c r="C9" s="25" t="s">
        <v>68</v>
      </c>
      <c r="D9" s="25" t="s">
        <v>4470</v>
      </c>
      <c r="E9" s="258" t="s">
        <v>4471</v>
      </c>
      <c r="F9" s="25" t="s">
        <v>4472</v>
      </c>
      <c r="G9" s="25" t="s">
        <v>165</v>
      </c>
      <c r="H9" s="25"/>
      <c r="I9" s="26" t="s">
        <v>4402</v>
      </c>
      <c r="J9" s="26" t="s">
        <v>4403</v>
      </c>
      <c r="K9" s="38" t="s">
        <v>4404</v>
      </c>
      <c r="L9" s="158" t="s">
        <v>4405</v>
      </c>
      <c r="M9" s="25" t="s">
        <v>73</v>
      </c>
      <c r="N9" s="25" t="s">
        <v>4473</v>
      </c>
      <c r="O9" s="26" t="s">
        <v>4474</v>
      </c>
      <c r="P9" t="s">
        <v>4475</v>
      </c>
      <c r="Q9" s="26"/>
      <c r="R9" s="29">
        <v>4</v>
      </c>
      <c r="S9" s="29" t="s">
        <v>4409</v>
      </c>
      <c r="T9" s="29" t="s">
        <v>4476</v>
      </c>
      <c r="U9" s="26" t="s">
        <v>77</v>
      </c>
      <c r="V9" s="30" t="s">
        <v>78</v>
      </c>
      <c r="W9" s="30" t="s">
        <v>79</v>
      </c>
      <c r="X9" s="30" t="s">
        <v>4477</v>
      </c>
      <c r="Y9" s="26" t="s">
        <v>4412</v>
      </c>
      <c r="Z9" s="26" t="s">
        <v>81</v>
      </c>
      <c r="AA9" s="26" t="s">
        <v>81</v>
      </c>
      <c r="AB9" s="25" t="s">
        <v>9</v>
      </c>
      <c r="AC9" s="30" t="s">
        <v>172</v>
      </c>
      <c r="AD9" s="25" t="s">
        <v>172</v>
      </c>
      <c r="AE9" s="25" t="s">
        <v>174</v>
      </c>
      <c r="AF9" s="26" t="s">
        <v>175</v>
      </c>
      <c r="AG9" s="32">
        <f t="shared" si="0"/>
        <v>1</v>
      </c>
      <c r="AH9" s="32">
        <v>1</v>
      </c>
      <c r="AI9" s="32">
        <v>1</v>
      </c>
      <c r="AJ9" s="32">
        <v>1</v>
      </c>
      <c r="AK9" s="30"/>
      <c r="AL9" s="30"/>
      <c r="AM9" s="32">
        <f t="shared" si="1"/>
        <v>1</v>
      </c>
      <c r="AN9" s="30"/>
      <c r="AO9" s="32">
        <v>1</v>
      </c>
      <c r="AP9" s="30"/>
      <c r="AQ9" s="30"/>
      <c r="AR9" s="32">
        <v>1</v>
      </c>
      <c r="AS9" s="32">
        <v>1</v>
      </c>
      <c r="AT9" s="32"/>
      <c r="AU9" s="32">
        <v>1</v>
      </c>
      <c r="AV9" s="30"/>
      <c r="AW9" s="2"/>
      <c r="AX9" s="2" t="s">
        <v>4478</v>
      </c>
      <c r="AZ9" s="2" t="s">
        <v>4415</v>
      </c>
    </row>
    <row r="10" spans="1:52" ht="16.5">
      <c r="A10" s="25" t="s">
        <v>4479</v>
      </c>
      <c r="B10" s="25" t="s">
        <v>4398</v>
      </c>
      <c r="C10" s="25" t="s">
        <v>68</v>
      </c>
      <c r="D10" s="25" t="s">
        <v>4480</v>
      </c>
      <c r="E10" s="258" t="s">
        <v>4481</v>
      </c>
      <c r="F10" s="25" t="s">
        <v>4482</v>
      </c>
      <c r="G10" s="25" t="s">
        <v>165</v>
      </c>
      <c r="H10" s="25"/>
      <c r="I10" s="26" t="s">
        <v>4402</v>
      </c>
      <c r="J10" s="26" t="s">
        <v>4403</v>
      </c>
      <c r="K10" s="38" t="s">
        <v>4404</v>
      </c>
      <c r="L10" s="158" t="s">
        <v>4405</v>
      </c>
      <c r="M10" s="25" t="s">
        <v>73</v>
      </c>
      <c r="N10" s="25" t="s">
        <v>4449</v>
      </c>
      <c r="O10" s="26" t="s">
        <v>4483</v>
      </c>
      <c r="P10" t="s">
        <v>4484</v>
      </c>
      <c r="Q10" s="26"/>
      <c r="R10" s="29">
        <v>4</v>
      </c>
      <c r="S10" s="29" t="s">
        <v>4409</v>
      </c>
      <c r="T10" s="29" t="s">
        <v>4485</v>
      </c>
      <c r="U10" s="26" t="s">
        <v>77</v>
      </c>
      <c r="V10" s="30" t="s">
        <v>78</v>
      </c>
      <c r="W10" s="30" t="s">
        <v>79</v>
      </c>
      <c r="X10" s="30" t="s">
        <v>4477</v>
      </c>
      <c r="Y10" s="26" t="s">
        <v>4412</v>
      </c>
      <c r="Z10" s="26" t="s">
        <v>81</v>
      </c>
      <c r="AA10" s="26" t="s">
        <v>81</v>
      </c>
      <c r="AB10" s="25" t="s">
        <v>9</v>
      </c>
      <c r="AC10" s="30" t="s">
        <v>172</v>
      </c>
      <c r="AD10" s="25" t="s">
        <v>172</v>
      </c>
      <c r="AE10" s="25" t="s">
        <v>174</v>
      </c>
      <c r="AF10" s="26" t="s">
        <v>175</v>
      </c>
      <c r="AG10" s="32">
        <f t="shared" si="0"/>
        <v>1</v>
      </c>
      <c r="AH10" s="32">
        <v>1</v>
      </c>
      <c r="AI10" s="32">
        <v>1</v>
      </c>
      <c r="AJ10" s="32">
        <v>1</v>
      </c>
      <c r="AK10" s="30"/>
      <c r="AL10" s="30"/>
      <c r="AM10" s="32">
        <f t="shared" si="1"/>
        <v>1</v>
      </c>
      <c r="AN10" s="30"/>
      <c r="AO10" s="32">
        <v>1</v>
      </c>
      <c r="AP10" s="30"/>
      <c r="AQ10" s="30"/>
      <c r="AR10" s="32">
        <v>1</v>
      </c>
      <c r="AS10" s="32">
        <v>1</v>
      </c>
      <c r="AT10" s="32"/>
      <c r="AU10" s="32">
        <v>1</v>
      </c>
      <c r="AV10" s="30"/>
      <c r="AW10" s="2"/>
      <c r="AX10" s="2" t="s">
        <v>4486</v>
      </c>
      <c r="AZ10" s="75" t="s">
        <v>4487</v>
      </c>
    </row>
    <row r="11" spans="1:52" ht="16.5">
      <c r="A11" s="25" t="s">
        <v>4488</v>
      </c>
      <c r="B11" s="25" t="s">
        <v>4398</v>
      </c>
      <c r="C11" s="25" t="s">
        <v>68</v>
      </c>
      <c r="D11" s="25" t="s">
        <v>4489</v>
      </c>
      <c r="E11" s="258" t="s">
        <v>4490</v>
      </c>
      <c r="F11" s="25" t="s">
        <v>4491</v>
      </c>
      <c r="G11" s="25" t="s">
        <v>165</v>
      </c>
      <c r="H11" s="25"/>
      <c r="I11" s="26" t="s">
        <v>4402</v>
      </c>
      <c r="J11" s="26" t="s">
        <v>4403</v>
      </c>
      <c r="K11" s="38" t="s">
        <v>4404</v>
      </c>
      <c r="L11" s="158" t="s">
        <v>4405</v>
      </c>
      <c r="M11" s="25" t="s">
        <v>73</v>
      </c>
      <c r="N11" s="25" t="s">
        <v>4441</v>
      </c>
      <c r="O11" s="26" t="s">
        <v>4492</v>
      </c>
      <c r="P11" t="s">
        <v>4493</v>
      </c>
      <c r="Q11" s="26"/>
      <c r="R11" s="29">
        <v>4</v>
      </c>
      <c r="S11" s="29" t="s">
        <v>4409</v>
      </c>
      <c r="T11" s="29" t="s">
        <v>4494</v>
      </c>
      <c r="U11" s="26" t="s">
        <v>77</v>
      </c>
      <c r="V11" s="30" t="s">
        <v>78</v>
      </c>
      <c r="W11" s="30" t="s">
        <v>79</v>
      </c>
      <c r="X11" s="30" t="s">
        <v>4477</v>
      </c>
      <c r="Y11" s="26" t="s">
        <v>4412</v>
      </c>
      <c r="Z11" s="26" t="s">
        <v>81</v>
      </c>
      <c r="AA11" s="26" t="s">
        <v>81</v>
      </c>
      <c r="AB11" s="25" t="s">
        <v>9</v>
      </c>
      <c r="AC11" s="30" t="s">
        <v>172</v>
      </c>
      <c r="AD11" s="25" t="s">
        <v>172</v>
      </c>
      <c r="AE11" s="25" t="s">
        <v>174</v>
      </c>
      <c r="AF11" s="26" t="s">
        <v>175</v>
      </c>
      <c r="AG11" s="32">
        <f t="shared" si="0"/>
        <v>1</v>
      </c>
      <c r="AH11" s="32">
        <v>1</v>
      </c>
      <c r="AI11" s="32">
        <v>1</v>
      </c>
      <c r="AJ11" s="32">
        <v>1</v>
      </c>
      <c r="AK11" s="30"/>
      <c r="AL11" s="30"/>
      <c r="AM11" s="32">
        <f t="shared" si="1"/>
        <v>1</v>
      </c>
      <c r="AN11" s="30"/>
      <c r="AO11" s="32">
        <v>1</v>
      </c>
      <c r="AP11" s="30"/>
      <c r="AQ11" s="30"/>
      <c r="AR11" s="32">
        <v>1</v>
      </c>
      <c r="AS11" s="32">
        <v>1</v>
      </c>
      <c r="AT11" s="32"/>
      <c r="AU11" s="32">
        <v>1</v>
      </c>
      <c r="AV11" s="30"/>
      <c r="AW11" s="2"/>
      <c r="AX11" s="2" t="s">
        <v>4495</v>
      </c>
      <c r="AZ11" s="75" t="s">
        <v>4496</v>
      </c>
    </row>
    <row r="12" spans="1:52" ht="16.5">
      <c r="A12" s="25" t="s">
        <v>4497</v>
      </c>
      <c r="B12" s="25" t="s">
        <v>4398</v>
      </c>
      <c r="C12" s="25" t="s">
        <v>68</v>
      </c>
      <c r="D12" s="25" t="s">
        <v>4487</v>
      </c>
      <c r="E12" s="258" t="s">
        <v>4498</v>
      </c>
      <c r="F12" s="25" t="s">
        <v>4499</v>
      </c>
      <c r="G12" s="25" t="s">
        <v>165</v>
      </c>
      <c r="H12" s="25"/>
      <c r="I12" s="26" t="s">
        <v>4402</v>
      </c>
      <c r="J12" s="26" t="s">
        <v>4403</v>
      </c>
      <c r="K12" s="38" t="s">
        <v>4404</v>
      </c>
      <c r="L12" s="158" t="s">
        <v>4405</v>
      </c>
      <c r="M12" s="25" t="s">
        <v>73</v>
      </c>
      <c r="N12" s="25" t="s">
        <v>4500</v>
      </c>
      <c r="O12" s="26" t="s">
        <v>4501</v>
      </c>
      <c r="P12" t="s">
        <v>4502</v>
      </c>
      <c r="Q12" s="26"/>
      <c r="R12" s="29">
        <v>4</v>
      </c>
      <c r="S12" s="29" t="s">
        <v>4409</v>
      </c>
      <c r="T12" s="29" t="s">
        <v>4503</v>
      </c>
      <c r="U12" s="26" t="s">
        <v>77</v>
      </c>
      <c r="V12" s="30" t="s">
        <v>78</v>
      </c>
      <c r="W12" s="30" t="s">
        <v>79</v>
      </c>
      <c r="X12" s="30" t="s">
        <v>4477</v>
      </c>
      <c r="Y12" s="26" t="s">
        <v>4412</v>
      </c>
      <c r="Z12" s="26" t="s">
        <v>81</v>
      </c>
      <c r="AA12" s="26" t="s">
        <v>81</v>
      </c>
      <c r="AB12" s="25" t="s">
        <v>9</v>
      </c>
      <c r="AC12" s="30" t="s">
        <v>172</v>
      </c>
      <c r="AD12" s="25" t="s">
        <v>172</v>
      </c>
      <c r="AE12" s="25" t="s">
        <v>174</v>
      </c>
      <c r="AF12" s="26" t="s">
        <v>175</v>
      </c>
      <c r="AG12" s="32">
        <f t="shared" si="0"/>
        <v>1</v>
      </c>
      <c r="AH12" s="32">
        <v>1</v>
      </c>
      <c r="AI12" s="32">
        <v>1</v>
      </c>
      <c r="AJ12" s="32">
        <v>1</v>
      </c>
      <c r="AK12" s="30"/>
      <c r="AL12" s="30"/>
      <c r="AM12" s="32">
        <f t="shared" si="1"/>
        <v>1</v>
      </c>
      <c r="AN12" s="30"/>
      <c r="AO12" s="32">
        <v>1</v>
      </c>
      <c r="AP12" s="30"/>
      <c r="AQ12" s="30"/>
      <c r="AR12" s="32">
        <v>1</v>
      </c>
      <c r="AS12" s="32">
        <v>1</v>
      </c>
      <c r="AT12" s="32"/>
      <c r="AU12" s="32">
        <v>1</v>
      </c>
      <c r="AV12" s="30"/>
      <c r="AW12" s="2"/>
      <c r="AX12" s="2" t="s">
        <v>4504</v>
      </c>
      <c r="AZ12" s="75" t="s">
        <v>4505</v>
      </c>
    </row>
    <row r="13" spans="1:52" ht="16.5">
      <c r="A13" s="25" t="s">
        <v>4506</v>
      </c>
      <c r="B13" s="25" t="s">
        <v>4398</v>
      </c>
      <c r="C13" s="25" t="s">
        <v>68</v>
      </c>
      <c r="D13" s="25" t="s">
        <v>4507</v>
      </c>
      <c r="E13" s="258" t="s">
        <v>4508</v>
      </c>
      <c r="F13" s="25" t="s">
        <v>4509</v>
      </c>
      <c r="G13" s="25" t="s">
        <v>165</v>
      </c>
      <c r="H13" s="25"/>
      <c r="I13" s="26" t="s">
        <v>4402</v>
      </c>
      <c r="J13" s="26" t="s">
        <v>4403</v>
      </c>
      <c r="K13" s="38" t="s">
        <v>4404</v>
      </c>
      <c r="L13" s="158" t="s">
        <v>4405</v>
      </c>
      <c r="M13" s="25" t="s">
        <v>73</v>
      </c>
      <c r="N13" s="25" t="s">
        <v>4510</v>
      </c>
      <c r="O13" s="26" t="s">
        <v>4511</v>
      </c>
      <c r="P13" t="s">
        <v>4512</v>
      </c>
      <c r="Q13" s="26"/>
      <c r="R13" s="29">
        <v>4</v>
      </c>
      <c r="S13" s="29" t="s">
        <v>4409</v>
      </c>
      <c r="T13" s="29" t="s">
        <v>4513</v>
      </c>
      <c r="U13" s="26" t="s">
        <v>77</v>
      </c>
      <c r="V13" s="30" t="s">
        <v>78</v>
      </c>
      <c r="W13" s="30" t="s">
        <v>79</v>
      </c>
      <c r="X13" s="30" t="s">
        <v>4477</v>
      </c>
      <c r="Y13" s="26" t="s">
        <v>4412</v>
      </c>
      <c r="Z13" s="26" t="s">
        <v>81</v>
      </c>
      <c r="AA13" s="26" t="s">
        <v>81</v>
      </c>
      <c r="AB13" s="25" t="s">
        <v>9</v>
      </c>
      <c r="AC13" s="30" t="s">
        <v>172</v>
      </c>
      <c r="AD13" s="25" t="s">
        <v>172</v>
      </c>
      <c r="AE13" s="25" t="s">
        <v>174</v>
      </c>
      <c r="AF13" s="26" t="s">
        <v>175</v>
      </c>
      <c r="AG13" s="32">
        <f t="shared" si="0"/>
        <v>1</v>
      </c>
      <c r="AH13" s="32">
        <v>1</v>
      </c>
      <c r="AI13" s="32">
        <v>1</v>
      </c>
      <c r="AJ13" s="32">
        <v>1</v>
      </c>
      <c r="AK13" s="30"/>
      <c r="AL13" s="30"/>
      <c r="AM13" s="32">
        <f t="shared" si="1"/>
        <v>1</v>
      </c>
      <c r="AN13" s="30"/>
      <c r="AO13" s="32">
        <v>1</v>
      </c>
      <c r="AP13" s="30"/>
      <c r="AQ13" s="30"/>
      <c r="AR13" s="32">
        <v>1</v>
      </c>
      <c r="AS13" s="32">
        <v>1</v>
      </c>
      <c r="AT13" s="32"/>
      <c r="AU13" s="32">
        <v>1</v>
      </c>
      <c r="AV13" s="30"/>
      <c r="AW13" s="2"/>
      <c r="AX13" s="2" t="s">
        <v>4514</v>
      </c>
      <c r="AZ13" s="75" t="s">
        <v>4507</v>
      </c>
    </row>
    <row r="14" spans="1:52" ht="16.5">
      <c r="A14" s="25" t="s">
        <v>4515</v>
      </c>
      <c r="B14" s="25" t="s">
        <v>4398</v>
      </c>
      <c r="C14" s="25" t="s">
        <v>68</v>
      </c>
      <c r="D14" s="25" t="s">
        <v>4505</v>
      </c>
      <c r="E14" s="258" t="s">
        <v>4516</v>
      </c>
      <c r="F14" s="25" t="s">
        <v>4517</v>
      </c>
      <c r="G14" s="25" t="s">
        <v>165</v>
      </c>
      <c r="H14" s="25"/>
      <c r="I14" s="26" t="s">
        <v>4402</v>
      </c>
      <c r="J14" s="26" t="s">
        <v>4403</v>
      </c>
      <c r="K14" s="38" t="s">
        <v>4404</v>
      </c>
      <c r="L14" s="158" t="s">
        <v>4405</v>
      </c>
      <c r="M14" s="25" t="s">
        <v>73</v>
      </c>
      <c r="N14" s="25" t="s">
        <v>4518</v>
      </c>
      <c r="O14" s="26" t="s">
        <v>4519</v>
      </c>
      <c r="P14" t="s">
        <v>4520</v>
      </c>
      <c r="Q14" s="26"/>
      <c r="R14" s="29">
        <v>4</v>
      </c>
      <c r="S14" s="29" t="s">
        <v>4409</v>
      </c>
      <c r="T14" s="29" t="s">
        <v>4521</v>
      </c>
      <c r="U14" s="26" t="s">
        <v>77</v>
      </c>
      <c r="V14" s="30" t="s">
        <v>78</v>
      </c>
      <c r="W14" s="30" t="s">
        <v>79</v>
      </c>
      <c r="X14" s="30" t="s">
        <v>4477</v>
      </c>
      <c r="Y14" s="26" t="s">
        <v>4412</v>
      </c>
      <c r="Z14" s="26" t="s">
        <v>81</v>
      </c>
      <c r="AA14" s="26" t="s">
        <v>81</v>
      </c>
      <c r="AB14" s="25" t="s">
        <v>9</v>
      </c>
      <c r="AC14" s="30" t="s">
        <v>172</v>
      </c>
      <c r="AD14" s="25" t="s">
        <v>172</v>
      </c>
      <c r="AE14" s="25" t="s">
        <v>174</v>
      </c>
      <c r="AF14" s="26" t="s">
        <v>175</v>
      </c>
      <c r="AG14" s="32">
        <f t="shared" si="0"/>
        <v>1</v>
      </c>
      <c r="AH14" s="32">
        <v>1</v>
      </c>
      <c r="AI14" s="32">
        <v>1</v>
      </c>
      <c r="AJ14" s="32">
        <v>1</v>
      </c>
      <c r="AK14" s="30"/>
      <c r="AL14" s="30"/>
      <c r="AM14" s="32">
        <f t="shared" si="1"/>
        <v>1</v>
      </c>
      <c r="AN14" s="30"/>
      <c r="AO14" s="32">
        <v>1</v>
      </c>
      <c r="AP14" s="30"/>
      <c r="AQ14" s="30"/>
      <c r="AR14" s="32">
        <v>1</v>
      </c>
      <c r="AS14" s="32">
        <v>1</v>
      </c>
      <c r="AT14" s="32"/>
      <c r="AU14" s="32">
        <v>1</v>
      </c>
      <c r="AV14" s="30"/>
      <c r="AW14" s="2"/>
      <c r="AX14" s="2" t="s">
        <v>4522</v>
      </c>
      <c r="AZ14" s="75" t="s">
        <v>4523</v>
      </c>
    </row>
    <row r="15" spans="1:52" ht="16.5">
      <c r="A15" s="25" t="s">
        <v>4524</v>
      </c>
      <c r="B15" s="25" t="s">
        <v>4398</v>
      </c>
      <c r="C15" s="25" t="s">
        <v>68</v>
      </c>
      <c r="D15" s="25" t="s">
        <v>4525</v>
      </c>
      <c r="E15" s="258" t="s">
        <v>4526</v>
      </c>
      <c r="F15" s="25" t="s">
        <v>4527</v>
      </c>
      <c r="G15" s="25" t="s">
        <v>165</v>
      </c>
      <c r="H15" s="25"/>
      <c r="I15" s="26" t="s">
        <v>4402</v>
      </c>
      <c r="J15" s="26" t="s">
        <v>4403</v>
      </c>
      <c r="K15" s="38" t="s">
        <v>4404</v>
      </c>
      <c r="L15" s="158" t="s">
        <v>4405</v>
      </c>
      <c r="M15" s="25" t="s">
        <v>73</v>
      </c>
      <c r="N15" s="25" t="s">
        <v>4528</v>
      </c>
      <c r="O15" s="26" t="s">
        <v>4529</v>
      </c>
      <c r="P15" t="s">
        <v>4530</v>
      </c>
      <c r="Q15" s="26"/>
      <c r="R15" s="29">
        <v>4</v>
      </c>
      <c r="S15" s="29" t="s">
        <v>4409</v>
      </c>
      <c r="T15" s="29" t="s">
        <v>4531</v>
      </c>
      <c r="U15" s="26" t="s">
        <v>77</v>
      </c>
      <c r="V15" s="30" t="s">
        <v>78</v>
      </c>
      <c r="W15" s="30" t="s">
        <v>79</v>
      </c>
      <c r="X15" s="30" t="s">
        <v>4477</v>
      </c>
      <c r="Y15" s="26" t="s">
        <v>4412</v>
      </c>
      <c r="Z15" s="26" t="s">
        <v>81</v>
      </c>
      <c r="AA15" s="26" t="s">
        <v>81</v>
      </c>
      <c r="AB15" s="25" t="s">
        <v>9</v>
      </c>
      <c r="AC15" s="30" t="s">
        <v>172</v>
      </c>
      <c r="AD15" s="25" t="s">
        <v>172</v>
      </c>
      <c r="AE15" s="25" t="s">
        <v>174</v>
      </c>
      <c r="AF15" s="26" t="s">
        <v>175</v>
      </c>
      <c r="AG15" s="32">
        <f t="shared" si="0"/>
        <v>1</v>
      </c>
      <c r="AH15" s="32">
        <v>1</v>
      </c>
      <c r="AI15" s="32">
        <v>1</v>
      </c>
      <c r="AJ15" s="32">
        <v>1</v>
      </c>
      <c r="AK15" s="30"/>
      <c r="AL15" s="30"/>
      <c r="AM15" s="32">
        <f t="shared" si="1"/>
        <v>1</v>
      </c>
      <c r="AN15" s="30"/>
      <c r="AO15" s="32">
        <v>1</v>
      </c>
      <c r="AP15" s="30"/>
      <c r="AQ15" s="30"/>
      <c r="AR15" s="32">
        <v>1</v>
      </c>
      <c r="AS15" s="32">
        <v>1</v>
      </c>
      <c r="AT15" s="32"/>
      <c r="AU15" s="32">
        <v>1</v>
      </c>
      <c r="AV15" s="30"/>
      <c r="AW15" s="2"/>
      <c r="AX15" s="2" t="s">
        <v>4532</v>
      </c>
      <c r="AZ15" s="75" t="s">
        <v>4533</v>
      </c>
    </row>
    <row r="16" spans="1:52" ht="16.5">
      <c r="A16" s="25" t="s">
        <v>4534</v>
      </c>
      <c r="B16" s="25" t="s">
        <v>4398</v>
      </c>
      <c r="C16" s="25" t="s">
        <v>68</v>
      </c>
      <c r="D16" s="25" t="s">
        <v>4535</v>
      </c>
      <c r="E16" s="258" t="s">
        <v>4536</v>
      </c>
      <c r="F16" s="25" t="s">
        <v>4537</v>
      </c>
      <c r="G16" s="25" t="s">
        <v>165</v>
      </c>
      <c r="H16" s="25"/>
      <c r="I16" s="26" t="s">
        <v>4402</v>
      </c>
      <c r="J16" s="26" t="s">
        <v>4403</v>
      </c>
      <c r="K16" s="38" t="s">
        <v>4404</v>
      </c>
      <c r="L16" s="158" t="s">
        <v>4405</v>
      </c>
      <c r="M16" s="25" t="s">
        <v>73</v>
      </c>
      <c r="N16" s="25" t="s">
        <v>4538</v>
      </c>
      <c r="O16" s="26" t="s">
        <v>4539</v>
      </c>
      <c r="P16" t="s">
        <v>4540</v>
      </c>
      <c r="Q16" s="26"/>
      <c r="R16" s="29">
        <v>2</v>
      </c>
      <c r="S16" s="29" t="s">
        <v>4541</v>
      </c>
      <c r="T16" s="29" t="s">
        <v>4542</v>
      </c>
      <c r="U16" s="26" t="s">
        <v>77</v>
      </c>
      <c r="V16" s="30" t="s">
        <v>78</v>
      </c>
      <c r="W16" s="30" t="s">
        <v>79</v>
      </c>
      <c r="X16" s="30" t="s">
        <v>4477</v>
      </c>
      <c r="Y16" s="26" t="s">
        <v>4412</v>
      </c>
      <c r="Z16" s="26" t="s">
        <v>81</v>
      </c>
      <c r="AA16" s="26" t="s">
        <v>81</v>
      </c>
      <c r="AB16" s="25" t="s">
        <v>9</v>
      </c>
      <c r="AC16" s="30" t="s">
        <v>172</v>
      </c>
      <c r="AD16" s="25" t="s">
        <v>172</v>
      </c>
      <c r="AE16" s="25" t="s">
        <v>174</v>
      </c>
      <c r="AF16" s="26" t="s">
        <v>175</v>
      </c>
      <c r="AG16" s="32">
        <f t="shared" si="0"/>
        <v>1</v>
      </c>
      <c r="AH16" s="32">
        <v>1</v>
      </c>
      <c r="AI16" s="32">
        <v>1</v>
      </c>
      <c r="AJ16" s="32">
        <v>1</v>
      </c>
      <c r="AK16" s="30"/>
      <c r="AL16" s="30"/>
      <c r="AM16" s="32">
        <f t="shared" si="1"/>
        <v>1</v>
      </c>
      <c r="AN16" s="30"/>
      <c r="AO16" s="32">
        <v>1</v>
      </c>
      <c r="AP16" s="30"/>
      <c r="AQ16" s="30"/>
      <c r="AR16" s="32">
        <v>1</v>
      </c>
      <c r="AS16" s="32">
        <v>1</v>
      </c>
      <c r="AT16" s="32"/>
      <c r="AU16" s="32">
        <v>1</v>
      </c>
      <c r="AV16" s="30"/>
      <c r="AW16" s="2"/>
      <c r="AX16" s="2" t="s">
        <v>4543</v>
      </c>
      <c r="AZ16" s="75" t="s">
        <v>4544</v>
      </c>
    </row>
    <row r="17" spans="1:52" ht="16.5">
      <c r="A17" s="25" t="s">
        <v>4545</v>
      </c>
      <c r="B17" s="25" t="s">
        <v>4398</v>
      </c>
      <c r="C17" s="25" t="s">
        <v>68</v>
      </c>
      <c r="D17" s="25" t="s">
        <v>4546</v>
      </c>
      <c r="E17" s="258" t="s">
        <v>4547</v>
      </c>
      <c r="F17" s="25" t="s">
        <v>4548</v>
      </c>
      <c r="G17" s="25" t="s">
        <v>165</v>
      </c>
      <c r="H17" s="25"/>
      <c r="I17" s="26" t="s">
        <v>4402</v>
      </c>
      <c r="J17" s="26" t="s">
        <v>4403</v>
      </c>
      <c r="K17" s="38" t="s">
        <v>4404</v>
      </c>
      <c r="L17" s="158" t="s">
        <v>4405</v>
      </c>
      <c r="M17" s="25" t="s">
        <v>73</v>
      </c>
      <c r="N17" s="25" t="s">
        <v>4433</v>
      </c>
      <c r="O17" s="26" t="s">
        <v>4549</v>
      </c>
      <c r="P17" t="s">
        <v>4550</v>
      </c>
      <c r="Q17" s="26"/>
      <c r="R17" s="29">
        <v>4</v>
      </c>
      <c r="S17" s="29" t="s">
        <v>4409</v>
      </c>
      <c r="T17" s="29" t="s">
        <v>4551</v>
      </c>
      <c r="U17" s="26" t="s">
        <v>77</v>
      </c>
      <c r="V17" s="30" t="s">
        <v>78</v>
      </c>
      <c r="W17" s="30" t="s">
        <v>79</v>
      </c>
      <c r="X17" s="30" t="s">
        <v>4477</v>
      </c>
      <c r="Y17" s="26" t="s">
        <v>4412</v>
      </c>
      <c r="Z17" s="26" t="s">
        <v>81</v>
      </c>
      <c r="AA17" s="26" t="s">
        <v>81</v>
      </c>
      <c r="AB17" s="25" t="s">
        <v>9</v>
      </c>
      <c r="AC17" s="30" t="s">
        <v>172</v>
      </c>
      <c r="AD17" s="25" t="s">
        <v>172</v>
      </c>
      <c r="AE17" s="25" t="s">
        <v>174</v>
      </c>
      <c r="AF17" s="26" t="s">
        <v>175</v>
      </c>
      <c r="AG17" s="32">
        <f t="shared" si="0"/>
        <v>1</v>
      </c>
      <c r="AH17" s="32">
        <v>1</v>
      </c>
      <c r="AI17" s="32">
        <v>1</v>
      </c>
      <c r="AJ17" s="32">
        <v>1</v>
      </c>
      <c r="AK17" s="30"/>
      <c r="AL17" s="30"/>
      <c r="AM17" s="32">
        <f t="shared" si="1"/>
        <v>1</v>
      </c>
      <c r="AN17" s="30"/>
      <c r="AO17" s="32">
        <v>1</v>
      </c>
      <c r="AP17" s="30"/>
      <c r="AQ17" s="30"/>
      <c r="AR17" s="32">
        <v>1</v>
      </c>
      <c r="AS17" s="32">
        <v>1</v>
      </c>
      <c r="AT17" s="32"/>
      <c r="AU17" s="32">
        <v>1</v>
      </c>
      <c r="AV17" s="30"/>
      <c r="AW17" s="2"/>
      <c r="AX17" s="2" t="s">
        <v>4552</v>
      </c>
      <c r="AZ17" s="75" t="s">
        <v>4470</v>
      </c>
    </row>
    <row r="18" spans="1:52" ht="16.5">
      <c r="A18" s="25" t="s">
        <v>4553</v>
      </c>
      <c r="B18" s="25" t="s">
        <v>4398</v>
      </c>
      <c r="C18" s="25" t="s">
        <v>68</v>
      </c>
      <c r="D18" s="25" t="s">
        <v>4544</v>
      </c>
      <c r="E18" s="258" t="s">
        <v>4554</v>
      </c>
      <c r="F18" s="25" t="s">
        <v>4555</v>
      </c>
      <c r="G18" s="25" t="s">
        <v>165</v>
      </c>
      <c r="H18" s="25"/>
      <c r="I18" s="26" t="s">
        <v>4402</v>
      </c>
      <c r="J18" s="26" t="s">
        <v>4403</v>
      </c>
      <c r="K18" s="38" t="s">
        <v>4404</v>
      </c>
      <c r="L18" s="158" t="s">
        <v>4405</v>
      </c>
      <c r="M18" s="25" t="s">
        <v>73</v>
      </c>
      <c r="N18" s="25" t="s">
        <v>4556</v>
      </c>
      <c r="O18" s="26" t="s">
        <v>4557</v>
      </c>
      <c r="P18" t="s">
        <v>4558</v>
      </c>
      <c r="Q18" s="26"/>
      <c r="R18" s="29">
        <v>4</v>
      </c>
      <c r="S18" s="29" t="s">
        <v>4409</v>
      </c>
      <c r="T18" s="29" t="s">
        <v>4559</v>
      </c>
      <c r="U18" s="26" t="s">
        <v>77</v>
      </c>
      <c r="V18" s="30" t="s">
        <v>78</v>
      </c>
      <c r="W18" s="30" t="s">
        <v>79</v>
      </c>
      <c r="X18" s="30" t="s">
        <v>4477</v>
      </c>
      <c r="Y18" s="26" t="s">
        <v>4412</v>
      </c>
      <c r="Z18" s="26" t="s">
        <v>81</v>
      </c>
      <c r="AA18" s="26" t="s">
        <v>81</v>
      </c>
      <c r="AB18" s="25" t="s">
        <v>9</v>
      </c>
      <c r="AC18" s="30" t="s">
        <v>172</v>
      </c>
      <c r="AD18" s="25" t="s">
        <v>172</v>
      </c>
      <c r="AE18" s="25" t="s">
        <v>174</v>
      </c>
      <c r="AF18" s="26" t="s">
        <v>175</v>
      </c>
      <c r="AG18" s="32">
        <f t="shared" si="0"/>
        <v>1</v>
      </c>
      <c r="AH18" s="32">
        <v>1</v>
      </c>
      <c r="AI18" s="32">
        <v>1</v>
      </c>
      <c r="AJ18" s="32">
        <v>1</v>
      </c>
      <c r="AK18" s="30"/>
      <c r="AL18" s="30"/>
      <c r="AM18" s="32">
        <f t="shared" si="1"/>
        <v>1</v>
      </c>
      <c r="AN18" s="30"/>
      <c r="AO18" s="32">
        <v>1</v>
      </c>
      <c r="AP18" s="30"/>
      <c r="AQ18" s="30"/>
      <c r="AR18" s="32">
        <v>1</v>
      </c>
      <c r="AS18" s="32">
        <v>1</v>
      </c>
      <c r="AT18" s="32"/>
      <c r="AU18" s="32">
        <v>1</v>
      </c>
      <c r="AV18" s="30"/>
      <c r="AW18" s="2"/>
      <c r="AX18" s="2" t="s">
        <v>4560</v>
      </c>
      <c r="AZ18" s="75" t="s">
        <v>4525</v>
      </c>
    </row>
    <row r="19" spans="1:52" ht="16.5">
      <c r="A19" s="25" t="s">
        <v>4561</v>
      </c>
      <c r="B19" s="25" t="s">
        <v>4398</v>
      </c>
      <c r="C19" s="25" t="s">
        <v>68</v>
      </c>
      <c r="D19" s="25" t="s">
        <v>4533</v>
      </c>
      <c r="E19" s="258" t="s">
        <v>4562</v>
      </c>
      <c r="F19" s="25" t="s">
        <v>4563</v>
      </c>
      <c r="G19" s="25" t="s">
        <v>165</v>
      </c>
      <c r="H19" s="25"/>
      <c r="I19" s="26" t="s">
        <v>4402</v>
      </c>
      <c r="J19" s="26" t="s">
        <v>4403</v>
      </c>
      <c r="K19" s="38" t="s">
        <v>4404</v>
      </c>
      <c r="L19" s="158" t="s">
        <v>4405</v>
      </c>
      <c r="M19" s="25" t="s">
        <v>73</v>
      </c>
      <c r="N19" s="25" t="s">
        <v>4564</v>
      </c>
      <c r="O19" s="26" t="s">
        <v>4565</v>
      </c>
      <c r="P19" t="s">
        <v>4566</v>
      </c>
      <c r="Q19" s="26"/>
      <c r="R19" s="29">
        <v>4</v>
      </c>
      <c r="S19" s="29" t="s">
        <v>4409</v>
      </c>
      <c r="T19" s="29" t="s">
        <v>4567</v>
      </c>
      <c r="U19" s="26" t="s">
        <v>77</v>
      </c>
      <c r="V19" s="30" t="s">
        <v>78</v>
      </c>
      <c r="W19" s="30" t="s">
        <v>79</v>
      </c>
      <c r="X19" s="30" t="s">
        <v>4477</v>
      </c>
      <c r="Y19" s="26" t="s">
        <v>4412</v>
      </c>
      <c r="Z19" s="26" t="s">
        <v>81</v>
      </c>
      <c r="AA19" s="26" t="s">
        <v>81</v>
      </c>
      <c r="AB19" s="25" t="s">
        <v>9</v>
      </c>
      <c r="AC19" s="30" t="s">
        <v>172</v>
      </c>
      <c r="AD19" s="25" t="s">
        <v>172</v>
      </c>
      <c r="AE19" s="25" t="s">
        <v>174</v>
      </c>
      <c r="AF19" s="26" t="s">
        <v>175</v>
      </c>
      <c r="AG19" s="32">
        <f t="shared" si="0"/>
        <v>1</v>
      </c>
      <c r="AH19" s="32">
        <v>1</v>
      </c>
      <c r="AI19" s="32">
        <v>1</v>
      </c>
      <c r="AJ19" s="32">
        <v>1</v>
      </c>
      <c r="AK19" s="30"/>
      <c r="AL19" s="30"/>
      <c r="AM19" s="32">
        <f t="shared" si="1"/>
        <v>1</v>
      </c>
      <c r="AN19" s="30"/>
      <c r="AO19" s="32">
        <v>1</v>
      </c>
      <c r="AP19" s="30"/>
      <c r="AQ19" s="30"/>
      <c r="AR19" s="32">
        <v>1</v>
      </c>
      <c r="AS19" s="32">
        <v>1</v>
      </c>
      <c r="AT19" s="32"/>
      <c r="AU19" s="32">
        <v>1</v>
      </c>
      <c r="AV19" s="30"/>
      <c r="AW19" s="2"/>
      <c r="AX19" s="2" t="s">
        <v>4568</v>
      </c>
      <c r="AZ19" s="75" t="s">
        <v>4546</v>
      </c>
    </row>
    <row r="20" spans="1:52" ht="16.5">
      <c r="A20" s="25" t="s">
        <v>4569</v>
      </c>
      <c r="B20" s="25" t="s">
        <v>4398</v>
      </c>
      <c r="C20" s="25" t="s">
        <v>68</v>
      </c>
      <c r="D20" s="25" t="s">
        <v>4570</v>
      </c>
      <c r="E20" s="258" t="s">
        <v>4571</v>
      </c>
      <c r="F20" s="25" t="s">
        <v>4572</v>
      </c>
      <c r="G20" s="25" t="s">
        <v>165</v>
      </c>
      <c r="H20" s="25"/>
      <c r="I20" s="26" t="s">
        <v>4402</v>
      </c>
      <c r="J20" s="26" t="s">
        <v>4403</v>
      </c>
      <c r="K20" s="38" t="s">
        <v>4404</v>
      </c>
      <c r="L20" s="158" t="s">
        <v>4405</v>
      </c>
      <c r="M20" s="25" t="s">
        <v>73</v>
      </c>
      <c r="N20" s="25" t="s">
        <v>4573</v>
      </c>
      <c r="O20" s="26" t="s">
        <v>4574</v>
      </c>
      <c r="P20" t="s">
        <v>4575</v>
      </c>
      <c r="Q20" s="26"/>
      <c r="R20" s="29">
        <v>4</v>
      </c>
      <c r="S20" s="29" t="s">
        <v>4409</v>
      </c>
      <c r="T20" s="29" t="s">
        <v>4576</v>
      </c>
      <c r="U20" s="26" t="s">
        <v>77</v>
      </c>
      <c r="V20" s="30" t="s">
        <v>78</v>
      </c>
      <c r="W20" s="30" t="s">
        <v>79</v>
      </c>
      <c r="X20" s="30" t="s">
        <v>4477</v>
      </c>
      <c r="Y20" s="26" t="s">
        <v>4412</v>
      </c>
      <c r="Z20" s="26" t="s">
        <v>81</v>
      </c>
      <c r="AA20" s="26" t="s">
        <v>81</v>
      </c>
      <c r="AB20" s="25" t="s">
        <v>9</v>
      </c>
      <c r="AC20" s="30" t="s">
        <v>172</v>
      </c>
      <c r="AD20" s="25" t="s">
        <v>172</v>
      </c>
      <c r="AE20" s="25" t="s">
        <v>174</v>
      </c>
      <c r="AF20" s="26" t="s">
        <v>175</v>
      </c>
      <c r="AG20" s="32">
        <f t="shared" si="0"/>
        <v>1</v>
      </c>
      <c r="AH20" s="32">
        <v>1</v>
      </c>
      <c r="AI20" s="32">
        <v>1</v>
      </c>
      <c r="AJ20" s="32">
        <v>1</v>
      </c>
      <c r="AK20" s="30"/>
      <c r="AL20" s="30"/>
      <c r="AM20" s="32">
        <f t="shared" si="1"/>
        <v>1</v>
      </c>
      <c r="AN20" s="30"/>
      <c r="AO20" s="32">
        <v>1</v>
      </c>
      <c r="AP20" s="30"/>
      <c r="AQ20" s="30"/>
      <c r="AR20" s="32">
        <v>1</v>
      </c>
      <c r="AS20" s="32">
        <v>1</v>
      </c>
      <c r="AT20" s="32"/>
      <c r="AU20" s="32">
        <v>1</v>
      </c>
      <c r="AV20" s="30"/>
      <c r="AW20" s="2"/>
      <c r="AX20" s="2" t="s">
        <v>4577</v>
      </c>
      <c r="AZ20" s="75" t="s">
        <v>4535</v>
      </c>
    </row>
    <row r="21" spans="1:52" ht="16.5">
      <c r="A21" s="25" t="s">
        <v>4578</v>
      </c>
      <c r="B21" s="25" t="s">
        <v>4398</v>
      </c>
      <c r="C21" s="25" t="s">
        <v>73</v>
      </c>
      <c r="D21" s="25" t="s">
        <v>4579</v>
      </c>
      <c r="E21" s="258" t="s">
        <v>4580</v>
      </c>
      <c r="F21" s="25" t="s">
        <v>4581</v>
      </c>
      <c r="G21" s="25" t="s">
        <v>165</v>
      </c>
      <c r="H21" s="25"/>
      <c r="I21" s="26" t="s">
        <v>4402</v>
      </c>
      <c r="J21" s="26" t="s">
        <v>4582</v>
      </c>
      <c r="K21" s="38" t="s">
        <v>4404</v>
      </c>
      <c r="L21" s="158" t="s">
        <v>4405</v>
      </c>
      <c r="M21" s="25" t="s">
        <v>73</v>
      </c>
      <c r="N21" s="25" t="s">
        <v>4459</v>
      </c>
      <c r="O21" s="26" t="s">
        <v>4583</v>
      </c>
      <c r="P21" t="s">
        <v>4584</v>
      </c>
      <c r="Q21" s="26"/>
      <c r="R21" s="32">
        <v>4</v>
      </c>
      <c r="S21" s="25" t="s">
        <v>4585</v>
      </c>
      <c r="T21" s="32" t="s">
        <v>4586</v>
      </c>
      <c r="U21" s="26" t="s">
        <v>77</v>
      </c>
      <c r="V21" s="30" t="s">
        <v>78</v>
      </c>
      <c r="W21" s="30" t="s">
        <v>79</v>
      </c>
      <c r="X21" s="30" t="s">
        <v>4477</v>
      </c>
      <c r="Y21" s="26" t="s">
        <v>4412</v>
      </c>
      <c r="Z21" s="26" t="s">
        <v>81</v>
      </c>
      <c r="AA21" s="26" t="s">
        <v>81</v>
      </c>
      <c r="AB21" s="25" t="s">
        <v>9</v>
      </c>
      <c r="AC21" s="30" t="s">
        <v>172</v>
      </c>
      <c r="AD21" s="25" t="s">
        <v>4423</v>
      </c>
      <c r="AE21" s="25" t="s">
        <v>174</v>
      </c>
      <c r="AF21" s="26" t="s">
        <v>175</v>
      </c>
      <c r="AG21" s="32">
        <f t="shared" si="0"/>
        <v>1</v>
      </c>
      <c r="AH21" s="32">
        <v>1</v>
      </c>
      <c r="AI21" s="32">
        <v>1</v>
      </c>
      <c r="AJ21" s="32">
        <v>1</v>
      </c>
      <c r="AK21" s="30"/>
      <c r="AL21" s="30"/>
      <c r="AM21" s="32">
        <f t="shared" si="1"/>
        <v>1</v>
      </c>
      <c r="AN21" s="30"/>
      <c r="AO21" s="32">
        <v>1</v>
      </c>
      <c r="AP21" s="30"/>
      <c r="AQ21" s="30"/>
      <c r="AR21" s="32">
        <v>1</v>
      </c>
      <c r="AS21" s="32">
        <v>1</v>
      </c>
      <c r="AT21" s="32"/>
      <c r="AU21" s="32">
        <v>1</v>
      </c>
      <c r="AV21" s="30"/>
      <c r="AW21" s="2"/>
      <c r="AX21" s="2" t="s">
        <v>4587</v>
      </c>
      <c r="AZ21" s="75" t="s">
        <v>4570</v>
      </c>
    </row>
    <row r="22" spans="1:52" ht="16.5">
      <c r="A22" s="25" t="s">
        <v>4588</v>
      </c>
      <c r="B22" s="25" t="s">
        <v>4398</v>
      </c>
      <c r="C22" s="25" t="s">
        <v>68</v>
      </c>
      <c r="D22" s="25" t="s">
        <v>4589</v>
      </c>
      <c r="E22" s="258" t="s">
        <v>4590</v>
      </c>
      <c r="F22" s="25" t="s">
        <v>4591</v>
      </c>
      <c r="G22" s="25" t="s">
        <v>165</v>
      </c>
      <c r="H22" s="25"/>
      <c r="I22" s="26" t="s">
        <v>4402</v>
      </c>
      <c r="J22" s="26" t="s">
        <v>4582</v>
      </c>
      <c r="K22" s="38" t="s">
        <v>4404</v>
      </c>
      <c r="L22" s="158" t="s">
        <v>4405</v>
      </c>
      <c r="M22" s="25" t="s">
        <v>73</v>
      </c>
      <c r="N22" s="25" t="s">
        <v>4592</v>
      </c>
      <c r="O22" s="26" t="s">
        <v>4593</v>
      </c>
      <c r="P22" t="s">
        <v>4594</v>
      </c>
      <c r="Q22" s="26"/>
      <c r="R22" s="29">
        <v>4</v>
      </c>
      <c r="S22" s="29" t="s">
        <v>4409</v>
      </c>
      <c r="T22" s="29" t="s">
        <v>4595</v>
      </c>
      <c r="U22" s="26" t="s">
        <v>77</v>
      </c>
      <c r="V22" s="30" t="s">
        <v>78</v>
      </c>
      <c r="W22" s="30" t="s">
        <v>79</v>
      </c>
      <c r="X22" s="30" t="s">
        <v>4477</v>
      </c>
      <c r="Y22" s="26" t="s">
        <v>4412</v>
      </c>
      <c r="Z22" s="26" t="s">
        <v>81</v>
      </c>
      <c r="AA22" s="26" t="s">
        <v>81</v>
      </c>
      <c r="AB22" s="25" t="s">
        <v>9</v>
      </c>
      <c r="AC22" s="30" t="s">
        <v>172</v>
      </c>
      <c r="AD22" s="25" t="s">
        <v>172</v>
      </c>
      <c r="AE22" s="25" t="s">
        <v>174</v>
      </c>
      <c r="AF22" s="26" t="s">
        <v>175</v>
      </c>
      <c r="AG22" s="32">
        <f t="shared" si="0"/>
        <v>1</v>
      </c>
      <c r="AH22" s="32">
        <v>1</v>
      </c>
      <c r="AI22" s="32">
        <v>1</v>
      </c>
      <c r="AJ22" s="32">
        <v>1</v>
      </c>
      <c r="AK22" s="30"/>
      <c r="AL22" s="30"/>
      <c r="AM22" s="32">
        <f t="shared" si="1"/>
        <v>1</v>
      </c>
      <c r="AN22" s="30"/>
      <c r="AO22" s="32">
        <v>1</v>
      </c>
      <c r="AP22" s="30"/>
      <c r="AQ22" s="30"/>
      <c r="AR22" s="32">
        <v>1</v>
      </c>
      <c r="AS22" s="32">
        <v>1</v>
      </c>
      <c r="AT22" s="32"/>
      <c r="AU22" s="32">
        <v>1</v>
      </c>
      <c r="AV22" s="30"/>
      <c r="AW22" s="2"/>
      <c r="AX22" s="2" t="s">
        <v>4596</v>
      </c>
      <c r="AZ22" s="75" t="s">
        <v>4489</v>
      </c>
    </row>
    <row r="23" spans="1:52" ht="16.5">
      <c r="A23" s="25" t="s">
        <v>4597</v>
      </c>
      <c r="B23" s="25" t="s">
        <v>4398</v>
      </c>
      <c r="C23" s="25" t="s">
        <v>68</v>
      </c>
      <c r="D23" s="25" t="s">
        <v>4598</v>
      </c>
      <c r="E23" s="258" t="s">
        <v>4599</v>
      </c>
      <c r="F23" s="25" t="s">
        <v>4600</v>
      </c>
      <c r="G23" s="25" t="s">
        <v>165</v>
      </c>
      <c r="H23" s="25"/>
      <c r="I23" s="26" t="s">
        <v>4402</v>
      </c>
      <c r="J23" s="26" t="s">
        <v>4582</v>
      </c>
      <c r="K23" s="38" t="s">
        <v>4404</v>
      </c>
      <c r="L23" s="158" t="s">
        <v>4405</v>
      </c>
      <c r="M23" s="25" t="s">
        <v>73</v>
      </c>
      <c r="N23" s="25" t="s">
        <v>4601</v>
      </c>
      <c r="O23" s="26" t="s">
        <v>4602</v>
      </c>
      <c r="P23" t="s">
        <v>4603</v>
      </c>
      <c r="Q23" s="26"/>
      <c r="R23" s="29">
        <v>4</v>
      </c>
      <c r="S23" s="29" t="s">
        <v>4409</v>
      </c>
      <c r="T23" s="29" t="s">
        <v>4604</v>
      </c>
      <c r="U23" s="26" t="s">
        <v>77</v>
      </c>
      <c r="V23" s="30" t="s">
        <v>78</v>
      </c>
      <c r="W23" s="30" t="s">
        <v>79</v>
      </c>
      <c r="X23" s="30" t="s">
        <v>4477</v>
      </c>
      <c r="Y23" s="26" t="s">
        <v>4412</v>
      </c>
      <c r="Z23" s="26" t="s">
        <v>81</v>
      </c>
      <c r="AA23" s="26" t="s">
        <v>81</v>
      </c>
      <c r="AB23" s="25" t="s">
        <v>9</v>
      </c>
      <c r="AC23" s="30" t="s">
        <v>172</v>
      </c>
      <c r="AD23" s="25" t="s">
        <v>172</v>
      </c>
      <c r="AE23" s="25" t="s">
        <v>174</v>
      </c>
      <c r="AF23" s="26" t="s">
        <v>175</v>
      </c>
      <c r="AG23" s="32">
        <f t="shared" si="0"/>
        <v>1</v>
      </c>
      <c r="AH23" s="32">
        <v>1</v>
      </c>
      <c r="AI23" s="32">
        <v>1</v>
      </c>
      <c r="AJ23" s="32">
        <v>1</v>
      </c>
      <c r="AK23" s="30"/>
      <c r="AL23" s="30"/>
      <c r="AM23" s="32">
        <f t="shared" si="1"/>
        <v>1</v>
      </c>
      <c r="AN23" s="30"/>
      <c r="AO23" s="32">
        <v>1</v>
      </c>
      <c r="AP23" s="30"/>
      <c r="AQ23" s="30"/>
      <c r="AR23" s="32">
        <v>1</v>
      </c>
      <c r="AS23" s="32">
        <v>1</v>
      </c>
      <c r="AT23" s="32"/>
      <c r="AU23" s="32">
        <v>1</v>
      </c>
      <c r="AV23" s="30"/>
      <c r="AW23" s="2"/>
      <c r="AX23" s="2" t="s">
        <v>4605</v>
      </c>
      <c r="AZ23" s="75" t="s">
        <v>4480</v>
      </c>
    </row>
    <row r="24" spans="1:52" ht="16.5">
      <c r="A24" s="25" t="s">
        <v>4606</v>
      </c>
      <c r="B24" s="25" t="s">
        <v>4398</v>
      </c>
      <c r="C24" s="25" t="s">
        <v>68</v>
      </c>
      <c r="D24" s="25" t="s">
        <v>4496</v>
      </c>
      <c r="E24" s="258" t="s">
        <v>4607</v>
      </c>
      <c r="F24" s="25" t="s">
        <v>4608</v>
      </c>
      <c r="G24" s="25" t="s">
        <v>165</v>
      </c>
      <c r="H24" s="25"/>
      <c r="I24" s="26" t="s">
        <v>4402</v>
      </c>
      <c r="J24" s="26" t="s">
        <v>4609</v>
      </c>
      <c r="K24" s="38" t="s">
        <v>4404</v>
      </c>
      <c r="L24" s="158" t="s">
        <v>4405</v>
      </c>
      <c r="M24" s="25" t="s">
        <v>73</v>
      </c>
      <c r="N24" s="25" t="s">
        <v>4610</v>
      </c>
      <c r="O24" s="26" t="s">
        <v>4611</v>
      </c>
      <c r="P24" t="s">
        <v>4612</v>
      </c>
      <c r="Q24" s="26"/>
      <c r="R24" s="29">
        <v>4</v>
      </c>
      <c r="S24" s="29" t="s">
        <v>4409</v>
      </c>
      <c r="T24" s="29" t="s">
        <v>4613</v>
      </c>
      <c r="U24" s="26" t="s">
        <v>77</v>
      </c>
      <c r="V24" s="30" t="s">
        <v>78</v>
      </c>
      <c r="W24" s="30" t="s">
        <v>79</v>
      </c>
      <c r="X24" s="30" t="s">
        <v>4477</v>
      </c>
      <c r="Y24" s="26" t="s">
        <v>4412</v>
      </c>
      <c r="Z24" s="26" t="s">
        <v>81</v>
      </c>
      <c r="AA24" s="26" t="s">
        <v>81</v>
      </c>
      <c r="AB24" s="25" t="s">
        <v>9</v>
      </c>
      <c r="AC24" s="30" t="s">
        <v>172</v>
      </c>
      <c r="AD24" s="25" t="s">
        <v>172</v>
      </c>
      <c r="AE24" s="25" t="s">
        <v>174</v>
      </c>
      <c r="AF24" s="26" t="s">
        <v>175</v>
      </c>
      <c r="AG24" s="32">
        <f t="shared" si="0"/>
        <v>1</v>
      </c>
      <c r="AH24" s="32">
        <v>1</v>
      </c>
      <c r="AI24" s="32">
        <v>1</v>
      </c>
      <c r="AJ24" s="32">
        <v>1</v>
      </c>
      <c r="AK24" s="30"/>
      <c r="AL24" s="30"/>
      <c r="AM24" s="32">
        <f t="shared" si="1"/>
        <v>1</v>
      </c>
      <c r="AN24" s="30"/>
      <c r="AO24" s="32">
        <v>1</v>
      </c>
      <c r="AP24" s="30"/>
      <c r="AQ24" s="30"/>
      <c r="AR24" s="32">
        <v>1</v>
      </c>
      <c r="AS24" s="32">
        <v>1</v>
      </c>
      <c r="AT24" s="32"/>
      <c r="AU24" s="32">
        <v>1</v>
      </c>
      <c r="AV24" s="30"/>
      <c r="AW24" s="2"/>
      <c r="AX24" s="2" t="s">
        <v>4614</v>
      </c>
      <c r="AZ24" s="75" t="s">
        <v>4598</v>
      </c>
    </row>
    <row r="25" spans="1:52" ht="16.5">
      <c r="A25" s="25" t="s">
        <v>4615</v>
      </c>
      <c r="B25" s="25" t="s">
        <v>4398</v>
      </c>
      <c r="C25" s="25" t="s">
        <v>68</v>
      </c>
      <c r="D25" s="25" t="s">
        <v>4616</v>
      </c>
      <c r="E25" s="258" t="s">
        <v>4617</v>
      </c>
      <c r="F25" s="25" t="s">
        <v>4618</v>
      </c>
      <c r="G25" s="25" t="s">
        <v>165</v>
      </c>
      <c r="H25" s="25"/>
      <c r="I25" s="26" t="s">
        <v>4402</v>
      </c>
      <c r="J25" s="26" t="s">
        <v>4609</v>
      </c>
      <c r="K25" s="38" t="s">
        <v>4404</v>
      </c>
      <c r="L25" s="158" t="s">
        <v>4405</v>
      </c>
      <c r="M25" s="25" t="s">
        <v>73</v>
      </c>
      <c r="N25" s="25" t="s">
        <v>4619</v>
      </c>
      <c r="O25" s="26" t="s">
        <v>4620</v>
      </c>
      <c r="P25" t="s">
        <v>4621</v>
      </c>
      <c r="Q25" s="26"/>
      <c r="R25" s="29">
        <v>4</v>
      </c>
      <c r="S25" s="29" t="s">
        <v>4409</v>
      </c>
      <c r="T25" s="29" t="s">
        <v>4622</v>
      </c>
      <c r="U25" s="26" t="s">
        <v>77</v>
      </c>
      <c r="V25" s="30" t="s">
        <v>78</v>
      </c>
      <c r="W25" s="30" t="s">
        <v>79</v>
      </c>
      <c r="X25" s="30" t="s">
        <v>4477</v>
      </c>
      <c r="Y25" s="26" t="s">
        <v>4412</v>
      </c>
      <c r="Z25" s="26" t="s">
        <v>81</v>
      </c>
      <c r="AA25" s="26" t="s">
        <v>81</v>
      </c>
      <c r="AB25" s="25" t="s">
        <v>9</v>
      </c>
      <c r="AC25" s="30" t="s">
        <v>172</v>
      </c>
      <c r="AD25" s="25" t="s">
        <v>172</v>
      </c>
      <c r="AE25" s="25" t="s">
        <v>174</v>
      </c>
      <c r="AF25" s="26" t="s">
        <v>175</v>
      </c>
      <c r="AG25" s="32">
        <f t="shared" si="0"/>
        <v>1</v>
      </c>
      <c r="AH25" s="32">
        <v>1</v>
      </c>
      <c r="AI25" s="32">
        <v>1</v>
      </c>
      <c r="AJ25" s="32">
        <v>1</v>
      </c>
      <c r="AK25" s="30"/>
      <c r="AL25" s="30"/>
      <c r="AM25" s="32">
        <f t="shared" si="1"/>
        <v>1</v>
      </c>
      <c r="AN25" s="30"/>
      <c r="AO25" s="32">
        <v>1</v>
      </c>
      <c r="AP25" s="30"/>
      <c r="AQ25" s="30"/>
      <c r="AR25" s="32">
        <v>1</v>
      </c>
      <c r="AS25" s="32">
        <v>1</v>
      </c>
      <c r="AT25" s="32"/>
      <c r="AU25" s="32">
        <v>1</v>
      </c>
      <c r="AV25" s="30"/>
      <c r="AW25" s="2"/>
      <c r="AX25" s="2" t="s">
        <v>4623</v>
      </c>
      <c r="AZ25" s="75" t="s">
        <v>4616</v>
      </c>
    </row>
    <row r="26" spans="1:52" ht="16.5">
      <c r="A26" s="25" t="s">
        <v>4624</v>
      </c>
      <c r="B26" s="25" t="s">
        <v>4398</v>
      </c>
      <c r="C26" s="25" t="s">
        <v>68</v>
      </c>
      <c r="D26" s="25" t="s">
        <v>4523</v>
      </c>
      <c r="E26" s="258" t="s">
        <v>4625</v>
      </c>
      <c r="F26" s="25" t="s">
        <v>4626</v>
      </c>
      <c r="G26" s="25" t="s">
        <v>165</v>
      </c>
      <c r="H26" s="25"/>
      <c r="I26" s="26" t="s">
        <v>4402</v>
      </c>
      <c r="J26" s="26" t="s">
        <v>4609</v>
      </c>
      <c r="K26" s="38" t="s">
        <v>4404</v>
      </c>
      <c r="L26" s="158" t="s">
        <v>4405</v>
      </c>
      <c r="M26" s="25" t="s">
        <v>73</v>
      </c>
      <c r="N26" s="25" t="s">
        <v>4424</v>
      </c>
      <c r="O26" s="26" t="s">
        <v>4627</v>
      </c>
      <c r="P26" t="s">
        <v>4628</v>
      </c>
      <c r="Q26" s="26"/>
      <c r="R26" s="29">
        <v>4</v>
      </c>
      <c r="S26" s="29" t="s">
        <v>4409</v>
      </c>
      <c r="T26" s="29" t="s">
        <v>4629</v>
      </c>
      <c r="U26" s="26" t="s">
        <v>77</v>
      </c>
      <c r="V26" s="30" t="s">
        <v>78</v>
      </c>
      <c r="W26" s="30" t="s">
        <v>79</v>
      </c>
      <c r="X26" s="30" t="s">
        <v>4477</v>
      </c>
      <c r="Y26" s="26" t="s">
        <v>4412</v>
      </c>
      <c r="Z26" s="26" t="s">
        <v>81</v>
      </c>
      <c r="AA26" s="26" t="s">
        <v>81</v>
      </c>
      <c r="AB26" s="25" t="s">
        <v>9</v>
      </c>
      <c r="AC26" s="30" t="s">
        <v>172</v>
      </c>
      <c r="AD26" s="25" t="s">
        <v>172</v>
      </c>
      <c r="AE26" s="25" t="s">
        <v>174</v>
      </c>
      <c r="AF26" s="26" t="s">
        <v>175</v>
      </c>
      <c r="AG26" s="32">
        <f t="shared" si="0"/>
        <v>1</v>
      </c>
      <c r="AH26" s="32">
        <v>1</v>
      </c>
      <c r="AI26" s="32">
        <v>1</v>
      </c>
      <c r="AJ26" s="32">
        <v>1</v>
      </c>
      <c r="AK26" s="30"/>
      <c r="AL26" s="30"/>
      <c r="AM26" s="32">
        <f t="shared" si="1"/>
        <v>1</v>
      </c>
      <c r="AN26" s="30"/>
      <c r="AO26" s="32">
        <v>1</v>
      </c>
      <c r="AP26" s="30"/>
      <c r="AQ26" s="30"/>
      <c r="AR26" s="32">
        <v>1</v>
      </c>
      <c r="AS26" s="32">
        <v>1</v>
      </c>
      <c r="AT26" s="32"/>
      <c r="AU26" s="32">
        <v>1</v>
      </c>
      <c r="AV26" s="30"/>
      <c r="AW26" s="2"/>
      <c r="AX26" s="2" t="s">
        <v>4630</v>
      </c>
      <c r="AZ26" s="75" t="s">
        <v>4589</v>
      </c>
    </row>
    <row r="27" spans="1:52" ht="16.5">
      <c r="A27" s="25" t="s">
        <v>4631</v>
      </c>
      <c r="B27" s="25" t="s">
        <v>4398</v>
      </c>
      <c r="C27" s="25" t="s">
        <v>68</v>
      </c>
      <c r="D27" s="25" t="s">
        <v>4632</v>
      </c>
      <c r="E27" s="258" t="s">
        <v>4633</v>
      </c>
      <c r="F27" s="25" t="s">
        <v>4634</v>
      </c>
      <c r="G27" s="25" t="s">
        <v>165</v>
      </c>
      <c r="H27" s="25"/>
      <c r="I27" s="26" t="s">
        <v>4402</v>
      </c>
      <c r="J27" s="26" t="s">
        <v>4609</v>
      </c>
      <c r="K27" s="38" t="s">
        <v>4404</v>
      </c>
      <c r="L27" s="158" t="s">
        <v>4405</v>
      </c>
      <c r="M27" s="25" t="s">
        <v>73</v>
      </c>
      <c r="N27" s="25" t="s">
        <v>4635</v>
      </c>
      <c r="O27" s="26" t="s">
        <v>4636</v>
      </c>
      <c r="P27" t="s">
        <v>4637</v>
      </c>
      <c r="Q27" s="26"/>
      <c r="R27" s="29">
        <v>4</v>
      </c>
      <c r="S27" s="29" t="s">
        <v>4409</v>
      </c>
      <c r="T27" s="29" t="s">
        <v>4638</v>
      </c>
      <c r="U27" s="26" t="s">
        <v>77</v>
      </c>
      <c r="V27" s="30" t="s">
        <v>78</v>
      </c>
      <c r="W27" s="30" t="s">
        <v>79</v>
      </c>
      <c r="X27" s="26" t="s">
        <v>4639</v>
      </c>
      <c r="Y27" s="26" t="s">
        <v>4412</v>
      </c>
      <c r="Z27" s="26" t="s">
        <v>81</v>
      </c>
      <c r="AA27" s="26" t="s">
        <v>81</v>
      </c>
      <c r="AB27" s="25" t="s">
        <v>11</v>
      </c>
      <c r="AC27" s="30" t="s">
        <v>172</v>
      </c>
      <c r="AD27" s="25" t="s">
        <v>172</v>
      </c>
      <c r="AE27" s="25" t="s">
        <v>174</v>
      </c>
      <c r="AF27" s="26" t="s">
        <v>175</v>
      </c>
      <c r="AG27" s="32">
        <f t="shared" si="0"/>
        <v>1</v>
      </c>
      <c r="AH27" s="32">
        <v>1</v>
      </c>
      <c r="AI27" s="32">
        <v>1</v>
      </c>
      <c r="AJ27" s="32">
        <v>1</v>
      </c>
      <c r="AK27" s="30"/>
      <c r="AL27" s="30"/>
      <c r="AM27" s="32">
        <f t="shared" si="1"/>
        <v>1</v>
      </c>
      <c r="AN27" s="266" t="s">
        <v>4640</v>
      </c>
      <c r="AO27" s="267"/>
      <c r="AP27" s="268"/>
      <c r="AQ27" s="30"/>
      <c r="AR27" s="32">
        <f t="shared" si="2"/>
        <v>0</v>
      </c>
      <c r="AS27" s="32"/>
      <c r="AT27" s="32"/>
      <c r="AU27" s="34" t="s">
        <v>4641</v>
      </c>
      <c r="AV27" s="30"/>
      <c r="AW27" s="159" t="s">
        <v>4641</v>
      </c>
      <c r="AX27" s="2" t="s">
        <v>4642</v>
      </c>
      <c r="AZ27" s="75" t="s">
        <v>4579</v>
      </c>
    </row>
    <row r="28" spans="1:52" ht="16.5">
      <c r="A28" s="25" t="s">
        <v>4643</v>
      </c>
      <c r="B28" s="25" t="s">
        <v>4398</v>
      </c>
      <c r="C28" s="25" t="s">
        <v>68</v>
      </c>
      <c r="D28" s="25" t="s">
        <v>4644</v>
      </c>
      <c r="E28" s="258" t="s">
        <v>4645</v>
      </c>
      <c r="F28" s="25" t="s">
        <v>4646</v>
      </c>
      <c r="G28" s="25" t="s">
        <v>165</v>
      </c>
      <c r="H28" s="25"/>
      <c r="I28" s="26" t="s">
        <v>4402</v>
      </c>
      <c r="J28" s="26" t="s">
        <v>4609</v>
      </c>
      <c r="K28" s="38" t="s">
        <v>4404</v>
      </c>
      <c r="L28" s="158" t="s">
        <v>4405</v>
      </c>
      <c r="M28" s="25" t="s">
        <v>73</v>
      </c>
      <c r="N28" s="25" t="s">
        <v>4504</v>
      </c>
      <c r="O28" s="26" t="s">
        <v>4647</v>
      </c>
      <c r="P28" t="s">
        <v>4648</v>
      </c>
      <c r="Q28" s="26"/>
      <c r="R28" s="29">
        <v>4</v>
      </c>
      <c r="S28" s="29" t="s">
        <v>4409</v>
      </c>
      <c r="T28" s="29" t="s">
        <v>4649</v>
      </c>
      <c r="U28" s="26" t="s">
        <v>77</v>
      </c>
      <c r="V28" s="30" t="s">
        <v>78</v>
      </c>
      <c r="W28" s="30" t="s">
        <v>79</v>
      </c>
      <c r="X28" s="26" t="s">
        <v>4639</v>
      </c>
      <c r="Y28" s="26" t="s">
        <v>4412</v>
      </c>
      <c r="Z28" s="26" t="s">
        <v>81</v>
      </c>
      <c r="AA28" s="26" t="s">
        <v>81</v>
      </c>
      <c r="AB28" s="25" t="s">
        <v>11</v>
      </c>
      <c r="AC28" s="30" t="s">
        <v>172</v>
      </c>
      <c r="AD28" s="25" t="s">
        <v>172</v>
      </c>
      <c r="AE28" s="25" t="s">
        <v>174</v>
      </c>
      <c r="AF28" s="26" t="s">
        <v>175</v>
      </c>
      <c r="AG28" s="32">
        <f t="shared" si="0"/>
        <v>1</v>
      </c>
      <c r="AH28" s="32">
        <v>1</v>
      </c>
      <c r="AI28" s="32">
        <v>1</v>
      </c>
      <c r="AJ28" s="32">
        <v>1</v>
      </c>
      <c r="AK28" s="30"/>
      <c r="AL28" s="30"/>
      <c r="AM28" s="32">
        <f t="shared" si="1"/>
        <v>1</v>
      </c>
      <c r="AN28" s="30"/>
      <c r="AO28" s="32">
        <v>1</v>
      </c>
      <c r="AP28" s="30"/>
      <c r="AQ28" s="30"/>
      <c r="AR28" s="32">
        <f t="shared" si="2"/>
        <v>0</v>
      </c>
      <c r="AS28" s="32"/>
      <c r="AT28" s="32"/>
      <c r="AU28" s="32">
        <v>1</v>
      </c>
      <c r="AV28" s="30"/>
      <c r="AW28" s="2"/>
      <c r="AX28" s="2" t="s">
        <v>4650</v>
      </c>
      <c r="AZ28" s="75" t="s">
        <v>4651</v>
      </c>
    </row>
    <row r="29" spans="1:52" ht="16.5">
      <c r="A29" s="25" t="s">
        <v>4652</v>
      </c>
      <c r="B29" s="25" t="s">
        <v>4398</v>
      </c>
      <c r="C29" s="25" t="s">
        <v>73</v>
      </c>
      <c r="D29" s="25" t="s">
        <v>4653</v>
      </c>
      <c r="E29" s="258" t="s">
        <v>4654</v>
      </c>
      <c r="F29" s="25" t="s">
        <v>4655</v>
      </c>
      <c r="G29" s="25" t="s">
        <v>165</v>
      </c>
      <c r="H29" s="25"/>
      <c r="I29" s="26" t="s">
        <v>4402</v>
      </c>
      <c r="J29" s="26" t="s">
        <v>4609</v>
      </c>
      <c r="K29" s="38" t="s">
        <v>4404</v>
      </c>
      <c r="L29" s="158" t="s">
        <v>4405</v>
      </c>
      <c r="M29" s="25" t="s">
        <v>73</v>
      </c>
      <c r="N29" s="25" t="s">
        <v>4495</v>
      </c>
      <c r="O29" s="26" t="s">
        <v>4656</v>
      </c>
      <c r="P29" t="s">
        <v>4657</v>
      </c>
      <c r="Q29" s="26"/>
      <c r="R29" s="32">
        <v>4</v>
      </c>
      <c r="S29" s="25" t="s">
        <v>4585</v>
      </c>
      <c r="T29" s="32" t="s">
        <v>4658</v>
      </c>
      <c r="U29" s="26" t="s">
        <v>77</v>
      </c>
      <c r="V29" s="30" t="s">
        <v>78</v>
      </c>
      <c r="W29" s="30" t="s">
        <v>79</v>
      </c>
      <c r="X29" s="26" t="s">
        <v>4639</v>
      </c>
      <c r="Y29" s="26" t="s">
        <v>4412</v>
      </c>
      <c r="Z29" s="26" t="s">
        <v>81</v>
      </c>
      <c r="AA29" s="26" t="s">
        <v>81</v>
      </c>
      <c r="AB29" s="25" t="s">
        <v>11</v>
      </c>
      <c r="AC29" s="30" t="s">
        <v>172</v>
      </c>
      <c r="AD29" s="25" t="s">
        <v>4423</v>
      </c>
      <c r="AE29" s="25" t="s">
        <v>174</v>
      </c>
      <c r="AF29" s="26" t="s">
        <v>175</v>
      </c>
      <c r="AG29" s="32">
        <f t="shared" si="0"/>
        <v>1</v>
      </c>
      <c r="AH29" s="32">
        <v>1</v>
      </c>
      <c r="AI29" s="32">
        <v>1</v>
      </c>
      <c r="AJ29" s="32">
        <v>1</v>
      </c>
      <c r="AK29" s="30"/>
      <c r="AL29" s="30"/>
      <c r="AM29" s="32">
        <f t="shared" si="1"/>
        <v>1</v>
      </c>
      <c r="AN29" s="30"/>
      <c r="AO29" s="32">
        <v>1</v>
      </c>
      <c r="AP29" s="30"/>
      <c r="AQ29" s="30"/>
      <c r="AR29" s="32">
        <f t="shared" si="2"/>
        <v>0</v>
      </c>
      <c r="AS29" s="32"/>
      <c r="AT29" s="25" t="s">
        <v>4659</v>
      </c>
      <c r="AU29" s="32">
        <v>1</v>
      </c>
      <c r="AV29" s="30"/>
      <c r="AW29" s="2"/>
      <c r="AX29" s="2" t="s">
        <v>4660</v>
      </c>
      <c r="AZ29" s="75" t="s">
        <v>4661</v>
      </c>
    </row>
    <row r="30" spans="1:52" ht="16.5">
      <c r="A30" s="25" t="s">
        <v>4662</v>
      </c>
      <c r="B30" s="25" t="s">
        <v>4398</v>
      </c>
      <c r="C30" s="25" t="s">
        <v>68</v>
      </c>
      <c r="D30" s="25" t="s">
        <v>4663</v>
      </c>
      <c r="E30" s="258" t="s">
        <v>4664</v>
      </c>
      <c r="F30" s="25" t="s">
        <v>4665</v>
      </c>
      <c r="G30" s="25" t="s">
        <v>165</v>
      </c>
      <c r="H30" s="25"/>
      <c r="I30" s="26" t="s">
        <v>4402</v>
      </c>
      <c r="J30" s="26" t="s">
        <v>4609</v>
      </c>
      <c r="K30" s="38" t="s">
        <v>4404</v>
      </c>
      <c r="L30" s="158" t="s">
        <v>4405</v>
      </c>
      <c r="M30" s="25" t="s">
        <v>73</v>
      </c>
      <c r="N30" s="25" t="s">
        <v>4666</v>
      </c>
      <c r="O30" s="26" t="s">
        <v>4667</v>
      </c>
      <c r="P30" t="s">
        <v>4668</v>
      </c>
      <c r="Q30" s="26"/>
      <c r="R30" s="29">
        <v>4</v>
      </c>
      <c r="S30" s="29" t="s">
        <v>4409</v>
      </c>
      <c r="T30" s="29" t="s">
        <v>4669</v>
      </c>
      <c r="U30" s="26" t="s">
        <v>77</v>
      </c>
      <c r="V30" s="30" t="s">
        <v>78</v>
      </c>
      <c r="W30" s="30" t="s">
        <v>79</v>
      </c>
      <c r="X30" s="26" t="s">
        <v>4639</v>
      </c>
      <c r="Y30" s="26" t="s">
        <v>4412</v>
      </c>
      <c r="Z30" s="26" t="s">
        <v>81</v>
      </c>
      <c r="AA30" s="26" t="s">
        <v>81</v>
      </c>
      <c r="AB30" s="25" t="s">
        <v>11</v>
      </c>
      <c r="AC30" s="30" t="s">
        <v>172</v>
      </c>
      <c r="AD30" s="25" t="s">
        <v>172</v>
      </c>
      <c r="AE30" s="25" t="s">
        <v>174</v>
      </c>
      <c r="AF30" s="26" t="s">
        <v>175</v>
      </c>
      <c r="AG30" s="32">
        <f t="shared" si="0"/>
        <v>1</v>
      </c>
      <c r="AH30" s="32">
        <v>1</v>
      </c>
      <c r="AI30" s="32">
        <v>1</v>
      </c>
      <c r="AJ30" s="32">
        <v>1</v>
      </c>
      <c r="AK30" s="30"/>
      <c r="AL30" s="30"/>
      <c r="AM30" s="32">
        <f t="shared" si="1"/>
        <v>1</v>
      </c>
      <c r="AN30" s="30"/>
      <c r="AO30" s="32">
        <v>1</v>
      </c>
      <c r="AP30" s="30"/>
      <c r="AQ30" s="30"/>
      <c r="AR30" s="32">
        <f t="shared" si="2"/>
        <v>0</v>
      </c>
      <c r="AS30" s="32"/>
      <c r="AT30" s="32"/>
      <c r="AU30" s="32">
        <v>1</v>
      </c>
      <c r="AV30" s="30"/>
      <c r="AW30" s="2"/>
      <c r="AX30" s="2" t="s">
        <v>4670</v>
      </c>
      <c r="AZ30" s="75" t="s">
        <v>4671</v>
      </c>
    </row>
    <row r="31" spans="1:52" ht="16.5">
      <c r="A31" s="25" t="s">
        <v>4672</v>
      </c>
      <c r="B31" s="25" t="s">
        <v>4398</v>
      </c>
      <c r="C31" s="25" t="s">
        <v>68</v>
      </c>
      <c r="D31" s="25" t="s">
        <v>4673</v>
      </c>
      <c r="E31" s="258" t="s">
        <v>4674</v>
      </c>
      <c r="F31" s="25" t="s">
        <v>4675</v>
      </c>
      <c r="G31" s="25" t="s">
        <v>165</v>
      </c>
      <c r="H31" s="25"/>
      <c r="I31" s="26" t="s">
        <v>4402</v>
      </c>
      <c r="J31" s="26" t="s">
        <v>4609</v>
      </c>
      <c r="K31" s="38" t="s">
        <v>4404</v>
      </c>
      <c r="L31" s="158" t="s">
        <v>4405</v>
      </c>
      <c r="M31" s="25" t="s">
        <v>73</v>
      </c>
      <c r="N31" s="25" t="s">
        <v>4676</v>
      </c>
      <c r="O31" s="26" t="s">
        <v>4677</v>
      </c>
      <c r="P31" t="s">
        <v>4678</v>
      </c>
      <c r="Q31" s="26"/>
      <c r="R31" s="29">
        <v>4</v>
      </c>
      <c r="S31" s="29" t="s">
        <v>4409</v>
      </c>
      <c r="T31" s="29" t="s">
        <v>4679</v>
      </c>
      <c r="U31" s="26" t="s">
        <v>77</v>
      </c>
      <c r="V31" s="30" t="s">
        <v>78</v>
      </c>
      <c r="W31" s="30" t="s">
        <v>79</v>
      </c>
      <c r="X31" s="26" t="s">
        <v>4639</v>
      </c>
      <c r="Y31" s="26" t="s">
        <v>4412</v>
      </c>
      <c r="Z31" s="26" t="s">
        <v>81</v>
      </c>
      <c r="AA31" s="26" t="s">
        <v>81</v>
      </c>
      <c r="AB31" s="25" t="s">
        <v>11</v>
      </c>
      <c r="AC31" s="30" t="s">
        <v>172</v>
      </c>
      <c r="AD31" s="25" t="s">
        <v>172</v>
      </c>
      <c r="AE31" s="25" t="s">
        <v>174</v>
      </c>
      <c r="AF31" s="26" t="s">
        <v>175</v>
      </c>
      <c r="AG31" s="32">
        <f t="shared" si="0"/>
        <v>1</v>
      </c>
      <c r="AH31" s="32">
        <v>1</v>
      </c>
      <c r="AI31" s="32">
        <v>1</v>
      </c>
      <c r="AJ31" s="32">
        <v>1</v>
      </c>
      <c r="AK31" s="30"/>
      <c r="AL31" s="30"/>
      <c r="AM31" s="32">
        <f t="shared" si="1"/>
        <v>1</v>
      </c>
      <c r="AN31" s="30"/>
      <c r="AO31" s="32">
        <v>1</v>
      </c>
      <c r="AP31" s="30"/>
      <c r="AQ31" s="30"/>
      <c r="AR31" s="32">
        <f t="shared" si="2"/>
        <v>0</v>
      </c>
      <c r="AS31" s="32"/>
      <c r="AT31" s="32"/>
      <c r="AU31" s="32">
        <v>1</v>
      </c>
      <c r="AV31" s="30"/>
      <c r="AW31" s="2"/>
      <c r="AX31" s="2" t="s">
        <v>4680</v>
      </c>
      <c r="AZ31" s="75" t="s">
        <v>4681</v>
      </c>
    </row>
    <row r="32" spans="1:52" ht="16.5">
      <c r="A32" s="25" t="s">
        <v>4682</v>
      </c>
      <c r="B32" s="25" t="s">
        <v>4398</v>
      </c>
      <c r="C32" s="25" t="s">
        <v>68</v>
      </c>
      <c r="D32" s="25" t="s">
        <v>4683</v>
      </c>
      <c r="E32" s="258" t="s">
        <v>4684</v>
      </c>
      <c r="F32" s="25" t="s">
        <v>4685</v>
      </c>
      <c r="G32" s="25" t="s">
        <v>165</v>
      </c>
      <c r="H32" s="25"/>
      <c r="I32" s="26" t="s">
        <v>4402</v>
      </c>
      <c r="J32" s="26" t="s">
        <v>4609</v>
      </c>
      <c r="K32" s="38" t="s">
        <v>4404</v>
      </c>
      <c r="L32" s="158" t="s">
        <v>4405</v>
      </c>
      <c r="M32" s="25" t="s">
        <v>73</v>
      </c>
      <c r="N32" s="25" t="s">
        <v>4686</v>
      </c>
      <c r="O32" s="26" t="s">
        <v>4687</v>
      </c>
      <c r="P32" t="s">
        <v>4688</v>
      </c>
      <c r="Q32" s="26"/>
      <c r="R32" s="29">
        <v>4</v>
      </c>
      <c r="S32" s="29" t="s">
        <v>4409</v>
      </c>
      <c r="T32" s="29" t="s">
        <v>4689</v>
      </c>
      <c r="U32" s="26" t="s">
        <v>77</v>
      </c>
      <c r="V32" s="30" t="s">
        <v>78</v>
      </c>
      <c r="W32" s="30" t="s">
        <v>79</v>
      </c>
      <c r="X32" s="26" t="s">
        <v>4639</v>
      </c>
      <c r="Y32" s="26" t="s">
        <v>4412</v>
      </c>
      <c r="Z32" s="26" t="s">
        <v>81</v>
      </c>
      <c r="AA32" s="26" t="s">
        <v>81</v>
      </c>
      <c r="AB32" s="25" t="s">
        <v>11</v>
      </c>
      <c r="AC32" s="30" t="s">
        <v>172</v>
      </c>
      <c r="AD32" s="25" t="s">
        <v>172</v>
      </c>
      <c r="AE32" s="25" t="s">
        <v>174</v>
      </c>
      <c r="AF32" s="26" t="s">
        <v>175</v>
      </c>
      <c r="AG32" s="32">
        <f t="shared" si="0"/>
        <v>1</v>
      </c>
      <c r="AH32" s="32">
        <v>1</v>
      </c>
      <c r="AI32" s="32">
        <v>1</v>
      </c>
      <c r="AJ32" s="32">
        <v>1</v>
      </c>
      <c r="AK32" s="30"/>
      <c r="AL32" s="30"/>
      <c r="AM32" s="32">
        <f t="shared" si="1"/>
        <v>1</v>
      </c>
      <c r="AN32" s="30"/>
      <c r="AO32" s="32">
        <v>1</v>
      </c>
      <c r="AP32" s="30"/>
      <c r="AQ32" s="30"/>
      <c r="AR32" s="32">
        <f t="shared" si="2"/>
        <v>0</v>
      </c>
      <c r="AS32" s="32"/>
      <c r="AT32" s="32"/>
      <c r="AU32" s="32">
        <v>1</v>
      </c>
      <c r="AV32" s="30"/>
      <c r="AW32" s="2"/>
      <c r="AX32" s="2" t="s">
        <v>4690</v>
      </c>
      <c r="AZ32" s="75" t="s">
        <v>4691</v>
      </c>
    </row>
    <row r="33" spans="1:52" ht="16.5">
      <c r="A33" s="25" t="s">
        <v>4692</v>
      </c>
      <c r="B33" s="25" t="s">
        <v>4398</v>
      </c>
      <c r="C33" s="25" t="s">
        <v>73</v>
      </c>
      <c r="D33" s="25" t="s">
        <v>4693</v>
      </c>
      <c r="E33" s="258" t="s">
        <v>4694</v>
      </c>
      <c r="F33" s="25" t="s">
        <v>4695</v>
      </c>
      <c r="G33" s="25" t="s">
        <v>165</v>
      </c>
      <c r="H33" s="25"/>
      <c r="I33" s="26" t="s">
        <v>4402</v>
      </c>
      <c r="J33" s="26" t="s">
        <v>4609</v>
      </c>
      <c r="K33" s="38" t="s">
        <v>4404</v>
      </c>
      <c r="L33" s="158" t="s">
        <v>4405</v>
      </c>
      <c r="M33" s="25" t="s">
        <v>73</v>
      </c>
      <c r="N33" s="25" t="s">
        <v>4478</v>
      </c>
      <c r="O33" s="26" t="s">
        <v>4696</v>
      </c>
      <c r="P33" t="s">
        <v>4697</v>
      </c>
      <c r="Q33" s="26"/>
      <c r="R33" s="32">
        <v>4</v>
      </c>
      <c r="S33" s="25" t="s">
        <v>4585</v>
      </c>
      <c r="T33" s="32" t="s">
        <v>4698</v>
      </c>
      <c r="U33" s="26" t="s">
        <v>77</v>
      </c>
      <c r="V33" s="30" t="s">
        <v>78</v>
      </c>
      <c r="W33" s="30" t="s">
        <v>79</v>
      </c>
      <c r="X33" s="26" t="s">
        <v>4639</v>
      </c>
      <c r="Y33" s="26" t="s">
        <v>4412</v>
      </c>
      <c r="Z33" s="26" t="s">
        <v>81</v>
      </c>
      <c r="AA33" s="26" t="s">
        <v>81</v>
      </c>
      <c r="AB33" s="25" t="s">
        <v>11</v>
      </c>
      <c r="AC33" s="30" t="s">
        <v>172</v>
      </c>
      <c r="AD33" s="25" t="s">
        <v>4423</v>
      </c>
      <c r="AE33" s="25" t="s">
        <v>174</v>
      </c>
      <c r="AF33" s="26" t="s">
        <v>175</v>
      </c>
      <c r="AG33" s="32">
        <f t="shared" si="0"/>
        <v>1</v>
      </c>
      <c r="AH33" s="32">
        <v>1</v>
      </c>
      <c r="AI33" s="32">
        <v>1</v>
      </c>
      <c r="AJ33" s="32">
        <v>1</v>
      </c>
      <c r="AK33" s="30"/>
      <c r="AL33" s="30"/>
      <c r="AM33" s="32">
        <f t="shared" si="1"/>
        <v>1</v>
      </c>
      <c r="AN33" s="30"/>
      <c r="AO33" s="32">
        <v>1</v>
      </c>
      <c r="AP33" s="30"/>
      <c r="AQ33" s="30"/>
      <c r="AR33" s="32">
        <f t="shared" si="2"/>
        <v>0</v>
      </c>
      <c r="AS33" s="32"/>
      <c r="AT33" s="32"/>
      <c r="AU33" s="32">
        <v>1</v>
      </c>
      <c r="AV33" s="30"/>
      <c r="AW33" s="2"/>
      <c r="AX33" s="2" t="s">
        <v>4699</v>
      </c>
      <c r="AZ33" s="75" t="s">
        <v>4673</v>
      </c>
    </row>
    <row r="34" spans="1:52" ht="16.5">
      <c r="A34" s="25" t="s">
        <v>4700</v>
      </c>
      <c r="B34" s="25" t="s">
        <v>4398</v>
      </c>
      <c r="C34" s="25" t="s">
        <v>73</v>
      </c>
      <c r="D34" s="25" t="s">
        <v>4701</v>
      </c>
      <c r="E34" s="258" t="s">
        <v>4702</v>
      </c>
      <c r="F34" s="25" t="s">
        <v>4703</v>
      </c>
      <c r="G34" s="25" t="s">
        <v>165</v>
      </c>
      <c r="H34" s="25"/>
      <c r="I34" s="26" t="s">
        <v>4402</v>
      </c>
      <c r="J34" s="26" t="s">
        <v>4609</v>
      </c>
      <c r="K34" s="38" t="s">
        <v>4404</v>
      </c>
      <c r="L34" s="158" t="s">
        <v>4405</v>
      </c>
      <c r="M34" s="25" t="s">
        <v>73</v>
      </c>
      <c r="N34" s="25" t="s">
        <v>4514</v>
      </c>
      <c r="O34" s="26" t="s">
        <v>4704</v>
      </c>
      <c r="P34" t="s">
        <v>4705</v>
      </c>
      <c r="Q34" s="26"/>
      <c r="R34" s="32">
        <v>8</v>
      </c>
      <c r="S34" s="25" t="s">
        <v>4421</v>
      </c>
      <c r="T34" s="32" t="s">
        <v>4706</v>
      </c>
      <c r="U34" s="26" t="s">
        <v>77</v>
      </c>
      <c r="V34" s="30" t="s">
        <v>78</v>
      </c>
      <c r="W34" s="30" t="s">
        <v>79</v>
      </c>
      <c r="X34" s="26" t="s">
        <v>4639</v>
      </c>
      <c r="Y34" s="26" t="s">
        <v>4412</v>
      </c>
      <c r="Z34" s="26" t="s">
        <v>81</v>
      </c>
      <c r="AA34" s="26" t="s">
        <v>81</v>
      </c>
      <c r="AB34" s="25" t="s">
        <v>11</v>
      </c>
      <c r="AC34" s="30" t="s">
        <v>172</v>
      </c>
      <c r="AD34" s="25" t="s">
        <v>4423</v>
      </c>
      <c r="AE34" s="25" t="s">
        <v>174</v>
      </c>
      <c r="AF34" s="26" t="s">
        <v>175</v>
      </c>
      <c r="AG34" s="32">
        <f t="shared" si="0"/>
        <v>1</v>
      </c>
      <c r="AH34" s="32">
        <v>1</v>
      </c>
      <c r="AI34" s="32">
        <v>1</v>
      </c>
      <c r="AJ34" s="32">
        <v>1</v>
      </c>
      <c r="AK34" s="30"/>
      <c r="AL34" s="30"/>
      <c r="AM34" s="32">
        <f t="shared" si="1"/>
        <v>1</v>
      </c>
      <c r="AN34" s="30"/>
      <c r="AO34" s="32">
        <v>1</v>
      </c>
      <c r="AP34" s="30"/>
      <c r="AQ34" s="30"/>
      <c r="AR34" s="32">
        <f t="shared" si="2"/>
        <v>0</v>
      </c>
      <c r="AS34" s="32"/>
      <c r="AT34" s="32"/>
      <c r="AU34" s="32">
        <v>1</v>
      </c>
      <c r="AV34" s="30"/>
      <c r="AW34" s="2"/>
      <c r="AX34" s="2" t="s">
        <v>4707</v>
      </c>
      <c r="AZ34" s="75" t="s">
        <v>4708</v>
      </c>
    </row>
    <row r="35" spans="1:52" ht="16.5">
      <c r="A35" s="25" t="s">
        <v>4709</v>
      </c>
      <c r="B35" s="25" t="s">
        <v>4398</v>
      </c>
      <c r="C35" s="25" t="s">
        <v>68</v>
      </c>
      <c r="D35" s="25" t="s">
        <v>4710</v>
      </c>
      <c r="E35" s="258" t="s">
        <v>4711</v>
      </c>
      <c r="F35" s="25" t="s">
        <v>4712</v>
      </c>
      <c r="G35" s="25" t="s">
        <v>165</v>
      </c>
      <c r="H35" s="25"/>
      <c r="I35" s="26" t="s">
        <v>4402</v>
      </c>
      <c r="J35" s="26" t="s">
        <v>4609</v>
      </c>
      <c r="K35" s="38" t="s">
        <v>4404</v>
      </c>
      <c r="L35" s="158" t="s">
        <v>4405</v>
      </c>
      <c r="M35" s="25" t="s">
        <v>73</v>
      </c>
      <c r="N35" s="25" t="s">
        <v>4713</v>
      </c>
      <c r="O35" s="26" t="s">
        <v>4714</v>
      </c>
      <c r="P35" t="s">
        <v>4715</v>
      </c>
      <c r="Q35" s="26"/>
      <c r="R35" s="29">
        <v>4</v>
      </c>
      <c r="S35" s="29" t="s">
        <v>4409</v>
      </c>
      <c r="T35" s="29" t="s">
        <v>4716</v>
      </c>
      <c r="U35" s="26" t="s">
        <v>77</v>
      </c>
      <c r="V35" s="30" t="s">
        <v>78</v>
      </c>
      <c r="W35" s="30" t="s">
        <v>79</v>
      </c>
      <c r="X35" s="26" t="s">
        <v>4639</v>
      </c>
      <c r="Y35" s="26" t="s">
        <v>4412</v>
      </c>
      <c r="Z35" s="26" t="s">
        <v>81</v>
      </c>
      <c r="AA35" s="26" t="s">
        <v>81</v>
      </c>
      <c r="AB35" s="25" t="s">
        <v>11</v>
      </c>
      <c r="AC35" s="30" t="s">
        <v>172</v>
      </c>
      <c r="AD35" s="25" t="s">
        <v>172</v>
      </c>
      <c r="AE35" s="25" t="s">
        <v>174</v>
      </c>
      <c r="AF35" s="26" t="s">
        <v>175</v>
      </c>
      <c r="AG35" s="32">
        <f t="shared" si="0"/>
        <v>1</v>
      </c>
      <c r="AH35" s="32">
        <v>1</v>
      </c>
      <c r="AI35" s="32">
        <v>1</v>
      </c>
      <c r="AJ35" s="32">
        <v>1</v>
      </c>
      <c r="AK35" s="30"/>
      <c r="AL35" s="30"/>
      <c r="AM35" s="32">
        <f t="shared" si="1"/>
        <v>1</v>
      </c>
      <c r="AN35" s="30"/>
      <c r="AO35" s="32">
        <v>1</v>
      </c>
      <c r="AP35" s="30"/>
      <c r="AQ35" s="30"/>
      <c r="AR35" s="32">
        <f t="shared" si="2"/>
        <v>0</v>
      </c>
      <c r="AS35" s="32"/>
      <c r="AT35" s="32"/>
      <c r="AU35" s="32">
        <v>1</v>
      </c>
      <c r="AV35" s="30"/>
      <c r="AW35" s="2"/>
      <c r="AX35" s="2" t="s">
        <v>4717</v>
      </c>
      <c r="AZ35" s="75" t="s">
        <v>4718</v>
      </c>
    </row>
    <row r="36" spans="1:52" ht="16.5">
      <c r="A36" s="25" t="s">
        <v>4719</v>
      </c>
      <c r="B36" s="25" t="s">
        <v>4398</v>
      </c>
      <c r="C36" s="25" t="s">
        <v>68</v>
      </c>
      <c r="D36" s="25" t="s">
        <v>4720</v>
      </c>
      <c r="E36" s="258" t="s">
        <v>4721</v>
      </c>
      <c r="F36" s="25" t="s">
        <v>4722</v>
      </c>
      <c r="G36" s="25" t="s">
        <v>165</v>
      </c>
      <c r="H36" s="25"/>
      <c r="I36" s="26" t="s">
        <v>4402</v>
      </c>
      <c r="J36" s="26" t="s">
        <v>4609</v>
      </c>
      <c r="K36" s="38" t="s">
        <v>4404</v>
      </c>
      <c r="L36" s="158" t="s">
        <v>4405</v>
      </c>
      <c r="M36" s="25" t="s">
        <v>73</v>
      </c>
      <c r="N36" s="25" t="s">
        <v>4723</v>
      </c>
      <c r="O36" s="26" t="s">
        <v>4724</v>
      </c>
      <c r="P36" t="s">
        <v>4725</v>
      </c>
      <c r="Q36" s="26"/>
      <c r="R36" s="29">
        <v>4</v>
      </c>
      <c r="S36" s="29" t="s">
        <v>4409</v>
      </c>
      <c r="T36" s="29" t="s">
        <v>4726</v>
      </c>
      <c r="U36" s="26" t="s">
        <v>77</v>
      </c>
      <c r="V36" s="30" t="s">
        <v>78</v>
      </c>
      <c r="W36" s="30" t="s">
        <v>79</v>
      </c>
      <c r="X36" s="26" t="s">
        <v>4639</v>
      </c>
      <c r="Y36" s="26" t="s">
        <v>4412</v>
      </c>
      <c r="Z36" s="26" t="s">
        <v>81</v>
      </c>
      <c r="AA36" s="26" t="s">
        <v>81</v>
      </c>
      <c r="AB36" s="25" t="s">
        <v>11</v>
      </c>
      <c r="AC36" s="30" t="s">
        <v>172</v>
      </c>
      <c r="AD36" s="25" t="s">
        <v>172</v>
      </c>
      <c r="AE36" s="25" t="s">
        <v>174</v>
      </c>
      <c r="AF36" s="26" t="s">
        <v>175</v>
      </c>
      <c r="AG36" s="32">
        <f t="shared" si="0"/>
        <v>1</v>
      </c>
      <c r="AH36" s="32">
        <v>1</v>
      </c>
      <c r="AI36" s="32">
        <v>1</v>
      </c>
      <c r="AJ36" s="32">
        <v>1</v>
      </c>
      <c r="AK36" s="30"/>
      <c r="AL36" s="30"/>
      <c r="AM36" s="32">
        <f t="shared" si="1"/>
        <v>1</v>
      </c>
      <c r="AN36" s="30"/>
      <c r="AO36" s="32">
        <v>1</v>
      </c>
      <c r="AP36" s="30"/>
      <c r="AQ36" s="30"/>
      <c r="AR36" s="32">
        <f t="shared" si="2"/>
        <v>0</v>
      </c>
      <c r="AS36" s="32"/>
      <c r="AT36" s="32"/>
      <c r="AU36" s="32">
        <v>1</v>
      </c>
      <c r="AV36" s="30"/>
      <c r="AW36" s="2"/>
      <c r="AX36" s="2" t="s">
        <v>4727</v>
      </c>
      <c r="AZ36" s="75" t="s">
        <v>4728</v>
      </c>
    </row>
    <row r="37" spans="1:52" ht="16.5">
      <c r="A37" s="25" t="s">
        <v>4729</v>
      </c>
      <c r="B37" s="25" t="s">
        <v>4398</v>
      </c>
      <c r="C37" s="25" t="s">
        <v>68</v>
      </c>
      <c r="D37" s="25" t="s">
        <v>4708</v>
      </c>
      <c r="E37" s="258" t="s">
        <v>4730</v>
      </c>
      <c r="F37" s="25" t="s">
        <v>4731</v>
      </c>
      <c r="G37" s="25" t="s">
        <v>165</v>
      </c>
      <c r="H37" s="25"/>
      <c r="I37" s="26" t="s">
        <v>4402</v>
      </c>
      <c r="J37" s="26" t="s">
        <v>4609</v>
      </c>
      <c r="K37" s="38" t="s">
        <v>4404</v>
      </c>
      <c r="L37" s="158" t="s">
        <v>4405</v>
      </c>
      <c r="M37" s="25" t="s">
        <v>73</v>
      </c>
      <c r="N37" s="25" t="s">
        <v>4732</v>
      </c>
      <c r="O37" s="26" t="s">
        <v>4733</v>
      </c>
      <c r="P37" t="s">
        <v>4734</v>
      </c>
      <c r="Q37" s="26"/>
      <c r="R37" s="29">
        <v>4</v>
      </c>
      <c r="S37" s="29" t="s">
        <v>4409</v>
      </c>
      <c r="T37" s="29" t="s">
        <v>4735</v>
      </c>
      <c r="U37" s="26" t="s">
        <v>77</v>
      </c>
      <c r="V37" s="30" t="s">
        <v>78</v>
      </c>
      <c r="W37" s="30" t="s">
        <v>79</v>
      </c>
      <c r="X37" s="26" t="s">
        <v>4639</v>
      </c>
      <c r="Y37" s="26" t="s">
        <v>4412</v>
      </c>
      <c r="Z37" s="26" t="s">
        <v>81</v>
      </c>
      <c r="AA37" s="26" t="s">
        <v>81</v>
      </c>
      <c r="AB37" s="25" t="s">
        <v>11</v>
      </c>
      <c r="AC37" s="30" t="s">
        <v>172</v>
      </c>
      <c r="AD37" s="25" t="s">
        <v>172</v>
      </c>
      <c r="AE37" s="25" t="s">
        <v>174</v>
      </c>
      <c r="AF37" s="26" t="s">
        <v>175</v>
      </c>
      <c r="AG37" s="32">
        <f t="shared" si="0"/>
        <v>1</v>
      </c>
      <c r="AH37" s="32">
        <v>1</v>
      </c>
      <c r="AI37" s="32">
        <v>1</v>
      </c>
      <c r="AJ37" s="32">
        <v>1</v>
      </c>
      <c r="AK37" s="30"/>
      <c r="AL37" s="30"/>
      <c r="AM37" s="32">
        <f t="shared" si="1"/>
        <v>1</v>
      </c>
      <c r="AN37" s="30"/>
      <c r="AO37" s="32">
        <v>1</v>
      </c>
      <c r="AP37" s="30"/>
      <c r="AQ37" s="30"/>
      <c r="AR37" s="32">
        <f t="shared" si="2"/>
        <v>0</v>
      </c>
      <c r="AS37" s="32"/>
      <c r="AT37" s="32"/>
      <c r="AU37" s="32">
        <v>1</v>
      </c>
      <c r="AV37" s="30"/>
      <c r="AW37" s="2"/>
      <c r="AX37" s="2" t="s">
        <v>4736</v>
      </c>
      <c r="AZ37" s="75" t="s">
        <v>4710</v>
      </c>
    </row>
    <row r="38" spans="1:52" ht="16.5">
      <c r="A38" s="25" t="s">
        <v>4737</v>
      </c>
      <c r="B38" s="25" t="s">
        <v>4398</v>
      </c>
      <c r="C38" s="25" t="s">
        <v>73</v>
      </c>
      <c r="D38" s="25" t="s">
        <v>4738</v>
      </c>
      <c r="E38" s="258" t="s">
        <v>4739</v>
      </c>
      <c r="F38" s="25" t="s">
        <v>4740</v>
      </c>
      <c r="G38" s="25" t="s">
        <v>165</v>
      </c>
      <c r="H38" s="25"/>
      <c r="I38" s="26" t="s">
        <v>4402</v>
      </c>
      <c r="J38" s="26" t="s">
        <v>4609</v>
      </c>
      <c r="K38" s="38" t="s">
        <v>4404</v>
      </c>
      <c r="L38" s="158" t="s">
        <v>4405</v>
      </c>
      <c r="M38" s="25" t="s">
        <v>73</v>
      </c>
      <c r="N38" s="25" t="s">
        <v>4486</v>
      </c>
      <c r="O38" s="26" t="s">
        <v>4741</v>
      </c>
      <c r="P38" t="s">
        <v>4742</v>
      </c>
      <c r="Q38" s="26"/>
      <c r="R38" s="32">
        <v>8</v>
      </c>
      <c r="S38" s="25" t="s">
        <v>4421</v>
      </c>
      <c r="T38" s="32" t="s">
        <v>4743</v>
      </c>
      <c r="U38" s="26" t="s">
        <v>77</v>
      </c>
      <c r="V38" s="30" t="s">
        <v>78</v>
      </c>
      <c r="W38" s="30" t="s">
        <v>79</v>
      </c>
      <c r="X38" s="26" t="s">
        <v>4639</v>
      </c>
      <c r="Y38" s="26" t="s">
        <v>4412</v>
      </c>
      <c r="Z38" s="26" t="s">
        <v>81</v>
      </c>
      <c r="AA38" s="26" t="s">
        <v>81</v>
      </c>
      <c r="AB38" s="25" t="s">
        <v>11</v>
      </c>
      <c r="AC38" s="30" t="s">
        <v>172</v>
      </c>
      <c r="AD38" s="25" t="s">
        <v>4423</v>
      </c>
      <c r="AE38" s="25" t="s">
        <v>174</v>
      </c>
      <c r="AF38" s="26" t="s">
        <v>175</v>
      </c>
      <c r="AG38" s="32">
        <f t="shared" si="0"/>
        <v>1</v>
      </c>
      <c r="AH38" s="32">
        <v>1</v>
      </c>
      <c r="AI38" s="32">
        <v>1</v>
      </c>
      <c r="AJ38" s="32">
        <v>1</v>
      </c>
      <c r="AK38" s="30"/>
      <c r="AL38" s="30"/>
      <c r="AM38" s="32">
        <f t="shared" si="1"/>
        <v>1</v>
      </c>
      <c r="AN38" s="30"/>
      <c r="AO38" s="32">
        <v>1</v>
      </c>
      <c r="AP38" s="30"/>
      <c r="AQ38" s="30"/>
      <c r="AR38" s="32">
        <f t="shared" si="2"/>
        <v>0</v>
      </c>
      <c r="AS38" s="32"/>
      <c r="AT38" s="32"/>
      <c r="AU38" s="32">
        <v>1</v>
      </c>
      <c r="AV38" s="30"/>
      <c r="AW38" s="2"/>
      <c r="AX38" s="2" t="s">
        <v>4744</v>
      </c>
      <c r="AZ38" s="75" t="s">
        <v>4745</v>
      </c>
    </row>
    <row r="39" spans="1:52" ht="16.5">
      <c r="A39" s="25" t="s">
        <v>4746</v>
      </c>
      <c r="B39" s="25" t="s">
        <v>4398</v>
      </c>
      <c r="C39" s="25" t="s">
        <v>68</v>
      </c>
      <c r="D39" s="25" t="s">
        <v>4747</v>
      </c>
      <c r="E39" s="258" t="s">
        <v>4748</v>
      </c>
      <c r="F39" s="25" t="s">
        <v>4749</v>
      </c>
      <c r="G39" s="25" t="s">
        <v>165</v>
      </c>
      <c r="H39" s="25"/>
      <c r="I39" s="26" t="s">
        <v>4402</v>
      </c>
      <c r="J39" s="26" t="s">
        <v>4609</v>
      </c>
      <c r="K39" s="38" t="s">
        <v>4404</v>
      </c>
      <c r="L39" s="158" t="s">
        <v>4405</v>
      </c>
      <c r="M39" s="25" t="s">
        <v>73</v>
      </c>
      <c r="N39" s="25" t="s">
        <v>4750</v>
      </c>
      <c r="O39" s="26" t="s">
        <v>4751</v>
      </c>
      <c r="P39" t="s">
        <v>4752</v>
      </c>
      <c r="Q39" s="26"/>
      <c r="R39" s="29">
        <v>4</v>
      </c>
      <c r="S39" s="29" t="s">
        <v>4409</v>
      </c>
      <c r="T39" s="29" t="s">
        <v>4753</v>
      </c>
      <c r="U39" s="26" t="s">
        <v>77</v>
      </c>
      <c r="V39" s="30" t="s">
        <v>78</v>
      </c>
      <c r="W39" s="30" t="s">
        <v>79</v>
      </c>
      <c r="X39" s="26" t="s">
        <v>4639</v>
      </c>
      <c r="Y39" s="26" t="s">
        <v>4412</v>
      </c>
      <c r="Z39" s="26" t="s">
        <v>81</v>
      </c>
      <c r="AA39" s="26" t="s">
        <v>81</v>
      </c>
      <c r="AB39" s="25" t="s">
        <v>11</v>
      </c>
      <c r="AC39" s="30" t="s">
        <v>172</v>
      </c>
      <c r="AD39" s="25" t="s">
        <v>172</v>
      </c>
      <c r="AE39" s="25" t="s">
        <v>174</v>
      </c>
      <c r="AF39" s="26" t="s">
        <v>175</v>
      </c>
      <c r="AG39" s="32">
        <f t="shared" si="0"/>
        <v>1</v>
      </c>
      <c r="AH39" s="32">
        <v>1</v>
      </c>
      <c r="AI39" s="32">
        <v>1</v>
      </c>
      <c r="AJ39" s="32">
        <v>1</v>
      </c>
      <c r="AK39" s="30"/>
      <c r="AL39" s="30"/>
      <c r="AM39" s="32">
        <f t="shared" si="1"/>
        <v>1</v>
      </c>
      <c r="AN39" s="30"/>
      <c r="AO39" s="32">
        <v>1</v>
      </c>
      <c r="AP39" s="30"/>
      <c r="AQ39" s="30"/>
      <c r="AR39" s="32">
        <f t="shared" si="2"/>
        <v>0</v>
      </c>
      <c r="AS39" s="32"/>
      <c r="AT39" s="32"/>
      <c r="AU39" s="32">
        <v>1</v>
      </c>
      <c r="AV39" s="30"/>
      <c r="AW39" s="2"/>
      <c r="AX39" s="2" t="s">
        <v>4754</v>
      </c>
      <c r="AZ39" s="75" t="s">
        <v>4683</v>
      </c>
    </row>
    <row r="40" spans="1:52" ht="16.5">
      <c r="A40" s="25" t="s">
        <v>4755</v>
      </c>
      <c r="B40" s="25" t="s">
        <v>4398</v>
      </c>
      <c r="C40" s="25" t="s">
        <v>68</v>
      </c>
      <c r="D40" s="25" t="s">
        <v>4756</v>
      </c>
      <c r="E40" s="258" t="s">
        <v>4757</v>
      </c>
      <c r="F40" s="25" t="s">
        <v>4758</v>
      </c>
      <c r="G40" s="25" t="s">
        <v>165</v>
      </c>
      <c r="H40" s="25"/>
      <c r="I40" s="26" t="s">
        <v>4402</v>
      </c>
      <c r="J40" s="26" t="s">
        <v>4609</v>
      </c>
      <c r="K40" s="38" t="s">
        <v>4404</v>
      </c>
      <c r="L40" s="158" t="s">
        <v>4405</v>
      </c>
      <c r="M40" s="25" t="s">
        <v>73</v>
      </c>
      <c r="N40" s="25" t="s">
        <v>4759</v>
      </c>
      <c r="O40" s="26" t="s">
        <v>4760</v>
      </c>
      <c r="P40" t="s">
        <v>4761</v>
      </c>
      <c r="Q40" s="26"/>
      <c r="R40" s="29">
        <v>4</v>
      </c>
      <c r="S40" s="29" t="s">
        <v>4409</v>
      </c>
      <c r="T40" s="29" t="s">
        <v>4753</v>
      </c>
      <c r="U40" s="26" t="s">
        <v>77</v>
      </c>
      <c r="V40" s="30" t="s">
        <v>78</v>
      </c>
      <c r="W40" s="30" t="s">
        <v>79</v>
      </c>
      <c r="X40" s="26" t="s">
        <v>4639</v>
      </c>
      <c r="Y40" s="26" t="s">
        <v>4412</v>
      </c>
      <c r="Z40" s="26" t="s">
        <v>81</v>
      </c>
      <c r="AA40" s="26" t="s">
        <v>81</v>
      </c>
      <c r="AB40" s="25" t="s">
        <v>11</v>
      </c>
      <c r="AC40" s="30" t="s">
        <v>172</v>
      </c>
      <c r="AD40" s="25" t="s">
        <v>172</v>
      </c>
      <c r="AE40" s="25" t="s">
        <v>174</v>
      </c>
      <c r="AF40" s="26" t="s">
        <v>175</v>
      </c>
      <c r="AG40" s="32">
        <f t="shared" si="0"/>
        <v>1</v>
      </c>
      <c r="AH40" s="32">
        <v>1</v>
      </c>
      <c r="AI40" s="32">
        <v>1</v>
      </c>
      <c r="AJ40" s="32">
        <v>1</v>
      </c>
      <c r="AK40" s="30"/>
      <c r="AL40" s="30"/>
      <c r="AM40" s="32">
        <f t="shared" si="1"/>
        <v>1</v>
      </c>
      <c r="AN40" s="30"/>
      <c r="AO40" s="32">
        <v>1</v>
      </c>
      <c r="AP40" s="30"/>
      <c r="AQ40" s="30"/>
      <c r="AR40" s="32">
        <f t="shared" si="2"/>
        <v>0</v>
      </c>
      <c r="AS40" s="32"/>
      <c r="AT40" s="32"/>
      <c r="AU40" s="32">
        <v>1</v>
      </c>
      <c r="AV40" s="30"/>
      <c r="AW40" s="2"/>
      <c r="AX40" s="2" t="s">
        <v>4762</v>
      </c>
      <c r="AZ40" s="75" t="s">
        <v>4763</v>
      </c>
    </row>
    <row r="41" spans="1:52">
      <c r="A41" s="25" t="s">
        <v>4764</v>
      </c>
      <c r="B41" s="25" t="s">
        <v>4398</v>
      </c>
      <c r="C41" s="25" t="s">
        <v>68</v>
      </c>
      <c r="D41" s="25" t="s">
        <v>4765</v>
      </c>
      <c r="E41" s="258" t="s">
        <v>4766</v>
      </c>
      <c r="F41" s="25" t="s">
        <v>4767</v>
      </c>
      <c r="G41" s="25" t="s">
        <v>165</v>
      </c>
      <c r="H41" s="25"/>
      <c r="I41" s="26" t="s">
        <v>4402</v>
      </c>
      <c r="J41" s="26" t="s">
        <v>4609</v>
      </c>
      <c r="K41" s="38" t="s">
        <v>4404</v>
      </c>
      <c r="L41" s="158" t="s">
        <v>3213</v>
      </c>
      <c r="M41" s="25" t="s">
        <v>73</v>
      </c>
      <c r="N41" s="25" t="s">
        <v>4768</v>
      </c>
      <c r="O41" s="26" t="s">
        <v>4769</v>
      </c>
      <c r="P41" t="s">
        <v>4770</v>
      </c>
      <c r="Q41" s="26"/>
      <c r="R41" s="29">
        <v>4</v>
      </c>
      <c r="S41" s="29" t="s">
        <v>4409</v>
      </c>
      <c r="T41" s="29" t="s">
        <v>4771</v>
      </c>
      <c r="U41" s="26" t="s">
        <v>77</v>
      </c>
      <c r="V41" s="30" t="s">
        <v>78</v>
      </c>
      <c r="W41" s="30" t="s">
        <v>79</v>
      </c>
      <c r="X41" s="26" t="s">
        <v>4639</v>
      </c>
      <c r="Y41" s="26" t="s">
        <v>4412</v>
      </c>
      <c r="Z41" s="26" t="s">
        <v>81</v>
      </c>
      <c r="AA41" s="26" t="s">
        <v>81</v>
      </c>
      <c r="AB41" s="25" t="s">
        <v>11</v>
      </c>
      <c r="AC41" s="30" t="s">
        <v>172</v>
      </c>
      <c r="AD41" s="25" t="s">
        <v>172</v>
      </c>
      <c r="AE41" s="25" t="s">
        <v>174</v>
      </c>
      <c r="AF41" s="26" t="s">
        <v>175</v>
      </c>
      <c r="AG41" s="32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2"/>
      <c r="AT41" s="32"/>
      <c r="AU41" s="32"/>
      <c r="AV41" s="30"/>
      <c r="AW41" s="2"/>
      <c r="AX41" s="2" t="s">
        <v>4772</v>
      </c>
    </row>
    <row r="42" spans="1:52" ht="16.5">
      <c r="A42" s="25" t="s">
        <v>4773</v>
      </c>
      <c r="B42" s="25" t="s">
        <v>4398</v>
      </c>
      <c r="C42" s="25" t="s">
        <v>68</v>
      </c>
      <c r="D42" s="25" t="s">
        <v>4728</v>
      </c>
      <c r="E42" s="258" t="s">
        <v>4774</v>
      </c>
      <c r="F42" s="25" t="s">
        <v>4775</v>
      </c>
      <c r="G42" s="25" t="s">
        <v>165</v>
      </c>
      <c r="H42" s="25"/>
      <c r="I42" s="26" t="s">
        <v>4402</v>
      </c>
      <c r="J42" s="26" t="s">
        <v>4609</v>
      </c>
      <c r="K42" s="38" t="s">
        <v>4404</v>
      </c>
      <c r="L42" s="158" t="s">
        <v>4405</v>
      </c>
      <c r="M42" s="25" t="s">
        <v>73</v>
      </c>
      <c r="N42" s="25" t="s">
        <v>4776</v>
      </c>
      <c r="O42" s="26" t="s">
        <v>4777</v>
      </c>
      <c r="P42" t="s">
        <v>4778</v>
      </c>
      <c r="Q42" s="26"/>
      <c r="R42" s="29">
        <v>4</v>
      </c>
      <c r="S42" s="29" t="s">
        <v>4409</v>
      </c>
      <c r="T42" s="29" t="s">
        <v>4779</v>
      </c>
      <c r="U42" s="26" t="s">
        <v>77</v>
      </c>
      <c r="V42" s="30" t="s">
        <v>78</v>
      </c>
      <c r="W42" s="30" t="s">
        <v>79</v>
      </c>
      <c r="X42" s="26" t="s">
        <v>4639</v>
      </c>
      <c r="Y42" s="26" t="s">
        <v>4412</v>
      </c>
      <c r="Z42" s="26" t="s">
        <v>81</v>
      </c>
      <c r="AA42" s="26" t="s">
        <v>81</v>
      </c>
      <c r="AB42" s="25" t="s">
        <v>11</v>
      </c>
      <c r="AC42" s="30" t="s">
        <v>172</v>
      </c>
      <c r="AD42" s="25" t="s">
        <v>172</v>
      </c>
      <c r="AE42" s="25" t="s">
        <v>174</v>
      </c>
      <c r="AF42" s="26" t="s">
        <v>175</v>
      </c>
      <c r="AG42" s="32">
        <f t="shared" ref="AG42:AG73" si="3">IF(COUNTIF(AZ:AZ,D42)&gt;0,1,0)</f>
        <v>1</v>
      </c>
      <c r="AH42" s="32">
        <v>1</v>
      </c>
      <c r="AI42" s="32">
        <v>1</v>
      </c>
      <c r="AJ42" s="32">
        <v>1</v>
      </c>
      <c r="AK42" s="30"/>
      <c r="AL42" s="30"/>
      <c r="AM42" s="32">
        <f t="shared" ref="AM42:AM73" si="4">IF(COUNTIF(AX:AX,"*"&amp;N42&amp;"*")&gt;0,1,0)</f>
        <v>1</v>
      </c>
      <c r="AN42" s="30"/>
      <c r="AO42" s="32">
        <v>1</v>
      </c>
      <c r="AP42" s="30"/>
      <c r="AQ42" s="30"/>
      <c r="AR42" s="32">
        <f t="shared" ref="AR42:AR73" si="5">IF(COUNTIF(AY:AY,"*"&amp;N42&amp;"*")&gt;0,1,0)</f>
        <v>0</v>
      </c>
      <c r="AS42" s="32"/>
      <c r="AT42" s="32"/>
      <c r="AU42" s="32">
        <v>1</v>
      </c>
      <c r="AV42" s="30"/>
      <c r="AW42" s="2"/>
      <c r="AX42" s="2" t="s">
        <v>4780</v>
      </c>
      <c r="AZ42" s="75" t="s">
        <v>4781</v>
      </c>
    </row>
    <row r="43" spans="1:52" ht="16.5">
      <c r="A43" s="25" t="s">
        <v>4782</v>
      </c>
      <c r="B43" s="25" t="s">
        <v>4398</v>
      </c>
      <c r="C43" s="25" t="s">
        <v>73</v>
      </c>
      <c r="D43" s="25" t="s">
        <v>4783</v>
      </c>
      <c r="E43" s="258" t="s">
        <v>4784</v>
      </c>
      <c r="F43" s="25" t="s">
        <v>4785</v>
      </c>
      <c r="G43" s="25" t="s">
        <v>165</v>
      </c>
      <c r="H43" s="25"/>
      <c r="I43" s="26" t="s">
        <v>4402</v>
      </c>
      <c r="J43" s="26" t="s">
        <v>4786</v>
      </c>
      <c r="K43" s="38" t="s">
        <v>4404</v>
      </c>
      <c r="L43" s="158" t="s">
        <v>4405</v>
      </c>
      <c r="M43" s="25" t="s">
        <v>73</v>
      </c>
      <c r="N43" s="25" t="s">
        <v>4787</v>
      </c>
      <c r="O43" s="26" t="s">
        <v>4788</v>
      </c>
      <c r="P43" t="s">
        <v>4789</v>
      </c>
      <c r="Q43" s="26"/>
      <c r="R43" s="32">
        <v>4</v>
      </c>
      <c r="S43" s="25" t="s">
        <v>4585</v>
      </c>
      <c r="T43" s="32" t="s">
        <v>4790</v>
      </c>
      <c r="U43" s="26" t="s">
        <v>77</v>
      </c>
      <c r="V43" s="30" t="s">
        <v>78</v>
      </c>
      <c r="W43" s="30" t="s">
        <v>79</v>
      </c>
      <c r="X43" s="26" t="s">
        <v>4639</v>
      </c>
      <c r="Y43" s="26" t="s">
        <v>4412</v>
      </c>
      <c r="Z43" s="26" t="s">
        <v>81</v>
      </c>
      <c r="AA43" s="26" t="s">
        <v>81</v>
      </c>
      <c r="AB43" s="25" t="s">
        <v>11</v>
      </c>
      <c r="AC43" s="30" t="s">
        <v>172</v>
      </c>
      <c r="AD43" s="25" t="s">
        <v>4423</v>
      </c>
      <c r="AE43" s="25" t="s">
        <v>174</v>
      </c>
      <c r="AF43" s="26" t="s">
        <v>175</v>
      </c>
      <c r="AG43" s="32">
        <f t="shared" si="3"/>
        <v>1</v>
      </c>
      <c r="AH43" s="32">
        <v>1</v>
      </c>
      <c r="AI43" s="32">
        <v>1</v>
      </c>
      <c r="AJ43" s="32">
        <v>1</v>
      </c>
      <c r="AK43" s="30"/>
      <c r="AL43" s="30"/>
      <c r="AM43" s="32">
        <f t="shared" si="4"/>
        <v>1</v>
      </c>
      <c r="AN43" s="30"/>
      <c r="AO43" s="32">
        <v>1</v>
      </c>
      <c r="AP43" s="30"/>
      <c r="AQ43" s="30"/>
      <c r="AR43" s="32">
        <f t="shared" si="5"/>
        <v>0</v>
      </c>
      <c r="AS43" s="32"/>
      <c r="AT43" s="25" t="s">
        <v>4659</v>
      </c>
      <c r="AU43" s="34" t="s">
        <v>405</v>
      </c>
      <c r="AV43" s="30"/>
      <c r="AW43" s="34" t="s">
        <v>405</v>
      </c>
      <c r="AX43" s="2" t="s">
        <v>4791</v>
      </c>
      <c r="AZ43" s="75" t="s">
        <v>4663</v>
      </c>
    </row>
    <row r="44" spans="1:52" ht="16.5">
      <c r="A44" s="25" t="s">
        <v>4792</v>
      </c>
      <c r="B44" s="25" t="s">
        <v>4398</v>
      </c>
      <c r="C44" s="25" t="s">
        <v>68</v>
      </c>
      <c r="D44" s="25" t="s">
        <v>4671</v>
      </c>
      <c r="E44" s="258" t="s">
        <v>4793</v>
      </c>
      <c r="F44" s="25" t="s">
        <v>4794</v>
      </c>
      <c r="G44" s="25" t="s">
        <v>165</v>
      </c>
      <c r="H44" s="25"/>
      <c r="I44" s="26" t="s">
        <v>4402</v>
      </c>
      <c r="J44" s="26" t="s">
        <v>4786</v>
      </c>
      <c r="K44" s="38" t="s">
        <v>4404</v>
      </c>
      <c r="L44" s="158" t="s">
        <v>4405</v>
      </c>
      <c r="M44" s="25" t="s">
        <v>73</v>
      </c>
      <c r="N44" s="25" t="s">
        <v>4795</v>
      </c>
      <c r="O44" s="26" t="s">
        <v>4796</v>
      </c>
      <c r="P44" t="s">
        <v>4797</v>
      </c>
      <c r="Q44" s="26"/>
      <c r="R44" s="29">
        <v>4</v>
      </c>
      <c r="S44" s="29" t="s">
        <v>4409</v>
      </c>
      <c r="T44" s="29" t="s">
        <v>4798</v>
      </c>
      <c r="U44" s="26" t="s">
        <v>77</v>
      </c>
      <c r="V44" s="30" t="s">
        <v>78</v>
      </c>
      <c r="W44" s="30" t="s">
        <v>79</v>
      </c>
      <c r="X44" s="26" t="s">
        <v>4639</v>
      </c>
      <c r="Y44" s="26" t="s">
        <v>4412</v>
      </c>
      <c r="Z44" s="26" t="s">
        <v>81</v>
      </c>
      <c r="AA44" s="26" t="s">
        <v>81</v>
      </c>
      <c r="AB44" s="25" t="s">
        <v>11</v>
      </c>
      <c r="AC44" s="30" t="s">
        <v>172</v>
      </c>
      <c r="AD44" s="25" t="s">
        <v>172</v>
      </c>
      <c r="AE44" s="25" t="s">
        <v>174</v>
      </c>
      <c r="AF44" s="26" t="s">
        <v>175</v>
      </c>
      <c r="AG44" s="32">
        <f t="shared" si="3"/>
        <v>1</v>
      </c>
      <c r="AH44" s="32">
        <v>1</v>
      </c>
      <c r="AI44" s="32">
        <v>1</v>
      </c>
      <c r="AJ44" s="32">
        <v>1</v>
      </c>
      <c r="AK44" s="30"/>
      <c r="AL44" s="30"/>
      <c r="AM44" s="32">
        <f t="shared" si="4"/>
        <v>1</v>
      </c>
      <c r="AN44" s="30"/>
      <c r="AO44" s="32">
        <v>1</v>
      </c>
      <c r="AP44" s="30"/>
      <c r="AQ44" s="30"/>
      <c r="AR44" s="32">
        <f t="shared" si="5"/>
        <v>0</v>
      </c>
      <c r="AS44" s="32"/>
      <c r="AT44" s="32"/>
      <c r="AU44" s="32">
        <v>1</v>
      </c>
      <c r="AV44" s="30"/>
      <c r="AW44" s="2"/>
      <c r="AX44" s="2" t="s">
        <v>4406</v>
      </c>
      <c r="AZ44" s="75" t="s">
        <v>4644</v>
      </c>
    </row>
    <row r="45" spans="1:52" ht="16.5">
      <c r="A45" s="25" t="s">
        <v>4799</v>
      </c>
      <c r="B45" s="25" t="s">
        <v>4398</v>
      </c>
      <c r="C45" s="25" t="s">
        <v>68</v>
      </c>
      <c r="D45" s="25" t="s">
        <v>4651</v>
      </c>
      <c r="E45" s="258" t="s">
        <v>4800</v>
      </c>
      <c r="F45" s="25" t="s">
        <v>4801</v>
      </c>
      <c r="G45" s="25" t="s">
        <v>165</v>
      </c>
      <c r="H45" s="25"/>
      <c r="I45" s="26" t="s">
        <v>4402</v>
      </c>
      <c r="J45" s="26" t="s">
        <v>4786</v>
      </c>
      <c r="K45" s="38" t="s">
        <v>4404</v>
      </c>
      <c r="L45" s="158" t="s">
        <v>4405</v>
      </c>
      <c r="M45" s="25" t="s">
        <v>73</v>
      </c>
      <c r="N45" s="25" t="s">
        <v>4802</v>
      </c>
      <c r="O45" s="26" t="s">
        <v>4803</v>
      </c>
      <c r="P45" t="s">
        <v>4804</v>
      </c>
      <c r="Q45" s="26"/>
      <c r="R45" s="29">
        <v>4</v>
      </c>
      <c r="S45" s="29" t="s">
        <v>4409</v>
      </c>
      <c r="T45" s="29" t="s">
        <v>4448</v>
      </c>
      <c r="U45" s="26" t="s">
        <v>77</v>
      </c>
      <c r="V45" s="30" t="s">
        <v>78</v>
      </c>
      <c r="W45" s="30" t="s">
        <v>79</v>
      </c>
      <c r="X45" s="26" t="s">
        <v>4639</v>
      </c>
      <c r="Y45" s="26" t="s">
        <v>4412</v>
      </c>
      <c r="Z45" s="26" t="s">
        <v>81</v>
      </c>
      <c r="AA45" s="26" t="s">
        <v>81</v>
      </c>
      <c r="AB45" s="25" t="s">
        <v>11</v>
      </c>
      <c r="AC45" s="30" t="s">
        <v>172</v>
      </c>
      <c r="AD45" s="25" t="s">
        <v>172</v>
      </c>
      <c r="AE45" s="25" t="s">
        <v>174</v>
      </c>
      <c r="AF45" s="26" t="s">
        <v>175</v>
      </c>
      <c r="AG45" s="32">
        <f t="shared" si="3"/>
        <v>1</v>
      </c>
      <c r="AH45" s="32">
        <v>1</v>
      </c>
      <c r="AI45" s="32">
        <v>1</v>
      </c>
      <c r="AJ45" s="32">
        <v>1</v>
      </c>
      <c r="AK45" s="30"/>
      <c r="AL45" s="30"/>
      <c r="AM45" s="32">
        <f t="shared" si="4"/>
        <v>1</v>
      </c>
      <c r="AN45" s="30"/>
      <c r="AO45" s="32">
        <v>1</v>
      </c>
      <c r="AP45" s="30"/>
      <c r="AQ45" s="30"/>
      <c r="AR45" s="32">
        <f t="shared" si="5"/>
        <v>0</v>
      </c>
      <c r="AS45" s="32"/>
      <c r="AT45" s="32"/>
      <c r="AU45" s="32">
        <v>1</v>
      </c>
      <c r="AV45" s="30"/>
      <c r="AW45" s="2"/>
      <c r="AX45" s="2" t="s">
        <v>4429</v>
      </c>
      <c r="AZ45" s="75" t="s">
        <v>4632</v>
      </c>
    </row>
    <row r="46" spans="1:52" ht="16.5">
      <c r="A46" s="25" t="s">
        <v>4805</v>
      </c>
      <c r="B46" s="25" t="s">
        <v>4398</v>
      </c>
      <c r="C46" s="25" t="s">
        <v>68</v>
      </c>
      <c r="D46" s="25" t="s">
        <v>4745</v>
      </c>
      <c r="E46" s="258" t="s">
        <v>4806</v>
      </c>
      <c r="F46" s="25" t="s">
        <v>4807</v>
      </c>
      <c r="G46" s="25" t="s">
        <v>165</v>
      </c>
      <c r="H46" s="25"/>
      <c r="I46" s="26" t="s">
        <v>4402</v>
      </c>
      <c r="J46" s="26" t="s">
        <v>4786</v>
      </c>
      <c r="K46" s="38" t="s">
        <v>4404</v>
      </c>
      <c r="L46" s="158" t="s">
        <v>4405</v>
      </c>
      <c r="M46" s="25" t="s">
        <v>73</v>
      </c>
      <c r="N46" s="25" t="s">
        <v>4808</v>
      </c>
      <c r="O46" s="26" t="s">
        <v>4809</v>
      </c>
      <c r="P46" t="s">
        <v>4810</v>
      </c>
      <c r="Q46" s="26"/>
      <c r="R46" s="29">
        <v>4</v>
      </c>
      <c r="S46" s="29" t="s">
        <v>4409</v>
      </c>
      <c r="T46" s="29" t="s">
        <v>4811</v>
      </c>
      <c r="U46" s="26" t="s">
        <v>77</v>
      </c>
      <c r="V46" s="30" t="s">
        <v>78</v>
      </c>
      <c r="W46" s="30" t="s">
        <v>79</v>
      </c>
      <c r="X46" s="26" t="s">
        <v>4639</v>
      </c>
      <c r="Y46" s="26" t="s">
        <v>4412</v>
      </c>
      <c r="Z46" s="26" t="s">
        <v>81</v>
      </c>
      <c r="AA46" s="26" t="s">
        <v>81</v>
      </c>
      <c r="AB46" s="25" t="s">
        <v>11</v>
      </c>
      <c r="AC46" s="30" t="s">
        <v>172</v>
      </c>
      <c r="AD46" s="25" t="s">
        <v>172</v>
      </c>
      <c r="AE46" s="25" t="s">
        <v>174</v>
      </c>
      <c r="AF46" s="26" t="s">
        <v>175</v>
      </c>
      <c r="AG46" s="32">
        <f t="shared" si="3"/>
        <v>1</v>
      </c>
      <c r="AH46" s="32">
        <v>1</v>
      </c>
      <c r="AI46" s="32">
        <v>1</v>
      </c>
      <c r="AJ46" s="32">
        <v>1</v>
      </c>
      <c r="AK46" s="30"/>
      <c r="AL46" s="30"/>
      <c r="AM46" s="32">
        <f t="shared" si="4"/>
        <v>1</v>
      </c>
      <c r="AN46" s="30"/>
      <c r="AO46" s="32">
        <v>1</v>
      </c>
      <c r="AP46" s="30"/>
      <c r="AQ46" s="30"/>
      <c r="AR46" s="32">
        <f t="shared" si="5"/>
        <v>0</v>
      </c>
      <c r="AS46" s="32"/>
      <c r="AT46" s="32"/>
      <c r="AU46" s="32">
        <v>1</v>
      </c>
      <c r="AV46" s="30"/>
      <c r="AW46" s="2"/>
      <c r="AX46" s="2" t="s">
        <v>4445</v>
      </c>
      <c r="AZ46" s="75" t="s">
        <v>4720</v>
      </c>
    </row>
    <row r="47" spans="1:52" ht="16.5">
      <c r="A47" s="25" t="s">
        <v>4812</v>
      </c>
      <c r="B47" s="25" t="s">
        <v>4398</v>
      </c>
      <c r="C47" s="25" t="s">
        <v>68</v>
      </c>
      <c r="D47" s="25" t="s">
        <v>4661</v>
      </c>
      <c r="E47" s="258" t="s">
        <v>4813</v>
      </c>
      <c r="F47" s="25" t="s">
        <v>4814</v>
      </c>
      <c r="G47" s="25" t="s">
        <v>165</v>
      </c>
      <c r="H47" s="25"/>
      <c r="I47" s="26" t="s">
        <v>4402</v>
      </c>
      <c r="J47" s="26" t="s">
        <v>4786</v>
      </c>
      <c r="K47" s="38" t="s">
        <v>4404</v>
      </c>
      <c r="L47" s="158" t="s">
        <v>4405</v>
      </c>
      <c r="M47" s="25" t="s">
        <v>73</v>
      </c>
      <c r="N47" s="25" t="s">
        <v>4815</v>
      </c>
      <c r="O47" s="26" t="s">
        <v>4816</v>
      </c>
      <c r="P47" t="s">
        <v>4817</v>
      </c>
      <c r="Q47" s="26"/>
      <c r="R47" s="29">
        <v>4</v>
      </c>
      <c r="S47" s="29" t="s">
        <v>4409</v>
      </c>
      <c r="T47" s="29" t="s">
        <v>4818</v>
      </c>
      <c r="U47" s="26" t="s">
        <v>77</v>
      </c>
      <c r="V47" s="30" t="s">
        <v>78</v>
      </c>
      <c r="W47" s="30" t="s">
        <v>79</v>
      </c>
      <c r="X47" s="26" t="s">
        <v>4639</v>
      </c>
      <c r="Y47" s="26" t="s">
        <v>4412</v>
      </c>
      <c r="Z47" s="26" t="s">
        <v>81</v>
      </c>
      <c r="AA47" s="26" t="s">
        <v>81</v>
      </c>
      <c r="AB47" s="25" t="s">
        <v>11</v>
      </c>
      <c r="AC47" s="30" t="s">
        <v>172</v>
      </c>
      <c r="AD47" s="25" t="s">
        <v>172</v>
      </c>
      <c r="AE47" s="25" t="s">
        <v>174</v>
      </c>
      <c r="AF47" s="26" t="s">
        <v>175</v>
      </c>
      <c r="AG47" s="32">
        <f t="shared" si="3"/>
        <v>1</v>
      </c>
      <c r="AH47" s="32">
        <v>1</v>
      </c>
      <c r="AI47" s="32">
        <v>1</v>
      </c>
      <c r="AJ47" s="32">
        <v>1</v>
      </c>
      <c r="AK47" s="30"/>
      <c r="AL47" s="30"/>
      <c r="AM47" s="32">
        <f t="shared" si="4"/>
        <v>1</v>
      </c>
      <c r="AN47" s="30"/>
      <c r="AO47" s="32">
        <v>1</v>
      </c>
      <c r="AP47" s="30"/>
      <c r="AQ47" s="30"/>
      <c r="AR47" s="32">
        <f t="shared" si="5"/>
        <v>0</v>
      </c>
      <c r="AS47" s="32"/>
      <c r="AT47" s="32"/>
      <c r="AU47" s="32">
        <v>1</v>
      </c>
      <c r="AV47" s="30"/>
      <c r="AW47" s="2"/>
      <c r="AX47" s="2" t="s">
        <v>4463</v>
      </c>
      <c r="AZ47" s="75" t="s">
        <v>4756</v>
      </c>
    </row>
    <row r="48" spans="1:52" ht="16.5">
      <c r="A48" s="25" t="s">
        <v>4819</v>
      </c>
      <c r="B48" s="25" t="s">
        <v>4398</v>
      </c>
      <c r="C48" s="25" t="s">
        <v>68</v>
      </c>
      <c r="D48" s="25" t="s">
        <v>4718</v>
      </c>
      <c r="E48" s="258" t="s">
        <v>4820</v>
      </c>
      <c r="F48" s="25" t="s">
        <v>4821</v>
      </c>
      <c r="G48" s="25" t="s">
        <v>165</v>
      </c>
      <c r="H48" s="25"/>
      <c r="I48" s="26" t="s">
        <v>4402</v>
      </c>
      <c r="J48" s="26" t="s">
        <v>4786</v>
      </c>
      <c r="K48" s="38" t="s">
        <v>4404</v>
      </c>
      <c r="L48" s="158" t="s">
        <v>4405</v>
      </c>
      <c r="M48" s="25" t="s">
        <v>73</v>
      </c>
      <c r="N48" s="25" t="s">
        <v>4822</v>
      </c>
      <c r="O48" s="26" t="s">
        <v>4823</v>
      </c>
      <c r="P48" t="s">
        <v>4824</v>
      </c>
      <c r="Q48" s="26"/>
      <c r="R48" s="29">
        <v>4</v>
      </c>
      <c r="S48" s="29" t="s">
        <v>4409</v>
      </c>
      <c r="T48" s="29" t="s">
        <v>4825</v>
      </c>
      <c r="U48" s="26" t="s">
        <v>77</v>
      </c>
      <c r="V48" s="30" t="s">
        <v>78</v>
      </c>
      <c r="W48" s="30" t="s">
        <v>79</v>
      </c>
      <c r="X48" s="26" t="s">
        <v>4639</v>
      </c>
      <c r="Y48" s="26" t="s">
        <v>4412</v>
      </c>
      <c r="Z48" s="26" t="s">
        <v>81</v>
      </c>
      <c r="AA48" s="26" t="s">
        <v>81</v>
      </c>
      <c r="AB48" s="25" t="s">
        <v>11</v>
      </c>
      <c r="AC48" s="30" t="s">
        <v>172</v>
      </c>
      <c r="AD48" s="25" t="s">
        <v>172</v>
      </c>
      <c r="AE48" s="25" t="s">
        <v>174</v>
      </c>
      <c r="AF48" s="26" t="s">
        <v>175</v>
      </c>
      <c r="AG48" s="32">
        <f t="shared" si="3"/>
        <v>1</v>
      </c>
      <c r="AH48" s="32">
        <v>1</v>
      </c>
      <c r="AI48" s="32">
        <v>1</v>
      </c>
      <c r="AJ48" s="32">
        <v>1</v>
      </c>
      <c r="AK48" s="30"/>
      <c r="AL48" s="30"/>
      <c r="AM48" s="32">
        <f t="shared" si="4"/>
        <v>1</v>
      </c>
      <c r="AN48" s="30"/>
      <c r="AO48" s="32">
        <v>1</v>
      </c>
      <c r="AP48" s="30"/>
      <c r="AQ48" s="30"/>
      <c r="AR48" s="32">
        <f t="shared" si="5"/>
        <v>0</v>
      </c>
      <c r="AS48" s="32"/>
      <c r="AT48" s="32"/>
      <c r="AU48" s="32">
        <v>1</v>
      </c>
      <c r="AV48" s="30"/>
      <c r="AW48" s="2"/>
      <c r="AX48" s="2" t="s">
        <v>4455</v>
      </c>
      <c r="AZ48" s="75" t="s">
        <v>4747</v>
      </c>
    </row>
    <row r="49" spans="1:52" ht="16.5">
      <c r="A49" s="25" t="s">
        <v>4826</v>
      </c>
      <c r="B49" s="25" t="s">
        <v>4398</v>
      </c>
      <c r="C49" s="25" t="s">
        <v>68</v>
      </c>
      <c r="D49" s="25" t="s">
        <v>4763</v>
      </c>
      <c r="E49" s="258" t="s">
        <v>4827</v>
      </c>
      <c r="F49" s="25" t="s">
        <v>4828</v>
      </c>
      <c r="G49" s="25" t="s">
        <v>165</v>
      </c>
      <c r="H49" s="25"/>
      <c r="I49" s="26" t="s">
        <v>4402</v>
      </c>
      <c r="J49" s="26" t="s">
        <v>4786</v>
      </c>
      <c r="K49" s="38" t="s">
        <v>4404</v>
      </c>
      <c r="L49" s="158" t="s">
        <v>4405</v>
      </c>
      <c r="M49" s="25" t="s">
        <v>73</v>
      </c>
      <c r="N49" s="25" t="s">
        <v>4829</v>
      </c>
      <c r="O49" s="26" t="s">
        <v>4830</v>
      </c>
      <c r="P49" t="s">
        <v>4831</v>
      </c>
      <c r="Q49" s="26"/>
      <c r="R49" s="29">
        <v>4</v>
      </c>
      <c r="S49" s="29" t="s">
        <v>4409</v>
      </c>
      <c r="T49" s="29" t="s">
        <v>4832</v>
      </c>
      <c r="U49" s="26" t="s">
        <v>77</v>
      </c>
      <c r="V49" s="30" t="s">
        <v>78</v>
      </c>
      <c r="W49" s="30" t="s">
        <v>79</v>
      </c>
      <c r="X49" s="26" t="s">
        <v>4639</v>
      </c>
      <c r="Y49" s="26" t="s">
        <v>4412</v>
      </c>
      <c r="Z49" s="26" t="s">
        <v>81</v>
      </c>
      <c r="AA49" s="26" t="s">
        <v>81</v>
      </c>
      <c r="AB49" s="25" t="s">
        <v>11</v>
      </c>
      <c r="AC49" s="30" t="s">
        <v>172</v>
      </c>
      <c r="AD49" s="25" t="s">
        <v>172</v>
      </c>
      <c r="AE49" s="25" t="s">
        <v>174</v>
      </c>
      <c r="AF49" s="26" t="s">
        <v>175</v>
      </c>
      <c r="AG49" s="32">
        <f t="shared" si="3"/>
        <v>1</v>
      </c>
      <c r="AH49" s="32">
        <v>1</v>
      </c>
      <c r="AI49" s="32">
        <v>1</v>
      </c>
      <c r="AJ49" s="32">
        <v>1</v>
      </c>
      <c r="AK49" s="30"/>
      <c r="AL49" s="30"/>
      <c r="AM49" s="32">
        <f t="shared" si="4"/>
        <v>1</v>
      </c>
      <c r="AN49" s="30"/>
      <c r="AO49" s="32">
        <v>1</v>
      </c>
      <c r="AP49" s="30"/>
      <c r="AQ49" s="30"/>
      <c r="AR49" s="32">
        <f t="shared" si="5"/>
        <v>0</v>
      </c>
      <c r="AS49" s="32"/>
      <c r="AT49" s="32"/>
      <c r="AU49" s="32">
        <v>1</v>
      </c>
      <c r="AV49" s="30"/>
      <c r="AW49" s="2"/>
      <c r="AX49" s="2" t="s">
        <v>4418</v>
      </c>
      <c r="AZ49" s="75" t="s">
        <v>4783</v>
      </c>
    </row>
    <row r="50" spans="1:52" ht="16.5">
      <c r="A50" s="25" t="s">
        <v>4833</v>
      </c>
      <c r="B50" s="25" t="s">
        <v>4398</v>
      </c>
      <c r="C50" s="25" t="s">
        <v>68</v>
      </c>
      <c r="D50" s="25" t="s">
        <v>4681</v>
      </c>
      <c r="E50" s="258" t="s">
        <v>4834</v>
      </c>
      <c r="F50" s="25" t="s">
        <v>4835</v>
      </c>
      <c r="G50" s="25" t="s">
        <v>165</v>
      </c>
      <c r="H50" s="25"/>
      <c r="I50" s="26" t="s">
        <v>4402</v>
      </c>
      <c r="J50" s="26" t="s">
        <v>4836</v>
      </c>
      <c r="K50" s="38" t="s">
        <v>4404</v>
      </c>
      <c r="L50" s="158" t="s">
        <v>4405</v>
      </c>
      <c r="M50" s="25" t="s">
        <v>73</v>
      </c>
      <c r="N50" s="25" t="s">
        <v>4837</v>
      </c>
      <c r="O50" s="26" t="s">
        <v>4838</v>
      </c>
      <c r="P50" t="s">
        <v>4839</v>
      </c>
      <c r="Q50" s="26"/>
      <c r="R50" s="29">
        <v>4</v>
      </c>
      <c r="S50" s="29" t="s">
        <v>4409</v>
      </c>
      <c r="T50" s="29" t="s">
        <v>4840</v>
      </c>
      <c r="U50" s="26" t="s">
        <v>77</v>
      </c>
      <c r="V50" s="30" t="s">
        <v>78</v>
      </c>
      <c r="W50" s="30" t="s">
        <v>79</v>
      </c>
      <c r="X50" s="26" t="s">
        <v>4639</v>
      </c>
      <c r="Y50" s="26" t="s">
        <v>4412</v>
      </c>
      <c r="Z50" s="26" t="s">
        <v>81</v>
      </c>
      <c r="AA50" s="26" t="s">
        <v>81</v>
      </c>
      <c r="AB50" s="25" t="s">
        <v>11</v>
      </c>
      <c r="AC50" s="30" t="s">
        <v>172</v>
      </c>
      <c r="AD50" s="25" t="s">
        <v>172</v>
      </c>
      <c r="AE50" s="25" t="s">
        <v>174</v>
      </c>
      <c r="AF50" s="26" t="s">
        <v>175</v>
      </c>
      <c r="AG50" s="32">
        <f t="shared" si="3"/>
        <v>1</v>
      </c>
      <c r="AH50" s="32">
        <v>1</v>
      </c>
      <c r="AI50" s="32">
        <v>1</v>
      </c>
      <c r="AJ50" s="32">
        <v>1</v>
      </c>
      <c r="AK50" s="30"/>
      <c r="AL50" s="30"/>
      <c r="AM50" s="32">
        <f t="shared" si="4"/>
        <v>1</v>
      </c>
      <c r="AN50" s="30"/>
      <c r="AO50" s="32">
        <v>1</v>
      </c>
      <c r="AP50" s="30"/>
      <c r="AQ50" s="30"/>
      <c r="AR50" s="32">
        <f t="shared" si="5"/>
        <v>0</v>
      </c>
      <c r="AS50" s="32"/>
      <c r="AT50" s="32"/>
      <c r="AU50" s="32">
        <v>1</v>
      </c>
      <c r="AV50" s="30"/>
      <c r="AW50" s="2"/>
      <c r="AX50" s="2" t="s">
        <v>4500</v>
      </c>
      <c r="AZ50" s="75" t="s">
        <v>4841</v>
      </c>
    </row>
    <row r="51" spans="1:52" ht="16.5">
      <c r="A51" s="25" t="s">
        <v>4842</v>
      </c>
      <c r="B51" s="25" t="s">
        <v>4398</v>
      </c>
      <c r="C51" s="25" t="s">
        <v>68</v>
      </c>
      <c r="D51" s="25" t="s">
        <v>4691</v>
      </c>
      <c r="E51" s="258" t="s">
        <v>4843</v>
      </c>
      <c r="F51" s="25" t="s">
        <v>4844</v>
      </c>
      <c r="G51" s="25" t="s">
        <v>165</v>
      </c>
      <c r="H51" s="25"/>
      <c r="I51" s="26" t="s">
        <v>4402</v>
      </c>
      <c r="J51" s="26" t="s">
        <v>4836</v>
      </c>
      <c r="K51" s="38" t="s">
        <v>4404</v>
      </c>
      <c r="L51" s="158" t="s">
        <v>4405</v>
      </c>
      <c r="M51" s="25" t="s">
        <v>73</v>
      </c>
      <c r="N51" s="25" t="s">
        <v>4845</v>
      </c>
      <c r="O51" s="26" t="s">
        <v>4846</v>
      </c>
      <c r="P51" t="s">
        <v>4847</v>
      </c>
      <c r="Q51" s="26"/>
      <c r="R51" s="29">
        <v>4</v>
      </c>
      <c r="S51" s="29" t="s">
        <v>4409</v>
      </c>
      <c r="T51" s="29" t="s">
        <v>4848</v>
      </c>
      <c r="U51" s="26" t="s">
        <v>77</v>
      </c>
      <c r="V51" s="30" t="s">
        <v>78</v>
      </c>
      <c r="W51" s="30" t="s">
        <v>79</v>
      </c>
      <c r="X51" s="26" t="s">
        <v>4639</v>
      </c>
      <c r="Y51" s="26" t="s">
        <v>4412</v>
      </c>
      <c r="Z51" s="26" t="s">
        <v>81</v>
      </c>
      <c r="AA51" s="26" t="s">
        <v>81</v>
      </c>
      <c r="AB51" s="25" t="s">
        <v>11</v>
      </c>
      <c r="AC51" s="30" t="s">
        <v>172</v>
      </c>
      <c r="AD51" s="25" t="s">
        <v>172</v>
      </c>
      <c r="AE51" s="25" t="s">
        <v>174</v>
      </c>
      <c r="AF51" s="26" t="s">
        <v>175</v>
      </c>
      <c r="AG51" s="32">
        <f t="shared" si="3"/>
        <v>1</v>
      </c>
      <c r="AH51" s="32">
        <v>1</v>
      </c>
      <c r="AI51" s="32">
        <v>1</v>
      </c>
      <c r="AJ51" s="32">
        <v>1</v>
      </c>
      <c r="AK51" s="30"/>
      <c r="AL51" s="30"/>
      <c r="AM51" s="32">
        <f t="shared" si="4"/>
        <v>1</v>
      </c>
      <c r="AN51" s="30"/>
      <c r="AO51" s="32">
        <v>1</v>
      </c>
      <c r="AP51" s="30"/>
      <c r="AQ51" s="30"/>
      <c r="AR51" s="32">
        <f t="shared" si="5"/>
        <v>0</v>
      </c>
      <c r="AS51" s="32"/>
      <c r="AT51" s="32"/>
      <c r="AU51" s="32">
        <v>1</v>
      </c>
      <c r="AV51" s="30"/>
      <c r="AW51" s="2"/>
      <c r="AX51" s="2" t="s">
        <v>4610</v>
      </c>
      <c r="AZ51" s="75" t="s">
        <v>4693</v>
      </c>
    </row>
    <row r="52" spans="1:52" ht="16.5">
      <c r="A52" s="25" t="s">
        <v>4849</v>
      </c>
      <c r="B52" s="25" t="s">
        <v>4398</v>
      </c>
      <c r="C52" s="25" t="s">
        <v>73</v>
      </c>
      <c r="D52" s="25" t="s">
        <v>4841</v>
      </c>
      <c r="E52" s="258" t="s">
        <v>4850</v>
      </c>
      <c r="F52" s="25" t="s">
        <v>4851</v>
      </c>
      <c r="G52" s="25" t="s">
        <v>165</v>
      </c>
      <c r="H52" s="25"/>
      <c r="I52" s="26" t="s">
        <v>4402</v>
      </c>
      <c r="J52" s="26" t="s">
        <v>4836</v>
      </c>
      <c r="K52" s="38" t="s">
        <v>4404</v>
      </c>
      <c r="L52" s="158" t="s">
        <v>4405</v>
      </c>
      <c r="M52" s="25" t="s">
        <v>73</v>
      </c>
      <c r="N52" s="25" t="s">
        <v>4468</v>
      </c>
      <c r="O52" s="26" t="s">
        <v>4852</v>
      </c>
      <c r="P52" t="s">
        <v>4853</v>
      </c>
      <c r="Q52" s="26"/>
      <c r="R52" s="32">
        <v>4</v>
      </c>
      <c r="S52" s="25" t="s">
        <v>4585</v>
      </c>
      <c r="T52" s="32" t="s">
        <v>4854</v>
      </c>
      <c r="U52" s="26" t="s">
        <v>77</v>
      </c>
      <c r="V52" s="30" t="s">
        <v>78</v>
      </c>
      <c r="W52" s="30" t="s">
        <v>79</v>
      </c>
      <c r="X52" s="26" t="s">
        <v>4639</v>
      </c>
      <c r="Y52" s="26" t="s">
        <v>4412</v>
      </c>
      <c r="Z52" s="26" t="s">
        <v>81</v>
      </c>
      <c r="AA52" s="26" t="s">
        <v>81</v>
      </c>
      <c r="AB52" s="25" t="s">
        <v>11</v>
      </c>
      <c r="AC52" s="30" t="s">
        <v>172</v>
      </c>
      <c r="AD52" s="25" t="s">
        <v>4423</v>
      </c>
      <c r="AE52" s="25" t="s">
        <v>174</v>
      </c>
      <c r="AF52" s="26" t="s">
        <v>175</v>
      </c>
      <c r="AG52" s="32">
        <f t="shared" si="3"/>
        <v>1</v>
      </c>
      <c r="AH52" s="32">
        <v>1</v>
      </c>
      <c r="AI52" s="32">
        <v>1</v>
      </c>
      <c r="AJ52" s="32">
        <v>1</v>
      </c>
      <c r="AK52" s="30"/>
      <c r="AL52" s="30"/>
      <c r="AM52" s="32">
        <f t="shared" si="4"/>
        <v>1</v>
      </c>
      <c r="AN52" s="30"/>
      <c r="AO52" s="32">
        <v>1</v>
      </c>
      <c r="AP52" s="30"/>
      <c r="AQ52" s="30"/>
      <c r="AR52" s="32">
        <f t="shared" si="5"/>
        <v>0</v>
      </c>
      <c r="AS52" s="32"/>
      <c r="AT52" s="25" t="s">
        <v>4659</v>
      </c>
      <c r="AU52" s="32">
        <v>1</v>
      </c>
      <c r="AV52" s="30"/>
      <c r="AW52" s="2"/>
      <c r="AX52" s="2" t="s">
        <v>4518</v>
      </c>
      <c r="AZ52" s="75" t="s">
        <v>4738</v>
      </c>
    </row>
    <row r="53" spans="1:52" ht="16.5">
      <c r="A53" s="25" t="s">
        <v>4855</v>
      </c>
      <c r="B53" s="25" t="s">
        <v>4398</v>
      </c>
      <c r="C53" s="25" t="s">
        <v>68</v>
      </c>
      <c r="D53" s="25" t="s">
        <v>4781</v>
      </c>
      <c r="E53" s="258" t="s">
        <v>4856</v>
      </c>
      <c r="F53" s="25" t="s">
        <v>4857</v>
      </c>
      <c r="G53" s="25" t="s">
        <v>165</v>
      </c>
      <c r="H53" s="25"/>
      <c r="I53" s="26" t="s">
        <v>4402</v>
      </c>
      <c r="J53" s="26" t="s">
        <v>4836</v>
      </c>
      <c r="K53" s="38" t="s">
        <v>4404</v>
      </c>
      <c r="L53" s="158" t="s">
        <v>4405</v>
      </c>
      <c r="M53" s="25" t="s">
        <v>73</v>
      </c>
      <c r="N53" s="25" t="s">
        <v>4858</v>
      </c>
      <c r="O53" s="26" t="s">
        <v>4859</v>
      </c>
      <c r="P53" t="s">
        <v>4860</v>
      </c>
      <c r="Q53" s="26"/>
      <c r="R53" s="29">
        <v>4</v>
      </c>
      <c r="S53" s="29" t="s">
        <v>4409</v>
      </c>
      <c r="T53" s="29" t="s">
        <v>4861</v>
      </c>
      <c r="U53" s="26" t="s">
        <v>77</v>
      </c>
      <c r="V53" s="30" t="s">
        <v>78</v>
      </c>
      <c r="W53" s="30" t="s">
        <v>79</v>
      </c>
      <c r="X53" s="38" t="s">
        <v>4639</v>
      </c>
      <c r="Y53" s="26" t="s">
        <v>4412</v>
      </c>
      <c r="Z53" s="26" t="s">
        <v>81</v>
      </c>
      <c r="AA53" s="26" t="s">
        <v>81</v>
      </c>
      <c r="AB53" s="25" t="s">
        <v>11</v>
      </c>
      <c r="AC53" s="30" t="s">
        <v>172</v>
      </c>
      <c r="AD53" s="25" t="s">
        <v>172</v>
      </c>
      <c r="AE53" s="25" t="s">
        <v>174</v>
      </c>
      <c r="AF53" s="26" t="s">
        <v>175</v>
      </c>
      <c r="AG53" s="32">
        <f t="shared" si="3"/>
        <v>1</v>
      </c>
      <c r="AH53" s="32">
        <v>1</v>
      </c>
      <c r="AI53" s="32">
        <v>1</v>
      </c>
      <c r="AJ53" s="32">
        <v>1</v>
      </c>
      <c r="AK53" s="30"/>
      <c r="AL53" s="30"/>
      <c r="AM53" s="32">
        <f t="shared" si="4"/>
        <v>1</v>
      </c>
      <c r="AN53" s="30"/>
      <c r="AO53" s="32">
        <v>1</v>
      </c>
      <c r="AP53" s="30"/>
      <c r="AQ53" s="30"/>
      <c r="AR53" s="32">
        <f t="shared" si="5"/>
        <v>0</v>
      </c>
      <c r="AS53" s="32"/>
      <c r="AT53" s="32"/>
      <c r="AU53" s="32">
        <v>1</v>
      </c>
      <c r="AV53" s="30"/>
      <c r="AW53" s="2"/>
      <c r="AX53" s="2" t="s">
        <v>4510</v>
      </c>
      <c r="AZ53" s="75" t="s">
        <v>4653</v>
      </c>
    </row>
    <row r="54" spans="1:52" ht="16.5">
      <c r="A54" s="25" t="s">
        <v>4862</v>
      </c>
      <c r="B54" s="25" t="s">
        <v>4398</v>
      </c>
      <c r="C54" s="25" t="s">
        <v>68</v>
      </c>
      <c r="D54" s="25" t="s">
        <v>4863</v>
      </c>
      <c r="E54" s="258" t="s">
        <v>4864</v>
      </c>
      <c r="F54" s="25" t="s">
        <v>4865</v>
      </c>
      <c r="G54" s="25" t="s">
        <v>165</v>
      </c>
      <c r="H54" s="25"/>
      <c r="I54" s="26" t="s">
        <v>4402</v>
      </c>
      <c r="J54" s="26" t="s">
        <v>4836</v>
      </c>
      <c r="K54" s="38" t="s">
        <v>4404</v>
      </c>
      <c r="L54" s="158" t="s">
        <v>4405</v>
      </c>
      <c r="M54" s="25" t="s">
        <v>73</v>
      </c>
      <c r="N54" s="25" t="s">
        <v>4522</v>
      </c>
      <c r="O54" s="26" t="s">
        <v>4866</v>
      </c>
      <c r="P54" t="s">
        <v>4867</v>
      </c>
      <c r="Q54" s="26"/>
      <c r="R54" s="29">
        <v>4</v>
      </c>
      <c r="S54" s="29" t="s">
        <v>4409</v>
      </c>
      <c r="T54" s="29" t="s">
        <v>4868</v>
      </c>
      <c r="U54" s="26" t="s">
        <v>77</v>
      </c>
      <c r="V54" s="30" t="s">
        <v>78</v>
      </c>
      <c r="W54" s="30" t="s">
        <v>79</v>
      </c>
      <c r="X54" s="38" t="s">
        <v>4869</v>
      </c>
      <c r="Y54" s="26" t="s">
        <v>4412</v>
      </c>
      <c r="Z54" s="26" t="s">
        <v>81</v>
      </c>
      <c r="AA54" s="26" t="s">
        <v>81</v>
      </c>
      <c r="AB54" s="25" t="s">
        <v>13</v>
      </c>
      <c r="AC54" s="30" t="s">
        <v>172</v>
      </c>
      <c r="AD54" s="25" t="s">
        <v>172</v>
      </c>
      <c r="AE54" s="25" t="s">
        <v>174</v>
      </c>
      <c r="AF54" s="26" t="s">
        <v>175</v>
      </c>
      <c r="AG54" s="32">
        <f t="shared" si="3"/>
        <v>1</v>
      </c>
      <c r="AH54" s="32">
        <v>1</v>
      </c>
      <c r="AI54" s="32">
        <v>1</v>
      </c>
      <c r="AJ54" s="32">
        <v>1</v>
      </c>
      <c r="AK54" s="30"/>
      <c r="AL54" s="30"/>
      <c r="AM54" s="32">
        <f t="shared" si="4"/>
        <v>1</v>
      </c>
      <c r="AN54" s="30"/>
      <c r="AO54" s="32">
        <v>1</v>
      </c>
      <c r="AP54" s="30"/>
      <c r="AQ54" s="30"/>
      <c r="AR54" s="32">
        <f t="shared" si="5"/>
        <v>0</v>
      </c>
      <c r="AS54" s="32"/>
      <c r="AT54" s="32"/>
      <c r="AU54" s="32">
        <v>1</v>
      </c>
      <c r="AV54" s="30"/>
      <c r="AW54" s="2"/>
      <c r="AX54" s="2" t="s">
        <v>4564</v>
      </c>
      <c r="AZ54" s="75" t="s">
        <v>4701</v>
      </c>
    </row>
    <row r="55" spans="1:52" ht="16.5">
      <c r="A55" s="25" t="s">
        <v>4870</v>
      </c>
      <c r="B55" s="25" t="s">
        <v>4398</v>
      </c>
      <c r="C55" s="25" t="s">
        <v>68</v>
      </c>
      <c r="D55" s="25" t="s">
        <v>4871</v>
      </c>
      <c r="E55" s="258" t="s">
        <v>4872</v>
      </c>
      <c r="F55" s="25" t="s">
        <v>4873</v>
      </c>
      <c r="G55" s="25" t="s">
        <v>165</v>
      </c>
      <c r="H55" s="25"/>
      <c r="I55" s="26" t="s">
        <v>4402</v>
      </c>
      <c r="J55" s="26" t="s">
        <v>4836</v>
      </c>
      <c r="K55" s="38" t="s">
        <v>4404</v>
      </c>
      <c r="L55" s="158" t="s">
        <v>4405</v>
      </c>
      <c r="M55" s="25" t="s">
        <v>73</v>
      </c>
      <c r="N55" s="25" t="s">
        <v>4874</v>
      </c>
      <c r="O55" s="26" t="s">
        <v>4875</v>
      </c>
      <c r="P55" t="s">
        <v>4876</v>
      </c>
      <c r="Q55" s="26"/>
      <c r="R55" s="29">
        <v>4</v>
      </c>
      <c r="S55" s="29" t="s">
        <v>4409</v>
      </c>
      <c r="T55" s="29" t="s">
        <v>4877</v>
      </c>
      <c r="U55" s="26" t="s">
        <v>77</v>
      </c>
      <c r="V55" s="30" t="s">
        <v>78</v>
      </c>
      <c r="W55" s="30" t="s">
        <v>79</v>
      </c>
      <c r="X55" s="38" t="s">
        <v>4869</v>
      </c>
      <c r="Y55" s="26" t="s">
        <v>4412</v>
      </c>
      <c r="Z55" s="26" t="s">
        <v>81</v>
      </c>
      <c r="AA55" s="26" t="s">
        <v>81</v>
      </c>
      <c r="AB55" s="25" t="s">
        <v>13</v>
      </c>
      <c r="AC55" s="30" t="s">
        <v>172</v>
      </c>
      <c r="AD55" s="25" t="s">
        <v>172</v>
      </c>
      <c r="AE55" s="25" t="s">
        <v>174</v>
      </c>
      <c r="AF55" s="26" t="s">
        <v>175</v>
      </c>
      <c r="AG55" s="32">
        <f t="shared" si="3"/>
        <v>1</v>
      </c>
      <c r="AH55" s="32">
        <v>1</v>
      </c>
      <c r="AI55" s="32">
        <v>1</v>
      </c>
      <c r="AJ55" s="32">
        <v>1</v>
      </c>
      <c r="AK55" s="30"/>
      <c r="AL55" s="30"/>
      <c r="AM55" s="32">
        <f t="shared" si="4"/>
        <v>1</v>
      </c>
      <c r="AN55" s="30"/>
      <c r="AO55" s="32">
        <v>1</v>
      </c>
      <c r="AP55" s="30"/>
      <c r="AQ55" s="30"/>
      <c r="AR55" s="32">
        <f t="shared" si="5"/>
        <v>0</v>
      </c>
      <c r="AS55" s="32"/>
      <c r="AT55" s="32"/>
      <c r="AU55" s="32">
        <v>1</v>
      </c>
      <c r="AV55" s="30"/>
      <c r="AW55" s="2"/>
      <c r="AX55" s="2" t="s">
        <v>4556</v>
      </c>
      <c r="AZ55" s="75" t="s">
        <v>4878</v>
      </c>
    </row>
    <row r="56" spans="1:52" ht="16.5">
      <c r="A56" s="25" t="s">
        <v>4879</v>
      </c>
      <c r="B56" s="25" t="s">
        <v>4880</v>
      </c>
      <c r="C56" s="25" t="s">
        <v>73</v>
      </c>
      <c r="D56" s="25" t="s">
        <v>4881</v>
      </c>
      <c r="E56" s="258" t="s">
        <v>4882</v>
      </c>
      <c r="F56" s="25" t="s">
        <v>4883</v>
      </c>
      <c r="G56" s="25" t="s">
        <v>165</v>
      </c>
      <c r="H56" s="25"/>
      <c r="I56" s="26" t="s">
        <v>4402</v>
      </c>
      <c r="J56" s="26" t="s">
        <v>4884</v>
      </c>
      <c r="K56" s="38" t="s">
        <v>4404</v>
      </c>
      <c r="L56" s="158" t="s">
        <v>166</v>
      </c>
      <c r="M56" s="25" t="s">
        <v>73</v>
      </c>
      <c r="N56" s="25" t="s">
        <v>4885</v>
      </c>
      <c r="O56" s="26" t="s">
        <v>4886</v>
      </c>
      <c r="P56" t="s">
        <v>4887</v>
      </c>
      <c r="Q56" s="26"/>
      <c r="R56" s="32">
        <v>4</v>
      </c>
      <c r="S56" s="25" t="s">
        <v>4585</v>
      </c>
      <c r="T56" s="30" t="s">
        <v>4888</v>
      </c>
      <c r="U56" s="26" t="s">
        <v>77</v>
      </c>
      <c r="V56" s="30" t="s">
        <v>78</v>
      </c>
      <c r="W56" s="30" t="s">
        <v>79</v>
      </c>
      <c r="X56" s="38" t="s">
        <v>4869</v>
      </c>
      <c r="Y56" s="26" t="s">
        <v>4412</v>
      </c>
      <c r="Z56" s="26" t="s">
        <v>81</v>
      </c>
      <c r="AA56" s="26" t="s">
        <v>81</v>
      </c>
      <c r="AB56" s="25" t="s">
        <v>13</v>
      </c>
      <c r="AC56" s="30" t="s">
        <v>172</v>
      </c>
      <c r="AD56" s="25" t="s">
        <v>4423</v>
      </c>
      <c r="AE56" s="25" t="s">
        <v>174</v>
      </c>
      <c r="AF56" s="26" t="s">
        <v>175</v>
      </c>
      <c r="AG56" s="32">
        <f t="shared" si="3"/>
        <v>1</v>
      </c>
      <c r="AH56" s="32">
        <v>1</v>
      </c>
      <c r="AI56" s="32"/>
      <c r="AJ56" s="30"/>
      <c r="AK56" s="30"/>
      <c r="AL56" s="30"/>
      <c r="AM56" s="30"/>
      <c r="AN56" s="30"/>
      <c r="AO56" s="30"/>
      <c r="AP56" s="30"/>
      <c r="AQ56" s="30"/>
      <c r="AR56" s="30"/>
      <c r="AS56" s="32"/>
      <c r="AT56" s="32"/>
      <c r="AU56" s="32"/>
      <c r="AV56" s="30"/>
      <c r="AW56" s="2"/>
      <c r="AX56" s="2" t="s">
        <v>4473</v>
      </c>
      <c r="AZ56" s="75" t="s">
        <v>4889</v>
      </c>
    </row>
    <row r="57" spans="1:52" ht="16.5">
      <c r="A57" s="25" t="s">
        <v>4890</v>
      </c>
      <c r="B57" s="25" t="s">
        <v>4398</v>
      </c>
      <c r="C57" s="25" t="s">
        <v>68</v>
      </c>
      <c r="D57" s="25" t="s">
        <v>4878</v>
      </c>
      <c r="E57" s="258" t="s">
        <v>4891</v>
      </c>
      <c r="F57" s="25" t="s">
        <v>4892</v>
      </c>
      <c r="G57" s="25" t="s">
        <v>165</v>
      </c>
      <c r="H57" s="25"/>
      <c r="I57" s="26" t="s">
        <v>4402</v>
      </c>
      <c r="J57" s="26" t="s">
        <v>4884</v>
      </c>
      <c r="K57" s="38" t="s">
        <v>4404</v>
      </c>
      <c r="L57" s="158" t="s">
        <v>4405</v>
      </c>
      <c r="M57" s="25" t="s">
        <v>73</v>
      </c>
      <c r="N57" s="25" t="s">
        <v>4893</v>
      </c>
      <c r="O57" s="26" t="s">
        <v>4894</v>
      </c>
      <c r="P57" t="s">
        <v>4895</v>
      </c>
      <c r="Q57" s="26"/>
      <c r="R57" s="29">
        <v>4</v>
      </c>
      <c r="S57" s="29" t="s">
        <v>4409</v>
      </c>
      <c r="T57" s="29" t="s">
        <v>4896</v>
      </c>
      <c r="U57" s="26" t="s">
        <v>77</v>
      </c>
      <c r="V57" s="30" t="s">
        <v>78</v>
      </c>
      <c r="W57" s="30" t="s">
        <v>79</v>
      </c>
      <c r="X57" s="38" t="s">
        <v>4869</v>
      </c>
      <c r="Y57" s="26" t="s">
        <v>4412</v>
      </c>
      <c r="Z57" s="26" t="s">
        <v>81</v>
      </c>
      <c r="AA57" s="26" t="s">
        <v>81</v>
      </c>
      <c r="AB57" s="25" t="s">
        <v>13</v>
      </c>
      <c r="AC57" s="30" t="s">
        <v>172</v>
      </c>
      <c r="AD57" s="25" t="s">
        <v>172</v>
      </c>
      <c r="AE57" s="25" t="s">
        <v>174</v>
      </c>
      <c r="AF57" s="26" t="s">
        <v>175</v>
      </c>
      <c r="AG57" s="32">
        <f t="shared" si="3"/>
        <v>1</v>
      </c>
      <c r="AH57" s="32">
        <v>1</v>
      </c>
      <c r="AI57" s="32">
        <v>1</v>
      </c>
      <c r="AJ57" s="32">
        <v>1</v>
      </c>
      <c r="AK57" s="30"/>
      <c r="AL57" s="30"/>
      <c r="AM57" s="32">
        <f t="shared" si="4"/>
        <v>1</v>
      </c>
      <c r="AN57" s="30"/>
      <c r="AO57" s="32">
        <v>1</v>
      </c>
      <c r="AP57" s="30"/>
      <c r="AQ57" s="30"/>
      <c r="AR57" s="32">
        <f t="shared" si="5"/>
        <v>0</v>
      </c>
      <c r="AS57" s="32"/>
      <c r="AT57" s="32"/>
      <c r="AU57" s="32">
        <v>1</v>
      </c>
      <c r="AV57" s="30"/>
      <c r="AW57" s="2"/>
      <c r="AX57" s="2" t="s">
        <v>4528</v>
      </c>
      <c r="AZ57" s="75" t="s">
        <v>4897</v>
      </c>
    </row>
    <row r="58" spans="1:52" ht="16.5">
      <c r="A58" s="25" t="s">
        <v>4898</v>
      </c>
      <c r="B58" s="25" t="s">
        <v>4398</v>
      </c>
      <c r="C58" s="25" t="s">
        <v>68</v>
      </c>
      <c r="D58" s="25" t="s">
        <v>4899</v>
      </c>
      <c r="E58" s="258" t="s">
        <v>4900</v>
      </c>
      <c r="F58" s="25" t="s">
        <v>4901</v>
      </c>
      <c r="G58" s="25" t="s">
        <v>165</v>
      </c>
      <c r="H58" s="25"/>
      <c r="I58" s="26" t="s">
        <v>4402</v>
      </c>
      <c r="J58" s="26" t="s">
        <v>4884</v>
      </c>
      <c r="K58" s="38" t="s">
        <v>4404</v>
      </c>
      <c r="L58" s="158" t="s">
        <v>4405</v>
      </c>
      <c r="M58" s="25" t="s">
        <v>73</v>
      </c>
      <c r="N58" s="25" t="s">
        <v>4902</v>
      </c>
      <c r="O58" s="26" t="s">
        <v>4903</v>
      </c>
      <c r="P58" t="s">
        <v>4904</v>
      </c>
      <c r="Q58" s="26"/>
      <c r="R58" s="29">
        <v>4</v>
      </c>
      <c r="S58" s="29" t="s">
        <v>4409</v>
      </c>
      <c r="T58" s="29" t="s">
        <v>4905</v>
      </c>
      <c r="U58" s="26" t="s">
        <v>77</v>
      </c>
      <c r="V58" s="30" t="s">
        <v>78</v>
      </c>
      <c r="W58" s="30" t="s">
        <v>79</v>
      </c>
      <c r="X58" s="38" t="s">
        <v>4869</v>
      </c>
      <c r="Y58" s="26" t="s">
        <v>4412</v>
      </c>
      <c r="Z58" s="26" t="s">
        <v>81</v>
      </c>
      <c r="AA58" s="26" t="s">
        <v>81</v>
      </c>
      <c r="AB58" s="25" t="s">
        <v>13</v>
      </c>
      <c r="AC58" s="30" t="s">
        <v>172</v>
      </c>
      <c r="AD58" s="25" t="s">
        <v>172</v>
      </c>
      <c r="AE58" s="25" t="s">
        <v>174</v>
      </c>
      <c r="AF58" s="26" t="s">
        <v>175</v>
      </c>
      <c r="AG58" s="32">
        <f t="shared" si="3"/>
        <v>1</v>
      </c>
      <c r="AH58" s="32">
        <v>1</v>
      </c>
      <c r="AI58" s="32">
        <v>1</v>
      </c>
      <c r="AJ58" s="32">
        <v>1</v>
      </c>
      <c r="AK58" s="30"/>
      <c r="AL58" s="30"/>
      <c r="AM58" s="32">
        <f t="shared" si="4"/>
        <v>1</v>
      </c>
      <c r="AN58" s="30"/>
      <c r="AO58" s="32">
        <v>1</v>
      </c>
      <c r="AP58" s="30"/>
      <c r="AQ58" s="30"/>
      <c r="AR58" s="32">
        <f t="shared" si="5"/>
        <v>0</v>
      </c>
      <c r="AS58" s="32"/>
      <c r="AT58" s="32"/>
      <c r="AU58" s="32">
        <v>1</v>
      </c>
      <c r="AV58" s="30"/>
      <c r="AW58" s="2"/>
      <c r="AX58" s="2" t="s">
        <v>4538</v>
      </c>
      <c r="AZ58" s="75" t="s">
        <v>4906</v>
      </c>
    </row>
    <row r="59" spans="1:52" ht="16.5">
      <c r="A59" s="25" t="s">
        <v>4907</v>
      </c>
      <c r="B59" s="25" t="s">
        <v>4398</v>
      </c>
      <c r="C59" s="25" t="s">
        <v>68</v>
      </c>
      <c r="D59" s="25" t="s">
        <v>4908</v>
      </c>
      <c r="E59" s="258" t="s">
        <v>4909</v>
      </c>
      <c r="F59" s="25" t="s">
        <v>4910</v>
      </c>
      <c r="G59" s="25" t="s">
        <v>165</v>
      </c>
      <c r="H59" s="25"/>
      <c r="I59" s="26" t="s">
        <v>4402</v>
      </c>
      <c r="J59" s="26" t="s">
        <v>4884</v>
      </c>
      <c r="K59" s="38" t="s">
        <v>4404</v>
      </c>
      <c r="L59" s="158" t="s">
        <v>4405</v>
      </c>
      <c r="M59" s="25" t="s">
        <v>73</v>
      </c>
      <c r="N59" s="25" t="s">
        <v>4543</v>
      </c>
      <c r="O59" s="26" t="s">
        <v>4911</v>
      </c>
      <c r="P59" t="s">
        <v>4912</v>
      </c>
      <c r="Q59" s="26"/>
      <c r="R59" s="29">
        <v>4</v>
      </c>
      <c r="S59" s="29" t="s">
        <v>4409</v>
      </c>
      <c r="T59" s="29" t="s">
        <v>4913</v>
      </c>
      <c r="U59" s="26" t="s">
        <v>77</v>
      </c>
      <c r="V59" s="30" t="s">
        <v>78</v>
      </c>
      <c r="W59" s="30" t="s">
        <v>79</v>
      </c>
      <c r="X59" s="38" t="s">
        <v>4869</v>
      </c>
      <c r="Y59" s="26" t="s">
        <v>4412</v>
      </c>
      <c r="Z59" s="26" t="s">
        <v>81</v>
      </c>
      <c r="AA59" s="26" t="s">
        <v>81</v>
      </c>
      <c r="AB59" s="25" t="s">
        <v>13</v>
      </c>
      <c r="AC59" s="30" t="s">
        <v>172</v>
      </c>
      <c r="AD59" s="25" t="s">
        <v>172</v>
      </c>
      <c r="AE59" s="25" t="s">
        <v>174</v>
      </c>
      <c r="AF59" s="26" t="s">
        <v>175</v>
      </c>
      <c r="AG59" s="32">
        <f t="shared" si="3"/>
        <v>1</v>
      </c>
      <c r="AH59" s="32">
        <v>1</v>
      </c>
      <c r="AI59" s="32">
        <v>1</v>
      </c>
      <c r="AJ59" s="32">
        <v>1</v>
      </c>
      <c r="AK59" s="30"/>
      <c r="AL59" s="30"/>
      <c r="AM59" s="32">
        <f t="shared" si="4"/>
        <v>1</v>
      </c>
      <c r="AN59" s="30"/>
      <c r="AO59" s="32">
        <v>1</v>
      </c>
      <c r="AP59" s="30"/>
      <c r="AQ59" s="30"/>
      <c r="AR59" s="32">
        <f t="shared" si="5"/>
        <v>0</v>
      </c>
      <c r="AS59" s="32"/>
      <c r="AT59" s="32"/>
      <c r="AU59" s="32">
        <v>1</v>
      </c>
      <c r="AV59" s="30"/>
      <c r="AW59" s="2"/>
      <c r="AX59" s="2" t="s">
        <v>4573</v>
      </c>
      <c r="AZ59" s="75" t="s">
        <v>4871</v>
      </c>
    </row>
    <row r="60" spans="1:52" ht="16.5">
      <c r="A60" s="25" t="s">
        <v>4914</v>
      </c>
      <c r="B60" s="25" t="s">
        <v>4398</v>
      </c>
      <c r="C60" s="25" t="s">
        <v>68</v>
      </c>
      <c r="D60" s="25" t="s">
        <v>4915</v>
      </c>
      <c r="E60" s="258" t="s">
        <v>4916</v>
      </c>
      <c r="F60" s="25" t="s">
        <v>4917</v>
      </c>
      <c r="G60" s="25" t="s">
        <v>165</v>
      </c>
      <c r="H60" s="25"/>
      <c r="I60" s="26" t="s">
        <v>4402</v>
      </c>
      <c r="J60" s="26" t="s">
        <v>4884</v>
      </c>
      <c r="K60" s="38" t="s">
        <v>4404</v>
      </c>
      <c r="L60" s="158" t="s">
        <v>4405</v>
      </c>
      <c r="M60" s="25" t="s">
        <v>73</v>
      </c>
      <c r="N60" s="25" t="s">
        <v>4918</v>
      </c>
      <c r="O60" s="26" t="s">
        <v>4919</v>
      </c>
      <c r="P60" t="s">
        <v>4920</v>
      </c>
      <c r="Q60" s="26"/>
      <c r="R60" s="29">
        <v>4</v>
      </c>
      <c r="S60" s="29" t="s">
        <v>4409</v>
      </c>
      <c r="T60" s="29" t="s">
        <v>4921</v>
      </c>
      <c r="U60" s="26" t="s">
        <v>77</v>
      </c>
      <c r="V60" s="30" t="s">
        <v>78</v>
      </c>
      <c r="W60" s="30" t="s">
        <v>79</v>
      </c>
      <c r="X60" s="38" t="s">
        <v>4869</v>
      </c>
      <c r="Y60" s="26" t="s">
        <v>4412</v>
      </c>
      <c r="Z60" s="26" t="s">
        <v>81</v>
      </c>
      <c r="AA60" s="26" t="s">
        <v>81</v>
      </c>
      <c r="AB60" s="25" t="s">
        <v>13</v>
      </c>
      <c r="AC60" s="30" t="s">
        <v>172</v>
      </c>
      <c r="AD60" s="25" t="s">
        <v>172</v>
      </c>
      <c r="AE60" s="25" t="s">
        <v>174</v>
      </c>
      <c r="AF60" s="26" t="s">
        <v>175</v>
      </c>
      <c r="AG60" s="32">
        <f t="shared" si="3"/>
        <v>1</v>
      </c>
      <c r="AH60" s="32">
        <v>1</v>
      </c>
      <c r="AI60" s="32">
        <v>1</v>
      </c>
      <c r="AJ60" s="32">
        <v>1</v>
      </c>
      <c r="AK60" s="30"/>
      <c r="AL60" s="30"/>
      <c r="AM60" s="32">
        <f t="shared" si="4"/>
        <v>1</v>
      </c>
      <c r="AN60" s="30"/>
      <c r="AO60" s="32">
        <v>1</v>
      </c>
      <c r="AP60" s="30"/>
      <c r="AQ60" s="30"/>
      <c r="AR60" s="32">
        <f t="shared" si="5"/>
        <v>0</v>
      </c>
      <c r="AS60" s="32"/>
      <c r="AT60" s="32"/>
      <c r="AU60" s="32">
        <v>1</v>
      </c>
      <c r="AV60" s="30"/>
      <c r="AW60" s="2"/>
      <c r="AX60" s="2" t="s">
        <v>4601</v>
      </c>
      <c r="AZ60" s="75" t="s">
        <v>4863</v>
      </c>
    </row>
    <row r="61" spans="1:52" ht="16.5">
      <c r="A61" s="25" t="s">
        <v>4922</v>
      </c>
      <c r="B61" s="25" t="s">
        <v>4398</v>
      </c>
      <c r="C61" s="25" t="s">
        <v>68</v>
      </c>
      <c r="D61" s="25" t="s">
        <v>4923</v>
      </c>
      <c r="E61" s="258" t="s">
        <v>4924</v>
      </c>
      <c r="F61" s="25" t="s">
        <v>4925</v>
      </c>
      <c r="G61" s="25" t="s">
        <v>165</v>
      </c>
      <c r="H61" s="25"/>
      <c r="I61" s="26" t="s">
        <v>4402</v>
      </c>
      <c r="J61" s="26" t="s">
        <v>4884</v>
      </c>
      <c r="K61" s="38" t="s">
        <v>4404</v>
      </c>
      <c r="L61" s="158" t="s">
        <v>4405</v>
      </c>
      <c r="M61" s="25" t="s">
        <v>73</v>
      </c>
      <c r="N61" s="25" t="s">
        <v>4926</v>
      </c>
      <c r="O61" s="26" t="s">
        <v>4927</v>
      </c>
      <c r="P61" t="s">
        <v>4928</v>
      </c>
      <c r="Q61" s="26"/>
      <c r="R61" s="29">
        <v>4</v>
      </c>
      <c r="S61" s="29" t="s">
        <v>4409</v>
      </c>
      <c r="T61" s="29" t="s">
        <v>4929</v>
      </c>
      <c r="U61" s="26" t="s">
        <v>77</v>
      </c>
      <c r="V61" s="30" t="s">
        <v>78</v>
      </c>
      <c r="W61" s="30" t="s">
        <v>79</v>
      </c>
      <c r="X61" s="38" t="s">
        <v>4869</v>
      </c>
      <c r="Y61" s="26" t="s">
        <v>4412</v>
      </c>
      <c r="Z61" s="26" t="s">
        <v>81</v>
      </c>
      <c r="AA61" s="26" t="s">
        <v>81</v>
      </c>
      <c r="AB61" s="25" t="s">
        <v>13</v>
      </c>
      <c r="AC61" s="30" t="s">
        <v>172</v>
      </c>
      <c r="AD61" s="25" t="s">
        <v>172</v>
      </c>
      <c r="AE61" s="25" t="s">
        <v>174</v>
      </c>
      <c r="AF61" s="26" t="s">
        <v>175</v>
      </c>
      <c r="AG61" s="32">
        <f t="shared" si="3"/>
        <v>1</v>
      </c>
      <c r="AH61" s="32">
        <v>1</v>
      </c>
      <c r="AI61" s="32">
        <v>1</v>
      </c>
      <c r="AJ61" s="32">
        <v>1</v>
      </c>
      <c r="AK61" s="30"/>
      <c r="AL61" s="30"/>
      <c r="AM61" s="32">
        <f t="shared" si="4"/>
        <v>1</v>
      </c>
      <c r="AN61" s="30"/>
      <c r="AO61" s="32">
        <v>1</v>
      </c>
      <c r="AP61" s="30"/>
      <c r="AQ61" s="30"/>
      <c r="AR61" s="32">
        <f t="shared" si="5"/>
        <v>0</v>
      </c>
      <c r="AS61" s="32"/>
      <c r="AT61" s="32"/>
      <c r="AU61" s="32">
        <v>1</v>
      </c>
      <c r="AV61" s="30"/>
      <c r="AW61" s="2"/>
      <c r="AX61" s="2" t="s">
        <v>4619</v>
      </c>
      <c r="AZ61" s="75" t="s">
        <v>4899</v>
      </c>
    </row>
    <row r="62" spans="1:52" ht="16.5">
      <c r="A62" s="25" t="s">
        <v>4930</v>
      </c>
      <c r="B62" s="25" t="s">
        <v>4398</v>
      </c>
      <c r="C62" s="25" t="s">
        <v>73</v>
      </c>
      <c r="D62" s="25" t="s">
        <v>4931</v>
      </c>
      <c r="E62" s="258" t="s">
        <v>4932</v>
      </c>
      <c r="F62" s="25" t="s">
        <v>4933</v>
      </c>
      <c r="G62" s="25" t="s">
        <v>165</v>
      </c>
      <c r="H62" s="25"/>
      <c r="I62" s="26" t="s">
        <v>4402</v>
      </c>
      <c r="J62" s="26" t="s">
        <v>4884</v>
      </c>
      <c r="K62" s="38" t="s">
        <v>4404</v>
      </c>
      <c r="L62" s="158" t="s">
        <v>4405</v>
      </c>
      <c r="M62" s="25" t="s">
        <v>73</v>
      </c>
      <c r="N62" s="25" t="s">
        <v>4532</v>
      </c>
      <c r="O62" s="26" t="s">
        <v>4934</v>
      </c>
      <c r="P62" t="s">
        <v>4935</v>
      </c>
      <c r="Q62" s="26"/>
      <c r="R62" s="32">
        <v>4</v>
      </c>
      <c r="S62" s="25" t="s">
        <v>4585</v>
      </c>
      <c r="T62" s="32" t="s">
        <v>4936</v>
      </c>
      <c r="U62" s="26" t="s">
        <v>77</v>
      </c>
      <c r="V62" s="30" t="s">
        <v>78</v>
      </c>
      <c r="W62" s="30" t="s">
        <v>79</v>
      </c>
      <c r="X62" s="38" t="s">
        <v>4869</v>
      </c>
      <c r="Y62" s="26" t="s">
        <v>4412</v>
      </c>
      <c r="Z62" s="26" t="s">
        <v>81</v>
      </c>
      <c r="AA62" s="26" t="s">
        <v>81</v>
      </c>
      <c r="AB62" s="25" t="s">
        <v>13</v>
      </c>
      <c r="AC62" s="30" t="s">
        <v>172</v>
      </c>
      <c r="AD62" s="25" t="s">
        <v>4423</v>
      </c>
      <c r="AE62" s="25" t="s">
        <v>174</v>
      </c>
      <c r="AF62" s="26" t="s">
        <v>175</v>
      </c>
      <c r="AG62" s="32">
        <f t="shared" si="3"/>
        <v>1</v>
      </c>
      <c r="AH62" s="32">
        <v>1</v>
      </c>
      <c r="AI62" s="32">
        <v>1</v>
      </c>
      <c r="AJ62" s="32">
        <v>1</v>
      </c>
      <c r="AK62" s="30"/>
      <c r="AL62" s="30"/>
      <c r="AM62" s="32">
        <f t="shared" si="4"/>
        <v>1</v>
      </c>
      <c r="AN62" s="30"/>
      <c r="AO62" s="32">
        <v>1</v>
      </c>
      <c r="AP62" s="30"/>
      <c r="AQ62" s="30"/>
      <c r="AR62" s="32">
        <f t="shared" si="5"/>
        <v>0</v>
      </c>
      <c r="AS62" s="32"/>
      <c r="AT62" s="32"/>
      <c r="AU62" s="32">
        <v>1</v>
      </c>
      <c r="AV62" s="30"/>
      <c r="AW62" s="2"/>
      <c r="AX62" s="2" t="s">
        <v>4592</v>
      </c>
      <c r="AZ62" s="75" t="s">
        <v>4937</v>
      </c>
    </row>
    <row r="63" spans="1:52" ht="16.5">
      <c r="A63" s="25" t="s">
        <v>4938</v>
      </c>
      <c r="B63" s="25" t="s">
        <v>4398</v>
      </c>
      <c r="C63" s="25" t="s">
        <v>68</v>
      </c>
      <c r="D63" s="25" t="s">
        <v>4889</v>
      </c>
      <c r="E63" s="258" t="s">
        <v>4939</v>
      </c>
      <c r="F63" s="25" t="s">
        <v>4940</v>
      </c>
      <c r="G63" s="25" t="s">
        <v>165</v>
      </c>
      <c r="H63" s="25"/>
      <c r="I63" s="26" t="s">
        <v>4402</v>
      </c>
      <c r="J63" s="26" t="s">
        <v>4884</v>
      </c>
      <c r="K63" s="38" t="s">
        <v>4404</v>
      </c>
      <c r="L63" s="158" t="s">
        <v>4405</v>
      </c>
      <c r="M63" s="25" t="s">
        <v>73</v>
      </c>
      <c r="N63" s="25" t="s">
        <v>4941</v>
      </c>
      <c r="O63" s="26" t="s">
        <v>4942</v>
      </c>
      <c r="P63" t="s">
        <v>4943</v>
      </c>
      <c r="Q63" s="26"/>
      <c r="R63" s="29">
        <v>4</v>
      </c>
      <c r="S63" s="29" t="s">
        <v>4409</v>
      </c>
      <c r="T63" s="29" t="s">
        <v>4944</v>
      </c>
      <c r="U63" s="26" t="s">
        <v>77</v>
      </c>
      <c r="V63" s="30" t="s">
        <v>78</v>
      </c>
      <c r="W63" s="30" t="s">
        <v>79</v>
      </c>
      <c r="X63" s="38" t="s">
        <v>4869</v>
      </c>
      <c r="Y63" s="26" t="s">
        <v>4412</v>
      </c>
      <c r="Z63" s="26" t="s">
        <v>81</v>
      </c>
      <c r="AA63" s="26" t="s">
        <v>81</v>
      </c>
      <c r="AB63" s="25" t="s">
        <v>13</v>
      </c>
      <c r="AC63" s="30" t="s">
        <v>172</v>
      </c>
      <c r="AD63" s="25" t="s">
        <v>172</v>
      </c>
      <c r="AE63" s="25" t="s">
        <v>174</v>
      </c>
      <c r="AF63" s="26" t="s">
        <v>175</v>
      </c>
      <c r="AG63" s="32">
        <f t="shared" si="3"/>
        <v>1</v>
      </c>
      <c r="AH63" s="32">
        <v>1</v>
      </c>
      <c r="AI63" s="32">
        <v>1</v>
      </c>
      <c r="AJ63" s="32">
        <v>1</v>
      </c>
      <c r="AK63" s="30"/>
      <c r="AL63" s="30"/>
      <c r="AM63" s="32">
        <f t="shared" si="4"/>
        <v>1</v>
      </c>
      <c r="AN63" s="30"/>
      <c r="AO63" s="32">
        <v>1</v>
      </c>
      <c r="AP63" s="30"/>
      <c r="AQ63" s="30"/>
      <c r="AR63" s="32">
        <f t="shared" si="5"/>
        <v>0</v>
      </c>
      <c r="AS63" s="32"/>
      <c r="AT63" s="32"/>
      <c r="AU63" s="32">
        <v>1</v>
      </c>
      <c r="AV63" s="30"/>
      <c r="AW63" s="2"/>
      <c r="AX63" s="2" t="s">
        <v>4802</v>
      </c>
      <c r="AZ63" s="75" t="s">
        <v>4945</v>
      </c>
    </row>
    <row r="64" spans="1:52" ht="16.5">
      <c r="A64" s="25" t="s">
        <v>4946</v>
      </c>
      <c r="B64" s="25" t="s">
        <v>4398</v>
      </c>
      <c r="C64" s="25" t="s">
        <v>68</v>
      </c>
      <c r="D64" s="25" t="s">
        <v>4947</v>
      </c>
      <c r="E64" s="258" t="s">
        <v>4948</v>
      </c>
      <c r="F64" s="25" t="s">
        <v>4949</v>
      </c>
      <c r="G64" s="25" t="s">
        <v>165</v>
      </c>
      <c r="H64" s="25"/>
      <c r="I64" s="26" t="s">
        <v>4402</v>
      </c>
      <c r="J64" s="26" t="s">
        <v>4884</v>
      </c>
      <c r="K64" s="38" t="s">
        <v>4404</v>
      </c>
      <c r="L64" s="158" t="s">
        <v>4405</v>
      </c>
      <c r="M64" s="25" t="s">
        <v>73</v>
      </c>
      <c r="N64" s="25" t="s">
        <v>4950</v>
      </c>
      <c r="O64" s="26" t="s">
        <v>4951</v>
      </c>
      <c r="P64" t="s">
        <v>4952</v>
      </c>
      <c r="Q64" s="26"/>
      <c r="R64" s="29">
        <v>4</v>
      </c>
      <c r="S64" s="29" t="s">
        <v>4409</v>
      </c>
      <c r="T64" s="29" t="s">
        <v>4953</v>
      </c>
      <c r="U64" s="26" t="s">
        <v>77</v>
      </c>
      <c r="V64" s="30" t="s">
        <v>78</v>
      </c>
      <c r="W64" s="30" t="s">
        <v>79</v>
      </c>
      <c r="X64" s="38" t="s">
        <v>4869</v>
      </c>
      <c r="Y64" s="26" t="s">
        <v>4412</v>
      </c>
      <c r="Z64" s="26" t="s">
        <v>81</v>
      </c>
      <c r="AA64" s="26" t="s">
        <v>81</v>
      </c>
      <c r="AB64" s="25" t="s">
        <v>13</v>
      </c>
      <c r="AC64" s="30" t="s">
        <v>172</v>
      </c>
      <c r="AD64" s="25" t="s">
        <v>172</v>
      </c>
      <c r="AE64" s="25" t="s">
        <v>174</v>
      </c>
      <c r="AF64" s="26" t="s">
        <v>175</v>
      </c>
      <c r="AG64" s="32">
        <f t="shared" si="3"/>
        <v>1</v>
      </c>
      <c r="AH64" s="32">
        <v>1</v>
      </c>
      <c r="AI64" s="32">
        <v>1</v>
      </c>
      <c r="AJ64" s="32">
        <v>1</v>
      </c>
      <c r="AK64" s="30"/>
      <c r="AL64" s="30"/>
      <c r="AM64" s="32">
        <f t="shared" si="4"/>
        <v>1</v>
      </c>
      <c r="AN64" s="30"/>
      <c r="AO64" s="32">
        <v>1</v>
      </c>
      <c r="AP64" s="30"/>
      <c r="AQ64" s="30"/>
      <c r="AR64" s="32">
        <f t="shared" si="5"/>
        <v>0</v>
      </c>
      <c r="AS64" s="32"/>
      <c r="AT64" s="32"/>
      <c r="AU64" s="32">
        <v>1</v>
      </c>
      <c r="AV64" s="30"/>
      <c r="AW64" s="2"/>
      <c r="AX64" s="2" t="s">
        <v>4815</v>
      </c>
      <c r="AZ64" s="75" t="s">
        <v>4954</v>
      </c>
    </row>
    <row r="65" spans="1:52" ht="16.5">
      <c r="A65" s="25" t="s">
        <v>4955</v>
      </c>
      <c r="B65" s="25" t="s">
        <v>4398</v>
      </c>
      <c r="C65" s="25" t="s">
        <v>68</v>
      </c>
      <c r="D65" s="25" t="s">
        <v>4897</v>
      </c>
      <c r="E65" s="258" t="s">
        <v>4956</v>
      </c>
      <c r="F65" s="25" t="s">
        <v>4957</v>
      </c>
      <c r="G65" s="25" t="s">
        <v>165</v>
      </c>
      <c r="H65" s="25"/>
      <c r="I65" s="26" t="s">
        <v>4402</v>
      </c>
      <c r="J65" s="26" t="s">
        <v>4884</v>
      </c>
      <c r="K65" s="38" t="s">
        <v>4404</v>
      </c>
      <c r="L65" s="158" t="s">
        <v>4405</v>
      </c>
      <c r="M65" s="25" t="s">
        <v>73</v>
      </c>
      <c r="N65" s="25" t="s">
        <v>4958</v>
      </c>
      <c r="O65" s="26" t="s">
        <v>4959</v>
      </c>
      <c r="P65" t="s">
        <v>4960</v>
      </c>
      <c r="Q65" s="26"/>
      <c r="R65" s="29">
        <v>4</v>
      </c>
      <c r="S65" s="29" t="s">
        <v>4409</v>
      </c>
      <c r="T65" s="29" t="s">
        <v>4961</v>
      </c>
      <c r="U65" s="26" t="s">
        <v>77</v>
      </c>
      <c r="V65" s="30" t="s">
        <v>78</v>
      </c>
      <c r="W65" s="30" t="s">
        <v>79</v>
      </c>
      <c r="X65" s="38" t="s">
        <v>4869</v>
      </c>
      <c r="Y65" s="26" t="s">
        <v>4412</v>
      </c>
      <c r="Z65" s="26" t="s">
        <v>81</v>
      </c>
      <c r="AA65" s="26" t="s">
        <v>81</v>
      </c>
      <c r="AB65" s="25" t="s">
        <v>13</v>
      </c>
      <c r="AC65" s="30" t="s">
        <v>172</v>
      </c>
      <c r="AD65" s="25" t="s">
        <v>172</v>
      </c>
      <c r="AE65" s="25" t="s">
        <v>174</v>
      </c>
      <c r="AF65" s="26" t="s">
        <v>175</v>
      </c>
      <c r="AG65" s="32">
        <f t="shared" si="3"/>
        <v>1</v>
      </c>
      <c r="AH65" s="32">
        <v>1</v>
      </c>
      <c r="AI65" s="32">
        <v>1</v>
      </c>
      <c r="AJ65" s="32">
        <v>1</v>
      </c>
      <c r="AK65" s="30"/>
      <c r="AL65" s="30"/>
      <c r="AM65" s="32">
        <f t="shared" si="4"/>
        <v>1</v>
      </c>
      <c r="AN65" s="30"/>
      <c r="AO65" s="32">
        <v>1</v>
      </c>
      <c r="AP65" s="30"/>
      <c r="AQ65" s="30"/>
      <c r="AR65" s="32">
        <f t="shared" si="5"/>
        <v>0</v>
      </c>
      <c r="AS65" s="32"/>
      <c r="AT65" s="32"/>
      <c r="AU65" s="32">
        <v>1</v>
      </c>
      <c r="AV65" s="30"/>
      <c r="AW65" s="2"/>
      <c r="AX65" s="2" t="s">
        <v>4795</v>
      </c>
      <c r="AZ65" s="75" t="s">
        <v>4947</v>
      </c>
    </row>
    <row r="66" spans="1:52" ht="16.5">
      <c r="A66" s="25" t="s">
        <v>4962</v>
      </c>
      <c r="B66" s="25" t="s">
        <v>4398</v>
      </c>
      <c r="C66" s="25" t="s">
        <v>68</v>
      </c>
      <c r="D66" s="25" t="s">
        <v>4906</v>
      </c>
      <c r="E66" s="258" t="s">
        <v>4963</v>
      </c>
      <c r="F66" s="25" t="s">
        <v>4964</v>
      </c>
      <c r="G66" s="25" t="s">
        <v>165</v>
      </c>
      <c r="H66" s="25"/>
      <c r="I66" s="26" t="s">
        <v>4402</v>
      </c>
      <c r="J66" s="26" t="s">
        <v>4884</v>
      </c>
      <c r="K66" s="38" t="s">
        <v>4404</v>
      </c>
      <c r="L66" s="158" t="s">
        <v>4405</v>
      </c>
      <c r="M66" s="25" t="s">
        <v>73</v>
      </c>
      <c r="N66" s="25" t="s">
        <v>4965</v>
      </c>
      <c r="O66" s="26" t="s">
        <v>4966</v>
      </c>
      <c r="P66" t="s">
        <v>4967</v>
      </c>
      <c r="Q66" s="26"/>
      <c r="R66" s="29">
        <v>4</v>
      </c>
      <c r="S66" s="29" t="s">
        <v>4409</v>
      </c>
      <c r="T66" s="29" t="s">
        <v>4968</v>
      </c>
      <c r="U66" s="26" t="s">
        <v>77</v>
      </c>
      <c r="V66" s="30" t="s">
        <v>78</v>
      </c>
      <c r="W66" s="30" t="s">
        <v>79</v>
      </c>
      <c r="X66" s="38" t="s">
        <v>4869</v>
      </c>
      <c r="Y66" s="26" t="s">
        <v>4412</v>
      </c>
      <c r="Z66" s="26" t="s">
        <v>81</v>
      </c>
      <c r="AA66" s="26" t="s">
        <v>81</v>
      </c>
      <c r="AB66" s="25" t="s">
        <v>13</v>
      </c>
      <c r="AC66" s="30" t="s">
        <v>172</v>
      </c>
      <c r="AD66" s="25" t="s">
        <v>172</v>
      </c>
      <c r="AE66" s="25" t="s">
        <v>174</v>
      </c>
      <c r="AF66" s="26" t="s">
        <v>175</v>
      </c>
      <c r="AG66" s="32">
        <f t="shared" si="3"/>
        <v>1</v>
      </c>
      <c r="AH66" s="32">
        <v>1</v>
      </c>
      <c r="AI66" s="32">
        <v>1</v>
      </c>
      <c r="AJ66" s="32">
        <v>1</v>
      </c>
      <c r="AK66" s="30"/>
      <c r="AL66" s="30"/>
      <c r="AM66" s="32">
        <f t="shared" si="4"/>
        <v>1</v>
      </c>
      <c r="AN66" s="30"/>
      <c r="AO66" s="32">
        <v>1</v>
      </c>
      <c r="AP66" s="30"/>
      <c r="AQ66" s="30"/>
      <c r="AR66" s="32">
        <f t="shared" si="5"/>
        <v>0</v>
      </c>
      <c r="AS66" s="32"/>
      <c r="AT66" s="32"/>
      <c r="AU66" s="32">
        <v>1</v>
      </c>
      <c r="AV66" s="30"/>
      <c r="AW66" s="2"/>
      <c r="AX66" s="2" t="s">
        <v>4837</v>
      </c>
      <c r="AZ66" s="75" t="s">
        <v>4908</v>
      </c>
    </row>
    <row r="67" spans="1:52" ht="16.5">
      <c r="A67" s="25" t="s">
        <v>4969</v>
      </c>
      <c r="B67" s="25" t="s">
        <v>4398</v>
      </c>
      <c r="C67" s="25" t="s">
        <v>68</v>
      </c>
      <c r="D67" s="25" t="s">
        <v>4954</v>
      </c>
      <c r="E67" s="258" t="s">
        <v>4970</v>
      </c>
      <c r="F67" s="25" t="s">
        <v>4971</v>
      </c>
      <c r="G67" s="25" t="s">
        <v>165</v>
      </c>
      <c r="H67" s="25"/>
      <c r="I67" s="26" t="s">
        <v>4402</v>
      </c>
      <c r="J67" s="26" t="s">
        <v>4884</v>
      </c>
      <c r="K67" s="38" t="s">
        <v>4404</v>
      </c>
      <c r="L67" s="158" t="s">
        <v>4405</v>
      </c>
      <c r="M67" s="25" t="s">
        <v>73</v>
      </c>
      <c r="N67" s="25" t="s">
        <v>4972</v>
      </c>
      <c r="O67" s="26" t="s">
        <v>4973</v>
      </c>
      <c r="P67" t="s">
        <v>4974</v>
      </c>
      <c r="Q67" s="26"/>
      <c r="R67" s="29">
        <v>4</v>
      </c>
      <c r="S67" s="29" t="s">
        <v>4409</v>
      </c>
      <c r="T67" s="29" t="s">
        <v>4975</v>
      </c>
      <c r="U67" s="26" t="s">
        <v>77</v>
      </c>
      <c r="V67" s="30" t="s">
        <v>78</v>
      </c>
      <c r="W67" s="30" t="s">
        <v>79</v>
      </c>
      <c r="X67" s="38" t="s">
        <v>4869</v>
      </c>
      <c r="Y67" s="26" t="s">
        <v>4412</v>
      </c>
      <c r="Z67" s="26" t="s">
        <v>81</v>
      </c>
      <c r="AA67" s="26" t="s">
        <v>81</v>
      </c>
      <c r="AB67" s="25" t="s">
        <v>13</v>
      </c>
      <c r="AC67" s="30" t="s">
        <v>172</v>
      </c>
      <c r="AD67" s="25" t="s">
        <v>172</v>
      </c>
      <c r="AE67" s="25" t="s">
        <v>174</v>
      </c>
      <c r="AF67" s="26" t="s">
        <v>175</v>
      </c>
      <c r="AG67" s="32">
        <f t="shared" si="3"/>
        <v>1</v>
      </c>
      <c r="AH67" s="32">
        <v>1</v>
      </c>
      <c r="AI67" s="32">
        <v>1</v>
      </c>
      <c r="AJ67" s="32">
        <v>1</v>
      </c>
      <c r="AK67" s="30"/>
      <c r="AL67" s="30"/>
      <c r="AM67" s="32">
        <f t="shared" si="4"/>
        <v>1</v>
      </c>
      <c r="AN67" s="30"/>
      <c r="AO67" s="32">
        <v>1</v>
      </c>
      <c r="AP67" s="30"/>
      <c r="AQ67" s="30"/>
      <c r="AR67" s="32">
        <f t="shared" si="5"/>
        <v>0</v>
      </c>
      <c r="AS67" s="32"/>
      <c r="AT67" s="32"/>
      <c r="AU67" s="32">
        <v>1</v>
      </c>
      <c r="AV67" s="30"/>
      <c r="AW67" s="2"/>
      <c r="AX67" s="2" t="s">
        <v>4845</v>
      </c>
      <c r="AZ67" s="75" t="s">
        <v>4923</v>
      </c>
    </row>
    <row r="68" spans="1:52" ht="16.5">
      <c r="A68" s="25" t="s">
        <v>4976</v>
      </c>
      <c r="B68" s="25" t="s">
        <v>4398</v>
      </c>
      <c r="C68" s="25" t="s">
        <v>68</v>
      </c>
      <c r="D68" s="25" t="s">
        <v>4945</v>
      </c>
      <c r="E68" s="258" t="s">
        <v>4977</v>
      </c>
      <c r="F68" s="25" t="s">
        <v>4978</v>
      </c>
      <c r="G68" s="25" t="s">
        <v>165</v>
      </c>
      <c r="H68" s="25"/>
      <c r="I68" s="26" t="s">
        <v>4402</v>
      </c>
      <c r="J68" s="26" t="s">
        <v>4884</v>
      </c>
      <c r="K68" s="38" t="s">
        <v>4404</v>
      </c>
      <c r="L68" s="158" t="s">
        <v>4405</v>
      </c>
      <c r="M68" s="25" t="s">
        <v>73</v>
      </c>
      <c r="N68" s="25" t="s">
        <v>4979</v>
      </c>
      <c r="O68" s="26" t="s">
        <v>4980</v>
      </c>
      <c r="P68" t="s">
        <v>4981</v>
      </c>
      <c r="Q68" s="26"/>
      <c r="R68" s="29">
        <v>4</v>
      </c>
      <c r="S68" s="29" t="s">
        <v>4409</v>
      </c>
      <c r="T68" s="29" t="s">
        <v>4982</v>
      </c>
      <c r="U68" s="26" t="s">
        <v>77</v>
      </c>
      <c r="V68" s="30" t="s">
        <v>78</v>
      </c>
      <c r="W68" s="30" t="s">
        <v>79</v>
      </c>
      <c r="X68" s="38" t="s">
        <v>4869</v>
      </c>
      <c r="Y68" s="26" t="s">
        <v>4412</v>
      </c>
      <c r="Z68" s="26" t="s">
        <v>81</v>
      </c>
      <c r="AA68" s="26" t="s">
        <v>81</v>
      </c>
      <c r="AB68" s="25" t="s">
        <v>13</v>
      </c>
      <c r="AC68" s="30" t="s">
        <v>172</v>
      </c>
      <c r="AD68" s="25" t="s">
        <v>172</v>
      </c>
      <c r="AE68" s="25" t="s">
        <v>174</v>
      </c>
      <c r="AF68" s="26" t="s">
        <v>175</v>
      </c>
      <c r="AG68" s="32">
        <f t="shared" si="3"/>
        <v>1</v>
      </c>
      <c r="AH68" s="32">
        <v>1</v>
      </c>
      <c r="AI68" s="32">
        <v>1</v>
      </c>
      <c r="AJ68" s="32">
        <v>1</v>
      </c>
      <c r="AK68" s="30"/>
      <c r="AL68" s="30"/>
      <c r="AM68" s="32">
        <f t="shared" si="4"/>
        <v>1</v>
      </c>
      <c r="AN68" s="30"/>
      <c r="AO68" s="32">
        <v>1</v>
      </c>
      <c r="AP68" s="30"/>
      <c r="AQ68" s="30"/>
      <c r="AR68" s="32">
        <f t="shared" si="5"/>
        <v>0</v>
      </c>
      <c r="AS68" s="32"/>
      <c r="AT68" s="32"/>
      <c r="AU68" s="32">
        <v>1</v>
      </c>
      <c r="AV68" s="30"/>
      <c r="AW68" s="2"/>
      <c r="AX68" s="2" t="s">
        <v>4676</v>
      </c>
      <c r="AZ68" s="75" t="s">
        <v>4915</v>
      </c>
    </row>
    <row r="69" spans="1:52" ht="16.5">
      <c r="A69" s="25" t="s">
        <v>4983</v>
      </c>
      <c r="B69" s="25" t="s">
        <v>4398</v>
      </c>
      <c r="C69" s="25" t="s">
        <v>68</v>
      </c>
      <c r="D69" s="25" t="s">
        <v>4937</v>
      </c>
      <c r="E69" s="258" t="s">
        <v>4984</v>
      </c>
      <c r="F69" s="25" t="s">
        <v>4985</v>
      </c>
      <c r="G69" s="25" t="s">
        <v>165</v>
      </c>
      <c r="H69" s="25"/>
      <c r="I69" s="26" t="s">
        <v>4402</v>
      </c>
      <c r="J69" s="26" t="s">
        <v>4884</v>
      </c>
      <c r="K69" s="38" t="s">
        <v>4404</v>
      </c>
      <c r="L69" s="158" t="s">
        <v>4405</v>
      </c>
      <c r="M69" s="25" t="s">
        <v>73</v>
      </c>
      <c r="N69" s="25" t="s">
        <v>4986</v>
      </c>
      <c r="O69" s="26" t="s">
        <v>4987</v>
      </c>
      <c r="P69" t="s">
        <v>4988</v>
      </c>
      <c r="Q69" s="26"/>
      <c r="R69" s="29">
        <v>4</v>
      </c>
      <c r="S69" s="29" t="s">
        <v>4409</v>
      </c>
      <c r="T69" s="29" t="s">
        <v>4989</v>
      </c>
      <c r="U69" s="26" t="s">
        <v>77</v>
      </c>
      <c r="V69" s="30" t="s">
        <v>78</v>
      </c>
      <c r="W69" s="30" t="s">
        <v>79</v>
      </c>
      <c r="X69" s="38" t="s">
        <v>4869</v>
      </c>
      <c r="Y69" s="26" t="s">
        <v>4412</v>
      </c>
      <c r="Z69" s="26" t="s">
        <v>81</v>
      </c>
      <c r="AA69" s="26" t="s">
        <v>81</v>
      </c>
      <c r="AB69" s="25" t="s">
        <v>13</v>
      </c>
      <c r="AC69" s="30" t="s">
        <v>172</v>
      </c>
      <c r="AD69" s="25" t="s">
        <v>172</v>
      </c>
      <c r="AE69" s="25" t="s">
        <v>174</v>
      </c>
      <c r="AF69" s="26" t="s">
        <v>175</v>
      </c>
      <c r="AG69" s="32">
        <f t="shared" si="3"/>
        <v>1</v>
      </c>
      <c r="AH69" s="32">
        <v>1</v>
      </c>
      <c r="AI69" s="32">
        <v>1</v>
      </c>
      <c r="AJ69" s="32">
        <v>1</v>
      </c>
      <c r="AK69" s="30"/>
      <c r="AL69" s="30"/>
      <c r="AM69" s="32">
        <f t="shared" si="4"/>
        <v>1</v>
      </c>
      <c r="AN69" s="30"/>
      <c r="AO69" s="32">
        <v>1</v>
      </c>
      <c r="AP69" s="30"/>
      <c r="AQ69" s="30"/>
      <c r="AR69" s="32">
        <f t="shared" si="5"/>
        <v>0</v>
      </c>
      <c r="AS69" s="32"/>
      <c r="AT69" s="32"/>
      <c r="AU69" s="32">
        <v>1</v>
      </c>
      <c r="AV69" s="30"/>
      <c r="AW69" s="2"/>
      <c r="AX69" s="2" t="s">
        <v>4732</v>
      </c>
      <c r="AZ69" s="75" t="s">
        <v>4931</v>
      </c>
    </row>
    <row r="70" spans="1:52" ht="16.5">
      <c r="A70" s="25" t="s">
        <v>4990</v>
      </c>
      <c r="B70" s="25" t="s">
        <v>4398</v>
      </c>
      <c r="C70" s="25" t="s">
        <v>68</v>
      </c>
      <c r="D70" s="25" t="s">
        <v>4991</v>
      </c>
      <c r="E70" s="258" t="s">
        <v>4992</v>
      </c>
      <c r="F70" s="25" t="s">
        <v>4993</v>
      </c>
      <c r="G70" s="25" t="s">
        <v>165</v>
      </c>
      <c r="H70" s="25"/>
      <c r="I70" s="26" t="s">
        <v>4402</v>
      </c>
      <c r="J70" s="26" t="s">
        <v>4884</v>
      </c>
      <c r="K70" s="38" t="s">
        <v>4404</v>
      </c>
      <c r="L70" s="158" t="s">
        <v>4405</v>
      </c>
      <c r="M70" s="25" t="s">
        <v>73</v>
      </c>
      <c r="N70" s="25" t="s">
        <v>4994</v>
      </c>
      <c r="O70" s="26" t="s">
        <v>4995</v>
      </c>
      <c r="P70" t="s">
        <v>4996</v>
      </c>
      <c r="Q70" s="26"/>
      <c r="R70" s="29">
        <v>4</v>
      </c>
      <c r="S70" s="29" t="s">
        <v>4409</v>
      </c>
      <c r="T70" s="29" t="s">
        <v>4689</v>
      </c>
      <c r="U70" s="26" t="s">
        <v>77</v>
      </c>
      <c r="V70" s="30" t="s">
        <v>78</v>
      </c>
      <c r="W70" s="30" t="s">
        <v>79</v>
      </c>
      <c r="X70" s="38" t="s">
        <v>4997</v>
      </c>
      <c r="Y70" s="26" t="s">
        <v>4412</v>
      </c>
      <c r="Z70" s="26" t="s">
        <v>81</v>
      </c>
      <c r="AA70" s="26" t="s">
        <v>81</v>
      </c>
      <c r="AB70" s="25" t="s">
        <v>15</v>
      </c>
      <c r="AC70" s="30" t="s">
        <v>172</v>
      </c>
      <c r="AD70" s="25" t="s">
        <v>172</v>
      </c>
      <c r="AE70" s="25" t="s">
        <v>174</v>
      </c>
      <c r="AF70" s="26" t="s">
        <v>175</v>
      </c>
      <c r="AG70" s="32">
        <f t="shared" si="3"/>
        <v>1</v>
      </c>
      <c r="AH70" s="32">
        <v>1</v>
      </c>
      <c r="AI70" s="32">
        <v>1</v>
      </c>
      <c r="AJ70" s="32">
        <v>1</v>
      </c>
      <c r="AK70" s="30"/>
      <c r="AL70" s="30"/>
      <c r="AM70" s="32">
        <f t="shared" si="4"/>
        <v>1</v>
      </c>
      <c r="AN70" s="30">
        <v>1</v>
      </c>
      <c r="AO70" s="32">
        <v>1</v>
      </c>
      <c r="AP70" s="30">
        <v>1</v>
      </c>
      <c r="AQ70" s="30">
        <v>1</v>
      </c>
      <c r="AR70" s="32">
        <f t="shared" si="5"/>
        <v>0</v>
      </c>
      <c r="AS70" s="32">
        <v>1</v>
      </c>
      <c r="AT70" s="32"/>
      <c r="AU70" s="32">
        <v>1</v>
      </c>
      <c r="AV70" s="30"/>
      <c r="AW70" s="2"/>
      <c r="AX70" s="2" t="s">
        <v>4822</v>
      </c>
      <c r="AZ70" s="75" t="s">
        <v>4998</v>
      </c>
    </row>
    <row r="71" spans="1:52" ht="16.5">
      <c r="A71" s="25" t="s">
        <v>4999</v>
      </c>
      <c r="B71" s="25" t="s">
        <v>4398</v>
      </c>
      <c r="C71" s="25" t="s">
        <v>73</v>
      </c>
      <c r="D71" s="25" t="s">
        <v>5000</v>
      </c>
      <c r="E71" s="258" t="s">
        <v>5001</v>
      </c>
      <c r="F71" s="25" t="s">
        <v>5002</v>
      </c>
      <c r="G71" s="25" t="s">
        <v>165</v>
      </c>
      <c r="H71" s="25"/>
      <c r="I71" s="26" t="s">
        <v>4402</v>
      </c>
      <c r="J71" s="26" t="s">
        <v>4884</v>
      </c>
      <c r="K71" s="38" t="s">
        <v>4404</v>
      </c>
      <c r="L71" s="158" t="s">
        <v>4405</v>
      </c>
      <c r="M71" s="25" t="s">
        <v>73</v>
      </c>
      <c r="N71" s="25" t="s">
        <v>4614</v>
      </c>
      <c r="O71" s="26" t="s">
        <v>5003</v>
      </c>
      <c r="P71" t="s">
        <v>5004</v>
      </c>
      <c r="Q71" s="26"/>
      <c r="R71" s="32">
        <v>4</v>
      </c>
      <c r="S71" s="25" t="s">
        <v>4585</v>
      </c>
      <c r="T71" s="32" t="s">
        <v>5005</v>
      </c>
      <c r="U71" s="26" t="s">
        <v>77</v>
      </c>
      <c r="V71" s="30" t="s">
        <v>78</v>
      </c>
      <c r="W71" s="30" t="s">
        <v>79</v>
      </c>
      <c r="X71" s="38" t="s">
        <v>4997</v>
      </c>
      <c r="Y71" s="26" t="s">
        <v>4412</v>
      </c>
      <c r="Z71" s="26" t="s">
        <v>81</v>
      </c>
      <c r="AA71" s="26" t="s">
        <v>81</v>
      </c>
      <c r="AB71" s="25" t="s">
        <v>15</v>
      </c>
      <c r="AC71" s="30" t="s">
        <v>172</v>
      </c>
      <c r="AD71" s="25" t="s">
        <v>4423</v>
      </c>
      <c r="AE71" s="25" t="s">
        <v>174</v>
      </c>
      <c r="AF71" s="26" t="s">
        <v>175</v>
      </c>
      <c r="AG71" s="32">
        <f t="shared" si="3"/>
        <v>1</v>
      </c>
      <c r="AH71" s="32">
        <v>1</v>
      </c>
      <c r="AI71" s="32">
        <v>1</v>
      </c>
      <c r="AJ71" s="32">
        <v>1</v>
      </c>
      <c r="AK71" s="30"/>
      <c r="AL71" s="30"/>
      <c r="AM71" s="32">
        <f t="shared" si="4"/>
        <v>1</v>
      </c>
      <c r="AN71" s="30">
        <v>1</v>
      </c>
      <c r="AO71" s="32">
        <v>1</v>
      </c>
      <c r="AP71" s="30">
        <v>1</v>
      </c>
      <c r="AQ71" s="30">
        <v>1</v>
      </c>
      <c r="AR71" s="32">
        <f t="shared" si="5"/>
        <v>0</v>
      </c>
      <c r="AS71" s="32">
        <v>1</v>
      </c>
      <c r="AT71" s="32"/>
      <c r="AU71" s="32">
        <v>1</v>
      </c>
      <c r="AV71" s="30"/>
      <c r="AW71" s="2"/>
      <c r="AX71" s="2" t="s">
        <v>4776</v>
      </c>
      <c r="AZ71" s="75" t="s">
        <v>5006</v>
      </c>
    </row>
    <row r="72" spans="1:52" ht="16.5">
      <c r="A72" s="25" t="s">
        <v>5007</v>
      </c>
      <c r="B72" s="25" t="s">
        <v>4398</v>
      </c>
      <c r="C72" s="25" t="s">
        <v>68</v>
      </c>
      <c r="D72" s="25" t="s">
        <v>5008</v>
      </c>
      <c r="E72" s="258" t="s">
        <v>5009</v>
      </c>
      <c r="F72" s="25" t="s">
        <v>5010</v>
      </c>
      <c r="G72" s="25" t="s">
        <v>165</v>
      </c>
      <c r="H72" s="25"/>
      <c r="I72" s="26" t="s">
        <v>4402</v>
      </c>
      <c r="J72" s="26" t="s">
        <v>4884</v>
      </c>
      <c r="K72" s="38" t="s">
        <v>4404</v>
      </c>
      <c r="L72" s="158" t="s">
        <v>4405</v>
      </c>
      <c r="M72" s="25" t="s">
        <v>73</v>
      </c>
      <c r="N72" s="25" t="s">
        <v>4596</v>
      </c>
      <c r="O72" s="26" t="s">
        <v>5011</v>
      </c>
      <c r="P72" t="s">
        <v>5012</v>
      </c>
      <c r="Q72" s="26"/>
      <c r="R72" s="29">
        <v>4</v>
      </c>
      <c r="S72" s="29" t="s">
        <v>4409</v>
      </c>
      <c r="T72" s="29" t="s">
        <v>4551</v>
      </c>
      <c r="U72" s="26" t="s">
        <v>77</v>
      </c>
      <c r="V72" s="30" t="s">
        <v>78</v>
      </c>
      <c r="W72" s="30" t="s">
        <v>79</v>
      </c>
      <c r="X72" s="38" t="s">
        <v>4997</v>
      </c>
      <c r="Y72" s="26" t="s">
        <v>4412</v>
      </c>
      <c r="Z72" s="26" t="s">
        <v>81</v>
      </c>
      <c r="AA72" s="26" t="s">
        <v>81</v>
      </c>
      <c r="AB72" s="25" t="s">
        <v>15</v>
      </c>
      <c r="AC72" s="30" t="s">
        <v>172</v>
      </c>
      <c r="AD72" s="25" t="s">
        <v>172</v>
      </c>
      <c r="AE72" s="25" t="s">
        <v>174</v>
      </c>
      <c r="AF72" s="26" t="s">
        <v>175</v>
      </c>
      <c r="AG72" s="32">
        <f t="shared" si="3"/>
        <v>1</v>
      </c>
      <c r="AH72" s="32">
        <v>1</v>
      </c>
      <c r="AI72" s="32">
        <v>1</v>
      </c>
      <c r="AJ72" s="32">
        <v>1</v>
      </c>
      <c r="AK72" s="30"/>
      <c r="AL72" s="30"/>
      <c r="AM72" s="32">
        <f t="shared" si="4"/>
        <v>1</v>
      </c>
      <c r="AN72" s="30">
        <v>1</v>
      </c>
      <c r="AO72" s="32">
        <v>1</v>
      </c>
      <c r="AP72" s="32">
        <v>1</v>
      </c>
      <c r="AQ72" s="32">
        <v>1</v>
      </c>
      <c r="AR72" s="32">
        <f t="shared" si="5"/>
        <v>0</v>
      </c>
      <c r="AS72" s="32">
        <v>1</v>
      </c>
      <c r="AT72" s="25" t="s">
        <v>194</v>
      </c>
      <c r="AU72" s="34" t="s">
        <v>405</v>
      </c>
      <c r="AV72" s="30"/>
      <c r="AW72" s="34" t="s">
        <v>405</v>
      </c>
      <c r="AX72" s="2" t="s">
        <v>4713</v>
      </c>
      <c r="AZ72" s="75" t="s">
        <v>5013</v>
      </c>
    </row>
    <row r="73" spans="1:52" ht="16.5">
      <c r="A73" s="25" t="s">
        <v>5014</v>
      </c>
      <c r="B73" s="25" t="s">
        <v>4398</v>
      </c>
      <c r="C73" s="25" t="s">
        <v>68</v>
      </c>
      <c r="D73" s="25" t="s">
        <v>5013</v>
      </c>
      <c r="E73" s="258" t="s">
        <v>5015</v>
      </c>
      <c r="F73" s="25" t="s">
        <v>5016</v>
      </c>
      <c r="G73" s="25" t="s">
        <v>165</v>
      </c>
      <c r="H73" s="25"/>
      <c r="I73" s="26" t="s">
        <v>4402</v>
      </c>
      <c r="J73" s="26" t="s">
        <v>5017</v>
      </c>
      <c r="K73" s="38" t="s">
        <v>4404</v>
      </c>
      <c r="L73" s="158" t="s">
        <v>4405</v>
      </c>
      <c r="M73" s="25" t="s">
        <v>73</v>
      </c>
      <c r="N73" s="25" t="s">
        <v>4560</v>
      </c>
      <c r="O73" s="26" t="s">
        <v>5018</v>
      </c>
      <c r="P73" t="s">
        <v>5019</v>
      </c>
      <c r="Q73" s="26"/>
      <c r="R73" s="29">
        <v>4</v>
      </c>
      <c r="S73" s="29" t="s">
        <v>4409</v>
      </c>
      <c r="T73" s="29" t="s">
        <v>5020</v>
      </c>
      <c r="U73" s="26" t="s">
        <v>77</v>
      </c>
      <c r="V73" s="30" t="s">
        <v>78</v>
      </c>
      <c r="W73" s="30" t="s">
        <v>79</v>
      </c>
      <c r="X73" s="38" t="s">
        <v>4997</v>
      </c>
      <c r="Y73" s="26" t="s">
        <v>4412</v>
      </c>
      <c r="Z73" s="26" t="s">
        <v>81</v>
      </c>
      <c r="AA73" s="26" t="s">
        <v>81</v>
      </c>
      <c r="AB73" s="25" t="s">
        <v>15</v>
      </c>
      <c r="AC73" s="30" t="s">
        <v>172</v>
      </c>
      <c r="AD73" s="25" t="s">
        <v>172</v>
      </c>
      <c r="AE73" s="25" t="s">
        <v>174</v>
      </c>
      <c r="AF73" s="26" t="s">
        <v>175</v>
      </c>
      <c r="AG73" s="32">
        <f t="shared" si="3"/>
        <v>1</v>
      </c>
      <c r="AH73" s="32">
        <v>1</v>
      </c>
      <c r="AI73" s="32">
        <v>1</v>
      </c>
      <c r="AJ73" s="32">
        <v>1</v>
      </c>
      <c r="AK73" s="30"/>
      <c r="AL73" s="30"/>
      <c r="AM73" s="32">
        <f t="shared" si="4"/>
        <v>1</v>
      </c>
      <c r="AN73" s="30">
        <v>1</v>
      </c>
      <c r="AO73" s="32">
        <v>1</v>
      </c>
      <c r="AP73" s="30">
        <v>1</v>
      </c>
      <c r="AQ73" s="30">
        <v>1</v>
      </c>
      <c r="AR73" s="32">
        <f t="shared" si="5"/>
        <v>0</v>
      </c>
      <c r="AS73" s="32">
        <v>1</v>
      </c>
      <c r="AT73" s="32"/>
      <c r="AU73" s="32">
        <v>1</v>
      </c>
      <c r="AV73" s="30"/>
      <c r="AW73" s="2"/>
      <c r="AX73" s="2" t="s">
        <v>4808</v>
      </c>
      <c r="AZ73" s="75" t="s">
        <v>5021</v>
      </c>
    </row>
    <row r="74" spans="1:52" ht="16.5">
      <c r="A74" s="25" t="s">
        <v>5022</v>
      </c>
      <c r="B74" s="25" t="s">
        <v>4398</v>
      </c>
      <c r="C74" s="25" t="s">
        <v>68</v>
      </c>
      <c r="D74" s="25" t="s">
        <v>5023</v>
      </c>
      <c r="E74" s="258" t="s">
        <v>5024</v>
      </c>
      <c r="F74" s="25" t="s">
        <v>5025</v>
      </c>
      <c r="G74" s="25" t="s">
        <v>165</v>
      </c>
      <c r="H74" s="25"/>
      <c r="I74" s="26" t="s">
        <v>4402</v>
      </c>
      <c r="J74" s="26" t="s">
        <v>5017</v>
      </c>
      <c r="K74" s="38" t="s">
        <v>4404</v>
      </c>
      <c r="L74" s="158" t="s">
        <v>4405</v>
      </c>
      <c r="M74" s="25" t="s">
        <v>73</v>
      </c>
      <c r="N74" s="25" t="s">
        <v>4650</v>
      </c>
      <c r="O74" s="26" t="s">
        <v>5026</v>
      </c>
      <c r="P74" t="s">
        <v>5027</v>
      </c>
      <c r="Q74" s="26"/>
      <c r="R74" s="29">
        <v>4</v>
      </c>
      <c r="S74" s="29" t="s">
        <v>4409</v>
      </c>
      <c r="T74" s="29" t="s">
        <v>5028</v>
      </c>
      <c r="U74" s="26" t="s">
        <v>77</v>
      </c>
      <c r="V74" s="30" t="s">
        <v>78</v>
      </c>
      <c r="W74" s="30" t="s">
        <v>79</v>
      </c>
      <c r="X74" s="38" t="s">
        <v>4997</v>
      </c>
      <c r="Y74" s="26" t="s">
        <v>4412</v>
      </c>
      <c r="Z74" s="26" t="s">
        <v>81</v>
      </c>
      <c r="AA74" s="26" t="s">
        <v>81</v>
      </c>
      <c r="AB74" s="25" t="s">
        <v>15</v>
      </c>
      <c r="AC74" s="30" t="s">
        <v>172</v>
      </c>
      <c r="AD74" s="25" t="s">
        <v>172</v>
      </c>
      <c r="AE74" s="25" t="s">
        <v>174</v>
      </c>
      <c r="AF74" s="26" t="s">
        <v>175</v>
      </c>
      <c r="AG74" s="32">
        <f t="shared" ref="AG74:AG110" si="6">IF(COUNTIF(AZ:AZ,D74)&gt;0,1,0)</f>
        <v>1</v>
      </c>
      <c r="AH74" s="32">
        <v>1</v>
      </c>
      <c r="AI74" s="32">
        <v>1</v>
      </c>
      <c r="AJ74" s="32">
        <v>1</v>
      </c>
      <c r="AK74" s="30"/>
      <c r="AL74" s="30"/>
      <c r="AM74" s="32">
        <f t="shared" ref="AM74:AM110" si="7">IF(COUNTIF(AX:AX,"*"&amp;N74&amp;"*")&gt;0,1,0)</f>
        <v>1</v>
      </c>
      <c r="AN74" s="30">
        <v>1</v>
      </c>
      <c r="AO74" s="32">
        <v>1</v>
      </c>
      <c r="AP74" s="30">
        <v>1</v>
      </c>
      <c r="AQ74" s="30">
        <v>1</v>
      </c>
      <c r="AR74" s="32">
        <f t="shared" ref="AR74:AR110" si="8">IF(COUNTIF(AY:AY,"*"&amp;N74&amp;"*")&gt;0,1,0)</f>
        <v>0</v>
      </c>
      <c r="AS74" s="32">
        <v>1</v>
      </c>
      <c r="AT74" s="32"/>
      <c r="AU74" s="32">
        <v>1</v>
      </c>
      <c r="AV74" s="30"/>
      <c r="AW74" s="2"/>
      <c r="AX74" s="2" t="s">
        <v>4686</v>
      </c>
      <c r="AZ74" s="75" t="s">
        <v>5029</v>
      </c>
    </row>
    <row r="75" spans="1:52" ht="16.5">
      <c r="A75" s="25" t="s">
        <v>5030</v>
      </c>
      <c r="B75" s="25" t="s">
        <v>4398</v>
      </c>
      <c r="C75" s="25" t="s">
        <v>68</v>
      </c>
      <c r="D75" s="25" t="s">
        <v>5031</v>
      </c>
      <c r="E75" s="258" t="s">
        <v>5032</v>
      </c>
      <c r="F75" s="25" t="s">
        <v>5033</v>
      </c>
      <c r="G75" s="25" t="s">
        <v>165</v>
      </c>
      <c r="H75" s="25"/>
      <c r="I75" s="26" t="s">
        <v>4402</v>
      </c>
      <c r="J75" s="26" t="s">
        <v>5017</v>
      </c>
      <c r="K75" s="38" t="s">
        <v>4404</v>
      </c>
      <c r="L75" s="158" t="s">
        <v>4405</v>
      </c>
      <c r="M75" s="25" t="s">
        <v>73</v>
      </c>
      <c r="N75" s="25" t="s">
        <v>5034</v>
      </c>
      <c r="O75" s="26" t="s">
        <v>5035</v>
      </c>
      <c r="P75" t="s">
        <v>5036</v>
      </c>
      <c r="Q75" s="26"/>
      <c r="R75" s="29">
        <v>4</v>
      </c>
      <c r="S75" s="29" t="s">
        <v>4409</v>
      </c>
      <c r="T75" s="29" t="s">
        <v>5037</v>
      </c>
      <c r="U75" s="26" t="s">
        <v>77</v>
      </c>
      <c r="V75" s="30" t="s">
        <v>78</v>
      </c>
      <c r="W75" s="30" t="s">
        <v>79</v>
      </c>
      <c r="X75" s="38" t="s">
        <v>4997</v>
      </c>
      <c r="Y75" s="26" t="s">
        <v>4412</v>
      </c>
      <c r="Z75" s="26" t="s">
        <v>81</v>
      </c>
      <c r="AA75" s="26" t="s">
        <v>81</v>
      </c>
      <c r="AB75" s="25" t="s">
        <v>15</v>
      </c>
      <c r="AC75" s="30" t="s">
        <v>172</v>
      </c>
      <c r="AD75" s="25" t="s">
        <v>172</v>
      </c>
      <c r="AE75" s="25" t="s">
        <v>174</v>
      </c>
      <c r="AF75" s="26" t="s">
        <v>175</v>
      </c>
      <c r="AG75" s="32">
        <f t="shared" si="6"/>
        <v>1</v>
      </c>
      <c r="AH75" s="32">
        <v>1</v>
      </c>
      <c r="AI75" s="32">
        <v>1</v>
      </c>
      <c r="AJ75" s="32">
        <v>1</v>
      </c>
      <c r="AK75" s="30"/>
      <c r="AL75" s="30"/>
      <c r="AM75" s="32">
        <f t="shared" si="7"/>
        <v>1</v>
      </c>
      <c r="AN75" s="30">
        <v>1</v>
      </c>
      <c r="AO75" s="32">
        <v>1</v>
      </c>
      <c r="AP75" s="30">
        <v>1</v>
      </c>
      <c r="AQ75" s="30">
        <v>1</v>
      </c>
      <c r="AR75" s="32">
        <f t="shared" si="8"/>
        <v>0</v>
      </c>
      <c r="AS75" s="32">
        <v>1</v>
      </c>
      <c r="AT75" s="32"/>
      <c r="AU75" s="32">
        <v>1</v>
      </c>
      <c r="AV75" s="30"/>
      <c r="AW75" s="2"/>
      <c r="AX75" s="2" t="s">
        <v>4829</v>
      </c>
      <c r="AZ75" s="75" t="s">
        <v>5038</v>
      </c>
    </row>
    <row r="76" spans="1:52" ht="16.5">
      <c r="A76" s="25" t="s">
        <v>5039</v>
      </c>
      <c r="B76" s="25" t="s">
        <v>4398</v>
      </c>
      <c r="C76" s="25" t="s">
        <v>68</v>
      </c>
      <c r="D76" s="25" t="s">
        <v>5021</v>
      </c>
      <c r="E76" s="258" t="s">
        <v>5040</v>
      </c>
      <c r="F76" s="25" t="s">
        <v>5041</v>
      </c>
      <c r="G76" s="25" t="s">
        <v>165</v>
      </c>
      <c r="H76" s="25"/>
      <c r="I76" s="26" t="s">
        <v>4402</v>
      </c>
      <c r="J76" s="26" t="s">
        <v>5017</v>
      </c>
      <c r="K76" s="38" t="s">
        <v>4404</v>
      </c>
      <c r="L76" s="158" t="s">
        <v>4405</v>
      </c>
      <c r="M76" s="25" t="s">
        <v>73</v>
      </c>
      <c r="N76" s="25" t="s">
        <v>5042</v>
      </c>
      <c r="O76" s="26" t="s">
        <v>5043</v>
      </c>
      <c r="P76" t="s">
        <v>5044</v>
      </c>
      <c r="Q76" s="26"/>
      <c r="R76" s="29">
        <v>4</v>
      </c>
      <c r="S76" s="29" t="s">
        <v>4409</v>
      </c>
      <c r="T76" s="29" t="s">
        <v>5045</v>
      </c>
      <c r="U76" s="26" t="s">
        <v>77</v>
      </c>
      <c r="V76" s="30" t="s">
        <v>78</v>
      </c>
      <c r="W76" s="30" t="s">
        <v>79</v>
      </c>
      <c r="X76" s="38" t="s">
        <v>4997</v>
      </c>
      <c r="Y76" s="26" t="s">
        <v>4412</v>
      </c>
      <c r="Z76" s="26" t="s">
        <v>81</v>
      </c>
      <c r="AA76" s="26" t="s">
        <v>81</v>
      </c>
      <c r="AB76" s="25" t="s">
        <v>15</v>
      </c>
      <c r="AC76" s="30" t="s">
        <v>172</v>
      </c>
      <c r="AD76" s="25" t="s">
        <v>172</v>
      </c>
      <c r="AE76" s="25" t="s">
        <v>174</v>
      </c>
      <c r="AF76" s="26" t="s">
        <v>175</v>
      </c>
      <c r="AG76" s="32">
        <f t="shared" si="6"/>
        <v>1</v>
      </c>
      <c r="AH76" s="32">
        <v>1</v>
      </c>
      <c r="AI76" s="32">
        <v>1</v>
      </c>
      <c r="AJ76" s="32">
        <v>1</v>
      </c>
      <c r="AK76" s="30"/>
      <c r="AL76" s="30"/>
      <c r="AM76" s="32">
        <f t="shared" si="7"/>
        <v>1</v>
      </c>
      <c r="AN76" s="30">
        <v>1</v>
      </c>
      <c r="AO76" s="32">
        <v>1</v>
      </c>
      <c r="AP76" s="30">
        <v>1</v>
      </c>
      <c r="AQ76" s="30">
        <v>1</v>
      </c>
      <c r="AR76" s="32">
        <f t="shared" si="8"/>
        <v>0</v>
      </c>
      <c r="AS76" s="32">
        <v>1</v>
      </c>
      <c r="AT76" s="32"/>
      <c r="AU76" s="32">
        <v>1</v>
      </c>
      <c r="AV76" s="30"/>
      <c r="AW76" s="2"/>
      <c r="AX76" s="2" t="s">
        <v>4858</v>
      </c>
      <c r="AZ76" s="75" t="s">
        <v>5031</v>
      </c>
    </row>
    <row r="77" spans="1:52" ht="16.5">
      <c r="A77" s="25" t="s">
        <v>5046</v>
      </c>
      <c r="B77" s="25" t="s">
        <v>4398</v>
      </c>
      <c r="C77" s="25" t="s">
        <v>68</v>
      </c>
      <c r="D77" s="25" t="s">
        <v>5006</v>
      </c>
      <c r="E77" s="258" t="s">
        <v>5047</v>
      </c>
      <c r="F77" s="25" t="s">
        <v>5048</v>
      </c>
      <c r="G77" s="25" t="s">
        <v>165</v>
      </c>
      <c r="H77" s="25"/>
      <c r="I77" s="26" t="s">
        <v>4402</v>
      </c>
      <c r="J77" s="26" t="s">
        <v>5017</v>
      </c>
      <c r="K77" s="38" t="s">
        <v>4404</v>
      </c>
      <c r="L77" s="158" t="s">
        <v>4405</v>
      </c>
      <c r="M77" s="25" t="s">
        <v>73</v>
      </c>
      <c r="N77" s="25" t="s">
        <v>5049</v>
      </c>
      <c r="O77" s="26" t="s">
        <v>5050</v>
      </c>
      <c r="P77" t="s">
        <v>5051</v>
      </c>
      <c r="Q77" s="26"/>
      <c r="R77" s="29">
        <v>4</v>
      </c>
      <c r="S77" s="29" t="s">
        <v>4409</v>
      </c>
      <c r="T77" s="29" t="s">
        <v>4961</v>
      </c>
      <c r="U77" s="26" t="s">
        <v>77</v>
      </c>
      <c r="V77" s="30" t="s">
        <v>78</v>
      </c>
      <c r="W77" s="30" t="s">
        <v>79</v>
      </c>
      <c r="X77" s="38" t="s">
        <v>4997</v>
      </c>
      <c r="Y77" s="26" t="s">
        <v>4412</v>
      </c>
      <c r="Z77" s="26" t="s">
        <v>81</v>
      </c>
      <c r="AA77" s="26" t="s">
        <v>81</v>
      </c>
      <c r="AB77" s="25" t="s">
        <v>15</v>
      </c>
      <c r="AC77" s="30" t="s">
        <v>172</v>
      </c>
      <c r="AD77" s="25" t="s">
        <v>172</v>
      </c>
      <c r="AE77" s="25" t="s">
        <v>174</v>
      </c>
      <c r="AF77" s="26" t="s">
        <v>175</v>
      </c>
      <c r="AG77" s="32">
        <f t="shared" si="6"/>
        <v>1</v>
      </c>
      <c r="AH77" s="32">
        <v>1</v>
      </c>
      <c r="AI77" s="32">
        <v>1</v>
      </c>
      <c r="AJ77" s="32">
        <v>1</v>
      </c>
      <c r="AK77" s="30"/>
      <c r="AL77" s="30"/>
      <c r="AM77" s="32">
        <f t="shared" si="7"/>
        <v>1</v>
      </c>
      <c r="AN77" s="30">
        <v>1</v>
      </c>
      <c r="AO77" s="32">
        <v>1</v>
      </c>
      <c r="AP77" s="30">
        <v>1</v>
      </c>
      <c r="AQ77" s="30">
        <v>1</v>
      </c>
      <c r="AR77" s="32">
        <f t="shared" si="8"/>
        <v>0</v>
      </c>
      <c r="AS77" s="32">
        <v>1</v>
      </c>
      <c r="AT77" s="32"/>
      <c r="AU77" s="32">
        <v>1</v>
      </c>
      <c r="AV77" s="30"/>
      <c r="AW77" s="2"/>
      <c r="AX77" s="2" t="s">
        <v>4666</v>
      </c>
      <c r="AZ77" s="75" t="s">
        <v>5052</v>
      </c>
    </row>
    <row r="78" spans="1:52" ht="16.5">
      <c r="A78" s="25" t="s">
        <v>5053</v>
      </c>
      <c r="B78" s="25" t="s">
        <v>4398</v>
      </c>
      <c r="C78" s="25" t="s">
        <v>68</v>
      </c>
      <c r="D78" s="25" t="s">
        <v>5054</v>
      </c>
      <c r="E78" s="258" t="s">
        <v>5055</v>
      </c>
      <c r="F78" s="25" t="s">
        <v>5056</v>
      </c>
      <c r="G78" s="25" t="s">
        <v>165</v>
      </c>
      <c r="H78" s="25"/>
      <c r="I78" s="26" t="s">
        <v>4402</v>
      </c>
      <c r="J78" s="26" t="s">
        <v>5017</v>
      </c>
      <c r="K78" s="38" t="s">
        <v>4404</v>
      </c>
      <c r="L78" s="158" t="s">
        <v>4405</v>
      </c>
      <c r="M78" s="25" t="s">
        <v>73</v>
      </c>
      <c r="N78" s="25" t="s">
        <v>5057</v>
      </c>
      <c r="O78" s="26" t="s">
        <v>5058</v>
      </c>
      <c r="P78" t="s">
        <v>5059</v>
      </c>
      <c r="Q78" s="26"/>
      <c r="R78" s="29">
        <v>4</v>
      </c>
      <c r="S78" s="29" t="s">
        <v>4409</v>
      </c>
      <c r="T78" s="29" t="s">
        <v>4567</v>
      </c>
      <c r="U78" s="26" t="s">
        <v>77</v>
      </c>
      <c r="V78" s="30" t="s">
        <v>78</v>
      </c>
      <c r="W78" s="30" t="s">
        <v>79</v>
      </c>
      <c r="X78" s="38" t="s">
        <v>4997</v>
      </c>
      <c r="Y78" s="26" t="s">
        <v>4412</v>
      </c>
      <c r="Z78" s="26" t="s">
        <v>81</v>
      </c>
      <c r="AA78" s="26" t="s">
        <v>81</v>
      </c>
      <c r="AB78" s="25" t="s">
        <v>15</v>
      </c>
      <c r="AC78" s="30" t="s">
        <v>172</v>
      </c>
      <c r="AD78" s="25" t="s">
        <v>172</v>
      </c>
      <c r="AE78" s="25" t="s">
        <v>174</v>
      </c>
      <c r="AF78" s="26" t="s">
        <v>175</v>
      </c>
      <c r="AG78" s="32">
        <f t="shared" si="6"/>
        <v>1</v>
      </c>
      <c r="AH78" s="32">
        <v>1</v>
      </c>
      <c r="AI78" s="32">
        <v>1</v>
      </c>
      <c r="AJ78" s="32">
        <v>1</v>
      </c>
      <c r="AK78" s="30"/>
      <c r="AL78" s="30"/>
      <c r="AM78" s="32">
        <f t="shared" si="7"/>
        <v>1</v>
      </c>
      <c r="AN78" s="30">
        <v>1</v>
      </c>
      <c r="AO78" s="32">
        <v>1</v>
      </c>
      <c r="AP78" s="30">
        <v>1</v>
      </c>
      <c r="AQ78" s="30">
        <v>1</v>
      </c>
      <c r="AR78" s="32">
        <f t="shared" si="8"/>
        <v>0</v>
      </c>
      <c r="AS78" s="32">
        <v>1</v>
      </c>
      <c r="AT78" s="32"/>
      <c r="AU78" s="32">
        <v>1</v>
      </c>
      <c r="AV78" s="30"/>
      <c r="AW78" s="2"/>
      <c r="AX78" s="2" t="s">
        <v>4635</v>
      </c>
      <c r="AZ78" s="75" t="s">
        <v>5054</v>
      </c>
    </row>
    <row r="79" spans="1:52" ht="16.5">
      <c r="A79" s="25" t="s">
        <v>5060</v>
      </c>
      <c r="B79" s="25" t="s">
        <v>4398</v>
      </c>
      <c r="C79" s="25" t="s">
        <v>68</v>
      </c>
      <c r="D79" s="25" t="s">
        <v>4998</v>
      </c>
      <c r="E79" s="258" t="s">
        <v>5061</v>
      </c>
      <c r="F79" s="25" t="s">
        <v>5062</v>
      </c>
      <c r="G79" s="25" t="s">
        <v>165</v>
      </c>
      <c r="H79" s="25"/>
      <c r="I79" s="26" t="s">
        <v>4402</v>
      </c>
      <c r="J79" s="26" t="s">
        <v>5017</v>
      </c>
      <c r="K79" s="38" t="s">
        <v>4404</v>
      </c>
      <c r="L79" s="158" t="s">
        <v>4405</v>
      </c>
      <c r="M79" s="25" t="s">
        <v>73</v>
      </c>
      <c r="N79" s="25" t="s">
        <v>4552</v>
      </c>
      <c r="O79" s="26" t="s">
        <v>5063</v>
      </c>
      <c r="P79" t="s">
        <v>5064</v>
      </c>
      <c r="Q79" s="26"/>
      <c r="R79" s="29">
        <v>4</v>
      </c>
      <c r="S79" s="29" t="s">
        <v>4409</v>
      </c>
      <c r="T79" s="29" t="s">
        <v>5065</v>
      </c>
      <c r="U79" s="26" t="s">
        <v>77</v>
      </c>
      <c r="V79" s="30" t="s">
        <v>78</v>
      </c>
      <c r="W79" s="30" t="s">
        <v>79</v>
      </c>
      <c r="X79" s="38" t="s">
        <v>4997</v>
      </c>
      <c r="Y79" s="26" t="s">
        <v>4412</v>
      </c>
      <c r="Z79" s="26" t="s">
        <v>81</v>
      </c>
      <c r="AA79" s="26" t="s">
        <v>81</v>
      </c>
      <c r="AB79" s="25" t="s">
        <v>15</v>
      </c>
      <c r="AC79" s="30" t="s">
        <v>172</v>
      </c>
      <c r="AD79" s="25" t="s">
        <v>172</v>
      </c>
      <c r="AE79" s="25" t="s">
        <v>174</v>
      </c>
      <c r="AF79" s="26" t="s">
        <v>175</v>
      </c>
      <c r="AG79" s="32">
        <f t="shared" si="6"/>
        <v>1</v>
      </c>
      <c r="AH79" s="32">
        <v>1</v>
      </c>
      <c r="AI79" s="32">
        <v>1</v>
      </c>
      <c r="AJ79" s="32">
        <v>1</v>
      </c>
      <c r="AK79" s="30"/>
      <c r="AL79" s="30"/>
      <c r="AM79" s="32">
        <f t="shared" si="7"/>
        <v>1</v>
      </c>
      <c r="AN79" s="30">
        <v>1</v>
      </c>
      <c r="AO79" s="32">
        <v>1</v>
      </c>
      <c r="AP79" s="30">
        <v>1</v>
      </c>
      <c r="AQ79" s="30">
        <v>1</v>
      </c>
      <c r="AR79" s="32">
        <f t="shared" si="8"/>
        <v>0</v>
      </c>
      <c r="AS79" s="32">
        <v>1</v>
      </c>
      <c r="AT79" s="32"/>
      <c r="AU79" s="32">
        <v>1</v>
      </c>
      <c r="AV79" s="30"/>
      <c r="AW79" s="2"/>
      <c r="AX79" s="2" t="s">
        <v>4723</v>
      </c>
      <c r="AZ79" s="75" t="s">
        <v>5066</v>
      </c>
    </row>
    <row r="80" spans="1:52" ht="16.5">
      <c r="A80" s="25" t="s">
        <v>5067</v>
      </c>
      <c r="B80" s="25" t="s">
        <v>4398</v>
      </c>
      <c r="C80" s="25" t="s">
        <v>68</v>
      </c>
      <c r="D80" s="25" t="s">
        <v>5068</v>
      </c>
      <c r="E80" s="258" t="s">
        <v>5069</v>
      </c>
      <c r="F80" s="25" t="s">
        <v>5070</v>
      </c>
      <c r="G80" s="25" t="s">
        <v>165</v>
      </c>
      <c r="H80" s="25"/>
      <c r="I80" s="26" t="s">
        <v>4402</v>
      </c>
      <c r="J80" s="26" t="s">
        <v>5071</v>
      </c>
      <c r="K80" s="38" t="s">
        <v>4404</v>
      </c>
      <c r="L80" s="158" t="s">
        <v>4405</v>
      </c>
      <c r="M80" s="25" t="s">
        <v>73</v>
      </c>
      <c r="N80" s="25" t="s">
        <v>4605</v>
      </c>
      <c r="O80" s="26" t="s">
        <v>5072</v>
      </c>
      <c r="P80" t="s">
        <v>5073</v>
      </c>
      <c r="Q80" s="26"/>
      <c r="R80" s="29">
        <v>4</v>
      </c>
      <c r="S80" s="29" t="s">
        <v>4409</v>
      </c>
      <c r="T80" s="29" t="s">
        <v>5074</v>
      </c>
      <c r="U80" s="26" t="s">
        <v>77</v>
      </c>
      <c r="V80" s="30" t="s">
        <v>78</v>
      </c>
      <c r="W80" s="30" t="s">
        <v>79</v>
      </c>
      <c r="X80" s="38" t="s">
        <v>4997</v>
      </c>
      <c r="Y80" s="26" t="s">
        <v>4412</v>
      </c>
      <c r="Z80" s="26" t="s">
        <v>81</v>
      </c>
      <c r="AA80" s="26" t="s">
        <v>81</v>
      </c>
      <c r="AB80" s="25" t="s">
        <v>15</v>
      </c>
      <c r="AC80" s="30" t="s">
        <v>172</v>
      </c>
      <c r="AD80" s="25" t="s">
        <v>172</v>
      </c>
      <c r="AE80" s="25" t="s">
        <v>174</v>
      </c>
      <c r="AF80" s="26" t="s">
        <v>175</v>
      </c>
      <c r="AG80" s="32">
        <f t="shared" si="6"/>
        <v>1</v>
      </c>
      <c r="AH80" s="32">
        <v>1</v>
      </c>
      <c r="AI80" s="32">
        <v>1</v>
      </c>
      <c r="AJ80" s="32">
        <v>1</v>
      </c>
      <c r="AK80" s="30"/>
      <c r="AL80" s="30"/>
      <c r="AM80" s="32">
        <f t="shared" si="7"/>
        <v>1</v>
      </c>
      <c r="AN80" s="30">
        <v>1</v>
      </c>
      <c r="AO80" s="32">
        <v>1</v>
      </c>
      <c r="AP80" s="30">
        <v>1</v>
      </c>
      <c r="AQ80" s="30">
        <v>1</v>
      </c>
      <c r="AR80" s="32">
        <f t="shared" si="8"/>
        <v>0</v>
      </c>
      <c r="AS80" s="32">
        <v>1</v>
      </c>
      <c r="AT80" s="32"/>
      <c r="AU80" s="32">
        <v>1</v>
      </c>
      <c r="AV80" s="30"/>
      <c r="AW80" s="2"/>
      <c r="AX80" s="2" t="s">
        <v>4759</v>
      </c>
      <c r="AZ80" s="75" t="s">
        <v>5075</v>
      </c>
    </row>
    <row r="81" spans="1:52" ht="16.5">
      <c r="A81" s="25" t="s">
        <v>5076</v>
      </c>
      <c r="B81" s="25" t="s">
        <v>4398</v>
      </c>
      <c r="C81" s="25" t="s">
        <v>68</v>
      </c>
      <c r="D81" s="25" t="s">
        <v>5077</v>
      </c>
      <c r="E81" s="258" t="s">
        <v>5078</v>
      </c>
      <c r="F81" s="25" t="s">
        <v>5079</v>
      </c>
      <c r="G81" s="25" t="s">
        <v>165</v>
      </c>
      <c r="H81" s="25"/>
      <c r="I81" s="26" t="s">
        <v>4402</v>
      </c>
      <c r="J81" s="26" t="s">
        <v>5071</v>
      </c>
      <c r="K81" s="38" t="s">
        <v>4404</v>
      </c>
      <c r="L81" s="158" t="s">
        <v>4405</v>
      </c>
      <c r="M81" s="25" t="s">
        <v>73</v>
      </c>
      <c r="N81" s="25" t="s">
        <v>4660</v>
      </c>
      <c r="O81" s="26" t="s">
        <v>5080</v>
      </c>
      <c r="P81" t="s">
        <v>5081</v>
      </c>
      <c r="Q81" s="26"/>
      <c r="R81" s="29">
        <v>4</v>
      </c>
      <c r="S81" s="29" t="s">
        <v>4409</v>
      </c>
      <c r="T81" s="29" t="s">
        <v>5082</v>
      </c>
      <c r="U81" s="26" t="s">
        <v>77</v>
      </c>
      <c r="V81" s="30" t="s">
        <v>78</v>
      </c>
      <c r="W81" s="30" t="s">
        <v>79</v>
      </c>
      <c r="X81" s="38" t="s">
        <v>4997</v>
      </c>
      <c r="Y81" s="26" t="s">
        <v>4412</v>
      </c>
      <c r="Z81" s="26" t="s">
        <v>81</v>
      </c>
      <c r="AA81" s="26" t="s">
        <v>81</v>
      </c>
      <c r="AB81" s="25" t="s">
        <v>15</v>
      </c>
      <c r="AC81" s="30" t="s">
        <v>172</v>
      </c>
      <c r="AD81" s="25" t="s">
        <v>172</v>
      </c>
      <c r="AE81" s="25" t="s">
        <v>174</v>
      </c>
      <c r="AF81" s="26" t="s">
        <v>175</v>
      </c>
      <c r="AG81" s="32">
        <f t="shared" si="6"/>
        <v>1</v>
      </c>
      <c r="AH81" s="32">
        <v>1</v>
      </c>
      <c r="AI81" s="32">
        <v>1</v>
      </c>
      <c r="AJ81" s="32">
        <v>1</v>
      </c>
      <c r="AK81" s="30"/>
      <c r="AL81" s="30"/>
      <c r="AM81" s="32">
        <f t="shared" si="7"/>
        <v>1</v>
      </c>
      <c r="AN81" s="30">
        <v>1</v>
      </c>
      <c r="AO81" s="32">
        <v>1</v>
      </c>
      <c r="AP81" s="30">
        <v>1</v>
      </c>
      <c r="AQ81" s="30">
        <v>1</v>
      </c>
      <c r="AR81" s="32">
        <f t="shared" si="8"/>
        <v>0</v>
      </c>
      <c r="AS81" s="32">
        <v>1</v>
      </c>
      <c r="AT81" s="32"/>
      <c r="AU81" s="32">
        <v>1</v>
      </c>
      <c r="AV81" s="30"/>
      <c r="AW81" s="2"/>
      <c r="AX81" s="2" t="s">
        <v>4750</v>
      </c>
      <c r="AZ81" s="75" t="s">
        <v>5008</v>
      </c>
    </row>
    <row r="82" spans="1:52" ht="16.5">
      <c r="A82" s="25" t="s">
        <v>5083</v>
      </c>
      <c r="B82" s="25" t="s">
        <v>4398</v>
      </c>
      <c r="C82" s="25" t="s">
        <v>68</v>
      </c>
      <c r="D82" s="25" t="s">
        <v>5084</v>
      </c>
      <c r="E82" s="258" t="s">
        <v>5085</v>
      </c>
      <c r="F82" s="25" t="s">
        <v>5086</v>
      </c>
      <c r="G82" s="25" t="s">
        <v>165</v>
      </c>
      <c r="H82" s="25"/>
      <c r="I82" s="26" t="s">
        <v>4402</v>
      </c>
      <c r="J82" s="26" t="s">
        <v>5071</v>
      </c>
      <c r="K82" s="38" t="s">
        <v>4404</v>
      </c>
      <c r="L82" s="158" t="s">
        <v>4405</v>
      </c>
      <c r="M82" s="25" t="s">
        <v>73</v>
      </c>
      <c r="N82" s="25" t="s">
        <v>4630</v>
      </c>
      <c r="O82" s="26" t="s">
        <v>5087</v>
      </c>
      <c r="P82" t="s">
        <v>5088</v>
      </c>
      <c r="Q82" s="26"/>
      <c r="R82" s="29">
        <v>4</v>
      </c>
      <c r="S82" s="29" t="s">
        <v>4409</v>
      </c>
      <c r="T82" s="29" t="s">
        <v>5089</v>
      </c>
      <c r="U82" s="26" t="s">
        <v>77</v>
      </c>
      <c r="V82" s="30" t="s">
        <v>78</v>
      </c>
      <c r="W82" s="30" t="s">
        <v>79</v>
      </c>
      <c r="X82" s="38" t="s">
        <v>4997</v>
      </c>
      <c r="Y82" s="26" t="s">
        <v>4412</v>
      </c>
      <c r="Z82" s="26" t="s">
        <v>81</v>
      </c>
      <c r="AA82" s="26" t="s">
        <v>81</v>
      </c>
      <c r="AB82" s="25" t="s">
        <v>15</v>
      </c>
      <c r="AC82" s="30" t="s">
        <v>172</v>
      </c>
      <c r="AD82" s="25" t="s">
        <v>172</v>
      </c>
      <c r="AE82" s="25" t="s">
        <v>174</v>
      </c>
      <c r="AF82" s="26" t="s">
        <v>175</v>
      </c>
      <c r="AG82" s="32">
        <f t="shared" si="6"/>
        <v>1</v>
      </c>
      <c r="AH82" s="32">
        <v>1</v>
      </c>
      <c r="AI82" s="32">
        <v>1</v>
      </c>
      <c r="AJ82" s="32">
        <v>1</v>
      </c>
      <c r="AK82" s="30"/>
      <c r="AL82" s="30"/>
      <c r="AM82" s="32">
        <f t="shared" si="7"/>
        <v>1</v>
      </c>
      <c r="AN82" s="30">
        <v>1</v>
      </c>
      <c r="AO82" s="32">
        <v>1</v>
      </c>
      <c r="AP82" s="30">
        <v>1</v>
      </c>
      <c r="AQ82" s="30">
        <v>1</v>
      </c>
      <c r="AR82" s="32">
        <f t="shared" si="8"/>
        <v>0</v>
      </c>
      <c r="AS82" s="32">
        <v>1</v>
      </c>
      <c r="AT82" s="32"/>
      <c r="AU82" s="32">
        <v>1</v>
      </c>
      <c r="AV82" s="30"/>
      <c r="AW82" s="2"/>
      <c r="AX82" s="2" t="s">
        <v>4893</v>
      </c>
      <c r="AZ82" s="75" t="s">
        <v>5068</v>
      </c>
    </row>
    <row r="83" spans="1:52" ht="16.5">
      <c r="A83" s="25" t="s">
        <v>5090</v>
      </c>
      <c r="B83" s="25" t="s">
        <v>4398</v>
      </c>
      <c r="C83" s="25" t="s">
        <v>68</v>
      </c>
      <c r="D83" s="25" t="s">
        <v>5075</v>
      </c>
      <c r="E83" s="258" t="s">
        <v>5091</v>
      </c>
      <c r="F83" s="25" t="s">
        <v>5092</v>
      </c>
      <c r="G83" s="25" t="s">
        <v>165</v>
      </c>
      <c r="H83" s="25"/>
      <c r="I83" s="26" t="s">
        <v>4402</v>
      </c>
      <c r="J83" s="26" t="s">
        <v>5071</v>
      </c>
      <c r="K83" s="38" t="s">
        <v>4404</v>
      </c>
      <c r="L83" s="158" t="s">
        <v>4405</v>
      </c>
      <c r="M83" s="25" t="s">
        <v>73</v>
      </c>
      <c r="N83" s="25" t="s">
        <v>5093</v>
      </c>
      <c r="O83" s="26" t="s">
        <v>5094</v>
      </c>
      <c r="P83" t="s">
        <v>5095</v>
      </c>
      <c r="Q83" s="26"/>
      <c r="R83" s="29">
        <v>4</v>
      </c>
      <c r="S83" s="29" t="s">
        <v>4409</v>
      </c>
      <c r="T83" s="29" t="s">
        <v>4513</v>
      </c>
      <c r="U83" s="26" t="s">
        <v>77</v>
      </c>
      <c r="V83" s="30" t="s">
        <v>78</v>
      </c>
      <c r="W83" s="30" t="s">
        <v>79</v>
      </c>
      <c r="X83" s="38" t="s">
        <v>4997</v>
      </c>
      <c r="Y83" s="26" t="s">
        <v>4412</v>
      </c>
      <c r="Z83" s="26" t="s">
        <v>81</v>
      </c>
      <c r="AA83" s="26" t="s">
        <v>81</v>
      </c>
      <c r="AB83" s="25" t="s">
        <v>15</v>
      </c>
      <c r="AC83" s="30" t="s">
        <v>172</v>
      </c>
      <c r="AD83" s="25" t="s">
        <v>172</v>
      </c>
      <c r="AE83" s="25" t="s">
        <v>174</v>
      </c>
      <c r="AF83" s="26" t="s">
        <v>175</v>
      </c>
      <c r="AG83" s="32">
        <f t="shared" si="6"/>
        <v>1</v>
      </c>
      <c r="AH83" s="32">
        <v>1</v>
      </c>
      <c r="AI83" s="32">
        <v>1</v>
      </c>
      <c r="AJ83" s="32">
        <v>1</v>
      </c>
      <c r="AK83" s="30"/>
      <c r="AL83" s="30"/>
      <c r="AM83" s="32">
        <f t="shared" si="7"/>
        <v>1</v>
      </c>
      <c r="AN83" s="30">
        <v>1</v>
      </c>
      <c r="AO83" s="32">
        <v>1</v>
      </c>
      <c r="AP83" s="30">
        <v>1</v>
      </c>
      <c r="AQ83" s="30">
        <v>1</v>
      </c>
      <c r="AR83" s="32">
        <f t="shared" si="8"/>
        <v>0</v>
      </c>
      <c r="AS83" s="32">
        <v>1</v>
      </c>
      <c r="AT83" s="32"/>
      <c r="AU83" s="32">
        <v>1</v>
      </c>
      <c r="AV83" s="30"/>
      <c r="AW83" s="2"/>
      <c r="AX83" s="2" t="s">
        <v>4941</v>
      </c>
      <c r="AZ83" s="75" t="s">
        <v>5096</v>
      </c>
    </row>
    <row r="84" spans="1:52" ht="16.5">
      <c r="A84" s="25" t="s">
        <v>5097</v>
      </c>
      <c r="B84" s="25" t="s">
        <v>4398</v>
      </c>
      <c r="C84" s="25" t="s">
        <v>68</v>
      </c>
      <c r="D84" s="25" t="s">
        <v>5098</v>
      </c>
      <c r="E84" s="258" t="s">
        <v>5099</v>
      </c>
      <c r="F84" s="25" t="s">
        <v>5100</v>
      </c>
      <c r="G84" s="25" t="s">
        <v>165</v>
      </c>
      <c r="H84" s="25"/>
      <c r="I84" s="26" t="s">
        <v>4402</v>
      </c>
      <c r="J84" s="26" t="s">
        <v>5071</v>
      </c>
      <c r="K84" s="38" t="s">
        <v>4404</v>
      </c>
      <c r="L84" s="158" t="s">
        <v>4405</v>
      </c>
      <c r="M84" s="25" t="s">
        <v>73</v>
      </c>
      <c r="N84" s="25" t="s">
        <v>4642</v>
      </c>
      <c r="O84" s="26" t="s">
        <v>5101</v>
      </c>
      <c r="P84" t="s">
        <v>5102</v>
      </c>
      <c r="Q84" s="26"/>
      <c r="R84" s="29">
        <v>4</v>
      </c>
      <c r="S84" s="29" t="s">
        <v>4409</v>
      </c>
      <c r="T84" s="29" t="s">
        <v>5103</v>
      </c>
      <c r="U84" s="26" t="s">
        <v>77</v>
      </c>
      <c r="V84" s="30" t="s">
        <v>78</v>
      </c>
      <c r="W84" s="30" t="s">
        <v>79</v>
      </c>
      <c r="X84" s="38" t="s">
        <v>4997</v>
      </c>
      <c r="Y84" s="26" t="s">
        <v>4412</v>
      </c>
      <c r="Z84" s="26" t="s">
        <v>81</v>
      </c>
      <c r="AA84" s="26" t="s">
        <v>81</v>
      </c>
      <c r="AB84" s="25" t="s">
        <v>15</v>
      </c>
      <c r="AC84" s="30" t="s">
        <v>172</v>
      </c>
      <c r="AD84" s="25" t="s">
        <v>172</v>
      </c>
      <c r="AE84" s="25" t="s">
        <v>174</v>
      </c>
      <c r="AF84" s="26" t="s">
        <v>175</v>
      </c>
      <c r="AG84" s="32">
        <f t="shared" si="6"/>
        <v>1</v>
      </c>
      <c r="AH84" s="32">
        <v>1</v>
      </c>
      <c r="AI84" s="32">
        <v>1</v>
      </c>
      <c r="AJ84" s="32">
        <v>1</v>
      </c>
      <c r="AK84" s="30"/>
      <c r="AL84" s="30"/>
      <c r="AM84" s="32">
        <f t="shared" si="7"/>
        <v>1</v>
      </c>
      <c r="AN84" s="30">
        <v>1</v>
      </c>
      <c r="AO84" s="32">
        <v>1</v>
      </c>
      <c r="AP84" s="30">
        <v>1</v>
      </c>
      <c r="AQ84" s="30">
        <v>1</v>
      </c>
      <c r="AR84" s="32">
        <f t="shared" si="8"/>
        <v>0</v>
      </c>
      <c r="AS84" s="32">
        <v>1</v>
      </c>
      <c r="AT84" s="32"/>
      <c r="AU84" s="32">
        <v>1</v>
      </c>
      <c r="AV84" s="30"/>
      <c r="AW84" s="2"/>
      <c r="AX84" s="2" t="s">
        <v>4958</v>
      </c>
      <c r="AZ84" s="75" t="s">
        <v>5084</v>
      </c>
    </row>
    <row r="85" spans="1:52" ht="16.5">
      <c r="A85" s="25" t="s">
        <v>5104</v>
      </c>
      <c r="B85" s="25" t="s">
        <v>4398</v>
      </c>
      <c r="C85" s="25" t="s">
        <v>68</v>
      </c>
      <c r="D85" s="25" t="s">
        <v>5066</v>
      </c>
      <c r="E85" s="258" t="s">
        <v>5105</v>
      </c>
      <c r="F85" s="25" t="s">
        <v>5106</v>
      </c>
      <c r="G85" s="25" t="s">
        <v>165</v>
      </c>
      <c r="H85" s="25"/>
      <c r="I85" s="26" t="s">
        <v>4402</v>
      </c>
      <c r="J85" s="26" t="s">
        <v>5071</v>
      </c>
      <c r="K85" s="38" t="s">
        <v>4404</v>
      </c>
      <c r="L85" s="158" t="s">
        <v>4405</v>
      </c>
      <c r="M85" s="25" t="s">
        <v>73</v>
      </c>
      <c r="N85" s="25" t="s">
        <v>4587</v>
      </c>
      <c r="O85" s="26" t="s">
        <v>5107</v>
      </c>
      <c r="P85" t="s">
        <v>5108</v>
      </c>
      <c r="Q85" s="26"/>
      <c r="R85" s="29">
        <v>4</v>
      </c>
      <c r="S85" s="29" t="s">
        <v>4409</v>
      </c>
      <c r="T85" s="29" t="s">
        <v>5109</v>
      </c>
      <c r="U85" s="26" t="s">
        <v>77</v>
      </c>
      <c r="V85" s="30" t="s">
        <v>78</v>
      </c>
      <c r="W85" s="30" t="s">
        <v>79</v>
      </c>
      <c r="X85" s="38" t="s">
        <v>4997</v>
      </c>
      <c r="Y85" s="26" t="s">
        <v>4412</v>
      </c>
      <c r="Z85" s="26" t="s">
        <v>81</v>
      </c>
      <c r="AA85" s="26" t="s">
        <v>81</v>
      </c>
      <c r="AB85" s="25" t="s">
        <v>15</v>
      </c>
      <c r="AC85" s="30" t="s">
        <v>172</v>
      </c>
      <c r="AD85" s="25" t="s">
        <v>172</v>
      </c>
      <c r="AE85" s="25" t="s">
        <v>174</v>
      </c>
      <c r="AF85" s="26" t="s">
        <v>175</v>
      </c>
      <c r="AG85" s="32">
        <f t="shared" si="6"/>
        <v>1</v>
      </c>
      <c r="AH85" s="32">
        <v>1</v>
      </c>
      <c r="AI85" s="32">
        <v>1</v>
      </c>
      <c r="AJ85" s="32">
        <v>1</v>
      </c>
      <c r="AK85" s="30"/>
      <c r="AL85" s="30"/>
      <c r="AM85" s="32">
        <f t="shared" si="7"/>
        <v>1</v>
      </c>
      <c r="AN85" s="30">
        <v>1</v>
      </c>
      <c r="AO85" s="32">
        <v>1</v>
      </c>
      <c r="AP85" s="30">
        <v>1</v>
      </c>
      <c r="AQ85" s="30">
        <v>1</v>
      </c>
      <c r="AR85" s="32">
        <f t="shared" si="8"/>
        <v>0</v>
      </c>
      <c r="AS85" s="32">
        <v>1</v>
      </c>
      <c r="AT85" s="32"/>
      <c r="AU85" s="32">
        <v>1</v>
      </c>
      <c r="AV85" s="30"/>
      <c r="AW85" s="2"/>
      <c r="AX85" s="2" t="s">
        <v>4965</v>
      </c>
      <c r="AZ85" s="75" t="s">
        <v>5098</v>
      </c>
    </row>
    <row r="86" spans="1:52" ht="16.5">
      <c r="A86" s="25" t="s">
        <v>5110</v>
      </c>
      <c r="B86" s="25" t="s">
        <v>4398</v>
      </c>
      <c r="C86" s="25" t="s">
        <v>68</v>
      </c>
      <c r="D86" s="25" t="s">
        <v>5052</v>
      </c>
      <c r="E86" s="258" t="s">
        <v>5111</v>
      </c>
      <c r="F86" s="25" t="s">
        <v>5112</v>
      </c>
      <c r="G86" s="25" t="s">
        <v>165</v>
      </c>
      <c r="H86" s="25"/>
      <c r="I86" s="26" t="s">
        <v>4402</v>
      </c>
      <c r="J86" s="26" t="s">
        <v>5071</v>
      </c>
      <c r="K86" s="38" t="s">
        <v>4404</v>
      </c>
      <c r="L86" s="158" t="s">
        <v>4405</v>
      </c>
      <c r="M86" s="25" t="s">
        <v>73</v>
      </c>
      <c r="N86" s="25" t="s">
        <v>4577</v>
      </c>
      <c r="O86" s="26" t="s">
        <v>5113</v>
      </c>
      <c r="P86" t="s">
        <v>5114</v>
      </c>
      <c r="Q86" s="26"/>
      <c r="R86" s="29">
        <v>4</v>
      </c>
      <c r="S86" s="29" t="s">
        <v>4409</v>
      </c>
      <c r="T86" s="29" t="s">
        <v>5115</v>
      </c>
      <c r="U86" s="26" t="s">
        <v>77</v>
      </c>
      <c r="V86" s="30" t="s">
        <v>78</v>
      </c>
      <c r="W86" s="30" t="s">
        <v>79</v>
      </c>
      <c r="X86" s="38" t="s">
        <v>4997</v>
      </c>
      <c r="Y86" s="26" t="s">
        <v>4412</v>
      </c>
      <c r="Z86" s="26" t="s">
        <v>81</v>
      </c>
      <c r="AA86" s="26" t="s">
        <v>81</v>
      </c>
      <c r="AB86" s="25" t="s">
        <v>15</v>
      </c>
      <c r="AC86" s="30" t="s">
        <v>172</v>
      </c>
      <c r="AD86" s="25" t="s">
        <v>172</v>
      </c>
      <c r="AE86" s="25" t="s">
        <v>174</v>
      </c>
      <c r="AF86" s="26" t="s">
        <v>175</v>
      </c>
      <c r="AG86" s="32">
        <f t="shared" si="6"/>
        <v>1</v>
      </c>
      <c r="AH86" s="32">
        <v>1</v>
      </c>
      <c r="AI86" s="32">
        <v>1</v>
      </c>
      <c r="AJ86" s="32">
        <v>1</v>
      </c>
      <c r="AK86" s="30"/>
      <c r="AL86" s="30"/>
      <c r="AM86" s="32">
        <f t="shared" si="7"/>
        <v>1</v>
      </c>
      <c r="AN86" s="30">
        <v>1</v>
      </c>
      <c r="AO86" s="32">
        <v>1</v>
      </c>
      <c r="AP86" s="30">
        <v>1</v>
      </c>
      <c r="AQ86" s="30">
        <v>1</v>
      </c>
      <c r="AR86" s="32">
        <f t="shared" si="8"/>
        <v>0</v>
      </c>
      <c r="AS86" s="32">
        <v>1</v>
      </c>
      <c r="AT86" s="32"/>
      <c r="AU86" s="32">
        <v>1</v>
      </c>
      <c r="AV86" s="30"/>
      <c r="AW86" s="2"/>
      <c r="AX86" s="2" t="s">
        <v>4874</v>
      </c>
      <c r="AZ86" s="75" t="s">
        <v>5116</v>
      </c>
    </row>
    <row r="87" spans="1:52" ht="16.5">
      <c r="A87" s="25" t="s">
        <v>5117</v>
      </c>
      <c r="B87" s="25" t="s">
        <v>4398</v>
      </c>
      <c r="C87" s="25" t="s">
        <v>68</v>
      </c>
      <c r="D87" s="25" t="s">
        <v>5118</v>
      </c>
      <c r="E87" s="258" t="s">
        <v>5119</v>
      </c>
      <c r="F87" s="25" t="s">
        <v>5120</v>
      </c>
      <c r="G87" s="25" t="s">
        <v>165</v>
      </c>
      <c r="H87" s="25"/>
      <c r="I87" s="26" t="s">
        <v>4402</v>
      </c>
      <c r="J87" s="26" t="s">
        <v>5071</v>
      </c>
      <c r="K87" s="38" t="s">
        <v>4404</v>
      </c>
      <c r="L87" s="158" t="s">
        <v>4405</v>
      </c>
      <c r="M87" s="25" t="s">
        <v>73</v>
      </c>
      <c r="N87" s="25" t="s">
        <v>5121</v>
      </c>
      <c r="O87" s="26" t="s">
        <v>5122</v>
      </c>
      <c r="P87" t="s">
        <v>5123</v>
      </c>
      <c r="Q87" s="26"/>
      <c r="R87" s="29">
        <v>4</v>
      </c>
      <c r="S87" s="29" t="s">
        <v>4409</v>
      </c>
      <c r="T87" s="29" t="s">
        <v>5124</v>
      </c>
      <c r="U87" s="26" t="s">
        <v>77</v>
      </c>
      <c r="V87" s="30" t="s">
        <v>78</v>
      </c>
      <c r="W87" s="30" t="s">
        <v>79</v>
      </c>
      <c r="X87" s="38" t="s">
        <v>4997</v>
      </c>
      <c r="Y87" s="26" t="s">
        <v>4412</v>
      </c>
      <c r="Z87" s="26" t="s">
        <v>81</v>
      </c>
      <c r="AA87" s="26" t="s">
        <v>81</v>
      </c>
      <c r="AB87" s="25" t="s">
        <v>19</v>
      </c>
      <c r="AC87" s="30" t="s">
        <v>172</v>
      </c>
      <c r="AD87" s="25" t="s">
        <v>172</v>
      </c>
      <c r="AE87" s="25" t="s">
        <v>174</v>
      </c>
      <c r="AF87" s="26" t="s">
        <v>175</v>
      </c>
      <c r="AG87" s="32">
        <v>1</v>
      </c>
      <c r="AH87" s="32">
        <v>1</v>
      </c>
      <c r="AI87" s="32">
        <v>1</v>
      </c>
      <c r="AJ87" s="32">
        <v>1</v>
      </c>
      <c r="AK87" s="30"/>
      <c r="AL87" s="30"/>
      <c r="AM87" s="32">
        <f t="shared" si="7"/>
        <v>1</v>
      </c>
      <c r="AN87" s="30"/>
      <c r="AO87" s="32"/>
      <c r="AP87" s="30"/>
      <c r="AQ87" s="30"/>
      <c r="AR87" s="32">
        <f t="shared" si="8"/>
        <v>0</v>
      </c>
      <c r="AS87" s="32"/>
      <c r="AT87" s="32"/>
      <c r="AU87" s="32">
        <v>1</v>
      </c>
      <c r="AV87" s="30"/>
      <c r="AW87" s="2"/>
      <c r="AX87" s="2" t="s">
        <v>4902</v>
      </c>
      <c r="AZ87" s="75" t="s">
        <v>5023</v>
      </c>
    </row>
    <row r="88" spans="1:52" ht="16.5">
      <c r="A88" s="25" t="s">
        <v>5125</v>
      </c>
      <c r="B88" s="25" t="s">
        <v>4398</v>
      </c>
      <c r="C88" s="25" t="s">
        <v>68</v>
      </c>
      <c r="D88" s="25" t="s">
        <v>5029</v>
      </c>
      <c r="E88" s="258" t="s">
        <v>5126</v>
      </c>
      <c r="F88" s="25" t="s">
        <v>5127</v>
      </c>
      <c r="G88" s="25" t="s">
        <v>165</v>
      </c>
      <c r="H88" s="25"/>
      <c r="I88" s="26" t="s">
        <v>4402</v>
      </c>
      <c r="J88" s="26" t="s">
        <v>5128</v>
      </c>
      <c r="K88" s="38" t="s">
        <v>4404</v>
      </c>
      <c r="L88" s="158" t="s">
        <v>4405</v>
      </c>
      <c r="M88" s="25" t="s">
        <v>73</v>
      </c>
      <c r="N88" s="25" t="s">
        <v>5129</v>
      </c>
      <c r="O88" s="26" t="s">
        <v>5130</v>
      </c>
      <c r="P88" t="s">
        <v>5131</v>
      </c>
      <c r="Q88" s="26"/>
      <c r="R88" s="29">
        <v>4</v>
      </c>
      <c r="S88" s="29" t="s">
        <v>4409</v>
      </c>
      <c r="T88" s="29" t="s">
        <v>4604</v>
      </c>
      <c r="U88" s="26" t="s">
        <v>77</v>
      </c>
      <c r="V88" s="30" t="s">
        <v>78</v>
      </c>
      <c r="W88" s="30" t="s">
        <v>79</v>
      </c>
      <c r="X88" s="38" t="s">
        <v>4997</v>
      </c>
      <c r="Y88" s="26" t="s">
        <v>4412</v>
      </c>
      <c r="Z88" s="26" t="s">
        <v>81</v>
      </c>
      <c r="AA88" s="26" t="s">
        <v>81</v>
      </c>
      <c r="AB88" s="25" t="s">
        <v>15</v>
      </c>
      <c r="AC88" s="30" t="s">
        <v>172</v>
      </c>
      <c r="AD88" s="25" t="s">
        <v>172</v>
      </c>
      <c r="AE88" s="25" t="s">
        <v>174</v>
      </c>
      <c r="AF88" s="26" t="s">
        <v>175</v>
      </c>
      <c r="AG88" s="32">
        <f t="shared" si="6"/>
        <v>1</v>
      </c>
      <c r="AH88" s="32">
        <v>1</v>
      </c>
      <c r="AI88" s="32">
        <v>1</v>
      </c>
      <c r="AJ88" s="32">
        <v>1</v>
      </c>
      <c r="AK88" s="30"/>
      <c r="AL88" s="30"/>
      <c r="AM88" s="32">
        <f t="shared" si="7"/>
        <v>1</v>
      </c>
      <c r="AN88" s="30">
        <v>1</v>
      </c>
      <c r="AO88" s="32">
        <v>1</v>
      </c>
      <c r="AP88" s="30">
        <v>1</v>
      </c>
      <c r="AQ88" s="30">
        <v>1</v>
      </c>
      <c r="AR88" s="32">
        <f t="shared" si="8"/>
        <v>0</v>
      </c>
      <c r="AS88" s="32">
        <v>1</v>
      </c>
      <c r="AT88" s="32"/>
      <c r="AU88" s="32">
        <v>1</v>
      </c>
      <c r="AV88" s="30"/>
      <c r="AW88" s="2"/>
      <c r="AX88" s="2" t="s">
        <v>4986</v>
      </c>
      <c r="AZ88" s="75" t="s">
        <v>5077</v>
      </c>
    </row>
    <row r="89" spans="1:52" ht="16.5">
      <c r="A89" s="25" t="s">
        <v>5132</v>
      </c>
      <c r="B89" s="25" t="s">
        <v>4398</v>
      </c>
      <c r="C89" s="25" t="s">
        <v>68</v>
      </c>
      <c r="D89" s="25" t="s">
        <v>5038</v>
      </c>
      <c r="E89" s="258" t="s">
        <v>5133</v>
      </c>
      <c r="F89" s="25" t="s">
        <v>5134</v>
      </c>
      <c r="G89" s="25" t="s">
        <v>165</v>
      </c>
      <c r="H89" s="25"/>
      <c r="I89" s="26" t="s">
        <v>4402</v>
      </c>
      <c r="J89" s="26" t="s">
        <v>5128</v>
      </c>
      <c r="K89" s="38" t="s">
        <v>4404</v>
      </c>
      <c r="L89" s="158" t="s">
        <v>4405</v>
      </c>
      <c r="M89" s="25" t="s">
        <v>73</v>
      </c>
      <c r="N89" s="25" t="s">
        <v>4568</v>
      </c>
      <c r="O89" s="26" t="s">
        <v>5135</v>
      </c>
      <c r="P89" t="s">
        <v>5136</v>
      </c>
      <c r="Q89" s="26"/>
      <c r="R89" s="29">
        <v>4</v>
      </c>
      <c r="S89" s="29" t="s">
        <v>4409</v>
      </c>
      <c r="T89" s="29" t="s">
        <v>5137</v>
      </c>
      <c r="U89" s="26" t="s">
        <v>77</v>
      </c>
      <c r="V89" s="30" t="s">
        <v>78</v>
      </c>
      <c r="W89" s="30" t="s">
        <v>79</v>
      </c>
      <c r="X89" s="38" t="s">
        <v>4997</v>
      </c>
      <c r="Y89" s="26" t="s">
        <v>4412</v>
      </c>
      <c r="Z89" s="26" t="s">
        <v>81</v>
      </c>
      <c r="AA89" s="26" t="s">
        <v>81</v>
      </c>
      <c r="AB89" s="25" t="s">
        <v>15</v>
      </c>
      <c r="AC89" s="30" t="s">
        <v>172</v>
      </c>
      <c r="AD89" s="25" t="s">
        <v>172</v>
      </c>
      <c r="AE89" s="25" t="s">
        <v>174</v>
      </c>
      <c r="AF89" s="26" t="s">
        <v>175</v>
      </c>
      <c r="AG89" s="32">
        <f t="shared" si="6"/>
        <v>1</v>
      </c>
      <c r="AH89" s="32">
        <v>1</v>
      </c>
      <c r="AI89" s="32">
        <v>1</v>
      </c>
      <c r="AJ89" s="32">
        <v>1</v>
      </c>
      <c r="AK89" s="30"/>
      <c r="AL89" s="30"/>
      <c r="AM89" s="32">
        <f t="shared" si="7"/>
        <v>1</v>
      </c>
      <c r="AN89" s="30">
        <v>1</v>
      </c>
      <c r="AO89" s="32">
        <v>1</v>
      </c>
      <c r="AP89" s="30">
        <v>1</v>
      </c>
      <c r="AQ89" s="30">
        <v>1</v>
      </c>
      <c r="AR89" s="32">
        <f t="shared" si="8"/>
        <v>0</v>
      </c>
      <c r="AS89" s="32">
        <v>1</v>
      </c>
      <c r="AT89" s="32"/>
      <c r="AU89" s="32">
        <v>1</v>
      </c>
      <c r="AV89" s="30"/>
      <c r="AW89" s="2"/>
      <c r="AX89" s="2" t="s">
        <v>4979</v>
      </c>
      <c r="AZ89" s="75" t="s">
        <v>4991</v>
      </c>
    </row>
    <row r="90" spans="1:52" ht="16.5">
      <c r="A90" s="25" t="s">
        <v>5138</v>
      </c>
      <c r="B90" s="25" t="s">
        <v>4398</v>
      </c>
      <c r="C90" s="25" t="s">
        <v>68</v>
      </c>
      <c r="D90" s="25" t="s">
        <v>5116</v>
      </c>
      <c r="E90" s="258" t="s">
        <v>5139</v>
      </c>
      <c r="F90" s="25" t="s">
        <v>5140</v>
      </c>
      <c r="G90" s="25" t="s">
        <v>165</v>
      </c>
      <c r="H90" s="25"/>
      <c r="I90" s="26" t="s">
        <v>4402</v>
      </c>
      <c r="J90" s="26" t="s">
        <v>5128</v>
      </c>
      <c r="K90" s="38" t="s">
        <v>4404</v>
      </c>
      <c r="L90" s="158" t="s">
        <v>4405</v>
      </c>
      <c r="M90" s="25" t="s">
        <v>73</v>
      </c>
      <c r="N90" s="25" t="s">
        <v>5141</v>
      </c>
      <c r="O90" s="26" t="s">
        <v>5142</v>
      </c>
      <c r="P90" t="s">
        <v>5143</v>
      </c>
      <c r="Q90" s="26"/>
      <c r="R90" s="29">
        <v>4</v>
      </c>
      <c r="S90" s="29" t="s">
        <v>4409</v>
      </c>
      <c r="T90" s="29" t="s">
        <v>5144</v>
      </c>
      <c r="U90" s="26" t="s">
        <v>77</v>
      </c>
      <c r="V90" s="30" t="s">
        <v>78</v>
      </c>
      <c r="W90" s="30" t="s">
        <v>79</v>
      </c>
      <c r="X90" s="38" t="s">
        <v>4997</v>
      </c>
      <c r="Y90" s="26" t="s">
        <v>4412</v>
      </c>
      <c r="Z90" s="26" t="s">
        <v>81</v>
      </c>
      <c r="AA90" s="26" t="s">
        <v>81</v>
      </c>
      <c r="AB90" s="25" t="s">
        <v>15</v>
      </c>
      <c r="AC90" s="30" t="s">
        <v>172</v>
      </c>
      <c r="AD90" s="25" t="s">
        <v>172</v>
      </c>
      <c r="AE90" s="25" t="s">
        <v>174</v>
      </c>
      <c r="AF90" s="26" t="s">
        <v>175</v>
      </c>
      <c r="AG90" s="32">
        <f t="shared" si="6"/>
        <v>1</v>
      </c>
      <c r="AH90" s="32">
        <v>1</v>
      </c>
      <c r="AI90" s="32">
        <v>1</v>
      </c>
      <c r="AJ90" s="32">
        <v>1</v>
      </c>
      <c r="AK90" s="30"/>
      <c r="AL90" s="30"/>
      <c r="AM90" s="32">
        <f t="shared" si="7"/>
        <v>1</v>
      </c>
      <c r="AN90" s="30">
        <v>1</v>
      </c>
      <c r="AO90" s="32">
        <v>1</v>
      </c>
      <c r="AP90" s="30">
        <v>1</v>
      </c>
      <c r="AQ90" s="30">
        <v>1</v>
      </c>
      <c r="AR90" s="32">
        <f t="shared" si="8"/>
        <v>0</v>
      </c>
      <c r="AS90" s="32">
        <v>1</v>
      </c>
      <c r="AT90" s="32"/>
      <c r="AU90" s="32">
        <v>1</v>
      </c>
      <c r="AV90" s="30"/>
      <c r="AW90" s="2"/>
      <c r="AX90" s="2" t="s">
        <v>4972</v>
      </c>
      <c r="AZ90" s="75" t="s">
        <v>5000</v>
      </c>
    </row>
    <row r="91" spans="1:52" ht="16.5">
      <c r="A91" s="25" t="s">
        <v>5145</v>
      </c>
      <c r="B91" s="25" t="s">
        <v>4398</v>
      </c>
      <c r="C91" s="25" t="s">
        <v>68</v>
      </c>
      <c r="D91" s="25" t="s">
        <v>5146</v>
      </c>
      <c r="E91" s="258" t="s">
        <v>5147</v>
      </c>
      <c r="F91" s="25" t="s">
        <v>5148</v>
      </c>
      <c r="G91" s="25" t="s">
        <v>165</v>
      </c>
      <c r="H91" s="25"/>
      <c r="I91" s="26" t="s">
        <v>4402</v>
      </c>
      <c r="J91" s="26" t="s">
        <v>5128</v>
      </c>
      <c r="K91" s="38" t="s">
        <v>4404</v>
      </c>
      <c r="L91" s="158" t="s">
        <v>4405</v>
      </c>
      <c r="M91" s="25" t="s">
        <v>73</v>
      </c>
      <c r="N91" s="25" t="s">
        <v>5149</v>
      </c>
      <c r="O91" s="26" t="s">
        <v>5150</v>
      </c>
      <c r="P91" t="s">
        <v>5151</v>
      </c>
      <c r="Q91" s="26"/>
      <c r="R91" s="29">
        <v>4</v>
      </c>
      <c r="S91" s="29" t="s">
        <v>4409</v>
      </c>
      <c r="T91" s="29" t="s">
        <v>5152</v>
      </c>
      <c r="U91" s="26" t="s">
        <v>77</v>
      </c>
      <c r="V91" s="30" t="s">
        <v>78</v>
      </c>
      <c r="W91" s="30" t="s">
        <v>79</v>
      </c>
      <c r="X91" s="38" t="s">
        <v>4997</v>
      </c>
      <c r="Y91" s="26" t="s">
        <v>4412</v>
      </c>
      <c r="Z91" s="26" t="s">
        <v>81</v>
      </c>
      <c r="AA91" s="26" t="s">
        <v>81</v>
      </c>
      <c r="AB91" s="25" t="s">
        <v>19</v>
      </c>
      <c r="AC91" s="30" t="s">
        <v>172</v>
      </c>
      <c r="AD91" s="25" t="s">
        <v>172</v>
      </c>
      <c r="AE91" s="25" t="s">
        <v>174</v>
      </c>
      <c r="AF91" s="26" t="s">
        <v>175</v>
      </c>
      <c r="AG91" s="32">
        <f t="shared" si="6"/>
        <v>0</v>
      </c>
      <c r="AH91" s="32"/>
      <c r="AI91" s="32"/>
      <c r="AJ91" s="30">
        <v>1</v>
      </c>
      <c r="AK91" s="30"/>
      <c r="AL91" s="30"/>
      <c r="AM91" s="30">
        <f t="shared" si="7"/>
        <v>0</v>
      </c>
      <c r="AN91" s="30"/>
      <c r="AO91" s="30"/>
      <c r="AP91" s="30"/>
      <c r="AQ91" s="30"/>
      <c r="AR91" s="30">
        <f t="shared" si="8"/>
        <v>0</v>
      </c>
      <c r="AS91" s="32"/>
      <c r="AT91" s="32"/>
      <c r="AU91" s="34" t="s">
        <v>5153</v>
      </c>
      <c r="AV91" s="30"/>
      <c r="AW91" s="2"/>
      <c r="AX91" s="2" t="s">
        <v>4950</v>
      </c>
      <c r="AZ91" s="75" t="s">
        <v>2712</v>
      </c>
    </row>
    <row r="92" spans="1:52" ht="16.5">
      <c r="A92" s="25" t="s">
        <v>5154</v>
      </c>
      <c r="B92" s="25" t="s">
        <v>4398</v>
      </c>
      <c r="C92" s="25" t="s">
        <v>68</v>
      </c>
      <c r="D92" s="25" t="s">
        <v>5096</v>
      </c>
      <c r="E92" s="258" t="s">
        <v>5155</v>
      </c>
      <c r="F92" s="25" t="s">
        <v>5156</v>
      </c>
      <c r="G92" s="25" t="s">
        <v>165</v>
      </c>
      <c r="H92" s="25"/>
      <c r="I92" s="26" t="s">
        <v>4402</v>
      </c>
      <c r="J92" s="26" t="s">
        <v>5128</v>
      </c>
      <c r="K92" s="38" t="s">
        <v>4404</v>
      </c>
      <c r="L92" s="158" t="s">
        <v>4405</v>
      </c>
      <c r="M92" s="25" t="s">
        <v>73</v>
      </c>
      <c r="N92" s="25" t="s">
        <v>4623</v>
      </c>
      <c r="O92" s="26" t="s">
        <v>5157</v>
      </c>
      <c r="P92" t="s">
        <v>5158</v>
      </c>
      <c r="Q92" s="26"/>
      <c r="R92" s="29">
        <v>4</v>
      </c>
      <c r="S92" s="29" t="s">
        <v>4409</v>
      </c>
      <c r="T92" s="29" t="s">
        <v>4832</v>
      </c>
      <c r="U92" s="26" t="s">
        <v>77</v>
      </c>
      <c r="V92" s="30" t="s">
        <v>78</v>
      </c>
      <c r="W92" s="30" t="s">
        <v>79</v>
      </c>
      <c r="X92" s="38" t="s">
        <v>4997</v>
      </c>
      <c r="Y92" s="26" t="s">
        <v>4412</v>
      </c>
      <c r="Z92" s="26" t="s">
        <v>81</v>
      </c>
      <c r="AA92" s="26" t="s">
        <v>81</v>
      </c>
      <c r="AB92" s="25" t="s">
        <v>15</v>
      </c>
      <c r="AC92" s="30" t="s">
        <v>172</v>
      </c>
      <c r="AD92" s="25" t="s">
        <v>172</v>
      </c>
      <c r="AE92" s="25" t="s">
        <v>174</v>
      </c>
      <c r="AF92" s="26" t="s">
        <v>175</v>
      </c>
      <c r="AG92" s="32">
        <f t="shared" si="6"/>
        <v>1</v>
      </c>
      <c r="AH92" s="32">
        <v>1</v>
      </c>
      <c r="AI92" s="32">
        <v>1</v>
      </c>
      <c r="AJ92" s="32">
        <v>1</v>
      </c>
      <c r="AK92" s="30"/>
      <c r="AL92" s="30"/>
      <c r="AM92" s="32">
        <f t="shared" si="7"/>
        <v>1</v>
      </c>
      <c r="AN92" s="30">
        <v>1</v>
      </c>
      <c r="AO92" s="32">
        <v>1</v>
      </c>
      <c r="AP92" s="30">
        <v>1</v>
      </c>
      <c r="AQ92" s="30">
        <v>1</v>
      </c>
      <c r="AR92" s="32">
        <f t="shared" si="8"/>
        <v>0</v>
      </c>
      <c r="AS92" s="32">
        <v>1</v>
      </c>
      <c r="AT92" s="32"/>
      <c r="AU92" s="32">
        <v>1</v>
      </c>
      <c r="AV92" s="30"/>
      <c r="AW92" s="2"/>
      <c r="AX92" s="2" t="s">
        <v>4926</v>
      </c>
      <c r="AZ92" s="75" t="s">
        <v>5159</v>
      </c>
    </row>
    <row r="93" spans="1:52" ht="16.5">
      <c r="A93" s="25" t="s">
        <v>5160</v>
      </c>
      <c r="B93" s="25" t="s">
        <v>4398</v>
      </c>
      <c r="C93" s="25" t="s">
        <v>68</v>
      </c>
      <c r="D93" s="25" t="s">
        <v>5161</v>
      </c>
      <c r="E93" s="258" t="s">
        <v>5162</v>
      </c>
      <c r="F93" s="25" t="s">
        <v>5163</v>
      </c>
      <c r="G93" s="25" t="s">
        <v>165</v>
      </c>
      <c r="H93" s="25"/>
      <c r="I93" s="26" t="s">
        <v>4402</v>
      </c>
      <c r="J93" s="26" t="s">
        <v>5164</v>
      </c>
      <c r="K93" s="38" t="s">
        <v>4404</v>
      </c>
      <c r="L93" s="158" t="s">
        <v>4405</v>
      </c>
      <c r="M93" s="25" t="s">
        <v>73</v>
      </c>
      <c r="N93" s="25" t="s">
        <v>4670</v>
      </c>
      <c r="O93" s="26" t="s">
        <v>5165</v>
      </c>
      <c r="P93" t="s">
        <v>5166</v>
      </c>
      <c r="Q93" s="26"/>
      <c r="R93" s="29">
        <v>4</v>
      </c>
      <c r="S93" s="29" t="s">
        <v>4409</v>
      </c>
      <c r="T93" s="29" t="s">
        <v>5167</v>
      </c>
      <c r="U93" s="26" t="s">
        <v>77</v>
      </c>
      <c r="V93" s="30" t="s">
        <v>78</v>
      </c>
      <c r="W93" s="30" t="s">
        <v>79</v>
      </c>
      <c r="X93" s="38" t="s">
        <v>5168</v>
      </c>
      <c r="Y93" s="26" t="s">
        <v>4412</v>
      </c>
      <c r="Z93" s="26" t="s">
        <v>81</v>
      </c>
      <c r="AA93" s="26" t="s">
        <v>81</v>
      </c>
      <c r="AB93" s="25" t="s">
        <v>17</v>
      </c>
      <c r="AC93" s="30" t="s">
        <v>172</v>
      </c>
      <c r="AD93" s="25" t="s">
        <v>172</v>
      </c>
      <c r="AE93" s="25" t="s">
        <v>174</v>
      </c>
      <c r="AF93" s="26" t="s">
        <v>175</v>
      </c>
      <c r="AG93" s="32">
        <f t="shared" si="6"/>
        <v>1</v>
      </c>
      <c r="AH93" s="32">
        <v>1</v>
      </c>
      <c r="AI93" s="32">
        <v>1</v>
      </c>
      <c r="AJ93" s="32">
        <v>1</v>
      </c>
      <c r="AK93" s="30"/>
      <c r="AL93" s="30"/>
      <c r="AM93" s="32">
        <f t="shared" si="7"/>
        <v>1</v>
      </c>
      <c r="AN93" s="30"/>
      <c r="AO93" s="32"/>
      <c r="AP93" s="30"/>
      <c r="AQ93" s="30"/>
      <c r="AR93" s="32">
        <f t="shared" si="8"/>
        <v>0</v>
      </c>
      <c r="AS93" s="34" t="s">
        <v>405</v>
      </c>
      <c r="AT93" s="25" t="s">
        <v>5169</v>
      </c>
      <c r="AU93" s="143" t="s">
        <v>405</v>
      </c>
      <c r="AV93" s="30"/>
      <c r="AW93" s="34" t="s">
        <v>405</v>
      </c>
      <c r="AX93" s="2" t="s">
        <v>4918</v>
      </c>
      <c r="AZ93" s="75" t="s">
        <v>5161</v>
      </c>
    </row>
    <row r="94" spans="1:52" ht="16.5">
      <c r="A94" s="25" t="s">
        <v>5170</v>
      </c>
      <c r="B94" s="25" t="s">
        <v>4398</v>
      </c>
      <c r="C94" s="25" t="s">
        <v>68</v>
      </c>
      <c r="D94" s="25" t="s">
        <v>5159</v>
      </c>
      <c r="E94" s="258" t="s">
        <v>5171</v>
      </c>
      <c r="F94" s="25" t="s">
        <v>5172</v>
      </c>
      <c r="G94" s="25" t="s">
        <v>165</v>
      </c>
      <c r="H94" s="25"/>
      <c r="I94" s="26" t="s">
        <v>4402</v>
      </c>
      <c r="J94" s="26" t="s">
        <v>5164</v>
      </c>
      <c r="K94" s="38" t="s">
        <v>4404</v>
      </c>
      <c r="L94" s="158" t="s">
        <v>4405</v>
      </c>
      <c r="M94" s="25" t="s">
        <v>73</v>
      </c>
      <c r="N94" s="25" t="s">
        <v>5173</v>
      </c>
      <c r="O94" s="26" t="s">
        <v>5174</v>
      </c>
      <c r="P94" t="s">
        <v>5175</v>
      </c>
      <c r="Q94" s="26"/>
      <c r="R94" s="29">
        <v>4</v>
      </c>
      <c r="S94" s="29" t="s">
        <v>4409</v>
      </c>
      <c r="T94" s="29" t="s">
        <v>4410</v>
      </c>
      <c r="U94" s="26" t="s">
        <v>77</v>
      </c>
      <c r="V94" s="30" t="s">
        <v>78</v>
      </c>
      <c r="W94" s="30" t="s">
        <v>79</v>
      </c>
      <c r="X94" s="38" t="s">
        <v>5168</v>
      </c>
      <c r="Y94" s="26" t="s">
        <v>4412</v>
      </c>
      <c r="Z94" s="26" t="s">
        <v>81</v>
      </c>
      <c r="AA94" s="26" t="s">
        <v>81</v>
      </c>
      <c r="AB94" s="25" t="s">
        <v>17</v>
      </c>
      <c r="AC94" s="30" t="s">
        <v>172</v>
      </c>
      <c r="AD94" s="25" t="s">
        <v>172</v>
      </c>
      <c r="AE94" s="25" t="s">
        <v>174</v>
      </c>
      <c r="AF94" s="26" t="s">
        <v>175</v>
      </c>
      <c r="AG94" s="32">
        <f t="shared" si="6"/>
        <v>1</v>
      </c>
      <c r="AH94" s="32">
        <v>1</v>
      </c>
      <c r="AI94" s="32">
        <v>1</v>
      </c>
      <c r="AJ94" s="32">
        <v>1</v>
      </c>
      <c r="AK94" s="30"/>
      <c r="AL94" s="30"/>
      <c r="AM94" s="32">
        <f t="shared" si="7"/>
        <v>1</v>
      </c>
      <c r="AN94" s="30"/>
      <c r="AO94" s="32"/>
      <c r="AP94" s="30"/>
      <c r="AQ94" s="30"/>
      <c r="AR94" s="32">
        <f t="shared" si="8"/>
        <v>0</v>
      </c>
      <c r="AS94" s="32"/>
      <c r="AT94" s="32"/>
      <c r="AU94" s="32">
        <v>1</v>
      </c>
      <c r="AV94" s="30"/>
      <c r="AW94" s="2"/>
      <c r="AX94" s="2" t="s">
        <v>5049</v>
      </c>
      <c r="AZ94" s="75" t="s">
        <v>5176</v>
      </c>
    </row>
    <row r="95" spans="1:52" ht="16.5">
      <c r="A95" s="25" t="s">
        <v>5177</v>
      </c>
      <c r="B95" s="25" t="s">
        <v>4398</v>
      </c>
      <c r="C95" s="25" t="s">
        <v>68</v>
      </c>
      <c r="D95" s="25" t="s">
        <v>5176</v>
      </c>
      <c r="E95" s="258" t="s">
        <v>5178</v>
      </c>
      <c r="F95" s="25" t="s">
        <v>5179</v>
      </c>
      <c r="G95" s="25" t="s">
        <v>165</v>
      </c>
      <c r="H95" s="25"/>
      <c r="I95" s="26" t="s">
        <v>4402</v>
      </c>
      <c r="J95" s="26" t="s">
        <v>5164</v>
      </c>
      <c r="K95" s="38" t="s">
        <v>4404</v>
      </c>
      <c r="L95" s="158" t="s">
        <v>4405</v>
      </c>
      <c r="M95" s="25" t="s">
        <v>73</v>
      </c>
      <c r="N95" s="25" t="s">
        <v>4680</v>
      </c>
      <c r="O95" s="26" t="s">
        <v>5180</v>
      </c>
      <c r="P95" t="s">
        <v>5181</v>
      </c>
      <c r="Q95" s="26"/>
      <c r="R95" s="29">
        <v>4</v>
      </c>
      <c r="S95" s="29" t="s">
        <v>4409</v>
      </c>
      <c r="T95" s="29" t="s">
        <v>5109</v>
      </c>
      <c r="U95" s="26" t="s">
        <v>77</v>
      </c>
      <c r="V95" s="30" t="s">
        <v>78</v>
      </c>
      <c r="W95" s="30" t="s">
        <v>79</v>
      </c>
      <c r="X95" s="38" t="s">
        <v>5168</v>
      </c>
      <c r="Y95" s="26" t="s">
        <v>4412</v>
      </c>
      <c r="Z95" s="26" t="s">
        <v>81</v>
      </c>
      <c r="AA95" s="26" t="s">
        <v>81</v>
      </c>
      <c r="AB95" s="25" t="s">
        <v>17</v>
      </c>
      <c r="AC95" s="30" t="s">
        <v>172</v>
      </c>
      <c r="AD95" s="25" t="s">
        <v>172</v>
      </c>
      <c r="AE95" s="25" t="s">
        <v>174</v>
      </c>
      <c r="AF95" s="26" t="s">
        <v>175</v>
      </c>
      <c r="AG95" s="32">
        <f t="shared" si="6"/>
        <v>1</v>
      </c>
      <c r="AH95" s="32">
        <v>1</v>
      </c>
      <c r="AI95" s="32">
        <v>1</v>
      </c>
      <c r="AJ95" s="32">
        <v>1</v>
      </c>
      <c r="AK95" s="30"/>
      <c r="AL95" s="30"/>
      <c r="AM95" s="32">
        <f t="shared" si="7"/>
        <v>1</v>
      </c>
      <c r="AN95" s="30"/>
      <c r="AO95" s="32"/>
      <c r="AP95" s="30"/>
      <c r="AQ95" s="30"/>
      <c r="AR95" s="32">
        <f t="shared" si="8"/>
        <v>0</v>
      </c>
      <c r="AS95" s="32"/>
      <c r="AT95" s="32"/>
      <c r="AU95" s="32">
        <v>1</v>
      </c>
      <c r="AV95" s="30"/>
      <c r="AW95" s="2"/>
      <c r="AX95" s="2" t="s">
        <v>5042</v>
      </c>
      <c r="AZ95" s="75" t="s">
        <v>5182</v>
      </c>
    </row>
    <row r="96" spans="1:52" ht="16.5">
      <c r="A96" s="25" t="s">
        <v>5183</v>
      </c>
      <c r="B96" s="25" t="s">
        <v>4398</v>
      </c>
      <c r="C96" s="25" t="s">
        <v>68</v>
      </c>
      <c r="D96" s="25" t="s">
        <v>5184</v>
      </c>
      <c r="E96" s="258" t="s">
        <v>5185</v>
      </c>
      <c r="F96" s="25" t="s">
        <v>5186</v>
      </c>
      <c r="G96" s="25" t="s">
        <v>165</v>
      </c>
      <c r="H96" s="25"/>
      <c r="I96" s="26" t="s">
        <v>4402</v>
      </c>
      <c r="J96" s="26" t="s">
        <v>5164</v>
      </c>
      <c r="K96" s="38" t="s">
        <v>4404</v>
      </c>
      <c r="L96" s="158" t="s">
        <v>4405</v>
      </c>
      <c r="M96" s="25" t="s">
        <v>73</v>
      </c>
      <c r="N96" s="25" t="s">
        <v>5187</v>
      </c>
      <c r="O96" s="26" t="s">
        <v>5188</v>
      </c>
      <c r="P96" t="s">
        <v>5189</v>
      </c>
      <c r="Q96" s="26"/>
      <c r="R96" s="29">
        <v>4</v>
      </c>
      <c r="S96" s="29" t="s">
        <v>4409</v>
      </c>
      <c r="T96" s="29" t="s">
        <v>5190</v>
      </c>
      <c r="U96" s="26" t="s">
        <v>77</v>
      </c>
      <c r="V96" s="30" t="s">
        <v>78</v>
      </c>
      <c r="W96" s="30" t="s">
        <v>79</v>
      </c>
      <c r="X96" s="38" t="s">
        <v>5168</v>
      </c>
      <c r="Y96" s="26" t="s">
        <v>4412</v>
      </c>
      <c r="Z96" s="26" t="s">
        <v>81</v>
      </c>
      <c r="AA96" s="26" t="s">
        <v>81</v>
      </c>
      <c r="AB96" s="25" t="s">
        <v>17</v>
      </c>
      <c r="AC96" s="30" t="s">
        <v>172</v>
      </c>
      <c r="AD96" s="25" t="s">
        <v>172</v>
      </c>
      <c r="AE96" s="25" t="s">
        <v>174</v>
      </c>
      <c r="AF96" s="26" t="s">
        <v>175</v>
      </c>
      <c r="AG96" s="32">
        <f t="shared" si="6"/>
        <v>1</v>
      </c>
      <c r="AH96" s="32">
        <v>1</v>
      </c>
      <c r="AI96" s="32">
        <v>1</v>
      </c>
      <c r="AJ96" s="32">
        <v>1</v>
      </c>
      <c r="AK96" s="30"/>
      <c r="AL96" s="30"/>
      <c r="AM96" s="32">
        <f t="shared" si="7"/>
        <v>1</v>
      </c>
      <c r="AN96" s="30"/>
      <c r="AO96" s="32"/>
      <c r="AP96" s="30"/>
      <c r="AQ96" s="30"/>
      <c r="AR96" s="32">
        <f t="shared" si="8"/>
        <v>0</v>
      </c>
      <c r="AS96" s="32"/>
      <c r="AT96" s="32"/>
      <c r="AU96" s="32">
        <v>1</v>
      </c>
      <c r="AV96" s="30"/>
      <c r="AW96" s="2"/>
      <c r="AX96" s="2" t="s">
        <v>5129</v>
      </c>
      <c r="AZ96" s="75" t="s">
        <v>5191</v>
      </c>
    </row>
    <row r="97" spans="1:52" ht="16.5">
      <c r="A97" s="25" t="s">
        <v>5192</v>
      </c>
      <c r="B97" s="25" t="s">
        <v>4398</v>
      </c>
      <c r="C97" s="25" t="s">
        <v>68</v>
      </c>
      <c r="D97" s="25" t="s">
        <v>5182</v>
      </c>
      <c r="E97" s="258" t="s">
        <v>5193</v>
      </c>
      <c r="F97" s="25" t="s">
        <v>5194</v>
      </c>
      <c r="G97" s="25" t="s">
        <v>165</v>
      </c>
      <c r="H97" s="25"/>
      <c r="I97" s="26" t="s">
        <v>4402</v>
      </c>
      <c r="J97" s="26" t="s">
        <v>5164</v>
      </c>
      <c r="K97" s="38" t="s">
        <v>4404</v>
      </c>
      <c r="L97" s="158" t="s">
        <v>4405</v>
      </c>
      <c r="M97" s="25" t="s">
        <v>73</v>
      </c>
      <c r="N97" s="25" t="s">
        <v>5195</v>
      </c>
      <c r="O97" s="26" t="s">
        <v>5196</v>
      </c>
      <c r="P97" t="s">
        <v>5197</v>
      </c>
      <c r="Q97" s="26"/>
      <c r="R97" s="29">
        <v>4</v>
      </c>
      <c r="S97" s="29" t="s">
        <v>4409</v>
      </c>
      <c r="T97" s="29" t="s">
        <v>4753</v>
      </c>
      <c r="U97" s="26" t="s">
        <v>77</v>
      </c>
      <c r="V97" s="30" t="s">
        <v>78</v>
      </c>
      <c r="W97" s="30" t="s">
        <v>79</v>
      </c>
      <c r="X97" s="38" t="s">
        <v>5168</v>
      </c>
      <c r="Y97" s="26" t="s">
        <v>4412</v>
      </c>
      <c r="Z97" s="26" t="s">
        <v>81</v>
      </c>
      <c r="AA97" s="26" t="s">
        <v>81</v>
      </c>
      <c r="AB97" s="25" t="s">
        <v>17</v>
      </c>
      <c r="AC97" s="30" t="s">
        <v>172</v>
      </c>
      <c r="AD97" s="25" t="s">
        <v>172</v>
      </c>
      <c r="AE97" s="25" t="s">
        <v>174</v>
      </c>
      <c r="AF97" s="26" t="s">
        <v>175</v>
      </c>
      <c r="AG97" s="32">
        <f t="shared" si="6"/>
        <v>1</v>
      </c>
      <c r="AH97" s="32">
        <v>1</v>
      </c>
      <c r="AI97" s="32">
        <v>1</v>
      </c>
      <c r="AJ97" s="32">
        <v>1</v>
      </c>
      <c r="AK97" s="30"/>
      <c r="AL97" s="30"/>
      <c r="AM97" s="32">
        <f t="shared" si="7"/>
        <v>1</v>
      </c>
      <c r="AN97" s="30"/>
      <c r="AO97" s="32"/>
      <c r="AP97" s="30"/>
      <c r="AQ97" s="30"/>
      <c r="AR97" s="32">
        <f t="shared" si="8"/>
        <v>0</v>
      </c>
      <c r="AS97" s="32"/>
      <c r="AT97" s="32"/>
      <c r="AU97" s="32">
        <v>1</v>
      </c>
      <c r="AV97" s="30"/>
      <c r="AW97" s="2"/>
      <c r="AX97" s="2" t="s">
        <v>5034</v>
      </c>
      <c r="AZ97" s="75" t="s">
        <v>5198</v>
      </c>
    </row>
    <row r="98" spans="1:52" ht="16.5">
      <c r="A98" s="25" t="s">
        <v>5199</v>
      </c>
      <c r="B98" s="25" t="s">
        <v>4880</v>
      </c>
      <c r="C98" s="25" t="s">
        <v>68</v>
      </c>
      <c r="D98" s="25" t="s">
        <v>5200</v>
      </c>
      <c r="E98" s="258" t="s">
        <v>5201</v>
      </c>
      <c r="F98" s="25" t="s">
        <v>5202</v>
      </c>
      <c r="G98" s="25" t="s">
        <v>165</v>
      </c>
      <c r="H98" s="25"/>
      <c r="I98" s="26" t="s">
        <v>4402</v>
      </c>
      <c r="J98" s="26" t="s">
        <v>5203</v>
      </c>
      <c r="K98" s="38" t="s">
        <v>4404</v>
      </c>
      <c r="L98" s="158" t="s">
        <v>4405</v>
      </c>
      <c r="M98" s="25" t="s">
        <v>73</v>
      </c>
      <c r="N98" s="25" t="s">
        <v>4707</v>
      </c>
      <c r="O98" s="26" t="s">
        <v>5204</v>
      </c>
      <c r="P98" t="s">
        <v>5205</v>
      </c>
      <c r="Q98" s="26"/>
      <c r="R98" s="29">
        <v>4</v>
      </c>
      <c r="S98" s="29" t="s">
        <v>4409</v>
      </c>
      <c r="T98" s="29" t="s">
        <v>5206</v>
      </c>
      <c r="U98" s="26" t="s">
        <v>77</v>
      </c>
      <c r="V98" s="30" t="s">
        <v>78</v>
      </c>
      <c r="W98" s="30" t="s">
        <v>79</v>
      </c>
      <c r="X98" s="38" t="s">
        <v>5168</v>
      </c>
      <c r="Y98" s="26" t="s">
        <v>4412</v>
      </c>
      <c r="Z98" s="39" t="s">
        <v>5207</v>
      </c>
      <c r="AA98" s="39" t="s">
        <v>5207</v>
      </c>
      <c r="AB98" s="25" t="s">
        <v>17</v>
      </c>
      <c r="AC98" s="30" t="s">
        <v>172</v>
      </c>
      <c r="AD98" s="25" t="s">
        <v>172</v>
      </c>
      <c r="AE98" s="25" t="s">
        <v>174</v>
      </c>
      <c r="AF98" s="26" t="s">
        <v>175</v>
      </c>
      <c r="AG98" s="32">
        <f t="shared" si="6"/>
        <v>1</v>
      </c>
      <c r="AH98" s="32">
        <v>1</v>
      </c>
      <c r="AI98" s="32">
        <v>1</v>
      </c>
      <c r="AJ98" s="32">
        <v>1</v>
      </c>
      <c r="AK98" s="30"/>
      <c r="AL98" s="30"/>
      <c r="AM98" s="32">
        <f t="shared" si="7"/>
        <v>1</v>
      </c>
      <c r="AN98" s="30"/>
      <c r="AO98" s="32"/>
      <c r="AP98" s="30"/>
      <c r="AQ98" s="30"/>
      <c r="AR98" s="32">
        <f t="shared" si="8"/>
        <v>0</v>
      </c>
      <c r="AS98" s="32"/>
      <c r="AT98" s="35"/>
      <c r="AU98" s="25" t="s">
        <v>5208</v>
      </c>
      <c r="AV98" s="30"/>
      <c r="AW98" s="25" t="s">
        <v>5209</v>
      </c>
      <c r="AX98" s="2" t="s">
        <v>5057</v>
      </c>
      <c r="AZ98" s="75" t="s">
        <v>5200</v>
      </c>
    </row>
    <row r="99" spans="1:52" ht="16.5">
      <c r="A99" s="25" t="s">
        <v>5210</v>
      </c>
      <c r="B99" s="25" t="s">
        <v>4398</v>
      </c>
      <c r="C99" s="25" t="s">
        <v>68</v>
      </c>
      <c r="D99" s="25" t="s">
        <v>5198</v>
      </c>
      <c r="E99" s="258" t="s">
        <v>5211</v>
      </c>
      <c r="F99" s="25" t="s">
        <v>5212</v>
      </c>
      <c r="G99" s="25" t="s">
        <v>165</v>
      </c>
      <c r="H99" s="25"/>
      <c r="I99" s="26" t="s">
        <v>4402</v>
      </c>
      <c r="J99" s="26" t="s">
        <v>5203</v>
      </c>
      <c r="K99" s="38" t="s">
        <v>4404</v>
      </c>
      <c r="L99" s="158" t="s">
        <v>4405</v>
      </c>
      <c r="M99" s="25" t="s">
        <v>73</v>
      </c>
      <c r="N99" s="25" t="s">
        <v>4699</v>
      </c>
      <c r="O99" s="26" t="s">
        <v>5213</v>
      </c>
      <c r="P99" t="s">
        <v>5214</v>
      </c>
      <c r="Q99" s="26"/>
      <c r="R99" s="29">
        <v>4</v>
      </c>
      <c r="S99" s="29" t="s">
        <v>4409</v>
      </c>
      <c r="T99" s="29" t="s">
        <v>4753</v>
      </c>
      <c r="U99" s="26" t="s">
        <v>77</v>
      </c>
      <c r="V99" s="30" t="s">
        <v>78</v>
      </c>
      <c r="W99" s="30" t="s">
        <v>79</v>
      </c>
      <c r="X99" s="38" t="s">
        <v>5168</v>
      </c>
      <c r="Y99" s="26" t="s">
        <v>4412</v>
      </c>
      <c r="Z99" s="26" t="s">
        <v>81</v>
      </c>
      <c r="AA99" s="26" t="s">
        <v>81</v>
      </c>
      <c r="AB99" s="25" t="s">
        <v>17</v>
      </c>
      <c r="AC99" s="30" t="s">
        <v>172</v>
      </c>
      <c r="AD99" s="25" t="s">
        <v>172</v>
      </c>
      <c r="AE99" s="25" t="s">
        <v>174</v>
      </c>
      <c r="AF99" s="26" t="s">
        <v>175</v>
      </c>
      <c r="AG99" s="32">
        <f t="shared" si="6"/>
        <v>1</v>
      </c>
      <c r="AH99" s="32">
        <v>1</v>
      </c>
      <c r="AI99" s="32">
        <v>1</v>
      </c>
      <c r="AJ99" s="32">
        <v>1</v>
      </c>
      <c r="AK99" s="30"/>
      <c r="AL99" s="30"/>
      <c r="AM99" s="32">
        <f t="shared" si="7"/>
        <v>1</v>
      </c>
      <c r="AN99" s="30"/>
      <c r="AO99" s="32"/>
      <c r="AP99" s="30"/>
      <c r="AQ99" s="30"/>
      <c r="AR99" s="32">
        <f t="shared" si="8"/>
        <v>0</v>
      </c>
      <c r="AS99" s="32"/>
      <c r="AT99" s="32"/>
      <c r="AU99" s="32">
        <v>1</v>
      </c>
      <c r="AV99" s="30"/>
      <c r="AW99" s="2"/>
      <c r="AX99" s="2" t="s">
        <v>5093</v>
      </c>
      <c r="AZ99" s="75" t="s">
        <v>5215</v>
      </c>
    </row>
    <row r="100" spans="1:52" ht="16.5">
      <c r="A100" s="25" t="s">
        <v>5216</v>
      </c>
      <c r="B100" s="25" t="s">
        <v>4398</v>
      </c>
      <c r="C100" s="25" t="s">
        <v>68</v>
      </c>
      <c r="D100" s="25" t="s">
        <v>5191</v>
      </c>
      <c r="E100" s="258" t="s">
        <v>5217</v>
      </c>
      <c r="F100" s="25" t="s">
        <v>5218</v>
      </c>
      <c r="G100" s="25" t="s">
        <v>165</v>
      </c>
      <c r="H100" s="25"/>
      <c r="I100" s="26" t="s">
        <v>4402</v>
      </c>
      <c r="J100" s="26" t="s">
        <v>5203</v>
      </c>
      <c r="K100" s="38" t="s">
        <v>4404</v>
      </c>
      <c r="L100" s="158" t="s">
        <v>4405</v>
      </c>
      <c r="M100" s="25" t="s">
        <v>73</v>
      </c>
      <c r="N100" s="25" t="s">
        <v>4690</v>
      </c>
      <c r="O100" s="26" t="s">
        <v>5219</v>
      </c>
      <c r="P100" t="s">
        <v>5220</v>
      </c>
      <c r="Q100" s="26"/>
      <c r="R100" s="29">
        <v>4</v>
      </c>
      <c r="S100" s="29" t="s">
        <v>4409</v>
      </c>
      <c r="T100" s="29" t="s">
        <v>5221</v>
      </c>
      <c r="U100" s="26" t="s">
        <v>77</v>
      </c>
      <c r="V100" s="30" t="s">
        <v>78</v>
      </c>
      <c r="W100" s="30" t="s">
        <v>79</v>
      </c>
      <c r="X100" s="38" t="s">
        <v>5168</v>
      </c>
      <c r="Y100" s="26" t="s">
        <v>4412</v>
      </c>
      <c r="Z100" s="26" t="s">
        <v>81</v>
      </c>
      <c r="AA100" s="26" t="s">
        <v>81</v>
      </c>
      <c r="AB100" s="25" t="s">
        <v>17</v>
      </c>
      <c r="AC100" s="30" t="s">
        <v>172</v>
      </c>
      <c r="AD100" s="25" t="s">
        <v>172</v>
      </c>
      <c r="AE100" s="25" t="s">
        <v>174</v>
      </c>
      <c r="AF100" s="26" t="s">
        <v>175</v>
      </c>
      <c r="AG100" s="32">
        <f t="shared" si="6"/>
        <v>1</v>
      </c>
      <c r="AH100" s="32">
        <v>1</v>
      </c>
      <c r="AI100" s="32">
        <v>1</v>
      </c>
      <c r="AJ100" s="32">
        <v>1</v>
      </c>
      <c r="AK100" s="30"/>
      <c r="AL100" s="30"/>
      <c r="AM100" s="32">
        <f t="shared" si="7"/>
        <v>1</v>
      </c>
      <c r="AN100" s="30"/>
      <c r="AO100" s="32"/>
      <c r="AP100" s="30"/>
      <c r="AQ100" s="30"/>
      <c r="AR100" s="32">
        <f t="shared" si="8"/>
        <v>0</v>
      </c>
      <c r="AS100" s="32"/>
      <c r="AT100" s="32"/>
      <c r="AU100" s="32">
        <v>1</v>
      </c>
      <c r="AV100" s="30"/>
      <c r="AW100" s="2"/>
      <c r="AX100" s="2" t="s">
        <v>5141</v>
      </c>
      <c r="AZ100" s="75" t="s">
        <v>5222</v>
      </c>
    </row>
    <row r="101" spans="1:52" ht="16.5">
      <c r="A101" s="25" t="s">
        <v>5223</v>
      </c>
      <c r="B101" s="25" t="s">
        <v>4398</v>
      </c>
      <c r="C101" s="25" t="s">
        <v>68</v>
      </c>
      <c r="D101" s="25" t="s">
        <v>5215</v>
      </c>
      <c r="E101" s="258" t="s">
        <v>5224</v>
      </c>
      <c r="F101" s="25" t="s">
        <v>5225</v>
      </c>
      <c r="G101" s="25" t="s">
        <v>165</v>
      </c>
      <c r="H101" s="25"/>
      <c r="I101" s="26" t="s">
        <v>4402</v>
      </c>
      <c r="J101" s="26" t="s">
        <v>5203</v>
      </c>
      <c r="K101" s="38" t="s">
        <v>4404</v>
      </c>
      <c r="L101" s="158" t="s">
        <v>4405</v>
      </c>
      <c r="M101" s="25" t="s">
        <v>73</v>
      </c>
      <c r="N101" s="25" t="s">
        <v>5226</v>
      </c>
      <c r="O101" s="26" t="s">
        <v>5227</v>
      </c>
      <c r="P101" t="s">
        <v>5228</v>
      </c>
      <c r="Q101" s="26"/>
      <c r="R101" s="29">
        <v>4</v>
      </c>
      <c r="S101" s="29" t="s">
        <v>4409</v>
      </c>
      <c r="T101" s="29" t="s">
        <v>5221</v>
      </c>
      <c r="U101" s="26" t="s">
        <v>77</v>
      </c>
      <c r="V101" s="30" t="s">
        <v>78</v>
      </c>
      <c r="W101" s="30" t="s">
        <v>79</v>
      </c>
      <c r="X101" s="38" t="s">
        <v>5168</v>
      </c>
      <c r="Y101" s="26" t="s">
        <v>4412</v>
      </c>
      <c r="Z101" s="26" t="s">
        <v>81</v>
      </c>
      <c r="AA101" s="26" t="s">
        <v>81</v>
      </c>
      <c r="AB101" s="25" t="s">
        <v>17</v>
      </c>
      <c r="AC101" s="30" t="s">
        <v>172</v>
      </c>
      <c r="AD101" s="25" t="s">
        <v>172</v>
      </c>
      <c r="AE101" s="25" t="s">
        <v>174</v>
      </c>
      <c r="AF101" s="26" t="s">
        <v>175</v>
      </c>
      <c r="AG101" s="32">
        <f t="shared" si="6"/>
        <v>1</v>
      </c>
      <c r="AH101" s="32">
        <v>1</v>
      </c>
      <c r="AI101" s="34">
        <v>2</v>
      </c>
      <c r="AJ101" s="32">
        <v>1</v>
      </c>
      <c r="AK101" s="30"/>
      <c r="AL101" s="34" t="s">
        <v>5229</v>
      </c>
      <c r="AM101" s="32">
        <f t="shared" si="7"/>
        <v>1</v>
      </c>
      <c r="AN101" s="30"/>
      <c r="AO101" s="34" t="s">
        <v>5230</v>
      </c>
      <c r="AP101" s="30"/>
      <c r="AQ101" s="30"/>
      <c r="AR101" s="32">
        <f t="shared" si="8"/>
        <v>0</v>
      </c>
      <c r="AS101" s="32"/>
      <c r="AT101" s="35"/>
      <c r="AU101" s="34" t="s">
        <v>4641</v>
      </c>
      <c r="AV101" s="30"/>
      <c r="AW101" s="25" t="s">
        <v>5209</v>
      </c>
      <c r="AX101" s="2" t="s">
        <v>4994</v>
      </c>
      <c r="AZ101" s="75" t="s">
        <v>5231</v>
      </c>
    </row>
    <row r="102" spans="1:52" ht="16.5">
      <c r="A102" s="25" t="s">
        <v>5232</v>
      </c>
      <c r="B102" s="25" t="s">
        <v>4398</v>
      </c>
      <c r="C102" s="25" t="s">
        <v>68</v>
      </c>
      <c r="D102" s="25" t="s">
        <v>5233</v>
      </c>
      <c r="E102" s="258" t="s">
        <v>5234</v>
      </c>
      <c r="F102" s="25" t="s">
        <v>5235</v>
      </c>
      <c r="G102" s="25" t="s">
        <v>165</v>
      </c>
      <c r="H102" s="25"/>
      <c r="I102" s="26" t="s">
        <v>4402</v>
      </c>
      <c r="J102" s="26" t="s">
        <v>5236</v>
      </c>
      <c r="K102" s="38" t="s">
        <v>4404</v>
      </c>
      <c r="L102" s="158" t="s">
        <v>4405</v>
      </c>
      <c r="M102" s="25" t="s">
        <v>73</v>
      </c>
      <c r="N102" s="25" t="s">
        <v>4772</v>
      </c>
      <c r="O102" s="26" t="s">
        <v>5237</v>
      </c>
      <c r="P102" t="s">
        <v>5238</v>
      </c>
      <c r="Q102" s="26"/>
      <c r="R102" s="29">
        <v>4</v>
      </c>
      <c r="S102" s="29" t="s">
        <v>4409</v>
      </c>
      <c r="T102" s="29" t="s">
        <v>4604</v>
      </c>
      <c r="U102" s="26" t="s">
        <v>77</v>
      </c>
      <c r="V102" s="30" t="s">
        <v>78</v>
      </c>
      <c r="W102" s="30" t="s">
        <v>79</v>
      </c>
      <c r="X102" s="38" t="s">
        <v>80</v>
      </c>
      <c r="Y102" s="26" t="s">
        <v>4412</v>
      </c>
      <c r="Z102" s="26" t="s">
        <v>81</v>
      </c>
      <c r="AA102" s="26" t="s">
        <v>81</v>
      </c>
      <c r="AB102" s="25" t="s">
        <v>19</v>
      </c>
      <c r="AC102" s="30" t="s">
        <v>172</v>
      </c>
      <c r="AD102" s="25" t="s">
        <v>172</v>
      </c>
      <c r="AE102" s="25" t="s">
        <v>174</v>
      </c>
      <c r="AF102" s="26" t="s">
        <v>175</v>
      </c>
      <c r="AG102" s="32">
        <f t="shared" si="6"/>
        <v>1</v>
      </c>
      <c r="AH102" s="32">
        <v>1</v>
      </c>
      <c r="AI102" s="32">
        <v>1</v>
      </c>
      <c r="AJ102" s="32">
        <v>1</v>
      </c>
      <c r="AK102" s="30"/>
      <c r="AL102" s="30"/>
      <c r="AM102" s="32">
        <f t="shared" si="7"/>
        <v>1</v>
      </c>
      <c r="AN102" s="30"/>
      <c r="AO102" s="32"/>
      <c r="AP102" s="30"/>
      <c r="AQ102" s="30"/>
      <c r="AR102" s="32">
        <f t="shared" si="8"/>
        <v>0</v>
      </c>
      <c r="AS102" s="32"/>
      <c r="AT102" s="32"/>
      <c r="AU102" s="32">
        <v>1</v>
      </c>
      <c r="AV102" s="30"/>
      <c r="AW102" s="2"/>
      <c r="AX102" s="2" t="s">
        <v>5173</v>
      </c>
      <c r="AZ102" s="75" t="s">
        <v>5239</v>
      </c>
    </row>
    <row r="103" spans="1:52" ht="16.5">
      <c r="A103" s="25" t="s">
        <v>5240</v>
      </c>
      <c r="B103" s="25" t="s">
        <v>4398</v>
      </c>
      <c r="C103" s="25" t="s">
        <v>68</v>
      </c>
      <c r="D103" s="25" t="s">
        <v>5222</v>
      </c>
      <c r="E103" s="258" t="s">
        <v>5241</v>
      </c>
      <c r="F103" s="25" t="s">
        <v>5242</v>
      </c>
      <c r="G103" s="25" t="s">
        <v>165</v>
      </c>
      <c r="H103" s="25"/>
      <c r="I103" s="26" t="s">
        <v>4402</v>
      </c>
      <c r="J103" s="26" t="s">
        <v>5236</v>
      </c>
      <c r="K103" s="38" t="s">
        <v>4404</v>
      </c>
      <c r="L103" s="158" t="s">
        <v>4405</v>
      </c>
      <c r="M103" s="25" t="s">
        <v>73</v>
      </c>
      <c r="N103" s="25" t="s">
        <v>4717</v>
      </c>
      <c r="O103" s="26" t="s">
        <v>5243</v>
      </c>
      <c r="P103" t="s">
        <v>5244</v>
      </c>
      <c r="Q103" s="26"/>
      <c r="R103" s="29">
        <v>4</v>
      </c>
      <c r="S103" s="29" t="s">
        <v>4409</v>
      </c>
      <c r="T103" s="29" t="s">
        <v>5245</v>
      </c>
      <c r="U103" s="26" t="s">
        <v>77</v>
      </c>
      <c r="V103" s="30" t="s">
        <v>78</v>
      </c>
      <c r="W103" s="30" t="s">
        <v>79</v>
      </c>
      <c r="X103" s="38" t="s">
        <v>80</v>
      </c>
      <c r="Y103" s="26" t="s">
        <v>4412</v>
      </c>
      <c r="Z103" s="26" t="s">
        <v>81</v>
      </c>
      <c r="AA103" s="26" t="s">
        <v>81</v>
      </c>
      <c r="AB103" s="25" t="s">
        <v>19</v>
      </c>
      <c r="AC103" s="30" t="s">
        <v>172</v>
      </c>
      <c r="AD103" s="25" t="s">
        <v>172</v>
      </c>
      <c r="AE103" s="25" t="s">
        <v>174</v>
      </c>
      <c r="AF103" s="26" t="s">
        <v>175</v>
      </c>
      <c r="AG103" s="32">
        <f t="shared" si="6"/>
        <v>1</v>
      </c>
      <c r="AH103" s="32">
        <v>1</v>
      </c>
      <c r="AI103" s="32">
        <v>1</v>
      </c>
      <c r="AJ103" s="32">
        <v>1</v>
      </c>
      <c r="AK103" s="30"/>
      <c r="AL103" s="30"/>
      <c r="AM103" s="32">
        <f t="shared" si="7"/>
        <v>1</v>
      </c>
      <c r="AN103" s="30"/>
      <c r="AO103" s="32"/>
      <c r="AP103" s="30"/>
      <c r="AQ103" s="30"/>
      <c r="AR103" s="32">
        <f t="shared" si="8"/>
        <v>0</v>
      </c>
      <c r="AS103" s="32"/>
      <c r="AT103" s="32"/>
      <c r="AU103" s="32">
        <v>1</v>
      </c>
      <c r="AV103" s="30"/>
      <c r="AW103" s="2"/>
      <c r="AX103" s="2" t="s">
        <v>5187</v>
      </c>
      <c r="AZ103" s="75" t="s">
        <v>5246</v>
      </c>
    </row>
    <row r="104" spans="1:52" ht="16.5">
      <c r="A104" s="25" t="s">
        <v>5247</v>
      </c>
      <c r="B104" s="25" t="s">
        <v>4398</v>
      </c>
      <c r="C104" s="25" t="s">
        <v>68</v>
      </c>
      <c r="D104" s="25" t="s">
        <v>5248</v>
      </c>
      <c r="E104" s="258" t="s">
        <v>5249</v>
      </c>
      <c r="F104" s="25" t="s">
        <v>5250</v>
      </c>
      <c r="G104" s="25" t="s">
        <v>165</v>
      </c>
      <c r="H104" s="25"/>
      <c r="I104" s="26" t="s">
        <v>4402</v>
      </c>
      <c r="J104" s="26" t="s">
        <v>5236</v>
      </c>
      <c r="K104" s="38" t="s">
        <v>4404</v>
      </c>
      <c r="L104" s="158" t="s">
        <v>4405</v>
      </c>
      <c r="M104" s="25" t="s">
        <v>73</v>
      </c>
      <c r="N104" s="25" t="s">
        <v>4762</v>
      </c>
      <c r="O104" s="26" t="s">
        <v>5251</v>
      </c>
      <c r="P104" t="s">
        <v>5252</v>
      </c>
      <c r="Q104" s="26"/>
      <c r="R104" s="29">
        <v>4</v>
      </c>
      <c r="S104" s="29" t="s">
        <v>4409</v>
      </c>
      <c r="T104" s="29" t="s">
        <v>5253</v>
      </c>
      <c r="U104" s="26" t="s">
        <v>77</v>
      </c>
      <c r="V104" s="30" t="s">
        <v>78</v>
      </c>
      <c r="W104" s="30" t="s">
        <v>79</v>
      </c>
      <c r="X104" s="38" t="s">
        <v>80</v>
      </c>
      <c r="Y104" s="26" t="s">
        <v>4412</v>
      </c>
      <c r="Z104" s="26" t="s">
        <v>81</v>
      </c>
      <c r="AA104" s="26" t="s">
        <v>81</v>
      </c>
      <c r="AB104" s="25" t="s">
        <v>19</v>
      </c>
      <c r="AC104" s="30" t="s">
        <v>172</v>
      </c>
      <c r="AD104" s="25" t="s">
        <v>172</v>
      </c>
      <c r="AE104" s="25" t="s">
        <v>174</v>
      </c>
      <c r="AF104" s="26" t="s">
        <v>175</v>
      </c>
      <c r="AG104" s="32">
        <f t="shared" si="6"/>
        <v>1</v>
      </c>
      <c r="AH104" s="32">
        <v>1</v>
      </c>
      <c r="AI104" s="32">
        <v>1</v>
      </c>
      <c r="AJ104" s="32">
        <v>1</v>
      </c>
      <c r="AK104" s="30"/>
      <c r="AL104" s="30"/>
      <c r="AM104" s="32">
        <f t="shared" si="7"/>
        <v>1</v>
      </c>
      <c r="AN104" s="30"/>
      <c r="AO104" s="32"/>
      <c r="AP104" s="30"/>
      <c r="AQ104" s="30"/>
      <c r="AR104" s="32">
        <f t="shared" si="8"/>
        <v>0</v>
      </c>
      <c r="AS104" s="32"/>
      <c r="AT104" s="32"/>
      <c r="AU104" s="32">
        <v>1</v>
      </c>
      <c r="AV104" s="30"/>
      <c r="AW104" s="2"/>
      <c r="AX104" s="2" t="s">
        <v>5195</v>
      </c>
      <c r="AZ104" s="75" t="s">
        <v>5254</v>
      </c>
    </row>
    <row r="105" spans="1:52" ht="16.5">
      <c r="A105" s="25" t="s">
        <v>5255</v>
      </c>
      <c r="B105" s="25" t="s">
        <v>4398</v>
      </c>
      <c r="C105" s="25" t="s">
        <v>68</v>
      </c>
      <c r="D105" s="25" t="s">
        <v>5256</v>
      </c>
      <c r="E105" s="258" t="s">
        <v>5257</v>
      </c>
      <c r="F105" s="25" t="s">
        <v>5258</v>
      </c>
      <c r="G105" s="25" t="s">
        <v>165</v>
      </c>
      <c r="H105" s="25"/>
      <c r="I105" s="26" t="s">
        <v>4402</v>
      </c>
      <c r="J105" s="26" t="s">
        <v>5259</v>
      </c>
      <c r="K105" s="38" t="s">
        <v>4404</v>
      </c>
      <c r="L105" s="158" t="s">
        <v>4405</v>
      </c>
      <c r="M105" s="25" t="s">
        <v>73</v>
      </c>
      <c r="N105" s="25" t="s">
        <v>4791</v>
      </c>
      <c r="O105" s="26" t="s">
        <v>5260</v>
      </c>
      <c r="P105" t="s">
        <v>5261</v>
      </c>
      <c r="Q105" s="26"/>
      <c r="R105" s="29">
        <v>4</v>
      </c>
      <c r="S105" s="29" t="s">
        <v>4409</v>
      </c>
      <c r="T105" s="29" t="s">
        <v>5074</v>
      </c>
      <c r="U105" s="26" t="s">
        <v>77</v>
      </c>
      <c r="V105" s="30" t="s">
        <v>78</v>
      </c>
      <c r="W105" s="30" t="s">
        <v>79</v>
      </c>
      <c r="X105" s="38" t="s">
        <v>80</v>
      </c>
      <c r="Y105" s="26" t="s">
        <v>4412</v>
      </c>
      <c r="Z105" s="26" t="s">
        <v>81</v>
      </c>
      <c r="AA105" s="26" t="s">
        <v>81</v>
      </c>
      <c r="AB105" s="25" t="s">
        <v>19</v>
      </c>
      <c r="AC105" s="30" t="s">
        <v>172</v>
      </c>
      <c r="AD105" s="25" t="s">
        <v>172</v>
      </c>
      <c r="AE105" s="25" t="s">
        <v>174</v>
      </c>
      <c r="AF105" s="26" t="s">
        <v>175</v>
      </c>
      <c r="AG105" s="32">
        <f t="shared" si="6"/>
        <v>1</v>
      </c>
      <c r="AH105" s="32">
        <v>1</v>
      </c>
      <c r="AI105" s="32">
        <v>1</v>
      </c>
      <c r="AJ105" s="32">
        <v>1</v>
      </c>
      <c r="AK105" s="30"/>
      <c r="AL105" s="30"/>
      <c r="AM105" s="32">
        <f t="shared" si="7"/>
        <v>1</v>
      </c>
      <c r="AN105" s="30"/>
      <c r="AO105" s="32"/>
      <c r="AP105" s="30"/>
      <c r="AQ105" s="30"/>
      <c r="AR105" s="32">
        <f t="shared" si="8"/>
        <v>0</v>
      </c>
      <c r="AS105" s="32"/>
      <c r="AT105" s="32"/>
      <c r="AU105" s="32">
        <v>1</v>
      </c>
      <c r="AV105" s="30"/>
      <c r="AW105" s="2"/>
      <c r="AX105" s="2" t="s">
        <v>5121</v>
      </c>
      <c r="AZ105" s="75" t="s">
        <v>5248</v>
      </c>
    </row>
    <row r="106" spans="1:52" ht="16.5">
      <c r="A106" s="25" t="s">
        <v>5262</v>
      </c>
      <c r="B106" s="25" t="s">
        <v>4398</v>
      </c>
      <c r="C106" s="25" t="s">
        <v>68</v>
      </c>
      <c r="D106" s="25" t="s">
        <v>5263</v>
      </c>
      <c r="E106" s="258" t="s">
        <v>5264</v>
      </c>
      <c r="F106" s="25" t="s">
        <v>5265</v>
      </c>
      <c r="G106" s="25" t="s">
        <v>165</v>
      </c>
      <c r="H106" s="25"/>
      <c r="I106" s="26" t="s">
        <v>4402</v>
      </c>
      <c r="J106" s="26" t="s">
        <v>5259</v>
      </c>
      <c r="K106" s="38" t="s">
        <v>4404</v>
      </c>
      <c r="L106" s="158" t="s">
        <v>4405</v>
      </c>
      <c r="M106" s="25" t="s">
        <v>73</v>
      </c>
      <c r="N106" s="25" t="s">
        <v>4780</v>
      </c>
      <c r="O106" s="26" t="s">
        <v>5266</v>
      </c>
      <c r="P106" t="s">
        <v>5267</v>
      </c>
      <c r="Q106" s="26"/>
      <c r="R106" s="29">
        <v>4</v>
      </c>
      <c r="S106" s="29" t="s">
        <v>4409</v>
      </c>
      <c r="T106" s="29" t="s">
        <v>5045</v>
      </c>
      <c r="U106" s="26" t="s">
        <v>77</v>
      </c>
      <c r="V106" s="30" t="s">
        <v>78</v>
      </c>
      <c r="W106" s="30" t="s">
        <v>79</v>
      </c>
      <c r="X106" s="38" t="s">
        <v>80</v>
      </c>
      <c r="Y106" s="26" t="s">
        <v>4412</v>
      </c>
      <c r="Z106" s="26" t="s">
        <v>81</v>
      </c>
      <c r="AA106" s="26" t="s">
        <v>81</v>
      </c>
      <c r="AB106" s="25" t="s">
        <v>19</v>
      </c>
      <c r="AC106" s="30" t="s">
        <v>172</v>
      </c>
      <c r="AD106" s="25" t="s">
        <v>172</v>
      </c>
      <c r="AE106" s="25" t="s">
        <v>174</v>
      </c>
      <c r="AF106" s="26" t="s">
        <v>175</v>
      </c>
      <c r="AG106" s="32">
        <f t="shared" si="6"/>
        <v>1</v>
      </c>
      <c r="AH106" s="32">
        <v>1</v>
      </c>
      <c r="AI106" s="32">
        <v>1</v>
      </c>
      <c r="AJ106" s="32">
        <v>1</v>
      </c>
      <c r="AK106" s="30"/>
      <c r="AL106" s="30"/>
      <c r="AM106" s="32">
        <f t="shared" si="7"/>
        <v>1</v>
      </c>
      <c r="AN106" s="30"/>
      <c r="AO106" s="32"/>
      <c r="AP106" s="30"/>
      <c r="AQ106" s="30"/>
      <c r="AR106" s="32">
        <f t="shared" si="8"/>
        <v>0</v>
      </c>
      <c r="AS106" s="32"/>
      <c r="AT106" s="32"/>
      <c r="AU106" s="32">
        <v>1</v>
      </c>
      <c r="AV106" s="30"/>
      <c r="AW106" s="2"/>
      <c r="AX106" s="2" t="s">
        <v>4787</v>
      </c>
      <c r="AZ106" s="75" t="s">
        <v>5233</v>
      </c>
    </row>
    <row r="107" spans="1:52" ht="16.5">
      <c r="A107" s="25" t="s">
        <v>5268</v>
      </c>
      <c r="B107" s="25" t="s">
        <v>4398</v>
      </c>
      <c r="C107" s="25" t="s">
        <v>68</v>
      </c>
      <c r="D107" s="25" t="s">
        <v>5254</v>
      </c>
      <c r="E107" s="258" t="s">
        <v>5269</v>
      </c>
      <c r="F107" s="25" t="s">
        <v>5270</v>
      </c>
      <c r="G107" s="25" t="s">
        <v>165</v>
      </c>
      <c r="H107" s="25"/>
      <c r="I107" s="26" t="s">
        <v>4402</v>
      </c>
      <c r="J107" s="26" t="s">
        <v>5259</v>
      </c>
      <c r="K107" s="38" t="s">
        <v>4404</v>
      </c>
      <c r="L107" s="158" t="s">
        <v>4405</v>
      </c>
      <c r="M107" s="25" t="s">
        <v>73</v>
      </c>
      <c r="N107" s="25" t="s">
        <v>4754</v>
      </c>
      <c r="O107" s="26" t="s">
        <v>5271</v>
      </c>
      <c r="P107" t="s">
        <v>5272</v>
      </c>
      <c r="Q107" s="26"/>
      <c r="R107" s="29">
        <v>4</v>
      </c>
      <c r="S107" s="29" t="s">
        <v>4409</v>
      </c>
      <c r="T107" s="29" t="s">
        <v>5221</v>
      </c>
      <c r="U107" s="26" t="s">
        <v>77</v>
      </c>
      <c r="V107" s="30" t="s">
        <v>78</v>
      </c>
      <c r="W107" s="30" t="s">
        <v>79</v>
      </c>
      <c r="X107" s="38" t="s">
        <v>80</v>
      </c>
      <c r="Y107" s="26" t="s">
        <v>4412</v>
      </c>
      <c r="Z107" s="26" t="s">
        <v>81</v>
      </c>
      <c r="AA107" s="26" t="s">
        <v>81</v>
      </c>
      <c r="AB107" s="25" t="s">
        <v>19</v>
      </c>
      <c r="AC107" s="30" t="s">
        <v>172</v>
      </c>
      <c r="AD107" s="25" t="s">
        <v>172</v>
      </c>
      <c r="AE107" s="25" t="s">
        <v>174</v>
      </c>
      <c r="AF107" s="26" t="s">
        <v>175</v>
      </c>
      <c r="AG107" s="32">
        <f t="shared" si="6"/>
        <v>1</v>
      </c>
      <c r="AH107" s="32">
        <v>1</v>
      </c>
      <c r="AI107" s="32">
        <v>1</v>
      </c>
      <c r="AJ107" s="32">
        <v>1</v>
      </c>
      <c r="AK107" s="30"/>
      <c r="AL107" s="30"/>
      <c r="AM107" s="32">
        <f t="shared" si="7"/>
        <v>1</v>
      </c>
      <c r="AN107" s="30"/>
      <c r="AO107" s="32"/>
      <c r="AP107" s="30"/>
      <c r="AQ107" s="30"/>
      <c r="AR107" s="32">
        <f t="shared" si="8"/>
        <v>0</v>
      </c>
      <c r="AS107" s="32"/>
      <c r="AT107" s="32"/>
      <c r="AU107" s="32">
        <v>1</v>
      </c>
      <c r="AV107" s="30"/>
      <c r="AW107" s="2"/>
      <c r="AX107" s="2" t="s">
        <v>5226</v>
      </c>
      <c r="AZ107" s="75" t="s">
        <v>5263</v>
      </c>
    </row>
    <row r="108" spans="1:52" ht="16.5">
      <c r="A108" s="25" t="s">
        <v>5273</v>
      </c>
      <c r="B108" s="25" t="s">
        <v>4398</v>
      </c>
      <c r="C108" s="25" t="s">
        <v>68</v>
      </c>
      <c r="D108" s="25" t="s">
        <v>5246</v>
      </c>
      <c r="E108" s="258" t="s">
        <v>5274</v>
      </c>
      <c r="F108" s="25" t="s">
        <v>5275</v>
      </c>
      <c r="G108" s="25" t="s">
        <v>165</v>
      </c>
      <c r="H108" s="25"/>
      <c r="I108" s="26" t="s">
        <v>4402</v>
      </c>
      <c r="J108" s="26" t="s">
        <v>5259</v>
      </c>
      <c r="K108" s="38" t="s">
        <v>4404</v>
      </c>
      <c r="L108" s="158" t="s">
        <v>4405</v>
      </c>
      <c r="M108" s="25" t="s">
        <v>73</v>
      </c>
      <c r="N108" s="25" t="s">
        <v>4744</v>
      </c>
      <c r="O108" s="26" t="s">
        <v>5276</v>
      </c>
      <c r="P108" t="s">
        <v>5277</v>
      </c>
      <c r="Q108" s="26"/>
      <c r="R108" s="29">
        <v>4</v>
      </c>
      <c r="S108" s="29" t="s">
        <v>4409</v>
      </c>
      <c r="T108" s="29" t="s">
        <v>5278</v>
      </c>
      <c r="U108" s="26" t="s">
        <v>77</v>
      </c>
      <c r="V108" s="30" t="s">
        <v>78</v>
      </c>
      <c r="W108" s="30" t="s">
        <v>79</v>
      </c>
      <c r="X108" s="38" t="s">
        <v>80</v>
      </c>
      <c r="Y108" s="26" t="s">
        <v>4412</v>
      </c>
      <c r="Z108" s="26" t="s">
        <v>81</v>
      </c>
      <c r="AA108" s="26" t="s">
        <v>81</v>
      </c>
      <c r="AB108" s="25" t="s">
        <v>19</v>
      </c>
      <c r="AC108" s="30" t="s">
        <v>172</v>
      </c>
      <c r="AD108" s="25" t="s">
        <v>172</v>
      </c>
      <c r="AE108" s="25" t="s">
        <v>174</v>
      </c>
      <c r="AF108" s="26" t="s">
        <v>175</v>
      </c>
      <c r="AG108" s="32">
        <f t="shared" si="6"/>
        <v>1</v>
      </c>
      <c r="AH108" s="32">
        <v>1</v>
      </c>
      <c r="AI108" s="32">
        <v>1</v>
      </c>
      <c r="AJ108" s="32">
        <v>1</v>
      </c>
      <c r="AK108" s="30"/>
      <c r="AL108" s="30"/>
      <c r="AM108" s="32">
        <f t="shared" si="7"/>
        <v>1</v>
      </c>
      <c r="AN108" s="30"/>
      <c r="AO108" s="32"/>
      <c r="AP108" s="30"/>
      <c r="AQ108" s="30"/>
      <c r="AR108" s="32">
        <f t="shared" si="8"/>
        <v>0</v>
      </c>
      <c r="AS108" s="32"/>
      <c r="AT108" s="32"/>
      <c r="AU108" s="32">
        <v>1</v>
      </c>
      <c r="AV108" s="30"/>
      <c r="AW108" s="2"/>
      <c r="AZ108" s="75" t="s">
        <v>5256</v>
      </c>
    </row>
    <row r="109" spans="1:52">
      <c r="A109" s="25" t="s">
        <v>5279</v>
      </c>
      <c r="B109" s="25" t="s">
        <v>4398</v>
      </c>
      <c r="C109" s="25" t="s">
        <v>68</v>
      </c>
      <c r="D109" s="25" t="s">
        <v>5239</v>
      </c>
      <c r="E109" s="258" t="s">
        <v>5280</v>
      </c>
      <c r="F109" s="25" t="s">
        <v>5281</v>
      </c>
      <c r="G109" s="25" t="s">
        <v>165</v>
      </c>
      <c r="H109" s="25"/>
      <c r="I109" s="26" t="s">
        <v>4402</v>
      </c>
      <c r="J109" s="26" t="s">
        <v>5259</v>
      </c>
      <c r="K109" s="38" t="s">
        <v>4404</v>
      </c>
      <c r="L109" s="158" t="s">
        <v>4405</v>
      </c>
      <c r="M109" s="25" t="s">
        <v>73</v>
      </c>
      <c r="N109" s="25" t="s">
        <v>4736</v>
      </c>
      <c r="O109" s="26" t="s">
        <v>5282</v>
      </c>
      <c r="P109" t="s">
        <v>5283</v>
      </c>
      <c r="Q109" s="26"/>
      <c r="R109" s="29">
        <v>4</v>
      </c>
      <c r="S109" s="29" t="s">
        <v>4409</v>
      </c>
      <c r="T109" s="29" t="s">
        <v>5284</v>
      </c>
      <c r="U109" s="26" t="s">
        <v>77</v>
      </c>
      <c r="V109" s="30" t="s">
        <v>78</v>
      </c>
      <c r="W109" s="30" t="s">
        <v>79</v>
      </c>
      <c r="X109" s="38" t="s">
        <v>80</v>
      </c>
      <c r="Y109" s="26" t="s">
        <v>4412</v>
      </c>
      <c r="Z109" s="26" t="s">
        <v>81</v>
      </c>
      <c r="AA109" s="26" t="s">
        <v>81</v>
      </c>
      <c r="AB109" s="25" t="s">
        <v>19</v>
      </c>
      <c r="AC109" s="30" t="s">
        <v>172</v>
      </c>
      <c r="AD109" s="25" t="s">
        <v>172</v>
      </c>
      <c r="AE109" s="25" t="s">
        <v>174</v>
      </c>
      <c r="AF109" s="26" t="s">
        <v>175</v>
      </c>
      <c r="AG109" s="32">
        <f t="shared" si="6"/>
        <v>1</v>
      </c>
      <c r="AH109" s="32">
        <v>1</v>
      </c>
      <c r="AI109" s="32">
        <v>1</v>
      </c>
      <c r="AJ109" s="32">
        <v>1</v>
      </c>
      <c r="AK109" s="30"/>
      <c r="AL109" s="30"/>
      <c r="AM109" s="32">
        <f t="shared" si="7"/>
        <v>1</v>
      </c>
      <c r="AN109" s="30"/>
      <c r="AO109" s="32"/>
      <c r="AP109" s="30"/>
      <c r="AQ109" s="30"/>
      <c r="AR109" s="32">
        <f t="shared" si="8"/>
        <v>0</v>
      </c>
      <c r="AS109" s="32"/>
      <c r="AT109" s="25" t="s">
        <v>5169</v>
      </c>
      <c r="AU109" s="34" t="s">
        <v>405</v>
      </c>
      <c r="AV109" s="30"/>
      <c r="AW109" s="34" t="s">
        <v>405</v>
      </c>
      <c r="AZ109" s="2" t="s">
        <v>5184</v>
      </c>
    </row>
    <row r="110" spans="1:52">
      <c r="A110" s="25" t="s">
        <v>5285</v>
      </c>
      <c r="B110" s="25" t="s">
        <v>4398</v>
      </c>
      <c r="C110" s="25" t="s">
        <v>68</v>
      </c>
      <c r="D110" s="25" t="s">
        <v>5231</v>
      </c>
      <c r="E110" s="258" t="s">
        <v>5286</v>
      </c>
      <c r="F110" s="25" t="s">
        <v>1472</v>
      </c>
      <c r="G110" s="25" t="s">
        <v>165</v>
      </c>
      <c r="H110" s="25"/>
      <c r="I110" s="26" t="s">
        <v>4402</v>
      </c>
      <c r="J110" s="26" t="s">
        <v>5259</v>
      </c>
      <c r="K110" s="38" t="s">
        <v>4404</v>
      </c>
      <c r="L110" s="158" t="s">
        <v>4405</v>
      </c>
      <c r="M110" s="25" t="s">
        <v>73</v>
      </c>
      <c r="N110" s="25" t="s">
        <v>4727</v>
      </c>
      <c r="O110" s="26" t="s">
        <v>5287</v>
      </c>
      <c r="P110" t="s">
        <v>5288</v>
      </c>
      <c r="Q110" s="26"/>
      <c r="R110" s="29">
        <v>4</v>
      </c>
      <c r="S110" s="29" t="s">
        <v>4409</v>
      </c>
      <c r="T110" s="29" t="s">
        <v>4448</v>
      </c>
      <c r="U110" s="26" t="s">
        <v>77</v>
      </c>
      <c r="V110" s="30" t="s">
        <v>78</v>
      </c>
      <c r="W110" s="30" t="s">
        <v>79</v>
      </c>
      <c r="X110" s="38" t="s">
        <v>80</v>
      </c>
      <c r="Y110" s="26" t="s">
        <v>4412</v>
      </c>
      <c r="Z110" s="26" t="s">
        <v>81</v>
      </c>
      <c r="AA110" s="26" t="s">
        <v>81</v>
      </c>
      <c r="AB110" s="25" t="s">
        <v>19</v>
      </c>
      <c r="AC110" s="30" t="s">
        <v>172</v>
      </c>
      <c r="AD110" s="25" t="s">
        <v>172</v>
      </c>
      <c r="AE110" s="25" t="s">
        <v>174</v>
      </c>
      <c r="AF110" s="26" t="s">
        <v>175</v>
      </c>
      <c r="AG110" s="32">
        <f t="shared" si="6"/>
        <v>1</v>
      </c>
      <c r="AH110" s="32">
        <v>1</v>
      </c>
      <c r="AI110" s="32">
        <v>1</v>
      </c>
      <c r="AJ110" s="32">
        <v>1</v>
      </c>
      <c r="AK110" s="30"/>
      <c r="AL110" s="30"/>
      <c r="AM110" s="32">
        <f t="shared" si="7"/>
        <v>1</v>
      </c>
      <c r="AN110" s="30"/>
      <c r="AO110" s="32"/>
      <c r="AP110" s="30"/>
      <c r="AQ110" s="30"/>
      <c r="AR110" s="32">
        <f t="shared" si="8"/>
        <v>0</v>
      </c>
      <c r="AS110" s="32"/>
      <c r="AT110" s="32"/>
      <c r="AU110" s="32">
        <v>1</v>
      </c>
      <c r="AV110" s="30"/>
      <c r="AW110" s="2"/>
      <c r="AZ110" s="25" t="s">
        <v>4881</v>
      </c>
    </row>
    <row r="113" spans="2:2">
      <c r="B113" s="134"/>
    </row>
  </sheetData>
  <sheetProtection sheet="1" formatCells="0" formatColumns="0" formatRows="0" insertColumns="0" insertRows="0" insertHyperlinks="0" deleteColumns="0" deleteRows="0" sort="0" autoFilter="0" pivotTables="0"/>
  <protectedRanges>
    <protectedRange sqref="A1:P1 A111:P1048576" name="Range1"/>
    <protectedRange sqref="A1:K1048576" name="Range2"/>
    <protectedRange sqref="M1:P1048576" name="Range3"/>
    <protectedRange sqref="A1:P1048576" name="Range4"/>
    <protectedRange sqref="A1:P1048576" name="Range5"/>
    <protectedRange sqref="A2:P110" name="Range6"/>
    <protectedRange sqref="A1:P1048576" name="Range7"/>
  </protectedRanges>
  <autoFilter ref="A1:AV110" xr:uid="{00000000-0009-0000-0000-000005000000}"/>
  <mergeCells count="1">
    <mergeCell ref="AN27:AP27"/>
  </mergeCells>
  <phoneticPr fontId="67" type="noConversion"/>
  <pageMargins left="0.75" right="0.75" top="1" bottom="1" header="0.5" footer="0.5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A1:AY257"/>
  <sheetViews>
    <sheetView workbookViewId="0">
      <pane xSplit="13" ySplit="1" topLeftCell="O124" activePane="bottomRight" state="frozen"/>
      <selection pane="topRight"/>
      <selection pane="bottomLeft"/>
      <selection pane="bottomRight" activeCell="C1" sqref="C1:C1048576"/>
    </sheetView>
  </sheetViews>
  <sheetFormatPr defaultColWidth="9" defaultRowHeight="14.5"/>
  <cols>
    <col min="1" max="1" width="12.453125" style="2" customWidth="1"/>
    <col min="2" max="2" width="12" style="2" customWidth="1"/>
    <col min="3" max="3" width="4.6328125" style="2" customWidth="1"/>
    <col min="4" max="4" width="13.36328125" style="2" customWidth="1"/>
    <col min="5" max="5" width="13.26953125" style="2" customWidth="1"/>
    <col min="6" max="6" width="9.453125" style="2" customWidth="1"/>
    <col min="7" max="7" width="7.08984375" style="2" customWidth="1"/>
    <col min="8" max="8" width="10.90625" style="2" customWidth="1"/>
    <col min="9" max="9" width="9.36328125" style="2" hidden="1" customWidth="1"/>
    <col min="10" max="10" width="8" style="4" customWidth="1"/>
    <col min="11" max="11" width="4.6328125" style="4" customWidth="1"/>
    <col min="12" max="12" width="10.36328125" style="2" customWidth="1"/>
    <col min="13" max="13" width="11.6328125" style="2" customWidth="1"/>
    <col min="14" max="14" width="18.26953125" style="2" customWidth="1"/>
    <col min="15" max="15" width="4.6328125" style="2" customWidth="1"/>
    <col min="16" max="16" width="7.453125" style="2" customWidth="1"/>
    <col min="17" max="17" width="7.6328125" style="4" customWidth="1"/>
    <col min="18" max="18" width="9" style="2"/>
    <col min="19" max="20" width="12.7265625" style="2" customWidth="1"/>
    <col min="21" max="21" width="17.90625" style="2" customWidth="1"/>
    <col min="22" max="22" width="19.6328125" style="2" customWidth="1"/>
    <col min="23" max="23" width="9.90625" style="2" customWidth="1"/>
    <col min="24" max="25" width="21.453125" style="2" customWidth="1"/>
    <col min="26" max="26" width="6.6328125" style="2" customWidth="1"/>
    <col min="27" max="27" width="13.6328125" style="2" customWidth="1"/>
    <col min="28" max="28" width="9" style="2" customWidth="1"/>
    <col min="29" max="29" width="14.90625" style="60" customWidth="1"/>
    <col min="30" max="30" width="9" style="4" customWidth="1"/>
    <col min="31" max="31" width="6.36328125" style="2" customWidth="1"/>
    <col min="32" max="47" width="9" style="4"/>
    <col min="48" max="16384" width="9" style="2"/>
  </cols>
  <sheetData>
    <row r="1" spans="1:51" ht="84.75" customHeight="1">
      <c r="A1" s="146" t="s">
        <v>25</v>
      </c>
      <c r="B1" s="147" t="s">
        <v>26</v>
      </c>
      <c r="C1" s="147" t="s">
        <v>27</v>
      </c>
      <c r="D1" s="146" t="s">
        <v>28</v>
      </c>
      <c r="E1" s="147" t="s">
        <v>5289</v>
      </c>
      <c r="F1" s="146" t="s">
        <v>29</v>
      </c>
      <c r="G1" s="146" t="s">
        <v>30</v>
      </c>
      <c r="H1" s="146" t="s">
        <v>4391</v>
      </c>
      <c r="I1" s="147" t="s">
        <v>32</v>
      </c>
      <c r="J1" s="147" t="s">
        <v>33</v>
      </c>
      <c r="K1" s="147" t="s">
        <v>34</v>
      </c>
      <c r="L1" s="147" t="s">
        <v>35</v>
      </c>
      <c r="M1" s="146" t="s">
        <v>36</v>
      </c>
      <c r="N1" s="8" t="s">
        <v>37</v>
      </c>
      <c r="O1" s="147" t="s">
        <v>38</v>
      </c>
      <c r="P1" s="80" t="s">
        <v>4392</v>
      </c>
      <c r="Q1" s="80" t="s">
        <v>5290</v>
      </c>
      <c r="R1" s="80" t="s">
        <v>5291</v>
      </c>
      <c r="S1" s="81" t="s">
        <v>39</v>
      </c>
      <c r="T1" s="81" t="s">
        <v>40</v>
      </c>
      <c r="U1" s="81" t="s">
        <v>41</v>
      </c>
      <c r="V1" s="81" t="s">
        <v>42</v>
      </c>
      <c r="W1" s="81" t="s">
        <v>43</v>
      </c>
      <c r="X1" s="81" t="s">
        <v>44</v>
      </c>
      <c r="Y1" s="81" t="s">
        <v>45</v>
      </c>
      <c r="Z1" s="82" t="s">
        <v>5292</v>
      </c>
      <c r="AA1" s="83" t="s">
        <v>46</v>
      </c>
      <c r="AB1" s="84" t="s">
        <v>47</v>
      </c>
      <c r="AC1" s="148" t="s">
        <v>48</v>
      </c>
      <c r="AD1" s="84" t="s">
        <v>49</v>
      </c>
      <c r="AE1" s="84" t="s">
        <v>50</v>
      </c>
      <c r="AF1" s="85" t="s">
        <v>51</v>
      </c>
      <c r="AG1" s="85" t="s">
        <v>52</v>
      </c>
      <c r="AH1" s="85" t="s">
        <v>4395</v>
      </c>
      <c r="AI1" s="86" t="s">
        <v>54</v>
      </c>
      <c r="AJ1" s="85" t="s">
        <v>55</v>
      </c>
      <c r="AK1" s="85" t="s">
        <v>4396</v>
      </c>
      <c r="AL1" s="87" t="s">
        <v>57</v>
      </c>
      <c r="AM1" s="88" t="s">
        <v>58</v>
      </c>
      <c r="AN1" s="88" t="s">
        <v>59</v>
      </c>
      <c r="AO1" s="89" t="s">
        <v>60</v>
      </c>
      <c r="AP1" s="89" t="s">
        <v>61</v>
      </c>
      <c r="AQ1" s="86" t="s">
        <v>62</v>
      </c>
      <c r="AR1" s="86" t="s">
        <v>63</v>
      </c>
      <c r="AS1" s="86" t="s">
        <v>155</v>
      </c>
      <c r="AT1" s="86" t="s">
        <v>65</v>
      </c>
      <c r="AU1" s="86" t="s">
        <v>66</v>
      </c>
      <c r="AV1" s="149"/>
      <c r="AW1" s="101" t="s">
        <v>1680</v>
      </c>
      <c r="AX1" s="102" t="s">
        <v>3133</v>
      </c>
      <c r="AY1" s="103" t="s">
        <v>158</v>
      </c>
    </row>
    <row r="2" spans="1:51" ht="16.5">
      <c r="A2" s="49" t="s">
        <v>5293</v>
      </c>
      <c r="B2" s="26" t="s">
        <v>160</v>
      </c>
      <c r="C2" s="26" t="s">
        <v>73</v>
      </c>
      <c r="D2" s="49" t="s">
        <v>5294</v>
      </c>
      <c r="E2" s="26" t="s">
        <v>162</v>
      </c>
      <c r="F2" s="49" t="s">
        <v>5295</v>
      </c>
      <c r="G2" s="49" t="s">
        <v>5296</v>
      </c>
      <c r="H2" s="49" t="s">
        <v>3138</v>
      </c>
      <c r="I2" s="26">
        <v>202606.3</v>
      </c>
      <c r="J2" s="25">
        <v>6.17</v>
      </c>
      <c r="K2" s="25" t="s">
        <v>73</v>
      </c>
      <c r="L2" s="26" t="s">
        <v>5297</v>
      </c>
      <c r="M2" s="49" t="s">
        <v>5298</v>
      </c>
      <c r="N2" s="27" t="s">
        <v>5299</v>
      </c>
      <c r="O2" s="26"/>
      <c r="P2" s="53">
        <v>4</v>
      </c>
      <c r="Q2" s="32">
        <v>16</v>
      </c>
      <c r="R2" s="53">
        <v>266.7</v>
      </c>
      <c r="S2" s="26" t="s">
        <v>99</v>
      </c>
      <c r="T2" s="26" t="s">
        <v>100</v>
      </c>
      <c r="U2" s="26" t="s">
        <v>101</v>
      </c>
      <c r="V2" s="26" t="s">
        <v>102</v>
      </c>
      <c r="W2" s="26" t="s">
        <v>103</v>
      </c>
      <c r="X2" s="26" t="s">
        <v>104</v>
      </c>
      <c r="Y2" s="26" t="s">
        <v>104</v>
      </c>
      <c r="Z2" s="26" t="s">
        <v>172</v>
      </c>
      <c r="AA2" s="26" t="s">
        <v>9</v>
      </c>
      <c r="AB2" s="30"/>
      <c r="AC2" s="49" t="s">
        <v>5300</v>
      </c>
      <c r="AD2" s="25" t="s">
        <v>174</v>
      </c>
      <c r="AE2" s="26" t="s">
        <v>175</v>
      </c>
      <c r="AF2" s="32">
        <f>IF(COUNTIF(AY:AY,D2)&gt;0,1,0)</f>
        <v>1</v>
      </c>
      <c r="AG2" s="32">
        <v>1</v>
      </c>
      <c r="AH2" s="32">
        <v>1</v>
      </c>
      <c r="AI2" s="32">
        <v>1</v>
      </c>
      <c r="AJ2" s="32"/>
      <c r="AK2" s="32"/>
      <c r="AL2" s="32">
        <f>IF(COUNTIF(AW:AW,"*"&amp;L2&amp;"*")&gt;0,1,0)</f>
        <v>1</v>
      </c>
      <c r="AM2" s="32"/>
      <c r="AN2" s="32"/>
      <c r="AO2" s="32"/>
      <c r="AP2" s="32"/>
      <c r="AQ2" s="32"/>
      <c r="AR2" s="32"/>
      <c r="AS2" s="32"/>
      <c r="AT2" s="32">
        <v>1</v>
      </c>
      <c r="AU2" s="32"/>
      <c r="AW2" s="2" t="s">
        <v>3353</v>
      </c>
      <c r="AY2" s="75" t="s">
        <v>3357</v>
      </c>
    </row>
    <row r="3" spans="1:51" ht="16.5">
      <c r="A3" s="49" t="s">
        <v>5301</v>
      </c>
      <c r="B3" s="26" t="s">
        <v>160</v>
      </c>
      <c r="C3" s="26" t="s">
        <v>73</v>
      </c>
      <c r="D3" s="49" t="s">
        <v>5302</v>
      </c>
      <c r="E3" s="26" t="s">
        <v>162</v>
      </c>
      <c r="F3" s="49" t="s">
        <v>5303</v>
      </c>
      <c r="G3" s="49" t="s">
        <v>5304</v>
      </c>
      <c r="H3" s="49" t="s">
        <v>3138</v>
      </c>
      <c r="I3" s="38">
        <v>202606.3</v>
      </c>
      <c r="J3" s="121">
        <v>6.17</v>
      </c>
      <c r="K3" s="25" t="s">
        <v>73</v>
      </c>
      <c r="L3" s="26" t="s">
        <v>5305</v>
      </c>
      <c r="M3" s="49" t="s">
        <v>5306</v>
      </c>
      <c r="N3" s="27" t="s">
        <v>5307</v>
      </c>
      <c r="O3" s="26"/>
      <c r="P3" s="53">
        <v>4</v>
      </c>
      <c r="Q3" s="32">
        <v>16</v>
      </c>
      <c r="R3" s="53">
        <v>266.38</v>
      </c>
      <c r="S3" s="26" t="s">
        <v>99</v>
      </c>
      <c r="T3" s="26" t="s">
        <v>100</v>
      </c>
      <c r="U3" s="26" t="s">
        <v>101</v>
      </c>
      <c r="V3" s="26" t="s">
        <v>102</v>
      </c>
      <c r="W3" s="26" t="s">
        <v>103</v>
      </c>
      <c r="X3" s="26" t="s">
        <v>104</v>
      </c>
      <c r="Y3" s="26" t="s">
        <v>104</v>
      </c>
      <c r="Z3" s="26" t="s">
        <v>172</v>
      </c>
      <c r="AA3" s="26" t="s">
        <v>9</v>
      </c>
      <c r="AB3" s="30"/>
      <c r="AC3" s="49" t="s">
        <v>5300</v>
      </c>
      <c r="AD3" s="25" t="s">
        <v>174</v>
      </c>
      <c r="AE3" s="26" t="s">
        <v>175</v>
      </c>
      <c r="AF3" s="32">
        <f t="shared" ref="AF3:AF34" si="0">IF(COUNTIF(AY:AY,D3)&gt;0,1,0)</f>
        <v>1</v>
      </c>
      <c r="AG3" s="32">
        <v>1</v>
      </c>
      <c r="AH3" s="32">
        <v>1</v>
      </c>
      <c r="AI3" s="32">
        <v>1</v>
      </c>
      <c r="AJ3" s="32"/>
      <c r="AK3" s="32"/>
      <c r="AL3" s="32">
        <f t="shared" ref="AL3:AL17" si="1">IF(COUNTIF(AW:AW,"*"&amp;L3&amp;"*")&gt;0,1,0)</f>
        <v>1</v>
      </c>
      <c r="AM3" s="32"/>
      <c r="AN3" s="32"/>
      <c r="AO3" s="32"/>
      <c r="AP3" s="32"/>
      <c r="AQ3" s="32"/>
      <c r="AR3" s="32"/>
      <c r="AS3" s="32"/>
      <c r="AT3" s="32">
        <v>1</v>
      </c>
      <c r="AU3" s="32"/>
      <c r="AW3" s="2" t="s">
        <v>5308</v>
      </c>
      <c r="AY3" s="75" t="s">
        <v>3350</v>
      </c>
    </row>
    <row r="4" spans="1:51" ht="16.5">
      <c r="A4" s="49" t="s">
        <v>5309</v>
      </c>
      <c r="B4" s="26" t="s">
        <v>160</v>
      </c>
      <c r="C4" s="26" t="s">
        <v>73</v>
      </c>
      <c r="D4" s="49" t="s">
        <v>5310</v>
      </c>
      <c r="E4" s="26" t="s">
        <v>162</v>
      </c>
      <c r="F4" s="49" t="s">
        <v>5311</v>
      </c>
      <c r="G4" s="49" t="s">
        <v>5312</v>
      </c>
      <c r="H4" s="49" t="s">
        <v>3138</v>
      </c>
      <c r="I4" s="38">
        <v>202606.3</v>
      </c>
      <c r="J4" s="121">
        <v>6.17</v>
      </c>
      <c r="K4" s="25" t="s">
        <v>73</v>
      </c>
      <c r="L4" s="26" t="s">
        <v>5313</v>
      </c>
      <c r="M4" s="49" t="s">
        <v>5314</v>
      </c>
      <c r="N4" s="27" t="s">
        <v>5315</v>
      </c>
      <c r="O4" s="26"/>
      <c r="P4" s="53">
        <v>4</v>
      </c>
      <c r="Q4" s="32">
        <v>16</v>
      </c>
      <c r="R4" s="53">
        <v>267.23</v>
      </c>
      <c r="S4" s="26" t="s">
        <v>99</v>
      </c>
      <c r="T4" s="26" t="s">
        <v>100</v>
      </c>
      <c r="U4" s="26" t="s">
        <v>101</v>
      </c>
      <c r="V4" s="26" t="s">
        <v>102</v>
      </c>
      <c r="W4" s="26" t="s">
        <v>103</v>
      </c>
      <c r="X4" s="26" t="s">
        <v>104</v>
      </c>
      <c r="Y4" s="26" t="s">
        <v>104</v>
      </c>
      <c r="Z4" s="26" t="s">
        <v>172</v>
      </c>
      <c r="AA4" s="26" t="s">
        <v>9</v>
      </c>
      <c r="AB4" s="30" t="s">
        <v>172</v>
      </c>
      <c r="AC4" s="49" t="s">
        <v>5300</v>
      </c>
      <c r="AD4" s="25" t="s">
        <v>174</v>
      </c>
      <c r="AE4" s="26" t="s">
        <v>175</v>
      </c>
      <c r="AF4" s="32">
        <f t="shared" si="0"/>
        <v>1</v>
      </c>
      <c r="AG4" s="32">
        <v>1</v>
      </c>
      <c r="AH4" s="32">
        <v>1</v>
      </c>
      <c r="AI4" s="32">
        <v>1</v>
      </c>
      <c r="AJ4" s="32"/>
      <c r="AK4" s="32"/>
      <c r="AL4" s="32">
        <f t="shared" si="1"/>
        <v>1</v>
      </c>
      <c r="AM4" s="32"/>
      <c r="AN4" s="32"/>
      <c r="AO4" s="32"/>
      <c r="AP4" s="32"/>
      <c r="AQ4" s="32"/>
      <c r="AR4" s="32"/>
      <c r="AS4" s="32"/>
      <c r="AT4" s="32">
        <v>1</v>
      </c>
      <c r="AU4" s="32"/>
      <c r="AW4" s="2" t="s">
        <v>5316</v>
      </c>
      <c r="AY4" s="75" t="s">
        <v>5317</v>
      </c>
    </row>
    <row r="5" spans="1:51" ht="16.5">
      <c r="A5" s="49" t="s">
        <v>3209</v>
      </c>
      <c r="B5" s="26" t="s">
        <v>160</v>
      </c>
      <c r="C5" s="26" t="s">
        <v>73</v>
      </c>
      <c r="D5" s="49" t="s">
        <v>3210</v>
      </c>
      <c r="E5" s="26" t="s">
        <v>162</v>
      </c>
      <c r="F5" s="49" t="s">
        <v>3211</v>
      </c>
      <c r="G5" s="49" t="s">
        <v>3212</v>
      </c>
      <c r="H5" s="49" t="s">
        <v>3194</v>
      </c>
      <c r="I5" s="38">
        <v>202606.3</v>
      </c>
      <c r="J5" s="121">
        <v>6.17</v>
      </c>
      <c r="K5" s="25" t="s">
        <v>73</v>
      </c>
      <c r="L5" s="26" t="s">
        <v>3214</v>
      </c>
      <c r="M5" s="49" t="s">
        <v>3215</v>
      </c>
      <c r="N5" s="27" t="s">
        <v>5318</v>
      </c>
      <c r="O5" s="26"/>
      <c r="P5" s="53">
        <v>4</v>
      </c>
      <c r="Q5" s="32">
        <v>16</v>
      </c>
      <c r="R5" s="53">
        <v>330.35</v>
      </c>
      <c r="S5" s="26" t="s">
        <v>99</v>
      </c>
      <c r="T5" s="26" t="s">
        <v>100</v>
      </c>
      <c r="U5" s="26" t="s">
        <v>101</v>
      </c>
      <c r="V5" s="26" t="s">
        <v>102</v>
      </c>
      <c r="W5" s="26" t="s">
        <v>103</v>
      </c>
      <c r="X5" s="26" t="s">
        <v>104</v>
      </c>
      <c r="Y5" s="26" t="s">
        <v>104</v>
      </c>
      <c r="Z5" s="26" t="s">
        <v>172</v>
      </c>
      <c r="AA5" s="26" t="s">
        <v>9</v>
      </c>
      <c r="AB5" s="30" t="s">
        <v>172</v>
      </c>
      <c r="AC5" s="49" t="s">
        <v>5300</v>
      </c>
      <c r="AD5" s="25" t="s">
        <v>174</v>
      </c>
      <c r="AE5" s="26" t="s">
        <v>175</v>
      </c>
      <c r="AF5" s="32">
        <f t="shared" si="0"/>
        <v>1</v>
      </c>
      <c r="AG5" s="32">
        <v>1</v>
      </c>
      <c r="AH5" s="32">
        <v>1</v>
      </c>
      <c r="AI5" s="32">
        <v>1</v>
      </c>
      <c r="AJ5" s="32"/>
      <c r="AK5" s="32"/>
      <c r="AL5" s="32">
        <f t="shared" si="1"/>
        <v>1</v>
      </c>
      <c r="AM5" s="32"/>
      <c r="AN5" s="32"/>
      <c r="AO5" s="32"/>
      <c r="AP5" s="32"/>
      <c r="AQ5" s="32"/>
      <c r="AR5" s="32"/>
      <c r="AS5" s="32"/>
      <c r="AT5" s="32">
        <v>1</v>
      </c>
      <c r="AU5" s="32"/>
      <c r="AW5" s="2" t="s">
        <v>5319</v>
      </c>
      <c r="AY5" s="75" t="s">
        <v>5302</v>
      </c>
    </row>
    <row r="6" spans="1:51" ht="16.5">
      <c r="A6" s="49" t="s">
        <v>5320</v>
      </c>
      <c r="B6" s="26" t="s">
        <v>160</v>
      </c>
      <c r="C6" s="26" t="s">
        <v>73</v>
      </c>
      <c r="D6" s="49" t="s">
        <v>5321</v>
      </c>
      <c r="E6" s="26" t="s">
        <v>162</v>
      </c>
      <c r="F6" s="49" t="s">
        <v>5322</v>
      </c>
      <c r="G6" s="49" t="s">
        <v>5323</v>
      </c>
      <c r="H6" s="49" t="s">
        <v>3194</v>
      </c>
      <c r="I6" s="38">
        <v>202606.3</v>
      </c>
      <c r="J6" s="121">
        <v>6.17</v>
      </c>
      <c r="K6" s="25" t="s">
        <v>73</v>
      </c>
      <c r="L6" s="26" t="s">
        <v>5324</v>
      </c>
      <c r="M6" s="49" t="s">
        <v>5325</v>
      </c>
      <c r="N6" s="27" t="s">
        <v>5326</v>
      </c>
      <c r="O6" s="26"/>
      <c r="P6" s="53">
        <v>4</v>
      </c>
      <c r="Q6" s="32">
        <v>16</v>
      </c>
      <c r="R6" s="53">
        <v>266.37</v>
      </c>
      <c r="S6" s="26" t="s">
        <v>99</v>
      </c>
      <c r="T6" s="26" t="s">
        <v>100</v>
      </c>
      <c r="U6" s="26" t="s">
        <v>101</v>
      </c>
      <c r="V6" s="26" t="s">
        <v>102</v>
      </c>
      <c r="W6" s="26" t="s">
        <v>103</v>
      </c>
      <c r="X6" s="26" t="s">
        <v>104</v>
      </c>
      <c r="Y6" s="26" t="s">
        <v>104</v>
      </c>
      <c r="Z6" s="26" t="s">
        <v>172</v>
      </c>
      <c r="AA6" s="26" t="s">
        <v>9</v>
      </c>
      <c r="AB6" s="30" t="s">
        <v>172</v>
      </c>
      <c r="AC6" s="49" t="s">
        <v>5300</v>
      </c>
      <c r="AD6" s="25" t="s">
        <v>174</v>
      </c>
      <c r="AE6" s="26" t="s">
        <v>175</v>
      </c>
      <c r="AF6" s="32">
        <f t="shared" si="0"/>
        <v>1</v>
      </c>
      <c r="AG6" s="32">
        <v>1</v>
      </c>
      <c r="AH6" s="32">
        <v>1</v>
      </c>
      <c r="AI6" s="32">
        <v>1</v>
      </c>
      <c r="AJ6" s="32"/>
      <c r="AK6" s="32"/>
      <c r="AL6" s="32">
        <f t="shared" si="1"/>
        <v>1</v>
      </c>
      <c r="AM6" s="32"/>
      <c r="AN6" s="32"/>
      <c r="AO6" s="32"/>
      <c r="AP6" s="32"/>
      <c r="AQ6" s="32"/>
      <c r="AR6" s="32"/>
      <c r="AS6" s="32"/>
      <c r="AT6" s="32">
        <v>1</v>
      </c>
      <c r="AU6" s="32"/>
      <c r="AW6" s="2" t="s">
        <v>5327</v>
      </c>
      <c r="AY6" s="75" t="s">
        <v>3683</v>
      </c>
    </row>
    <row r="7" spans="1:51" ht="16.5">
      <c r="A7" s="49" t="s">
        <v>3349</v>
      </c>
      <c r="B7" s="26" t="s">
        <v>160</v>
      </c>
      <c r="C7" s="26" t="s">
        <v>73</v>
      </c>
      <c r="D7" s="49" t="s">
        <v>3350</v>
      </c>
      <c r="E7" s="26" t="s">
        <v>162</v>
      </c>
      <c r="F7" s="49" t="s">
        <v>3351</v>
      </c>
      <c r="G7" s="49" t="s">
        <v>3352</v>
      </c>
      <c r="H7" s="49" t="s">
        <v>3319</v>
      </c>
      <c r="I7" s="38">
        <v>202606.3</v>
      </c>
      <c r="J7" s="121">
        <v>6.17</v>
      </c>
      <c r="K7" s="25" t="s">
        <v>73</v>
      </c>
      <c r="L7" s="26" t="s">
        <v>3353</v>
      </c>
      <c r="M7" s="49" t="s">
        <v>3354</v>
      </c>
      <c r="N7" s="27" t="s">
        <v>5328</v>
      </c>
      <c r="O7" s="26"/>
      <c r="P7" s="53">
        <v>4</v>
      </c>
      <c r="Q7" s="32">
        <v>16</v>
      </c>
      <c r="R7" s="53">
        <v>362.51</v>
      </c>
      <c r="S7" s="26" t="s">
        <v>99</v>
      </c>
      <c r="T7" s="26" t="s">
        <v>100</v>
      </c>
      <c r="U7" s="26" t="s">
        <v>101</v>
      </c>
      <c r="V7" s="26" t="s">
        <v>102</v>
      </c>
      <c r="W7" s="26" t="s">
        <v>103</v>
      </c>
      <c r="X7" s="26" t="s">
        <v>104</v>
      </c>
      <c r="Y7" s="26" t="s">
        <v>104</v>
      </c>
      <c r="Z7" s="26" t="s">
        <v>172</v>
      </c>
      <c r="AA7" s="26" t="s">
        <v>9</v>
      </c>
      <c r="AB7" s="30" t="s">
        <v>172</v>
      </c>
      <c r="AC7" s="49" t="s">
        <v>5300</v>
      </c>
      <c r="AD7" s="25" t="s">
        <v>174</v>
      </c>
      <c r="AE7" s="26" t="s">
        <v>175</v>
      </c>
      <c r="AF7" s="32">
        <f t="shared" si="0"/>
        <v>1</v>
      </c>
      <c r="AG7" s="32">
        <v>1</v>
      </c>
      <c r="AH7" s="32">
        <v>1</v>
      </c>
      <c r="AI7" s="32">
        <v>1</v>
      </c>
      <c r="AJ7" s="32"/>
      <c r="AK7" s="32"/>
      <c r="AL7" s="32">
        <f t="shared" si="1"/>
        <v>1</v>
      </c>
      <c r="AM7" s="32"/>
      <c r="AN7" s="32"/>
      <c r="AO7" s="32"/>
      <c r="AP7" s="32"/>
      <c r="AQ7" s="32"/>
      <c r="AR7" s="32"/>
      <c r="AS7" s="32"/>
      <c r="AT7" s="32">
        <v>1</v>
      </c>
      <c r="AU7" s="32"/>
      <c r="AW7" s="2" t="s">
        <v>5329</v>
      </c>
      <c r="AY7" s="75" t="s">
        <v>5321</v>
      </c>
    </row>
    <row r="8" spans="1:51" ht="16.5">
      <c r="A8" s="49" t="s">
        <v>3356</v>
      </c>
      <c r="B8" s="26" t="s">
        <v>160</v>
      </c>
      <c r="C8" s="26" t="s">
        <v>73</v>
      </c>
      <c r="D8" s="49" t="s">
        <v>3357</v>
      </c>
      <c r="E8" s="26" t="s">
        <v>162</v>
      </c>
      <c r="F8" s="49" t="s">
        <v>3358</v>
      </c>
      <c r="G8" s="49" t="s">
        <v>3359</v>
      </c>
      <c r="H8" s="49" t="s">
        <v>3319</v>
      </c>
      <c r="I8" s="38">
        <v>202606.3</v>
      </c>
      <c r="J8" s="121">
        <v>6.17</v>
      </c>
      <c r="K8" s="25" t="s">
        <v>73</v>
      </c>
      <c r="L8" s="26" t="s">
        <v>3360</v>
      </c>
      <c r="M8" s="49" t="s">
        <v>3361</v>
      </c>
      <c r="N8" s="27" t="s">
        <v>5330</v>
      </c>
      <c r="O8" s="26"/>
      <c r="P8" s="53">
        <v>4</v>
      </c>
      <c r="Q8" s="32">
        <v>16</v>
      </c>
      <c r="R8" s="53">
        <v>355.39</v>
      </c>
      <c r="S8" s="26" t="s">
        <v>99</v>
      </c>
      <c r="T8" s="26" t="s">
        <v>100</v>
      </c>
      <c r="U8" s="26" t="s">
        <v>101</v>
      </c>
      <c r="V8" s="26" t="s">
        <v>102</v>
      </c>
      <c r="W8" s="26" t="s">
        <v>103</v>
      </c>
      <c r="X8" s="26" t="s">
        <v>104</v>
      </c>
      <c r="Y8" s="26" t="s">
        <v>104</v>
      </c>
      <c r="Z8" s="26" t="s">
        <v>172</v>
      </c>
      <c r="AA8" s="26" t="s">
        <v>9</v>
      </c>
      <c r="AB8" s="30" t="s">
        <v>172</v>
      </c>
      <c r="AC8" s="49" t="s">
        <v>5300</v>
      </c>
      <c r="AD8" s="25" t="s">
        <v>174</v>
      </c>
      <c r="AE8" s="26" t="s">
        <v>175</v>
      </c>
      <c r="AF8" s="32">
        <f t="shared" si="0"/>
        <v>1</v>
      </c>
      <c r="AG8" s="32">
        <v>1</v>
      </c>
      <c r="AH8" s="32">
        <v>1</v>
      </c>
      <c r="AI8" s="32">
        <v>1</v>
      </c>
      <c r="AJ8" s="32"/>
      <c r="AK8" s="32"/>
      <c r="AL8" s="32">
        <f t="shared" si="1"/>
        <v>1</v>
      </c>
      <c r="AM8" s="32"/>
      <c r="AN8" s="32"/>
      <c r="AO8" s="32"/>
      <c r="AP8" s="32"/>
      <c r="AQ8" s="32"/>
      <c r="AR8" s="32"/>
      <c r="AS8" s="32"/>
      <c r="AT8" s="32">
        <v>1</v>
      </c>
      <c r="AU8" s="32"/>
      <c r="AW8" s="2" t="s">
        <v>5331</v>
      </c>
      <c r="AY8" s="75" t="s">
        <v>5332</v>
      </c>
    </row>
    <row r="9" spans="1:51" ht="16.5">
      <c r="A9" s="49" t="s">
        <v>5333</v>
      </c>
      <c r="B9" s="26" t="s">
        <v>160</v>
      </c>
      <c r="C9" s="26" t="s">
        <v>73</v>
      </c>
      <c r="D9" s="49" t="s">
        <v>5334</v>
      </c>
      <c r="E9" s="26" t="s">
        <v>162</v>
      </c>
      <c r="F9" s="49" t="s">
        <v>5335</v>
      </c>
      <c r="G9" s="49" t="s">
        <v>5336</v>
      </c>
      <c r="H9" s="49" t="s">
        <v>165</v>
      </c>
      <c r="I9" s="38">
        <v>202606.3</v>
      </c>
      <c r="J9" s="121">
        <v>6.17</v>
      </c>
      <c r="K9" s="25" t="s">
        <v>73</v>
      </c>
      <c r="L9" s="26" t="s">
        <v>5337</v>
      </c>
      <c r="M9" s="49" t="s">
        <v>5338</v>
      </c>
      <c r="N9" s="27" t="s">
        <v>5339</v>
      </c>
      <c r="O9" s="26"/>
      <c r="P9" s="53">
        <v>4</v>
      </c>
      <c r="Q9" s="32">
        <v>16</v>
      </c>
      <c r="R9" s="53">
        <v>266.18</v>
      </c>
      <c r="S9" s="26" t="s">
        <v>99</v>
      </c>
      <c r="T9" s="26" t="s">
        <v>100</v>
      </c>
      <c r="U9" s="26" t="s">
        <v>101</v>
      </c>
      <c r="V9" s="26" t="s">
        <v>102</v>
      </c>
      <c r="W9" s="26" t="s">
        <v>103</v>
      </c>
      <c r="X9" s="26" t="s">
        <v>104</v>
      </c>
      <c r="Y9" s="26" t="s">
        <v>104</v>
      </c>
      <c r="Z9" s="26" t="s">
        <v>172</v>
      </c>
      <c r="AA9" s="26" t="s">
        <v>9</v>
      </c>
      <c r="AB9" s="30" t="s">
        <v>172</v>
      </c>
      <c r="AC9" s="49" t="s">
        <v>5300</v>
      </c>
      <c r="AD9" s="25" t="s">
        <v>174</v>
      </c>
      <c r="AE9" s="26" t="s">
        <v>175</v>
      </c>
      <c r="AF9" s="32">
        <f t="shared" si="0"/>
        <v>1</v>
      </c>
      <c r="AG9" s="32">
        <v>1</v>
      </c>
      <c r="AH9" s="32">
        <v>1</v>
      </c>
      <c r="AI9" s="32">
        <v>1</v>
      </c>
      <c r="AJ9" s="32"/>
      <c r="AK9" s="32"/>
      <c r="AL9" s="32">
        <f t="shared" si="1"/>
        <v>1</v>
      </c>
      <c r="AM9" s="32"/>
      <c r="AN9" s="32"/>
      <c r="AO9" s="32"/>
      <c r="AP9" s="32"/>
      <c r="AQ9" s="32"/>
      <c r="AR9" s="32"/>
      <c r="AS9" s="32"/>
      <c r="AT9" s="32">
        <v>1</v>
      </c>
      <c r="AU9" s="32"/>
      <c r="AW9" s="2" t="s">
        <v>5340</v>
      </c>
      <c r="AY9" s="75" t="s">
        <v>5341</v>
      </c>
    </row>
    <row r="10" spans="1:51" ht="16.5">
      <c r="A10" s="49" t="s">
        <v>3530</v>
      </c>
      <c r="B10" s="26" t="s">
        <v>160</v>
      </c>
      <c r="C10" s="26" t="s">
        <v>73</v>
      </c>
      <c r="D10" s="49" t="s">
        <v>1675</v>
      </c>
      <c r="E10" s="26" t="s">
        <v>188</v>
      </c>
      <c r="F10" s="49" t="s">
        <v>3531</v>
      </c>
      <c r="G10" s="49" t="s">
        <v>3532</v>
      </c>
      <c r="H10" s="49" t="s">
        <v>165</v>
      </c>
      <c r="I10" s="38">
        <v>202606.3</v>
      </c>
      <c r="J10" s="121">
        <v>6.17</v>
      </c>
      <c r="K10" s="25" t="s">
        <v>73</v>
      </c>
      <c r="L10" s="26" t="s">
        <v>3533</v>
      </c>
      <c r="M10" s="49" t="s">
        <v>3534</v>
      </c>
      <c r="N10" s="27" t="s">
        <v>5342</v>
      </c>
      <c r="O10" s="26"/>
      <c r="P10" s="53">
        <v>8</v>
      </c>
      <c r="Q10" s="32">
        <v>32</v>
      </c>
      <c r="R10" s="53">
        <v>389.63</v>
      </c>
      <c r="S10" s="26" t="s">
        <v>99</v>
      </c>
      <c r="T10" s="26" t="s">
        <v>100</v>
      </c>
      <c r="U10" s="26" t="s">
        <v>101</v>
      </c>
      <c r="V10" s="26" t="s">
        <v>102</v>
      </c>
      <c r="W10" s="26" t="s">
        <v>103</v>
      </c>
      <c r="X10" s="26" t="s">
        <v>104</v>
      </c>
      <c r="Y10" s="26" t="s">
        <v>104</v>
      </c>
      <c r="Z10" s="26" t="s">
        <v>172</v>
      </c>
      <c r="AA10" s="26" t="s">
        <v>9</v>
      </c>
      <c r="AB10" s="30" t="s">
        <v>172</v>
      </c>
      <c r="AC10" s="49" t="s">
        <v>5300</v>
      </c>
      <c r="AD10" s="25" t="s">
        <v>174</v>
      </c>
      <c r="AE10" s="26" t="s">
        <v>175</v>
      </c>
      <c r="AF10" s="32">
        <f t="shared" si="0"/>
        <v>1</v>
      </c>
      <c r="AG10" s="32">
        <v>1</v>
      </c>
      <c r="AH10" s="32">
        <v>1</v>
      </c>
      <c r="AI10" s="32">
        <v>1</v>
      </c>
      <c r="AJ10" s="32"/>
      <c r="AK10" s="32"/>
      <c r="AL10" s="32">
        <f t="shared" si="1"/>
        <v>1</v>
      </c>
      <c r="AM10" s="32"/>
      <c r="AN10" s="32"/>
      <c r="AO10" s="32"/>
      <c r="AP10" s="32"/>
      <c r="AQ10" s="32"/>
      <c r="AR10" s="32"/>
      <c r="AS10" s="32"/>
      <c r="AT10" s="32">
        <v>1</v>
      </c>
      <c r="AU10" s="32"/>
      <c r="AW10" s="2" t="s">
        <v>5343</v>
      </c>
      <c r="AY10" s="75" t="s">
        <v>5344</v>
      </c>
    </row>
    <row r="11" spans="1:51" ht="16.5">
      <c r="A11" s="49" t="s">
        <v>5345</v>
      </c>
      <c r="B11" s="26" t="s">
        <v>160</v>
      </c>
      <c r="C11" s="26" t="s">
        <v>73</v>
      </c>
      <c r="D11" s="49" t="s">
        <v>5346</v>
      </c>
      <c r="E11" s="26" t="s">
        <v>162</v>
      </c>
      <c r="F11" s="49" t="s">
        <v>5347</v>
      </c>
      <c r="G11" s="49" t="s">
        <v>5348</v>
      </c>
      <c r="H11" s="49" t="s">
        <v>165</v>
      </c>
      <c r="I11" s="38">
        <v>202606.3</v>
      </c>
      <c r="J11" s="121">
        <v>6.17</v>
      </c>
      <c r="K11" s="25" t="s">
        <v>73</v>
      </c>
      <c r="L11" s="26" t="s">
        <v>5349</v>
      </c>
      <c r="M11" s="49" t="s">
        <v>5350</v>
      </c>
      <c r="N11" s="27" t="s">
        <v>5351</v>
      </c>
      <c r="O11" s="26"/>
      <c r="P11" s="53">
        <v>4</v>
      </c>
      <c r="Q11" s="32">
        <v>16</v>
      </c>
      <c r="R11" s="53">
        <v>266.24</v>
      </c>
      <c r="S11" s="26" t="s">
        <v>99</v>
      </c>
      <c r="T11" s="26" t="s">
        <v>100</v>
      </c>
      <c r="U11" s="26" t="s">
        <v>101</v>
      </c>
      <c r="V11" s="26" t="s">
        <v>102</v>
      </c>
      <c r="W11" s="26" t="s">
        <v>103</v>
      </c>
      <c r="X11" s="26" t="s">
        <v>104</v>
      </c>
      <c r="Y11" s="26" t="s">
        <v>104</v>
      </c>
      <c r="Z11" s="26" t="s">
        <v>172</v>
      </c>
      <c r="AA11" s="26" t="s">
        <v>9</v>
      </c>
      <c r="AB11" s="30" t="s">
        <v>172</v>
      </c>
      <c r="AC11" s="49" t="s">
        <v>5300</v>
      </c>
      <c r="AD11" s="25" t="s">
        <v>174</v>
      </c>
      <c r="AE11" s="26" t="s">
        <v>175</v>
      </c>
      <c r="AF11" s="32">
        <f t="shared" si="0"/>
        <v>1</v>
      </c>
      <c r="AG11" s="32">
        <v>1</v>
      </c>
      <c r="AH11" s="32">
        <v>1</v>
      </c>
      <c r="AI11" s="32">
        <v>1</v>
      </c>
      <c r="AJ11" s="32"/>
      <c r="AK11" s="32"/>
      <c r="AL11" s="32">
        <f t="shared" si="1"/>
        <v>1</v>
      </c>
      <c r="AM11" s="32"/>
      <c r="AN11" s="32"/>
      <c r="AO11" s="32"/>
      <c r="AP11" s="32"/>
      <c r="AQ11" s="32"/>
      <c r="AR11" s="32"/>
      <c r="AS11" s="32"/>
      <c r="AT11" s="32">
        <v>1</v>
      </c>
      <c r="AU11" s="32"/>
      <c r="AW11" s="2" t="s">
        <v>5313</v>
      </c>
      <c r="AY11" s="75" t="s">
        <v>5310</v>
      </c>
    </row>
    <row r="12" spans="1:51" ht="16.5">
      <c r="A12" s="49" t="s">
        <v>5352</v>
      </c>
      <c r="B12" s="26" t="s">
        <v>160</v>
      </c>
      <c r="C12" s="26" t="s">
        <v>73</v>
      </c>
      <c r="D12" s="49" t="s">
        <v>5344</v>
      </c>
      <c r="E12" s="26" t="s">
        <v>162</v>
      </c>
      <c r="F12" s="49" t="s">
        <v>5353</v>
      </c>
      <c r="G12" s="49" t="s">
        <v>5354</v>
      </c>
      <c r="H12" s="49" t="s">
        <v>165</v>
      </c>
      <c r="I12" s="38">
        <v>202606.3</v>
      </c>
      <c r="J12" s="121">
        <v>6.17</v>
      </c>
      <c r="K12" s="25" t="s">
        <v>73</v>
      </c>
      <c r="L12" s="26" t="s">
        <v>5355</v>
      </c>
      <c r="M12" s="49" t="s">
        <v>5356</v>
      </c>
      <c r="N12" s="27" t="s">
        <v>5357</v>
      </c>
      <c r="O12" s="26"/>
      <c r="P12" s="53">
        <v>4</v>
      </c>
      <c r="Q12" s="32">
        <v>16</v>
      </c>
      <c r="R12" s="53">
        <v>266.2</v>
      </c>
      <c r="S12" s="26" t="s">
        <v>99</v>
      </c>
      <c r="T12" s="26" t="s">
        <v>100</v>
      </c>
      <c r="U12" s="26" t="s">
        <v>101</v>
      </c>
      <c r="V12" s="26" t="s">
        <v>102</v>
      </c>
      <c r="W12" s="26" t="s">
        <v>103</v>
      </c>
      <c r="X12" s="26" t="s">
        <v>104</v>
      </c>
      <c r="Y12" s="26" t="s">
        <v>104</v>
      </c>
      <c r="Z12" s="26" t="s">
        <v>172</v>
      </c>
      <c r="AA12" s="26" t="s">
        <v>9</v>
      </c>
      <c r="AB12" s="30" t="s">
        <v>172</v>
      </c>
      <c r="AC12" s="49" t="s">
        <v>5300</v>
      </c>
      <c r="AD12" s="25" t="s">
        <v>174</v>
      </c>
      <c r="AE12" s="26" t="s">
        <v>175</v>
      </c>
      <c r="AF12" s="32">
        <f t="shared" si="0"/>
        <v>1</v>
      </c>
      <c r="AG12" s="32">
        <v>1</v>
      </c>
      <c r="AH12" s="32">
        <v>1</v>
      </c>
      <c r="AI12" s="32">
        <v>1</v>
      </c>
      <c r="AJ12" s="32"/>
      <c r="AK12" s="32"/>
      <c r="AL12" s="32">
        <f t="shared" si="1"/>
        <v>1</v>
      </c>
      <c r="AM12" s="32"/>
      <c r="AN12" s="32"/>
      <c r="AO12" s="32"/>
      <c r="AP12" s="32"/>
      <c r="AQ12" s="32"/>
      <c r="AR12" s="32"/>
      <c r="AS12" s="32"/>
      <c r="AT12" s="32">
        <v>1</v>
      </c>
      <c r="AU12" s="32"/>
      <c r="AW12" s="2" t="s">
        <v>3956</v>
      </c>
      <c r="AY12" s="75" t="s">
        <v>3953</v>
      </c>
    </row>
    <row r="13" spans="1:51" ht="16.5">
      <c r="A13" s="49" t="s">
        <v>5358</v>
      </c>
      <c r="B13" s="26" t="s">
        <v>160</v>
      </c>
      <c r="C13" s="26" t="s">
        <v>73</v>
      </c>
      <c r="D13" s="49" t="s">
        <v>5359</v>
      </c>
      <c r="E13" s="26" t="s">
        <v>162</v>
      </c>
      <c r="F13" s="49" t="s">
        <v>5360</v>
      </c>
      <c r="G13" s="49" t="s">
        <v>5361</v>
      </c>
      <c r="H13" s="49" t="s">
        <v>165</v>
      </c>
      <c r="I13" s="38">
        <v>202606.3</v>
      </c>
      <c r="J13" s="121">
        <v>6.17</v>
      </c>
      <c r="K13" s="25" t="s">
        <v>73</v>
      </c>
      <c r="L13" s="26" t="s">
        <v>5362</v>
      </c>
      <c r="M13" s="49" t="s">
        <v>5363</v>
      </c>
      <c r="N13" s="27" t="s">
        <v>5364</v>
      </c>
      <c r="O13" s="26"/>
      <c r="P13" s="53">
        <v>4</v>
      </c>
      <c r="Q13" s="32">
        <v>16</v>
      </c>
      <c r="R13" s="53">
        <v>266.62</v>
      </c>
      <c r="S13" s="26" t="s">
        <v>99</v>
      </c>
      <c r="T13" s="26" t="s">
        <v>100</v>
      </c>
      <c r="U13" s="26" t="s">
        <v>101</v>
      </c>
      <c r="V13" s="26" t="s">
        <v>102</v>
      </c>
      <c r="W13" s="26" t="s">
        <v>103</v>
      </c>
      <c r="X13" s="26" t="s">
        <v>104</v>
      </c>
      <c r="Y13" s="26" t="s">
        <v>104</v>
      </c>
      <c r="Z13" s="26" t="s">
        <v>172</v>
      </c>
      <c r="AA13" s="26" t="s">
        <v>9</v>
      </c>
      <c r="AB13" s="30" t="s">
        <v>172</v>
      </c>
      <c r="AC13" s="49" t="s">
        <v>5300</v>
      </c>
      <c r="AD13" s="25" t="s">
        <v>174</v>
      </c>
      <c r="AE13" s="26" t="s">
        <v>175</v>
      </c>
      <c r="AF13" s="32">
        <f t="shared" si="0"/>
        <v>1</v>
      </c>
      <c r="AG13" s="32">
        <v>1</v>
      </c>
      <c r="AH13" s="32">
        <v>1</v>
      </c>
      <c r="AI13" s="32">
        <v>1</v>
      </c>
      <c r="AJ13" s="32"/>
      <c r="AK13" s="32"/>
      <c r="AL13" s="32">
        <f t="shared" si="1"/>
        <v>1</v>
      </c>
      <c r="AM13" s="32"/>
      <c r="AN13" s="32"/>
      <c r="AO13" s="32"/>
      <c r="AP13" s="32"/>
      <c r="AQ13" s="32"/>
      <c r="AR13" s="32"/>
      <c r="AS13" s="32"/>
      <c r="AT13" s="32">
        <v>1</v>
      </c>
      <c r="AU13" s="32"/>
      <c r="AW13" s="2" t="s">
        <v>5365</v>
      </c>
      <c r="AY13" s="75" t="s">
        <v>5366</v>
      </c>
    </row>
    <row r="14" spans="1:51" ht="16.5">
      <c r="A14" s="49" t="s">
        <v>3616</v>
      </c>
      <c r="B14" s="26" t="s">
        <v>160</v>
      </c>
      <c r="C14" s="26" t="s">
        <v>73</v>
      </c>
      <c r="D14" s="49" t="s">
        <v>3617</v>
      </c>
      <c r="E14" s="26" t="s">
        <v>162</v>
      </c>
      <c r="F14" s="49" t="s">
        <v>3618</v>
      </c>
      <c r="G14" s="49" t="s">
        <v>3619</v>
      </c>
      <c r="H14" s="49" t="s">
        <v>165</v>
      </c>
      <c r="I14" s="38">
        <v>202606.3</v>
      </c>
      <c r="J14" s="121">
        <v>6.17</v>
      </c>
      <c r="K14" s="25" t="s">
        <v>73</v>
      </c>
      <c r="L14" s="26" t="s">
        <v>3620</v>
      </c>
      <c r="M14" s="49" t="s">
        <v>3621</v>
      </c>
      <c r="N14" s="27" t="s">
        <v>5367</v>
      </c>
      <c r="O14" s="26"/>
      <c r="P14" s="53">
        <v>4</v>
      </c>
      <c r="Q14" s="32">
        <v>16</v>
      </c>
      <c r="R14" s="53">
        <v>340.05</v>
      </c>
      <c r="S14" s="26" t="s">
        <v>99</v>
      </c>
      <c r="T14" s="26" t="s">
        <v>100</v>
      </c>
      <c r="U14" s="26" t="s">
        <v>101</v>
      </c>
      <c r="V14" s="26" t="s">
        <v>102</v>
      </c>
      <c r="W14" s="26" t="s">
        <v>103</v>
      </c>
      <c r="X14" s="26" t="s">
        <v>104</v>
      </c>
      <c r="Y14" s="26" t="s">
        <v>104</v>
      </c>
      <c r="Z14" s="26" t="s">
        <v>172</v>
      </c>
      <c r="AA14" s="26" t="s">
        <v>9</v>
      </c>
      <c r="AB14" s="30" t="s">
        <v>172</v>
      </c>
      <c r="AC14" s="49" t="s">
        <v>5300</v>
      </c>
      <c r="AD14" s="25" t="s">
        <v>174</v>
      </c>
      <c r="AE14" s="26" t="s">
        <v>175</v>
      </c>
      <c r="AF14" s="32">
        <f t="shared" si="0"/>
        <v>1</v>
      </c>
      <c r="AG14" s="32">
        <v>1</v>
      </c>
      <c r="AH14" s="32">
        <v>1</v>
      </c>
      <c r="AI14" s="32">
        <v>1</v>
      </c>
      <c r="AJ14" s="32"/>
      <c r="AK14" s="32"/>
      <c r="AL14" s="32">
        <f t="shared" si="1"/>
        <v>1</v>
      </c>
      <c r="AM14" s="32"/>
      <c r="AN14" s="32"/>
      <c r="AO14" s="32"/>
      <c r="AP14" s="32"/>
      <c r="AQ14" s="32"/>
      <c r="AR14" s="32"/>
      <c r="AS14" s="32"/>
      <c r="AT14" s="32">
        <v>1</v>
      </c>
      <c r="AU14" s="32"/>
      <c r="AW14" s="2" t="s">
        <v>5368</v>
      </c>
      <c r="AY14" s="75" t="s">
        <v>5369</v>
      </c>
    </row>
    <row r="15" spans="1:51" ht="16.5">
      <c r="A15" s="49" t="s">
        <v>5370</v>
      </c>
      <c r="B15" s="26" t="s">
        <v>160</v>
      </c>
      <c r="C15" s="26" t="s">
        <v>73</v>
      </c>
      <c r="D15" s="49" t="s">
        <v>5371</v>
      </c>
      <c r="E15" s="26" t="s">
        <v>162</v>
      </c>
      <c r="F15" s="49" t="s">
        <v>5372</v>
      </c>
      <c r="G15" s="49" t="s">
        <v>5373</v>
      </c>
      <c r="H15" s="49" t="s">
        <v>165</v>
      </c>
      <c r="I15" s="38">
        <v>202606.3</v>
      </c>
      <c r="J15" s="121">
        <v>6.17</v>
      </c>
      <c r="K15" s="25" t="s">
        <v>73</v>
      </c>
      <c r="L15" s="26" t="s">
        <v>5374</v>
      </c>
      <c r="M15" s="49" t="s">
        <v>5375</v>
      </c>
      <c r="N15" s="27" t="s">
        <v>5376</v>
      </c>
      <c r="O15" s="26"/>
      <c r="P15" s="53">
        <v>4</v>
      </c>
      <c r="Q15" s="32">
        <v>16</v>
      </c>
      <c r="R15" s="53">
        <v>266.22000000000003</v>
      </c>
      <c r="S15" s="26" t="s">
        <v>99</v>
      </c>
      <c r="T15" s="26" t="s">
        <v>100</v>
      </c>
      <c r="U15" s="26" t="s">
        <v>101</v>
      </c>
      <c r="V15" s="26" t="s">
        <v>102</v>
      </c>
      <c r="W15" s="26" t="s">
        <v>103</v>
      </c>
      <c r="X15" s="26" t="s">
        <v>104</v>
      </c>
      <c r="Y15" s="26" t="s">
        <v>104</v>
      </c>
      <c r="Z15" s="26" t="s">
        <v>172</v>
      </c>
      <c r="AA15" s="26" t="s">
        <v>9</v>
      </c>
      <c r="AB15" s="30" t="s">
        <v>172</v>
      </c>
      <c r="AC15" s="49" t="s">
        <v>5300</v>
      </c>
      <c r="AD15" s="25" t="s">
        <v>174</v>
      </c>
      <c r="AE15" s="26" t="s">
        <v>175</v>
      </c>
      <c r="AF15" s="32">
        <f t="shared" si="0"/>
        <v>1</v>
      </c>
      <c r="AG15" s="32">
        <v>1</v>
      </c>
      <c r="AH15" s="32">
        <v>1</v>
      </c>
      <c r="AI15" s="32">
        <v>1</v>
      </c>
      <c r="AJ15" s="32"/>
      <c r="AK15" s="32"/>
      <c r="AL15" s="32">
        <f t="shared" si="1"/>
        <v>1</v>
      </c>
      <c r="AM15" s="32"/>
      <c r="AN15" s="32"/>
      <c r="AO15" s="32"/>
      <c r="AP15" s="32"/>
      <c r="AQ15" s="32"/>
      <c r="AR15" s="32"/>
      <c r="AS15" s="32"/>
      <c r="AT15" s="32">
        <v>1</v>
      </c>
      <c r="AU15" s="32"/>
      <c r="AW15" s="2" t="s">
        <v>5377</v>
      </c>
      <c r="AY15" s="75" t="s">
        <v>5378</v>
      </c>
    </row>
    <row r="16" spans="1:51" ht="16.5">
      <c r="A16" s="49" t="s">
        <v>3649</v>
      </c>
      <c r="B16" s="26" t="s">
        <v>160</v>
      </c>
      <c r="C16" s="26" t="s">
        <v>73</v>
      </c>
      <c r="D16" s="49" t="s">
        <v>3650</v>
      </c>
      <c r="E16" s="26" t="s">
        <v>162</v>
      </c>
      <c r="F16" s="49" t="s">
        <v>3651</v>
      </c>
      <c r="G16" s="49" t="s">
        <v>3652</v>
      </c>
      <c r="H16" s="49" t="s">
        <v>165</v>
      </c>
      <c r="I16" s="38">
        <v>202606.3</v>
      </c>
      <c r="J16" s="121">
        <v>6.17</v>
      </c>
      <c r="K16" s="25" t="s">
        <v>73</v>
      </c>
      <c r="L16" s="26" t="s">
        <v>3653</v>
      </c>
      <c r="M16" s="49" t="s">
        <v>3654</v>
      </c>
      <c r="N16" s="27" t="s">
        <v>5379</v>
      </c>
      <c r="O16" s="26"/>
      <c r="P16" s="53">
        <v>4</v>
      </c>
      <c r="Q16" s="32">
        <v>16</v>
      </c>
      <c r="R16" s="53">
        <v>342.3</v>
      </c>
      <c r="S16" s="26" t="s">
        <v>99</v>
      </c>
      <c r="T16" s="26" t="s">
        <v>100</v>
      </c>
      <c r="U16" s="26" t="s">
        <v>101</v>
      </c>
      <c r="V16" s="26" t="s">
        <v>102</v>
      </c>
      <c r="W16" s="26" t="s">
        <v>103</v>
      </c>
      <c r="X16" s="26" t="s">
        <v>104</v>
      </c>
      <c r="Y16" s="26" t="s">
        <v>104</v>
      </c>
      <c r="Z16" s="26" t="s">
        <v>172</v>
      </c>
      <c r="AA16" s="26" t="s">
        <v>9</v>
      </c>
      <c r="AB16" s="30" t="s">
        <v>172</v>
      </c>
      <c r="AC16" s="49" t="s">
        <v>5300</v>
      </c>
      <c r="AD16" s="25" t="s">
        <v>174</v>
      </c>
      <c r="AE16" s="26" t="s">
        <v>175</v>
      </c>
      <c r="AF16" s="32">
        <f t="shared" si="0"/>
        <v>1</v>
      </c>
      <c r="AG16" s="32">
        <v>1</v>
      </c>
      <c r="AH16" s="32">
        <v>1</v>
      </c>
      <c r="AI16" s="32">
        <v>1</v>
      </c>
      <c r="AJ16" s="32"/>
      <c r="AK16" s="32"/>
      <c r="AL16" s="32">
        <f t="shared" si="1"/>
        <v>1</v>
      </c>
      <c r="AM16" s="32"/>
      <c r="AN16" s="32"/>
      <c r="AO16" s="32"/>
      <c r="AP16" s="32"/>
      <c r="AQ16" s="32"/>
      <c r="AR16" s="32"/>
      <c r="AS16" s="32"/>
      <c r="AT16" s="32">
        <v>1</v>
      </c>
      <c r="AU16" s="32"/>
      <c r="AW16" s="2" t="s">
        <v>5380</v>
      </c>
      <c r="AY16" s="75" t="s">
        <v>5381</v>
      </c>
    </row>
    <row r="17" spans="1:51" ht="16.5">
      <c r="A17" s="49" t="s">
        <v>3657</v>
      </c>
      <c r="B17" s="26" t="s">
        <v>160</v>
      </c>
      <c r="C17" s="26" t="s">
        <v>73</v>
      </c>
      <c r="D17" s="49" t="s">
        <v>3658</v>
      </c>
      <c r="E17" s="26" t="s">
        <v>162</v>
      </c>
      <c r="F17" s="49" t="s">
        <v>3659</v>
      </c>
      <c r="G17" s="49" t="s">
        <v>3660</v>
      </c>
      <c r="H17" s="49" t="s">
        <v>165</v>
      </c>
      <c r="I17" s="38">
        <v>202606.3</v>
      </c>
      <c r="J17" s="121">
        <v>6.17</v>
      </c>
      <c r="K17" s="25" t="s">
        <v>73</v>
      </c>
      <c r="L17" s="26" t="s">
        <v>3661</v>
      </c>
      <c r="M17" s="49" t="s">
        <v>3662</v>
      </c>
      <c r="N17" s="27" t="s">
        <v>5382</v>
      </c>
      <c r="O17" s="26"/>
      <c r="P17" s="53">
        <v>4</v>
      </c>
      <c r="Q17" s="32">
        <v>16</v>
      </c>
      <c r="R17" s="53">
        <v>330.4</v>
      </c>
      <c r="S17" s="26" t="s">
        <v>99</v>
      </c>
      <c r="T17" s="26" t="s">
        <v>100</v>
      </c>
      <c r="U17" s="26" t="s">
        <v>101</v>
      </c>
      <c r="V17" s="26" t="s">
        <v>102</v>
      </c>
      <c r="W17" s="26" t="s">
        <v>103</v>
      </c>
      <c r="X17" s="26" t="s">
        <v>104</v>
      </c>
      <c r="Y17" s="26" t="s">
        <v>104</v>
      </c>
      <c r="Z17" s="26" t="s">
        <v>172</v>
      </c>
      <c r="AA17" s="26" t="s">
        <v>9</v>
      </c>
      <c r="AB17" s="30" t="s">
        <v>172</v>
      </c>
      <c r="AC17" s="49" t="s">
        <v>5300</v>
      </c>
      <c r="AD17" s="25" t="s">
        <v>174</v>
      </c>
      <c r="AE17" s="26" t="s">
        <v>175</v>
      </c>
      <c r="AF17" s="32">
        <f t="shared" si="0"/>
        <v>1</v>
      </c>
      <c r="AG17" s="32">
        <v>1</v>
      </c>
      <c r="AH17" s="32">
        <v>1</v>
      </c>
      <c r="AI17" s="32">
        <v>1</v>
      </c>
      <c r="AJ17" s="32"/>
      <c r="AK17" s="32"/>
      <c r="AL17" s="32">
        <f t="shared" si="1"/>
        <v>1</v>
      </c>
      <c r="AM17" s="32"/>
      <c r="AN17" s="32"/>
      <c r="AO17" s="32"/>
      <c r="AP17" s="32"/>
      <c r="AQ17" s="32"/>
      <c r="AR17" s="32"/>
      <c r="AS17" s="32"/>
      <c r="AT17" s="32">
        <v>1</v>
      </c>
      <c r="AU17" s="32"/>
      <c r="AW17" s="2" t="s">
        <v>5383</v>
      </c>
      <c r="AY17" s="75" t="s">
        <v>3658</v>
      </c>
    </row>
    <row r="18" spans="1:51" ht="16.5" hidden="1">
      <c r="A18" s="49" t="s">
        <v>5384</v>
      </c>
      <c r="B18" s="150" t="s">
        <v>160</v>
      </c>
      <c r="C18" s="150" t="s">
        <v>73</v>
      </c>
      <c r="D18" s="151" t="s">
        <v>5332</v>
      </c>
      <c r="E18" s="150" t="s">
        <v>162</v>
      </c>
      <c r="F18" s="49" t="s">
        <v>5385</v>
      </c>
      <c r="G18" s="151" t="s">
        <v>5386</v>
      </c>
      <c r="H18" s="151" t="s">
        <v>165</v>
      </c>
      <c r="I18" s="38">
        <v>202606.3</v>
      </c>
      <c r="J18" s="143" t="s">
        <v>3213</v>
      </c>
      <c r="K18" s="152" t="s">
        <v>73</v>
      </c>
      <c r="L18" s="26" t="s">
        <v>5387</v>
      </c>
      <c r="M18" s="151" t="s">
        <v>5388</v>
      </c>
      <c r="N18" s="153" t="s">
        <v>5389</v>
      </c>
      <c r="O18" s="26"/>
      <c r="P18" s="53">
        <v>4</v>
      </c>
      <c r="Q18" s="32">
        <v>16</v>
      </c>
      <c r="R18" s="53">
        <v>266.55</v>
      </c>
      <c r="S18" s="26" t="s">
        <v>99</v>
      </c>
      <c r="T18" s="26" t="s">
        <v>100</v>
      </c>
      <c r="U18" s="26" t="s">
        <v>101</v>
      </c>
      <c r="V18" s="26" t="s">
        <v>102</v>
      </c>
      <c r="W18" s="26" t="s">
        <v>103</v>
      </c>
      <c r="X18" s="26" t="s">
        <v>104</v>
      </c>
      <c r="Y18" s="26" t="s">
        <v>104</v>
      </c>
      <c r="Z18" s="26" t="s">
        <v>172</v>
      </c>
      <c r="AA18" s="26" t="s">
        <v>9</v>
      </c>
      <c r="AB18" s="30" t="s">
        <v>172</v>
      </c>
      <c r="AC18" s="49" t="s">
        <v>5300</v>
      </c>
      <c r="AD18" s="25" t="s">
        <v>174</v>
      </c>
      <c r="AE18" s="26" t="s">
        <v>175</v>
      </c>
      <c r="AF18" s="32">
        <f t="shared" si="0"/>
        <v>1</v>
      </c>
      <c r="AG18" s="32">
        <v>1</v>
      </c>
      <c r="AH18" s="32">
        <v>1</v>
      </c>
      <c r="AI18" s="32">
        <v>1</v>
      </c>
      <c r="AJ18" s="32"/>
      <c r="AK18" s="32"/>
      <c r="AL18" s="32">
        <f t="shared" ref="AL18" si="2">IF(COUNTIF(AW:AW,"*"&amp;M18&amp;"*")&gt;0,1,0)</f>
        <v>0</v>
      </c>
      <c r="AM18" s="32"/>
      <c r="AN18" s="32"/>
      <c r="AO18" s="32"/>
      <c r="AP18" s="32"/>
      <c r="AQ18" s="32"/>
      <c r="AR18" s="32"/>
      <c r="AS18" s="32"/>
      <c r="AT18" s="32"/>
      <c r="AU18" s="32"/>
      <c r="AW18" s="2" t="s">
        <v>5390</v>
      </c>
      <c r="AY18" s="75" t="s">
        <v>5371</v>
      </c>
    </row>
    <row r="19" spans="1:51" ht="16.5">
      <c r="A19" s="49" t="s">
        <v>5391</v>
      </c>
      <c r="B19" s="26" t="s">
        <v>160</v>
      </c>
      <c r="C19" s="26" t="s">
        <v>73</v>
      </c>
      <c r="D19" s="49" t="s">
        <v>5392</v>
      </c>
      <c r="E19" s="26" t="s">
        <v>162</v>
      </c>
      <c r="F19" s="49" t="s">
        <v>5393</v>
      </c>
      <c r="G19" s="49" t="s">
        <v>5394</v>
      </c>
      <c r="H19" s="49" t="s">
        <v>165</v>
      </c>
      <c r="I19" s="38">
        <v>202606.3</v>
      </c>
      <c r="J19" s="121">
        <v>6.17</v>
      </c>
      <c r="K19" s="25" t="s">
        <v>73</v>
      </c>
      <c r="L19" s="26" t="s">
        <v>5395</v>
      </c>
      <c r="M19" s="49" t="s">
        <v>5396</v>
      </c>
      <c r="N19" s="27" t="s">
        <v>5397</v>
      </c>
      <c r="O19" s="26"/>
      <c r="P19" s="53">
        <v>4</v>
      </c>
      <c r="Q19" s="32">
        <v>16</v>
      </c>
      <c r="R19" s="53">
        <v>266.12</v>
      </c>
      <c r="S19" s="26" t="s">
        <v>99</v>
      </c>
      <c r="T19" s="26" t="s">
        <v>100</v>
      </c>
      <c r="U19" s="26" t="s">
        <v>101</v>
      </c>
      <c r="V19" s="26" t="s">
        <v>102</v>
      </c>
      <c r="W19" s="26" t="s">
        <v>103</v>
      </c>
      <c r="X19" s="26" t="s">
        <v>104</v>
      </c>
      <c r="Y19" s="26" t="s">
        <v>104</v>
      </c>
      <c r="Z19" s="26" t="s">
        <v>172</v>
      </c>
      <c r="AA19" s="26" t="s">
        <v>9</v>
      </c>
      <c r="AB19" s="30" t="s">
        <v>172</v>
      </c>
      <c r="AC19" s="49" t="s">
        <v>5300</v>
      </c>
      <c r="AD19" s="25" t="s">
        <v>174</v>
      </c>
      <c r="AE19" s="26" t="s">
        <v>175</v>
      </c>
      <c r="AF19" s="32">
        <f t="shared" si="0"/>
        <v>1</v>
      </c>
      <c r="AG19" s="32">
        <v>1</v>
      </c>
      <c r="AH19" s="32">
        <v>1</v>
      </c>
      <c r="AI19" s="32">
        <v>1</v>
      </c>
      <c r="AJ19" s="32"/>
      <c r="AK19" s="32"/>
      <c r="AL19" s="32">
        <f t="shared" ref="AL19:AL26" si="3">IF(COUNTIF(AW:AW,"*"&amp;L19&amp;"*")&gt;0,1,0)</f>
        <v>1</v>
      </c>
      <c r="AM19" s="32"/>
      <c r="AN19" s="32"/>
      <c r="AO19" s="32"/>
      <c r="AP19" s="32"/>
      <c r="AQ19" s="32"/>
      <c r="AR19" s="32"/>
      <c r="AS19" s="32"/>
      <c r="AT19" s="32">
        <v>1</v>
      </c>
      <c r="AU19" s="32"/>
      <c r="AW19" s="2" t="s">
        <v>5398</v>
      </c>
      <c r="AY19" s="75" t="s">
        <v>3617</v>
      </c>
    </row>
    <row r="20" spans="1:51" ht="16.5">
      <c r="A20" s="49" t="s">
        <v>3682</v>
      </c>
      <c r="B20" s="26" t="s">
        <v>160</v>
      </c>
      <c r="C20" s="26" t="s">
        <v>73</v>
      </c>
      <c r="D20" s="49" t="s">
        <v>3683</v>
      </c>
      <c r="E20" s="26" t="s">
        <v>162</v>
      </c>
      <c r="F20" s="49" t="s">
        <v>3684</v>
      </c>
      <c r="G20" s="49" t="s">
        <v>3685</v>
      </c>
      <c r="H20" s="49" t="s">
        <v>165</v>
      </c>
      <c r="I20" s="38">
        <v>202606.3</v>
      </c>
      <c r="J20" s="121">
        <v>6.17</v>
      </c>
      <c r="K20" s="25" t="s">
        <v>73</v>
      </c>
      <c r="L20" s="26" t="s">
        <v>3686</v>
      </c>
      <c r="M20" s="49" t="s">
        <v>3687</v>
      </c>
      <c r="N20" s="27" t="s">
        <v>5399</v>
      </c>
      <c r="O20" s="26"/>
      <c r="P20" s="53">
        <v>4</v>
      </c>
      <c r="Q20" s="32">
        <v>16</v>
      </c>
      <c r="R20" s="53">
        <v>427.02</v>
      </c>
      <c r="S20" s="26" t="s">
        <v>99</v>
      </c>
      <c r="T20" s="26" t="s">
        <v>100</v>
      </c>
      <c r="U20" s="26" t="s">
        <v>101</v>
      </c>
      <c r="V20" s="26" t="s">
        <v>102</v>
      </c>
      <c r="W20" s="26" t="s">
        <v>103</v>
      </c>
      <c r="X20" s="26" t="s">
        <v>104</v>
      </c>
      <c r="Y20" s="26" t="s">
        <v>104</v>
      </c>
      <c r="Z20" s="26" t="s">
        <v>172</v>
      </c>
      <c r="AA20" s="26" t="s">
        <v>9</v>
      </c>
      <c r="AB20" s="30" t="s">
        <v>172</v>
      </c>
      <c r="AC20" s="49" t="s">
        <v>5300</v>
      </c>
      <c r="AD20" s="25" t="s">
        <v>174</v>
      </c>
      <c r="AE20" s="26" t="s">
        <v>175</v>
      </c>
      <c r="AF20" s="32">
        <f t="shared" si="0"/>
        <v>1</v>
      </c>
      <c r="AG20" s="32">
        <v>1</v>
      </c>
      <c r="AH20" s="32">
        <v>1</v>
      </c>
      <c r="AI20" s="32">
        <v>1</v>
      </c>
      <c r="AJ20" s="32"/>
      <c r="AK20" s="32"/>
      <c r="AL20" s="32">
        <f t="shared" si="3"/>
        <v>1</v>
      </c>
      <c r="AM20" s="32"/>
      <c r="AN20" s="32"/>
      <c r="AO20" s="32"/>
      <c r="AP20" s="32"/>
      <c r="AQ20" s="32"/>
      <c r="AR20" s="32"/>
      <c r="AS20" s="32"/>
      <c r="AT20" s="32">
        <v>1</v>
      </c>
      <c r="AU20" s="32"/>
      <c r="AW20" s="2" t="s">
        <v>5400</v>
      </c>
      <c r="AY20" s="75" t="s">
        <v>5359</v>
      </c>
    </row>
    <row r="21" spans="1:51" ht="16.5">
      <c r="A21" s="49" t="s">
        <v>5401</v>
      </c>
      <c r="B21" s="26" t="s">
        <v>160</v>
      </c>
      <c r="C21" s="26" t="s">
        <v>73</v>
      </c>
      <c r="D21" s="49" t="s">
        <v>5381</v>
      </c>
      <c r="E21" s="26" t="s">
        <v>162</v>
      </c>
      <c r="F21" s="49" t="s">
        <v>5402</v>
      </c>
      <c r="G21" s="49" t="s">
        <v>5403</v>
      </c>
      <c r="H21" s="49" t="s">
        <v>165</v>
      </c>
      <c r="I21" s="38">
        <v>202606.3</v>
      </c>
      <c r="J21" s="121">
        <v>6.17</v>
      </c>
      <c r="K21" s="25" t="s">
        <v>73</v>
      </c>
      <c r="L21" s="26" t="s">
        <v>5404</v>
      </c>
      <c r="M21" s="49" t="s">
        <v>5405</v>
      </c>
      <c r="N21" s="27" t="s">
        <v>5406</v>
      </c>
      <c r="O21" s="26"/>
      <c r="P21" s="53">
        <v>4</v>
      </c>
      <c r="Q21" s="32">
        <v>16</v>
      </c>
      <c r="R21" s="53">
        <v>266.26</v>
      </c>
      <c r="S21" s="26" t="s">
        <v>99</v>
      </c>
      <c r="T21" s="26" t="s">
        <v>100</v>
      </c>
      <c r="U21" s="26" t="s">
        <v>101</v>
      </c>
      <c r="V21" s="26" t="s">
        <v>102</v>
      </c>
      <c r="W21" s="26" t="s">
        <v>103</v>
      </c>
      <c r="X21" s="26" t="s">
        <v>104</v>
      </c>
      <c r="Y21" s="26" t="s">
        <v>104</v>
      </c>
      <c r="Z21" s="26" t="s">
        <v>172</v>
      </c>
      <c r="AA21" s="26" t="s">
        <v>9</v>
      </c>
      <c r="AB21" s="30" t="s">
        <v>172</v>
      </c>
      <c r="AC21" s="49" t="s">
        <v>5300</v>
      </c>
      <c r="AD21" s="25" t="s">
        <v>174</v>
      </c>
      <c r="AE21" s="26" t="s">
        <v>175</v>
      </c>
      <c r="AF21" s="32">
        <f t="shared" si="0"/>
        <v>1</v>
      </c>
      <c r="AG21" s="32">
        <v>1</v>
      </c>
      <c r="AH21" s="32">
        <v>1</v>
      </c>
      <c r="AI21" s="32">
        <v>1</v>
      </c>
      <c r="AJ21" s="32"/>
      <c r="AK21" s="32"/>
      <c r="AL21" s="32">
        <f t="shared" si="3"/>
        <v>1</v>
      </c>
      <c r="AM21" s="32"/>
      <c r="AN21" s="32"/>
      <c r="AO21" s="32"/>
      <c r="AP21" s="32"/>
      <c r="AQ21" s="32"/>
      <c r="AR21" s="32"/>
      <c r="AS21" s="32"/>
      <c r="AT21" s="32">
        <v>1</v>
      </c>
      <c r="AU21" s="32"/>
      <c r="AW21" s="2" t="s">
        <v>5407</v>
      </c>
      <c r="AY21" s="75" t="s">
        <v>5346</v>
      </c>
    </row>
    <row r="22" spans="1:51" ht="16.5">
      <c r="A22" s="49" t="s">
        <v>5408</v>
      </c>
      <c r="B22" s="26" t="s">
        <v>160</v>
      </c>
      <c r="C22" s="26" t="s">
        <v>73</v>
      </c>
      <c r="D22" s="49" t="s">
        <v>5409</v>
      </c>
      <c r="E22" s="26" t="s">
        <v>162</v>
      </c>
      <c r="F22" s="49" t="s">
        <v>5410</v>
      </c>
      <c r="G22" s="49" t="s">
        <v>5411</v>
      </c>
      <c r="H22" s="49" t="s">
        <v>165</v>
      </c>
      <c r="I22" s="38">
        <v>202606.3</v>
      </c>
      <c r="J22" s="121">
        <v>6.17</v>
      </c>
      <c r="K22" s="25" t="s">
        <v>73</v>
      </c>
      <c r="L22" s="26" t="s">
        <v>5412</v>
      </c>
      <c r="M22" s="49" t="s">
        <v>5413</v>
      </c>
      <c r="N22" s="27" t="s">
        <v>5414</v>
      </c>
      <c r="O22" s="26"/>
      <c r="P22" s="53">
        <v>4</v>
      </c>
      <c r="Q22" s="32">
        <v>16</v>
      </c>
      <c r="R22" s="53">
        <v>266.27999999999997</v>
      </c>
      <c r="S22" s="26" t="s">
        <v>99</v>
      </c>
      <c r="T22" s="26" t="s">
        <v>100</v>
      </c>
      <c r="U22" s="26" t="s">
        <v>101</v>
      </c>
      <c r="V22" s="26" t="s">
        <v>102</v>
      </c>
      <c r="W22" s="26" t="s">
        <v>103</v>
      </c>
      <c r="X22" s="26" t="s">
        <v>104</v>
      </c>
      <c r="Y22" s="26" t="s">
        <v>104</v>
      </c>
      <c r="Z22" s="26" t="s">
        <v>172</v>
      </c>
      <c r="AA22" s="26" t="s">
        <v>9</v>
      </c>
      <c r="AB22" s="30" t="s">
        <v>172</v>
      </c>
      <c r="AC22" s="49" t="s">
        <v>5300</v>
      </c>
      <c r="AD22" s="25" t="s">
        <v>174</v>
      </c>
      <c r="AE22" s="26" t="s">
        <v>175</v>
      </c>
      <c r="AF22" s="32">
        <f t="shared" si="0"/>
        <v>1</v>
      </c>
      <c r="AG22" s="32">
        <v>1</v>
      </c>
      <c r="AH22" s="32">
        <v>1</v>
      </c>
      <c r="AI22" s="32">
        <v>1</v>
      </c>
      <c r="AJ22" s="32"/>
      <c r="AK22" s="32"/>
      <c r="AL22" s="32">
        <f t="shared" si="3"/>
        <v>1</v>
      </c>
      <c r="AM22" s="32"/>
      <c r="AN22" s="32"/>
      <c r="AO22" s="32"/>
      <c r="AP22" s="32"/>
      <c r="AQ22" s="32"/>
      <c r="AR22" s="32"/>
      <c r="AS22" s="32"/>
      <c r="AT22" s="32">
        <v>1</v>
      </c>
      <c r="AU22" s="32"/>
      <c r="AW22" s="2" t="s">
        <v>5415</v>
      </c>
      <c r="AY22" s="75" t="s">
        <v>3210</v>
      </c>
    </row>
    <row r="23" spans="1:51" ht="16.5">
      <c r="A23" s="49" t="s">
        <v>3724</v>
      </c>
      <c r="B23" s="26" t="s">
        <v>160</v>
      </c>
      <c r="C23" s="26" t="s">
        <v>73</v>
      </c>
      <c r="D23" s="49" t="s">
        <v>3725</v>
      </c>
      <c r="E23" s="26" t="s">
        <v>162</v>
      </c>
      <c r="F23" s="49" t="s">
        <v>3726</v>
      </c>
      <c r="G23" s="49" t="s">
        <v>3727</v>
      </c>
      <c r="H23" s="49" t="s">
        <v>165</v>
      </c>
      <c r="I23" s="38">
        <v>202606.3</v>
      </c>
      <c r="J23" s="121">
        <v>6.17</v>
      </c>
      <c r="K23" s="25" t="s">
        <v>73</v>
      </c>
      <c r="L23" s="26" t="s">
        <v>3728</v>
      </c>
      <c r="M23" s="49" t="s">
        <v>3729</v>
      </c>
      <c r="N23" s="27" t="s">
        <v>5416</v>
      </c>
      <c r="O23" s="26"/>
      <c r="P23" s="53">
        <v>4</v>
      </c>
      <c r="Q23" s="32">
        <v>16</v>
      </c>
      <c r="R23" s="53">
        <v>312.35000000000002</v>
      </c>
      <c r="S23" s="26" t="s">
        <v>99</v>
      </c>
      <c r="T23" s="26" t="s">
        <v>100</v>
      </c>
      <c r="U23" s="26" t="s">
        <v>101</v>
      </c>
      <c r="V23" s="26" t="s">
        <v>102</v>
      </c>
      <c r="W23" s="26" t="s">
        <v>103</v>
      </c>
      <c r="X23" s="26" t="s">
        <v>104</v>
      </c>
      <c r="Y23" s="26" t="s">
        <v>104</v>
      </c>
      <c r="Z23" s="26" t="s">
        <v>172</v>
      </c>
      <c r="AA23" s="26" t="s">
        <v>9</v>
      </c>
      <c r="AB23" s="30" t="s">
        <v>172</v>
      </c>
      <c r="AC23" s="49" t="s">
        <v>5300</v>
      </c>
      <c r="AD23" s="25" t="s">
        <v>174</v>
      </c>
      <c r="AE23" s="26" t="s">
        <v>175</v>
      </c>
      <c r="AF23" s="32">
        <f t="shared" si="0"/>
        <v>1</v>
      </c>
      <c r="AG23" s="32">
        <v>1</v>
      </c>
      <c r="AH23" s="32">
        <v>1</v>
      </c>
      <c r="AI23" s="32">
        <v>1</v>
      </c>
      <c r="AJ23" s="32"/>
      <c r="AK23" s="32"/>
      <c r="AL23" s="32">
        <f t="shared" si="3"/>
        <v>1</v>
      </c>
      <c r="AM23" s="32"/>
      <c r="AN23" s="32"/>
      <c r="AO23" s="32"/>
      <c r="AP23" s="32"/>
      <c r="AQ23" s="32"/>
      <c r="AR23" s="32"/>
      <c r="AS23" s="32"/>
      <c r="AT23" s="32">
        <v>1</v>
      </c>
      <c r="AU23" s="32"/>
      <c r="AW23" s="2" t="s">
        <v>3360</v>
      </c>
      <c r="AY23" s="75" t="s">
        <v>3878</v>
      </c>
    </row>
    <row r="24" spans="1:51" ht="16.5">
      <c r="A24" s="49" t="s">
        <v>5417</v>
      </c>
      <c r="B24" s="26" t="s">
        <v>160</v>
      </c>
      <c r="C24" s="26" t="s">
        <v>73</v>
      </c>
      <c r="D24" s="49" t="s">
        <v>5378</v>
      </c>
      <c r="E24" s="26" t="s">
        <v>162</v>
      </c>
      <c r="F24" s="49" t="s">
        <v>5418</v>
      </c>
      <c r="G24" s="49" t="s">
        <v>5419</v>
      </c>
      <c r="H24" s="49" t="s">
        <v>165</v>
      </c>
      <c r="I24" s="38">
        <v>202606.3</v>
      </c>
      <c r="J24" s="121">
        <v>6.17</v>
      </c>
      <c r="K24" s="25" t="s">
        <v>73</v>
      </c>
      <c r="L24" s="26" t="s">
        <v>5420</v>
      </c>
      <c r="M24" s="49" t="s">
        <v>5421</v>
      </c>
      <c r="N24" s="27" t="s">
        <v>5422</v>
      </c>
      <c r="O24" s="26"/>
      <c r="P24" s="53">
        <v>4</v>
      </c>
      <c r="Q24" s="32">
        <v>16</v>
      </c>
      <c r="R24" s="53">
        <v>267.27</v>
      </c>
      <c r="S24" s="26" t="s">
        <v>99</v>
      </c>
      <c r="T24" s="26" t="s">
        <v>100</v>
      </c>
      <c r="U24" s="26" t="s">
        <v>101</v>
      </c>
      <c r="V24" s="26" t="s">
        <v>102</v>
      </c>
      <c r="W24" s="26" t="s">
        <v>103</v>
      </c>
      <c r="X24" s="26" t="s">
        <v>104</v>
      </c>
      <c r="Y24" s="26" t="s">
        <v>104</v>
      </c>
      <c r="Z24" s="26" t="s">
        <v>172</v>
      </c>
      <c r="AA24" s="26" t="s">
        <v>9</v>
      </c>
      <c r="AB24" s="30" t="s">
        <v>172</v>
      </c>
      <c r="AC24" s="49" t="s">
        <v>5300</v>
      </c>
      <c r="AD24" s="25" t="s">
        <v>174</v>
      </c>
      <c r="AE24" s="26" t="s">
        <v>175</v>
      </c>
      <c r="AF24" s="32">
        <f t="shared" si="0"/>
        <v>1</v>
      </c>
      <c r="AG24" s="32">
        <v>1</v>
      </c>
      <c r="AH24" s="32">
        <v>1</v>
      </c>
      <c r="AI24" s="32">
        <v>1</v>
      </c>
      <c r="AJ24" s="32"/>
      <c r="AK24" s="32"/>
      <c r="AL24" s="32">
        <f t="shared" si="3"/>
        <v>1</v>
      </c>
      <c r="AM24" s="32"/>
      <c r="AN24" s="32"/>
      <c r="AO24" s="32"/>
      <c r="AP24" s="32"/>
      <c r="AQ24" s="32"/>
      <c r="AR24" s="32"/>
      <c r="AS24" s="32"/>
      <c r="AT24" s="32">
        <v>1</v>
      </c>
      <c r="AU24" s="32"/>
      <c r="AW24" s="2" t="s">
        <v>5423</v>
      </c>
      <c r="AY24" s="75" t="s">
        <v>1675</v>
      </c>
    </row>
    <row r="25" spans="1:51" ht="16.5">
      <c r="A25" s="49" t="s">
        <v>5424</v>
      </c>
      <c r="B25" s="26" t="s">
        <v>160</v>
      </c>
      <c r="C25" s="26" t="s">
        <v>73</v>
      </c>
      <c r="D25" s="49" t="s">
        <v>5369</v>
      </c>
      <c r="E25" s="26" t="s">
        <v>162</v>
      </c>
      <c r="F25" s="49" t="s">
        <v>5425</v>
      </c>
      <c r="G25" s="49" t="s">
        <v>5426</v>
      </c>
      <c r="H25" s="49" t="s">
        <v>165</v>
      </c>
      <c r="I25" s="38">
        <v>202606.3</v>
      </c>
      <c r="J25" s="121">
        <v>6.17</v>
      </c>
      <c r="K25" s="25" t="s">
        <v>73</v>
      </c>
      <c r="L25" s="26" t="s">
        <v>5368</v>
      </c>
      <c r="M25" s="49" t="s">
        <v>5427</v>
      </c>
      <c r="N25" s="27" t="s">
        <v>5428</v>
      </c>
      <c r="O25" s="26"/>
      <c r="P25" s="53">
        <v>4</v>
      </c>
      <c r="Q25" s="32">
        <v>16</v>
      </c>
      <c r="R25" s="53">
        <v>266.44</v>
      </c>
      <c r="S25" s="26" t="s">
        <v>99</v>
      </c>
      <c r="T25" s="26" t="s">
        <v>100</v>
      </c>
      <c r="U25" s="26" t="s">
        <v>101</v>
      </c>
      <c r="V25" s="26" t="s">
        <v>102</v>
      </c>
      <c r="W25" s="26" t="s">
        <v>103</v>
      </c>
      <c r="X25" s="26" t="s">
        <v>104</v>
      </c>
      <c r="Y25" s="26" t="s">
        <v>104</v>
      </c>
      <c r="Z25" s="26" t="s">
        <v>172</v>
      </c>
      <c r="AA25" s="26" t="s">
        <v>9</v>
      </c>
      <c r="AB25" s="30" t="s">
        <v>172</v>
      </c>
      <c r="AC25" s="49" t="s">
        <v>5300</v>
      </c>
      <c r="AD25" s="25" t="s">
        <v>174</v>
      </c>
      <c r="AE25" s="26" t="s">
        <v>175</v>
      </c>
      <c r="AF25" s="32">
        <f t="shared" si="0"/>
        <v>1</v>
      </c>
      <c r="AG25" s="32">
        <v>1</v>
      </c>
      <c r="AH25" s="32">
        <v>1</v>
      </c>
      <c r="AI25" s="32">
        <v>1</v>
      </c>
      <c r="AJ25" s="32"/>
      <c r="AK25" s="32"/>
      <c r="AL25" s="32">
        <f t="shared" si="3"/>
        <v>1</v>
      </c>
      <c r="AM25" s="32"/>
      <c r="AN25" s="32"/>
      <c r="AO25" s="32"/>
      <c r="AP25" s="32"/>
      <c r="AQ25" s="32"/>
      <c r="AR25" s="32"/>
      <c r="AS25" s="32"/>
      <c r="AT25" s="32">
        <v>1</v>
      </c>
      <c r="AU25" s="32"/>
      <c r="AW25" s="2" t="s">
        <v>5305</v>
      </c>
      <c r="AY25" s="75" t="s">
        <v>5429</v>
      </c>
    </row>
    <row r="26" spans="1:51" ht="16.5">
      <c r="A26" s="49" t="s">
        <v>5430</v>
      </c>
      <c r="B26" s="26" t="s">
        <v>160</v>
      </c>
      <c r="C26" s="26" t="s">
        <v>73</v>
      </c>
      <c r="D26" s="49" t="s">
        <v>5341</v>
      </c>
      <c r="E26" s="26" t="s">
        <v>162</v>
      </c>
      <c r="F26" s="49" t="s">
        <v>5431</v>
      </c>
      <c r="G26" s="49" t="s">
        <v>5432</v>
      </c>
      <c r="H26" s="49" t="s">
        <v>165</v>
      </c>
      <c r="I26" s="38">
        <v>202606.3</v>
      </c>
      <c r="J26" s="121">
        <v>6.17</v>
      </c>
      <c r="K26" s="25" t="s">
        <v>73</v>
      </c>
      <c r="L26" s="26" t="s">
        <v>5343</v>
      </c>
      <c r="M26" s="49" t="s">
        <v>5433</v>
      </c>
      <c r="N26" s="27" t="s">
        <v>5434</v>
      </c>
      <c r="O26" s="26"/>
      <c r="P26" s="53">
        <v>4</v>
      </c>
      <c r="Q26" s="32">
        <v>16</v>
      </c>
      <c r="R26" s="53">
        <v>268.01</v>
      </c>
      <c r="S26" s="26" t="s">
        <v>99</v>
      </c>
      <c r="T26" s="26" t="s">
        <v>100</v>
      </c>
      <c r="U26" s="26" t="s">
        <v>101</v>
      </c>
      <c r="V26" s="26" t="s">
        <v>102</v>
      </c>
      <c r="W26" s="26" t="s">
        <v>103</v>
      </c>
      <c r="X26" s="26" t="s">
        <v>104</v>
      </c>
      <c r="Y26" s="26" t="s">
        <v>104</v>
      </c>
      <c r="Z26" s="26" t="s">
        <v>172</v>
      </c>
      <c r="AA26" s="26" t="s">
        <v>9</v>
      </c>
      <c r="AB26" s="30" t="s">
        <v>172</v>
      </c>
      <c r="AC26" s="49" t="s">
        <v>5300</v>
      </c>
      <c r="AD26" s="25" t="s">
        <v>174</v>
      </c>
      <c r="AE26" s="26" t="s">
        <v>175</v>
      </c>
      <c r="AF26" s="32">
        <f t="shared" si="0"/>
        <v>1</v>
      </c>
      <c r="AG26" s="32">
        <v>1</v>
      </c>
      <c r="AH26" s="32">
        <v>1</v>
      </c>
      <c r="AI26" s="32">
        <v>1</v>
      </c>
      <c r="AJ26" s="32"/>
      <c r="AK26" s="32"/>
      <c r="AL26" s="32">
        <f t="shared" si="3"/>
        <v>1</v>
      </c>
      <c r="AM26" s="32"/>
      <c r="AN26" s="32"/>
      <c r="AO26" s="32"/>
      <c r="AP26" s="32"/>
      <c r="AQ26" s="32"/>
      <c r="AR26" s="32"/>
      <c r="AS26" s="32"/>
      <c r="AT26" s="32">
        <v>1</v>
      </c>
      <c r="AU26" s="32"/>
      <c r="AW26" s="2" t="s">
        <v>3686</v>
      </c>
      <c r="AY26" s="75" t="s">
        <v>5409</v>
      </c>
    </row>
    <row r="27" spans="1:51" ht="16.5">
      <c r="A27" s="49" t="s">
        <v>3877</v>
      </c>
      <c r="B27" s="26" t="s">
        <v>160</v>
      </c>
      <c r="C27" s="26" t="s">
        <v>73</v>
      </c>
      <c r="D27" s="49" t="s">
        <v>3878</v>
      </c>
      <c r="E27" s="26" t="s">
        <v>162</v>
      </c>
      <c r="F27" s="49" t="s">
        <v>3879</v>
      </c>
      <c r="G27" s="49" t="s">
        <v>3880</v>
      </c>
      <c r="H27" s="49" t="s">
        <v>165</v>
      </c>
      <c r="I27" s="38">
        <v>202606.3</v>
      </c>
      <c r="J27" s="121">
        <v>6.17</v>
      </c>
      <c r="K27" s="25" t="s">
        <v>73</v>
      </c>
      <c r="L27" s="26" t="s">
        <v>3881</v>
      </c>
      <c r="M27" s="49" t="s">
        <v>3882</v>
      </c>
      <c r="N27" s="27" t="s">
        <v>5435</v>
      </c>
      <c r="O27" s="26"/>
      <c r="P27" s="53">
        <v>4</v>
      </c>
      <c r="Q27" s="32">
        <v>16</v>
      </c>
      <c r="R27" s="53">
        <v>360.91</v>
      </c>
      <c r="S27" s="26" t="s">
        <v>99</v>
      </c>
      <c r="T27" s="26" t="s">
        <v>100</v>
      </c>
      <c r="U27" s="26" t="s">
        <v>101</v>
      </c>
      <c r="V27" s="26" t="s">
        <v>102</v>
      </c>
      <c r="W27" s="26" t="s">
        <v>103</v>
      </c>
      <c r="X27" s="26" t="s">
        <v>104</v>
      </c>
      <c r="Y27" s="26" t="s">
        <v>104</v>
      </c>
      <c r="Z27" s="26" t="s">
        <v>172</v>
      </c>
      <c r="AA27" s="26" t="s">
        <v>9</v>
      </c>
      <c r="AB27" s="30" t="s">
        <v>172</v>
      </c>
      <c r="AC27" s="49" t="s">
        <v>5300</v>
      </c>
      <c r="AD27" s="25" t="s">
        <v>174</v>
      </c>
      <c r="AE27" s="26" t="s">
        <v>175</v>
      </c>
      <c r="AF27" s="32">
        <f t="shared" si="0"/>
        <v>1</v>
      </c>
      <c r="AG27" s="32">
        <v>1</v>
      </c>
      <c r="AH27" s="32">
        <v>1</v>
      </c>
      <c r="AI27" s="32">
        <v>1</v>
      </c>
      <c r="AJ27" s="32"/>
      <c r="AK27" s="32"/>
      <c r="AL27" s="32">
        <f t="shared" ref="AL27:AL46" si="4">IF(COUNTIF(AW:AW,"*"&amp;L27&amp;"*")&gt;0,1,0)</f>
        <v>1</v>
      </c>
      <c r="AM27" s="32"/>
      <c r="AN27" s="32"/>
      <c r="AO27" s="32"/>
      <c r="AP27" s="32"/>
      <c r="AQ27" s="32"/>
      <c r="AR27" s="32"/>
      <c r="AS27" s="32"/>
      <c r="AT27" s="32">
        <v>1</v>
      </c>
      <c r="AU27" s="32"/>
      <c r="AW27" s="2" t="s">
        <v>5324</v>
      </c>
      <c r="AY27" s="75" t="s">
        <v>5392</v>
      </c>
    </row>
    <row r="28" spans="1:51" ht="16.5">
      <c r="A28" s="49" t="s">
        <v>5436</v>
      </c>
      <c r="B28" s="26" t="s">
        <v>160</v>
      </c>
      <c r="C28" s="26" t="s">
        <v>73</v>
      </c>
      <c r="D28" s="49" t="s">
        <v>5429</v>
      </c>
      <c r="E28" s="26" t="s">
        <v>162</v>
      </c>
      <c r="F28" s="49" t="s">
        <v>5437</v>
      </c>
      <c r="G28" s="49" t="s">
        <v>5438</v>
      </c>
      <c r="H28" s="49" t="s">
        <v>165</v>
      </c>
      <c r="I28" s="38">
        <v>202606.3</v>
      </c>
      <c r="J28" s="121">
        <v>6.17</v>
      </c>
      <c r="K28" s="25" t="s">
        <v>73</v>
      </c>
      <c r="L28" s="26" t="s">
        <v>5439</v>
      </c>
      <c r="M28" s="49" t="s">
        <v>5440</v>
      </c>
      <c r="N28" s="27" t="s">
        <v>5441</v>
      </c>
      <c r="O28" s="26"/>
      <c r="P28" s="53">
        <v>4</v>
      </c>
      <c r="Q28" s="32">
        <v>16</v>
      </c>
      <c r="R28" s="53">
        <v>267.83999999999997</v>
      </c>
      <c r="S28" s="26" t="s">
        <v>99</v>
      </c>
      <c r="T28" s="26" t="s">
        <v>100</v>
      </c>
      <c r="U28" s="26" t="s">
        <v>101</v>
      </c>
      <c r="V28" s="26" t="s">
        <v>102</v>
      </c>
      <c r="W28" s="26" t="s">
        <v>103</v>
      </c>
      <c r="X28" s="26" t="s">
        <v>104</v>
      </c>
      <c r="Y28" s="26" t="s">
        <v>104</v>
      </c>
      <c r="Z28" s="26" t="s">
        <v>172</v>
      </c>
      <c r="AA28" s="26" t="s">
        <v>9</v>
      </c>
      <c r="AB28" s="30" t="s">
        <v>172</v>
      </c>
      <c r="AC28" s="49" t="s">
        <v>5300</v>
      </c>
      <c r="AD28" s="25" t="s">
        <v>174</v>
      </c>
      <c r="AE28" s="26" t="s">
        <v>175</v>
      </c>
      <c r="AF28" s="32">
        <f t="shared" si="0"/>
        <v>1</v>
      </c>
      <c r="AG28" s="32">
        <v>1</v>
      </c>
      <c r="AH28" s="32">
        <v>1</v>
      </c>
      <c r="AI28" s="32">
        <v>1</v>
      </c>
      <c r="AJ28" s="32"/>
      <c r="AK28" s="32"/>
      <c r="AL28" s="32">
        <f t="shared" si="4"/>
        <v>1</v>
      </c>
      <c r="AM28" s="32"/>
      <c r="AN28" s="32"/>
      <c r="AO28" s="32"/>
      <c r="AP28" s="32"/>
      <c r="AQ28" s="32"/>
      <c r="AR28" s="32"/>
      <c r="AS28" s="32"/>
      <c r="AT28" s="32">
        <v>1</v>
      </c>
      <c r="AU28" s="32"/>
      <c r="AW28" s="2" t="s">
        <v>5355</v>
      </c>
      <c r="AY28" s="75" t="s">
        <v>5442</v>
      </c>
    </row>
    <row r="29" spans="1:51" ht="16.5">
      <c r="A29" s="49" t="s">
        <v>5443</v>
      </c>
      <c r="B29" s="26" t="s">
        <v>160</v>
      </c>
      <c r="C29" s="26" t="s">
        <v>73</v>
      </c>
      <c r="D29" s="49" t="s">
        <v>5444</v>
      </c>
      <c r="E29" s="26" t="s">
        <v>162</v>
      </c>
      <c r="F29" s="49" t="s">
        <v>5445</v>
      </c>
      <c r="G29" s="49" t="s">
        <v>5446</v>
      </c>
      <c r="H29" s="49" t="s">
        <v>165</v>
      </c>
      <c r="I29" s="38">
        <v>202606.3</v>
      </c>
      <c r="J29" s="121">
        <v>6.17</v>
      </c>
      <c r="K29" s="25" t="s">
        <v>73</v>
      </c>
      <c r="L29" s="26" t="s">
        <v>5447</v>
      </c>
      <c r="M29" s="49" t="s">
        <v>5448</v>
      </c>
      <c r="N29" s="27" t="s">
        <v>5449</v>
      </c>
      <c r="O29" s="26"/>
      <c r="P29" s="53">
        <v>4</v>
      </c>
      <c r="Q29" s="32">
        <v>16</v>
      </c>
      <c r="R29" s="53">
        <v>268.43</v>
      </c>
      <c r="S29" s="26" t="s">
        <v>99</v>
      </c>
      <c r="T29" s="26" t="s">
        <v>100</v>
      </c>
      <c r="U29" s="26" t="s">
        <v>101</v>
      </c>
      <c r="V29" s="26" t="s">
        <v>102</v>
      </c>
      <c r="W29" s="26" t="s">
        <v>103</v>
      </c>
      <c r="X29" s="26" t="s">
        <v>104</v>
      </c>
      <c r="Y29" s="26" t="s">
        <v>104</v>
      </c>
      <c r="Z29" s="26" t="s">
        <v>172</v>
      </c>
      <c r="AA29" s="26" t="s">
        <v>9</v>
      </c>
      <c r="AB29" s="30" t="s">
        <v>172</v>
      </c>
      <c r="AC29" s="49" t="s">
        <v>5300</v>
      </c>
      <c r="AD29" s="25" t="s">
        <v>174</v>
      </c>
      <c r="AE29" s="26" t="s">
        <v>175</v>
      </c>
      <c r="AF29" s="32">
        <f t="shared" si="0"/>
        <v>1</v>
      </c>
      <c r="AG29" s="32">
        <v>1</v>
      </c>
      <c r="AH29" s="32">
        <v>1</v>
      </c>
      <c r="AI29" s="32">
        <v>1</v>
      </c>
      <c r="AJ29" s="32"/>
      <c r="AK29" s="32"/>
      <c r="AL29" s="32">
        <f t="shared" si="4"/>
        <v>1</v>
      </c>
      <c r="AM29" s="32"/>
      <c r="AN29" s="32"/>
      <c r="AO29" s="32"/>
      <c r="AP29" s="32"/>
      <c r="AQ29" s="32"/>
      <c r="AR29" s="32"/>
      <c r="AS29" s="32"/>
      <c r="AT29" s="32">
        <v>1</v>
      </c>
      <c r="AU29" s="32"/>
      <c r="AW29" s="2" t="s">
        <v>5420</v>
      </c>
      <c r="AY29" s="75" t="s">
        <v>5444</v>
      </c>
    </row>
    <row r="30" spans="1:51" ht="16.5">
      <c r="A30" s="49" t="s">
        <v>5450</v>
      </c>
      <c r="B30" s="26" t="s">
        <v>160</v>
      </c>
      <c r="C30" s="26" t="s">
        <v>73</v>
      </c>
      <c r="D30" s="49" t="s">
        <v>5366</v>
      </c>
      <c r="E30" s="26" t="s">
        <v>162</v>
      </c>
      <c r="F30" s="49" t="s">
        <v>5451</v>
      </c>
      <c r="G30" s="49" t="s">
        <v>5452</v>
      </c>
      <c r="H30" s="49" t="s">
        <v>165</v>
      </c>
      <c r="I30" s="38">
        <v>202606.3</v>
      </c>
      <c r="J30" s="121">
        <v>6.17</v>
      </c>
      <c r="K30" s="25" t="s">
        <v>73</v>
      </c>
      <c r="L30" s="26" t="s">
        <v>5365</v>
      </c>
      <c r="M30" s="49" t="s">
        <v>5453</v>
      </c>
      <c r="N30" s="27" t="s">
        <v>5454</v>
      </c>
      <c r="O30" s="26"/>
      <c r="P30" s="53">
        <v>4</v>
      </c>
      <c r="Q30" s="32">
        <v>16</v>
      </c>
      <c r="R30" s="53">
        <v>268.58</v>
      </c>
      <c r="S30" s="26" t="s">
        <v>99</v>
      </c>
      <c r="T30" s="26" t="s">
        <v>100</v>
      </c>
      <c r="U30" s="26" t="s">
        <v>101</v>
      </c>
      <c r="V30" s="26" t="s">
        <v>102</v>
      </c>
      <c r="W30" s="26" t="s">
        <v>103</v>
      </c>
      <c r="X30" s="26" t="s">
        <v>104</v>
      </c>
      <c r="Y30" s="26" t="s">
        <v>104</v>
      </c>
      <c r="Z30" s="26" t="s">
        <v>172</v>
      </c>
      <c r="AA30" s="26" t="s">
        <v>9</v>
      </c>
      <c r="AB30" s="30" t="s">
        <v>172</v>
      </c>
      <c r="AC30" s="49" t="s">
        <v>5300</v>
      </c>
      <c r="AD30" s="25" t="s">
        <v>174</v>
      </c>
      <c r="AE30" s="26" t="s">
        <v>175</v>
      </c>
      <c r="AF30" s="32">
        <f t="shared" si="0"/>
        <v>1</v>
      </c>
      <c r="AG30" s="32">
        <v>1</v>
      </c>
      <c r="AH30" s="32">
        <v>1</v>
      </c>
      <c r="AI30" s="32">
        <v>1</v>
      </c>
      <c r="AJ30" s="32"/>
      <c r="AK30" s="32"/>
      <c r="AL30" s="32">
        <f t="shared" si="4"/>
        <v>1</v>
      </c>
      <c r="AM30" s="32"/>
      <c r="AN30" s="32"/>
      <c r="AO30" s="32"/>
      <c r="AP30" s="32"/>
      <c r="AQ30" s="32"/>
      <c r="AR30" s="32"/>
      <c r="AS30" s="32"/>
      <c r="AT30" s="32">
        <v>1</v>
      </c>
      <c r="AU30" s="32"/>
      <c r="AW30" s="2" t="s">
        <v>5404</v>
      </c>
      <c r="AY30" s="75" t="s">
        <v>5294</v>
      </c>
    </row>
    <row r="31" spans="1:51" ht="16.5">
      <c r="A31" s="49" t="s">
        <v>5455</v>
      </c>
      <c r="B31" s="26" t="s">
        <v>160</v>
      </c>
      <c r="C31" s="26" t="s">
        <v>73</v>
      </c>
      <c r="D31" s="49" t="s">
        <v>1355</v>
      </c>
      <c r="E31" s="26" t="s">
        <v>162</v>
      </c>
      <c r="F31" s="49" t="s">
        <v>5456</v>
      </c>
      <c r="G31" s="49" t="s">
        <v>5457</v>
      </c>
      <c r="H31" s="49" t="s">
        <v>165</v>
      </c>
      <c r="I31" s="38">
        <v>202606.3</v>
      </c>
      <c r="J31" s="121">
        <v>6.17</v>
      </c>
      <c r="K31" s="25" t="s">
        <v>73</v>
      </c>
      <c r="L31" s="26" t="s">
        <v>5458</v>
      </c>
      <c r="M31" s="49" t="s">
        <v>5459</v>
      </c>
      <c r="N31" s="27" t="s">
        <v>5460</v>
      </c>
      <c r="O31" s="26"/>
      <c r="P31" s="53">
        <v>4</v>
      </c>
      <c r="Q31" s="32">
        <v>16</v>
      </c>
      <c r="R31" s="53">
        <v>348.72</v>
      </c>
      <c r="S31" s="26" t="s">
        <v>99</v>
      </c>
      <c r="T31" s="26" t="s">
        <v>100</v>
      </c>
      <c r="U31" s="26" t="s">
        <v>101</v>
      </c>
      <c r="V31" s="26" t="s">
        <v>102</v>
      </c>
      <c r="W31" s="26" t="s">
        <v>103</v>
      </c>
      <c r="X31" s="26" t="s">
        <v>104</v>
      </c>
      <c r="Y31" s="26" t="s">
        <v>104</v>
      </c>
      <c r="Z31" s="26" t="s">
        <v>172</v>
      </c>
      <c r="AA31" s="26" t="s">
        <v>9</v>
      </c>
      <c r="AB31" s="30" t="s">
        <v>172</v>
      </c>
      <c r="AC31" s="49" t="s">
        <v>5300</v>
      </c>
      <c r="AD31" s="25" t="s">
        <v>174</v>
      </c>
      <c r="AE31" s="26" t="s">
        <v>175</v>
      </c>
      <c r="AF31" s="32">
        <f t="shared" si="0"/>
        <v>1</v>
      </c>
      <c r="AG31" s="32">
        <v>1</v>
      </c>
      <c r="AH31" s="32">
        <v>1</v>
      </c>
      <c r="AI31" s="32">
        <v>1</v>
      </c>
      <c r="AJ31" s="32"/>
      <c r="AK31" s="32"/>
      <c r="AL31" s="32">
        <f t="shared" si="4"/>
        <v>1</v>
      </c>
      <c r="AM31" s="32"/>
      <c r="AN31" s="32"/>
      <c r="AO31" s="32"/>
      <c r="AP31" s="32"/>
      <c r="AQ31" s="32"/>
      <c r="AR31" s="32"/>
      <c r="AS31" s="32"/>
      <c r="AT31" s="32">
        <v>1</v>
      </c>
      <c r="AU31" s="32"/>
      <c r="AW31" s="2" t="s">
        <v>3661</v>
      </c>
      <c r="AY31" s="75" t="s">
        <v>3725</v>
      </c>
    </row>
    <row r="32" spans="1:51" ht="16.5">
      <c r="A32" s="49" t="s">
        <v>3952</v>
      </c>
      <c r="B32" s="26" t="s">
        <v>160</v>
      </c>
      <c r="C32" s="26" t="s">
        <v>73</v>
      </c>
      <c r="D32" s="49" t="s">
        <v>3953</v>
      </c>
      <c r="E32" s="26" t="s">
        <v>162</v>
      </c>
      <c r="F32" s="49" t="s">
        <v>3954</v>
      </c>
      <c r="G32" s="49" t="s">
        <v>3955</v>
      </c>
      <c r="H32" s="49" t="s">
        <v>165</v>
      </c>
      <c r="I32" s="38">
        <v>202606.3</v>
      </c>
      <c r="J32" s="121">
        <v>6.17</v>
      </c>
      <c r="K32" s="25" t="s">
        <v>73</v>
      </c>
      <c r="L32" s="26" t="s">
        <v>3956</v>
      </c>
      <c r="M32" s="49" t="s">
        <v>3957</v>
      </c>
      <c r="N32" s="27" t="s">
        <v>5461</v>
      </c>
      <c r="O32" s="26"/>
      <c r="P32" s="53">
        <v>4</v>
      </c>
      <c r="Q32" s="32">
        <v>16</v>
      </c>
      <c r="R32" s="53">
        <v>398.72</v>
      </c>
      <c r="S32" s="26" t="s">
        <v>99</v>
      </c>
      <c r="T32" s="26" t="s">
        <v>100</v>
      </c>
      <c r="U32" s="26" t="s">
        <v>101</v>
      </c>
      <c r="V32" s="26" t="s">
        <v>102</v>
      </c>
      <c r="W32" s="26" t="s">
        <v>103</v>
      </c>
      <c r="X32" s="26" t="s">
        <v>104</v>
      </c>
      <c r="Y32" s="26" t="s">
        <v>104</v>
      </c>
      <c r="Z32" s="26" t="s">
        <v>172</v>
      </c>
      <c r="AA32" s="26" t="s">
        <v>9</v>
      </c>
      <c r="AB32" s="30" t="s">
        <v>172</v>
      </c>
      <c r="AC32" s="49" t="s">
        <v>5300</v>
      </c>
      <c r="AD32" s="25" t="s">
        <v>174</v>
      </c>
      <c r="AE32" s="26" t="s">
        <v>175</v>
      </c>
      <c r="AF32" s="32">
        <f t="shared" si="0"/>
        <v>1</v>
      </c>
      <c r="AG32" s="32">
        <v>1</v>
      </c>
      <c r="AH32" s="32">
        <v>1</v>
      </c>
      <c r="AI32" s="32">
        <v>1</v>
      </c>
      <c r="AJ32" s="32"/>
      <c r="AK32" s="32"/>
      <c r="AL32" s="32">
        <f t="shared" si="4"/>
        <v>1</v>
      </c>
      <c r="AM32" s="32"/>
      <c r="AN32" s="32"/>
      <c r="AO32" s="32"/>
      <c r="AP32" s="32"/>
      <c r="AQ32" s="32"/>
      <c r="AR32" s="32"/>
      <c r="AS32" s="32"/>
      <c r="AT32" s="32">
        <v>1</v>
      </c>
      <c r="AU32" s="32"/>
      <c r="AW32" s="2" t="s">
        <v>5374</v>
      </c>
      <c r="AY32" s="75" t="s">
        <v>3650</v>
      </c>
    </row>
    <row r="33" spans="1:51" ht="16.5">
      <c r="A33" s="49" t="s">
        <v>5462</v>
      </c>
      <c r="B33" s="26" t="s">
        <v>160</v>
      </c>
      <c r="C33" s="26" t="s">
        <v>73</v>
      </c>
      <c r="D33" s="49" t="s">
        <v>5442</v>
      </c>
      <c r="E33" s="26" t="s">
        <v>162</v>
      </c>
      <c r="F33" s="49" t="s">
        <v>5463</v>
      </c>
      <c r="G33" s="49" t="s">
        <v>5464</v>
      </c>
      <c r="H33" s="49" t="s">
        <v>165</v>
      </c>
      <c r="I33" s="38">
        <v>202606.3</v>
      </c>
      <c r="J33" s="121">
        <v>6.17</v>
      </c>
      <c r="K33" s="25" t="s">
        <v>73</v>
      </c>
      <c r="L33" s="26" t="s">
        <v>5465</v>
      </c>
      <c r="M33" s="49" t="s">
        <v>5466</v>
      </c>
      <c r="N33" s="27" t="s">
        <v>5467</v>
      </c>
      <c r="O33" s="26"/>
      <c r="P33" s="53">
        <v>4</v>
      </c>
      <c r="Q33" s="32">
        <v>16</v>
      </c>
      <c r="R33" s="53">
        <v>267.08</v>
      </c>
      <c r="S33" s="26" t="s">
        <v>99</v>
      </c>
      <c r="T33" s="26" t="s">
        <v>100</v>
      </c>
      <c r="U33" s="26" t="s">
        <v>101</v>
      </c>
      <c r="V33" s="26" t="s">
        <v>102</v>
      </c>
      <c r="W33" s="26" t="s">
        <v>103</v>
      </c>
      <c r="X33" s="26" t="s">
        <v>104</v>
      </c>
      <c r="Y33" s="26" t="s">
        <v>104</v>
      </c>
      <c r="Z33" s="26" t="s">
        <v>172</v>
      </c>
      <c r="AA33" s="26" t="s">
        <v>9</v>
      </c>
      <c r="AB33" s="30" t="s">
        <v>172</v>
      </c>
      <c r="AC33" s="49" t="s">
        <v>5300</v>
      </c>
      <c r="AD33" s="25" t="s">
        <v>174</v>
      </c>
      <c r="AE33" s="26" t="s">
        <v>175</v>
      </c>
      <c r="AF33" s="32">
        <f t="shared" si="0"/>
        <v>1</v>
      </c>
      <c r="AG33" s="32">
        <v>1</v>
      </c>
      <c r="AH33" s="32">
        <v>1</v>
      </c>
      <c r="AI33" s="32">
        <v>1</v>
      </c>
      <c r="AJ33" s="32"/>
      <c r="AK33" s="32"/>
      <c r="AL33" s="32">
        <f t="shared" si="4"/>
        <v>1</v>
      </c>
      <c r="AM33" s="32"/>
      <c r="AN33" s="32"/>
      <c r="AO33" s="32"/>
      <c r="AP33" s="32"/>
      <c r="AQ33" s="32"/>
      <c r="AR33" s="32"/>
      <c r="AS33" s="32"/>
      <c r="AT33" s="32">
        <v>1</v>
      </c>
      <c r="AU33" s="32"/>
      <c r="AW33" s="2" t="s">
        <v>3620</v>
      </c>
      <c r="AY33" s="75" t="s">
        <v>1355</v>
      </c>
    </row>
    <row r="34" spans="1:51" ht="16.5">
      <c r="A34" s="49" t="s">
        <v>5468</v>
      </c>
      <c r="B34" s="26" t="s">
        <v>160</v>
      </c>
      <c r="C34" s="26" t="s">
        <v>73</v>
      </c>
      <c r="D34" s="49" t="s">
        <v>5317</v>
      </c>
      <c r="E34" s="26" t="s">
        <v>188</v>
      </c>
      <c r="F34" s="49" t="s">
        <v>5469</v>
      </c>
      <c r="G34" s="49" t="s">
        <v>5470</v>
      </c>
      <c r="H34" s="49" t="s">
        <v>165</v>
      </c>
      <c r="I34" s="38">
        <v>202606.3</v>
      </c>
      <c r="J34" s="121">
        <v>6.17</v>
      </c>
      <c r="K34" s="25" t="s">
        <v>73</v>
      </c>
      <c r="L34" s="26" t="s">
        <v>5423</v>
      </c>
      <c r="M34" s="49" t="s">
        <v>5471</v>
      </c>
      <c r="N34" s="27" t="s">
        <v>5472</v>
      </c>
      <c r="O34" s="26"/>
      <c r="P34" s="53">
        <v>8</v>
      </c>
      <c r="Q34" s="32">
        <v>32</v>
      </c>
      <c r="R34" s="53">
        <v>283.05</v>
      </c>
      <c r="S34" s="26" t="s">
        <v>99</v>
      </c>
      <c r="T34" s="26" t="s">
        <v>100</v>
      </c>
      <c r="U34" s="26" t="s">
        <v>101</v>
      </c>
      <c r="V34" s="26" t="s">
        <v>102</v>
      </c>
      <c r="W34" s="26" t="s">
        <v>103</v>
      </c>
      <c r="X34" s="26" t="s">
        <v>104</v>
      </c>
      <c r="Y34" s="26" t="s">
        <v>104</v>
      </c>
      <c r="Z34" s="26" t="s">
        <v>172</v>
      </c>
      <c r="AA34" s="26" t="s">
        <v>9</v>
      </c>
      <c r="AB34" s="30" t="s">
        <v>172</v>
      </c>
      <c r="AC34" s="49" t="s">
        <v>5300</v>
      </c>
      <c r="AD34" s="25" t="s">
        <v>174</v>
      </c>
      <c r="AE34" s="26" t="s">
        <v>175</v>
      </c>
      <c r="AF34" s="32">
        <f t="shared" si="0"/>
        <v>1</v>
      </c>
      <c r="AG34" s="32">
        <v>1</v>
      </c>
      <c r="AH34" s="32">
        <v>1</v>
      </c>
      <c r="AI34" s="32">
        <v>1</v>
      </c>
      <c r="AJ34" s="32"/>
      <c r="AK34" s="32"/>
      <c r="AL34" s="32">
        <f t="shared" si="4"/>
        <v>1</v>
      </c>
      <c r="AM34" s="32"/>
      <c r="AN34" s="32"/>
      <c r="AO34" s="32"/>
      <c r="AP34" s="32"/>
      <c r="AQ34" s="32"/>
      <c r="AR34" s="32"/>
      <c r="AS34" s="32"/>
      <c r="AT34" s="32">
        <v>1</v>
      </c>
      <c r="AU34" s="32"/>
      <c r="AW34" s="2" t="s">
        <v>5362</v>
      </c>
      <c r="AY34" s="75" t="s">
        <v>5334</v>
      </c>
    </row>
    <row r="35" spans="1:51" ht="16.5">
      <c r="A35" s="49" t="s">
        <v>5473</v>
      </c>
      <c r="B35" s="26" t="s">
        <v>160</v>
      </c>
      <c r="C35" s="26" t="s">
        <v>73</v>
      </c>
      <c r="D35" s="49" t="s">
        <v>5474</v>
      </c>
      <c r="E35" s="26" t="s">
        <v>162</v>
      </c>
      <c r="F35" s="49" t="s">
        <v>5475</v>
      </c>
      <c r="G35" s="49" t="s">
        <v>5476</v>
      </c>
      <c r="H35" s="49" t="s">
        <v>165</v>
      </c>
      <c r="I35" s="38">
        <v>202606.3</v>
      </c>
      <c r="J35" s="121">
        <v>6.17</v>
      </c>
      <c r="K35" s="25" t="s">
        <v>73</v>
      </c>
      <c r="L35" s="26" t="s">
        <v>5331</v>
      </c>
      <c r="M35" s="49" t="s">
        <v>5477</v>
      </c>
      <c r="N35" s="27" t="s">
        <v>5478</v>
      </c>
      <c r="O35" s="26"/>
      <c r="P35" s="53">
        <v>4</v>
      </c>
      <c r="Q35" s="32">
        <v>16</v>
      </c>
      <c r="R35" s="53">
        <v>268.92</v>
      </c>
      <c r="S35" s="26" t="s">
        <v>99</v>
      </c>
      <c r="T35" s="26" t="s">
        <v>100</v>
      </c>
      <c r="U35" s="26" t="s">
        <v>101</v>
      </c>
      <c r="V35" s="38" t="s">
        <v>5479</v>
      </c>
      <c r="W35" s="26" t="s">
        <v>103</v>
      </c>
      <c r="X35" s="26" t="s">
        <v>104</v>
      </c>
      <c r="Y35" s="26" t="s">
        <v>104</v>
      </c>
      <c r="Z35" s="26" t="s">
        <v>172</v>
      </c>
      <c r="AA35" s="26" t="s">
        <v>11</v>
      </c>
      <c r="AB35" s="30" t="s">
        <v>172</v>
      </c>
      <c r="AC35" s="49" t="s">
        <v>5300</v>
      </c>
      <c r="AD35" s="25" t="s">
        <v>174</v>
      </c>
      <c r="AE35" s="26" t="s">
        <v>175</v>
      </c>
      <c r="AF35" s="32">
        <f t="shared" ref="AF35:AF66" si="5">IF(COUNTIF(AY:AY,D35)&gt;0,1,0)</f>
        <v>1</v>
      </c>
      <c r="AG35" s="32">
        <v>1</v>
      </c>
      <c r="AH35" s="32">
        <v>1</v>
      </c>
      <c r="AI35" s="32">
        <v>1</v>
      </c>
      <c r="AJ35" s="32"/>
      <c r="AK35" s="32"/>
      <c r="AL35" s="32">
        <f t="shared" si="4"/>
        <v>1</v>
      </c>
      <c r="AM35" s="32"/>
      <c r="AN35" s="32"/>
      <c r="AO35" s="32"/>
      <c r="AP35" s="32"/>
      <c r="AQ35" s="32">
        <v>1</v>
      </c>
      <c r="AR35" s="32"/>
      <c r="AS35" s="32"/>
      <c r="AT35" s="32">
        <v>1</v>
      </c>
      <c r="AU35" s="32"/>
      <c r="AW35" s="2" t="s">
        <v>5349</v>
      </c>
      <c r="AY35" s="75" t="s">
        <v>5480</v>
      </c>
    </row>
    <row r="36" spans="1:51" ht="16.5">
      <c r="A36" s="49" t="s">
        <v>5481</v>
      </c>
      <c r="B36" s="26" t="s">
        <v>160</v>
      </c>
      <c r="C36" s="26" t="s">
        <v>73</v>
      </c>
      <c r="D36" s="49" t="s">
        <v>5480</v>
      </c>
      <c r="E36" s="26" t="s">
        <v>162</v>
      </c>
      <c r="F36" s="49" t="s">
        <v>5482</v>
      </c>
      <c r="G36" s="49" t="s">
        <v>5483</v>
      </c>
      <c r="H36" s="49" t="s">
        <v>165</v>
      </c>
      <c r="I36" s="38">
        <v>202606.3</v>
      </c>
      <c r="J36" s="121">
        <v>6.17</v>
      </c>
      <c r="K36" s="25" t="s">
        <v>73</v>
      </c>
      <c r="L36" s="26" t="s">
        <v>5308</v>
      </c>
      <c r="M36" s="49" t="s">
        <v>5484</v>
      </c>
      <c r="N36" s="27" t="s">
        <v>5485</v>
      </c>
      <c r="O36" s="26"/>
      <c r="P36" s="53">
        <v>4</v>
      </c>
      <c r="Q36" s="32">
        <v>16</v>
      </c>
      <c r="R36" s="53">
        <v>268.19</v>
      </c>
      <c r="S36" s="26" t="s">
        <v>99</v>
      </c>
      <c r="T36" s="26" t="s">
        <v>100</v>
      </c>
      <c r="U36" s="26" t="s">
        <v>101</v>
      </c>
      <c r="V36" s="38" t="s">
        <v>5479</v>
      </c>
      <c r="W36" s="26" t="s">
        <v>103</v>
      </c>
      <c r="X36" s="26" t="s">
        <v>104</v>
      </c>
      <c r="Y36" s="26" t="s">
        <v>104</v>
      </c>
      <c r="Z36" s="26" t="s">
        <v>172</v>
      </c>
      <c r="AA36" s="26" t="s">
        <v>11</v>
      </c>
      <c r="AB36" s="30" t="s">
        <v>172</v>
      </c>
      <c r="AC36" s="49" t="s">
        <v>5300</v>
      </c>
      <c r="AD36" s="25" t="s">
        <v>174</v>
      </c>
      <c r="AE36" s="26" t="s">
        <v>175</v>
      </c>
      <c r="AF36" s="32">
        <f t="shared" si="5"/>
        <v>1</v>
      </c>
      <c r="AG36" s="32">
        <v>1</v>
      </c>
      <c r="AH36" s="32">
        <v>1</v>
      </c>
      <c r="AI36" s="32">
        <v>1</v>
      </c>
      <c r="AJ36" s="32"/>
      <c r="AK36" s="32"/>
      <c r="AL36" s="32">
        <f t="shared" si="4"/>
        <v>1</v>
      </c>
      <c r="AM36" s="32"/>
      <c r="AN36" s="32"/>
      <c r="AO36" s="32"/>
      <c r="AP36" s="32"/>
      <c r="AQ36" s="32">
        <v>1</v>
      </c>
      <c r="AR36" s="32"/>
      <c r="AS36" s="32"/>
      <c r="AT36" s="32">
        <v>1</v>
      </c>
      <c r="AU36" s="32"/>
      <c r="AW36" s="2" t="s">
        <v>3881</v>
      </c>
      <c r="AY36" s="75" t="s">
        <v>5486</v>
      </c>
    </row>
    <row r="37" spans="1:51" ht="16.5">
      <c r="A37" s="49" t="s">
        <v>5487</v>
      </c>
      <c r="B37" s="26" t="s">
        <v>160</v>
      </c>
      <c r="C37" s="26" t="s">
        <v>73</v>
      </c>
      <c r="D37" s="49" t="s">
        <v>5488</v>
      </c>
      <c r="E37" s="26" t="s">
        <v>162</v>
      </c>
      <c r="F37" s="49" t="s">
        <v>5489</v>
      </c>
      <c r="G37" s="49" t="s">
        <v>5490</v>
      </c>
      <c r="H37" s="49" t="s">
        <v>2915</v>
      </c>
      <c r="I37" s="38">
        <v>202606.3</v>
      </c>
      <c r="J37" s="121">
        <v>6.17</v>
      </c>
      <c r="K37" s="25" t="s">
        <v>73</v>
      </c>
      <c r="L37" s="26" t="s">
        <v>5390</v>
      </c>
      <c r="M37" s="49" t="s">
        <v>97</v>
      </c>
      <c r="N37" s="27" t="s">
        <v>5491</v>
      </c>
      <c r="O37" s="26"/>
      <c r="P37" s="53">
        <v>4</v>
      </c>
      <c r="Q37" s="32">
        <v>16</v>
      </c>
      <c r="R37" s="53">
        <v>267.14</v>
      </c>
      <c r="S37" s="26" t="s">
        <v>99</v>
      </c>
      <c r="T37" s="26" t="s">
        <v>100</v>
      </c>
      <c r="U37" s="26" t="s">
        <v>101</v>
      </c>
      <c r="V37" s="38" t="s">
        <v>5479</v>
      </c>
      <c r="W37" s="26" t="s">
        <v>103</v>
      </c>
      <c r="X37" s="26" t="s">
        <v>104</v>
      </c>
      <c r="Y37" s="26" t="s">
        <v>104</v>
      </c>
      <c r="Z37" s="26" t="s">
        <v>172</v>
      </c>
      <c r="AA37" s="26" t="s">
        <v>11</v>
      </c>
      <c r="AB37" s="30" t="s">
        <v>172</v>
      </c>
      <c r="AC37" s="49" t="s">
        <v>5300</v>
      </c>
      <c r="AD37" s="25" t="s">
        <v>174</v>
      </c>
      <c r="AE37" s="26" t="s">
        <v>175</v>
      </c>
      <c r="AF37" s="32">
        <f t="shared" si="5"/>
        <v>1</v>
      </c>
      <c r="AG37" s="32">
        <v>1</v>
      </c>
      <c r="AH37" s="32">
        <v>1</v>
      </c>
      <c r="AI37" s="32">
        <v>1</v>
      </c>
      <c r="AJ37" s="32"/>
      <c r="AK37" s="32"/>
      <c r="AL37" s="32">
        <f t="shared" si="4"/>
        <v>1</v>
      </c>
      <c r="AM37" s="32"/>
      <c r="AN37" s="32"/>
      <c r="AO37" s="32"/>
      <c r="AP37" s="32"/>
      <c r="AQ37" s="32"/>
      <c r="AR37" s="32"/>
      <c r="AS37" s="32"/>
      <c r="AT37" s="34" t="s">
        <v>1211</v>
      </c>
      <c r="AU37" s="34" t="s">
        <v>5492</v>
      </c>
      <c r="AW37" s="2" t="s">
        <v>5439</v>
      </c>
      <c r="AY37" s="75" t="s">
        <v>5493</v>
      </c>
    </row>
    <row r="38" spans="1:51" ht="16.5">
      <c r="A38" s="49" t="s">
        <v>5494</v>
      </c>
      <c r="B38" s="26" t="s">
        <v>160</v>
      </c>
      <c r="C38" s="26" t="s">
        <v>73</v>
      </c>
      <c r="D38" s="49" t="s">
        <v>5486</v>
      </c>
      <c r="E38" s="26" t="s">
        <v>162</v>
      </c>
      <c r="F38" s="49" t="s">
        <v>5495</v>
      </c>
      <c r="G38" s="49" t="s">
        <v>5496</v>
      </c>
      <c r="H38" s="49" t="s">
        <v>2915</v>
      </c>
      <c r="I38" s="38">
        <v>202606.3</v>
      </c>
      <c r="J38" s="121">
        <v>6.17</v>
      </c>
      <c r="K38" s="25" t="s">
        <v>73</v>
      </c>
      <c r="L38" s="26" t="s">
        <v>5319</v>
      </c>
      <c r="M38" s="49" t="s">
        <v>5497</v>
      </c>
      <c r="N38" s="27" t="s">
        <v>5498</v>
      </c>
      <c r="O38" s="38"/>
      <c r="P38" s="53">
        <v>4</v>
      </c>
      <c r="Q38" s="32">
        <v>16</v>
      </c>
      <c r="R38" s="53">
        <v>267.18</v>
      </c>
      <c r="S38" s="26" t="s">
        <v>99</v>
      </c>
      <c r="T38" s="26" t="s">
        <v>100</v>
      </c>
      <c r="U38" s="26" t="s">
        <v>101</v>
      </c>
      <c r="V38" s="38" t="s">
        <v>5479</v>
      </c>
      <c r="W38" s="26" t="s">
        <v>103</v>
      </c>
      <c r="X38" s="26" t="s">
        <v>104</v>
      </c>
      <c r="Y38" s="26" t="s">
        <v>104</v>
      </c>
      <c r="Z38" s="26" t="s">
        <v>172</v>
      </c>
      <c r="AA38" s="26" t="s">
        <v>11</v>
      </c>
      <c r="AB38" s="30" t="s">
        <v>172</v>
      </c>
      <c r="AC38" s="49" t="s">
        <v>5300</v>
      </c>
      <c r="AD38" s="25" t="s">
        <v>174</v>
      </c>
      <c r="AE38" s="26" t="s">
        <v>175</v>
      </c>
      <c r="AF38" s="32">
        <f t="shared" si="5"/>
        <v>1</v>
      </c>
      <c r="AG38" s="32">
        <v>1</v>
      </c>
      <c r="AH38" s="32">
        <v>1</v>
      </c>
      <c r="AI38" s="32">
        <v>1</v>
      </c>
      <c r="AJ38" s="32"/>
      <c r="AK38" s="32"/>
      <c r="AL38" s="32">
        <f t="shared" si="4"/>
        <v>1</v>
      </c>
      <c r="AM38" s="32"/>
      <c r="AN38" s="32"/>
      <c r="AO38" s="32"/>
      <c r="AP38" s="32"/>
      <c r="AQ38" s="32">
        <v>1</v>
      </c>
      <c r="AR38" s="32"/>
      <c r="AS38" s="32"/>
      <c r="AT38" s="32">
        <v>1</v>
      </c>
      <c r="AU38" s="32"/>
      <c r="AW38" s="2" t="s">
        <v>5412</v>
      </c>
      <c r="AY38" s="75" t="s">
        <v>5499</v>
      </c>
    </row>
    <row r="39" spans="1:51" ht="16.5">
      <c r="A39" s="49" t="s">
        <v>5500</v>
      </c>
      <c r="B39" s="26" t="s">
        <v>160</v>
      </c>
      <c r="C39" s="26" t="s">
        <v>73</v>
      </c>
      <c r="D39" s="49" t="s">
        <v>5501</v>
      </c>
      <c r="E39" s="26" t="s">
        <v>162</v>
      </c>
      <c r="F39" s="49" t="s">
        <v>5502</v>
      </c>
      <c r="G39" s="49" t="s">
        <v>5503</v>
      </c>
      <c r="H39" s="49" t="s">
        <v>2915</v>
      </c>
      <c r="I39" s="38">
        <v>202606.3</v>
      </c>
      <c r="J39" s="121">
        <v>6.17</v>
      </c>
      <c r="K39" s="25" t="s">
        <v>73</v>
      </c>
      <c r="L39" s="26" t="s">
        <v>5400</v>
      </c>
      <c r="M39" s="49" t="s">
        <v>5504</v>
      </c>
      <c r="N39" s="27" t="s">
        <v>5505</v>
      </c>
      <c r="O39" s="26"/>
      <c r="P39" s="53">
        <v>4</v>
      </c>
      <c r="Q39" s="32">
        <v>16</v>
      </c>
      <c r="R39" s="53">
        <v>269.64</v>
      </c>
      <c r="S39" s="26" t="s">
        <v>99</v>
      </c>
      <c r="T39" s="26" t="s">
        <v>100</v>
      </c>
      <c r="U39" s="26" t="s">
        <v>101</v>
      </c>
      <c r="V39" s="38" t="s">
        <v>5479</v>
      </c>
      <c r="W39" s="26" t="s">
        <v>103</v>
      </c>
      <c r="X39" s="26" t="s">
        <v>104</v>
      </c>
      <c r="Y39" s="26" t="s">
        <v>104</v>
      </c>
      <c r="Z39" s="26" t="s">
        <v>172</v>
      </c>
      <c r="AA39" s="26" t="s">
        <v>11</v>
      </c>
      <c r="AB39" s="30" t="s">
        <v>172</v>
      </c>
      <c r="AC39" s="49" t="s">
        <v>5300</v>
      </c>
      <c r="AD39" s="25" t="s">
        <v>174</v>
      </c>
      <c r="AE39" s="26" t="s">
        <v>175</v>
      </c>
      <c r="AF39" s="32">
        <f t="shared" si="5"/>
        <v>1</v>
      </c>
      <c r="AG39" s="32">
        <v>1</v>
      </c>
      <c r="AH39" s="32">
        <v>1</v>
      </c>
      <c r="AI39" s="32">
        <v>1</v>
      </c>
      <c r="AJ39" s="32"/>
      <c r="AK39" s="32"/>
      <c r="AL39" s="32">
        <f t="shared" si="4"/>
        <v>1</v>
      </c>
      <c r="AM39" s="32"/>
      <c r="AN39" s="32"/>
      <c r="AO39" s="32"/>
      <c r="AP39" s="32"/>
      <c r="AQ39" s="32">
        <v>1</v>
      </c>
      <c r="AR39" s="32"/>
      <c r="AS39" s="32"/>
      <c r="AT39" s="32">
        <v>1</v>
      </c>
      <c r="AU39" s="32"/>
      <c r="AW39" s="2" t="s">
        <v>5395</v>
      </c>
      <c r="AY39" s="75" t="s">
        <v>5474</v>
      </c>
    </row>
    <row r="40" spans="1:51" ht="16.5">
      <c r="A40" s="49" t="s">
        <v>5506</v>
      </c>
      <c r="B40" s="26" t="s">
        <v>160</v>
      </c>
      <c r="C40" s="26" t="s">
        <v>73</v>
      </c>
      <c r="D40" s="49" t="s">
        <v>5507</v>
      </c>
      <c r="E40" s="26" t="s">
        <v>162</v>
      </c>
      <c r="F40" s="49" t="s">
        <v>5508</v>
      </c>
      <c r="G40" s="49" t="s">
        <v>5509</v>
      </c>
      <c r="H40" s="49" t="s">
        <v>2915</v>
      </c>
      <c r="I40" s="38">
        <v>202606.3</v>
      </c>
      <c r="J40" s="121">
        <v>6.17</v>
      </c>
      <c r="K40" s="25" t="s">
        <v>73</v>
      </c>
      <c r="L40" s="26" t="s">
        <v>5398</v>
      </c>
      <c r="M40" s="49" t="s">
        <v>5510</v>
      </c>
      <c r="N40" s="27" t="s">
        <v>5511</v>
      </c>
      <c r="O40" s="26"/>
      <c r="P40" s="53">
        <v>4</v>
      </c>
      <c r="Q40" s="32">
        <v>16</v>
      </c>
      <c r="R40" s="53">
        <v>266.45999999999998</v>
      </c>
      <c r="S40" s="26" t="s">
        <v>99</v>
      </c>
      <c r="T40" s="26" t="s">
        <v>100</v>
      </c>
      <c r="U40" s="26" t="s">
        <v>101</v>
      </c>
      <c r="V40" s="38" t="s">
        <v>5479</v>
      </c>
      <c r="W40" s="26" t="s">
        <v>103</v>
      </c>
      <c r="X40" s="26" t="s">
        <v>104</v>
      </c>
      <c r="Y40" s="26" t="s">
        <v>104</v>
      </c>
      <c r="Z40" s="26" t="s">
        <v>172</v>
      </c>
      <c r="AA40" s="26" t="s">
        <v>11</v>
      </c>
      <c r="AB40" s="30" t="s">
        <v>172</v>
      </c>
      <c r="AC40" s="49" t="s">
        <v>5300</v>
      </c>
      <c r="AD40" s="25" t="s">
        <v>174</v>
      </c>
      <c r="AE40" s="26" t="s">
        <v>175</v>
      </c>
      <c r="AF40" s="32">
        <f t="shared" si="5"/>
        <v>1</v>
      </c>
      <c r="AG40" s="32">
        <v>1</v>
      </c>
      <c r="AH40" s="32">
        <v>1</v>
      </c>
      <c r="AI40" s="32">
        <v>1</v>
      </c>
      <c r="AJ40" s="32"/>
      <c r="AK40" s="32"/>
      <c r="AL40" s="32">
        <f t="shared" si="4"/>
        <v>1</v>
      </c>
      <c r="AM40" s="32"/>
      <c r="AN40" s="32"/>
      <c r="AO40" s="32"/>
      <c r="AP40" s="32"/>
      <c r="AQ40" s="32">
        <v>1</v>
      </c>
      <c r="AR40" s="32"/>
      <c r="AS40" s="32"/>
      <c r="AT40" s="32">
        <v>1</v>
      </c>
      <c r="AU40" s="32"/>
      <c r="AW40" s="2" t="s">
        <v>5465</v>
      </c>
      <c r="AY40" s="75" t="s">
        <v>5512</v>
      </c>
    </row>
    <row r="41" spans="1:51" ht="16.5">
      <c r="A41" s="49" t="s">
        <v>5513</v>
      </c>
      <c r="B41" s="26" t="s">
        <v>160</v>
      </c>
      <c r="C41" s="26" t="s">
        <v>73</v>
      </c>
      <c r="D41" s="49" t="s">
        <v>5499</v>
      </c>
      <c r="E41" s="49" t="s">
        <v>188</v>
      </c>
      <c r="F41" s="49" t="s">
        <v>5514</v>
      </c>
      <c r="G41" s="49" t="s">
        <v>5515</v>
      </c>
      <c r="H41" s="49" t="s">
        <v>5516</v>
      </c>
      <c r="I41" s="26">
        <v>202606.3</v>
      </c>
      <c r="J41" s="25">
        <v>6.17</v>
      </c>
      <c r="K41" s="25" t="s">
        <v>73</v>
      </c>
      <c r="L41" s="26" t="s">
        <v>5329</v>
      </c>
      <c r="M41" s="49" t="s">
        <v>5517</v>
      </c>
      <c r="N41" s="27" t="s">
        <v>5518</v>
      </c>
      <c r="O41" s="26"/>
      <c r="P41" s="53">
        <v>8</v>
      </c>
      <c r="Q41" s="32">
        <v>32</v>
      </c>
      <c r="R41" s="53">
        <v>283.47000000000003</v>
      </c>
      <c r="S41" s="26" t="s">
        <v>99</v>
      </c>
      <c r="T41" s="26" t="s">
        <v>100</v>
      </c>
      <c r="U41" s="26" t="s">
        <v>101</v>
      </c>
      <c r="V41" s="38" t="s">
        <v>5479</v>
      </c>
      <c r="W41" s="26" t="s">
        <v>103</v>
      </c>
      <c r="X41" s="26" t="s">
        <v>104</v>
      </c>
      <c r="Y41" s="26" t="s">
        <v>104</v>
      </c>
      <c r="Z41" s="26" t="s">
        <v>172</v>
      </c>
      <c r="AA41" s="26" t="s">
        <v>11</v>
      </c>
      <c r="AB41" s="30" t="s">
        <v>172</v>
      </c>
      <c r="AC41" s="49" t="s">
        <v>5300</v>
      </c>
      <c r="AD41" s="25" t="s">
        <v>174</v>
      </c>
      <c r="AE41" s="26" t="s">
        <v>175</v>
      </c>
      <c r="AF41" s="32">
        <f t="shared" si="5"/>
        <v>1</v>
      </c>
      <c r="AG41" s="32">
        <v>1</v>
      </c>
      <c r="AH41" s="32">
        <v>1</v>
      </c>
      <c r="AI41" s="32">
        <v>1</v>
      </c>
      <c r="AJ41" s="32"/>
      <c r="AK41" s="32"/>
      <c r="AL41" s="32">
        <f t="shared" si="4"/>
        <v>1</v>
      </c>
      <c r="AM41" s="32"/>
      <c r="AN41" s="32"/>
      <c r="AO41" s="32"/>
      <c r="AP41" s="32"/>
      <c r="AQ41" s="32">
        <v>1</v>
      </c>
      <c r="AR41" s="32"/>
      <c r="AS41" s="32"/>
      <c r="AT41" s="32">
        <v>1</v>
      </c>
      <c r="AU41" s="32"/>
      <c r="AW41" s="2" t="s">
        <v>5447</v>
      </c>
      <c r="AY41" s="75" t="s">
        <v>5519</v>
      </c>
    </row>
    <row r="42" spans="1:51" ht="16.5">
      <c r="A42" s="49" t="s">
        <v>5520</v>
      </c>
      <c r="B42" s="26" t="s">
        <v>160</v>
      </c>
      <c r="C42" s="26" t="s">
        <v>73</v>
      </c>
      <c r="D42" s="49" t="s">
        <v>5493</v>
      </c>
      <c r="E42" s="49" t="s">
        <v>188</v>
      </c>
      <c r="F42" s="49" t="s">
        <v>5521</v>
      </c>
      <c r="G42" s="49" t="s">
        <v>5522</v>
      </c>
      <c r="H42" s="49" t="s">
        <v>5516</v>
      </c>
      <c r="I42" s="26">
        <v>202606.3</v>
      </c>
      <c r="J42" s="25">
        <v>6.17</v>
      </c>
      <c r="K42" s="25" t="s">
        <v>73</v>
      </c>
      <c r="L42" s="26" t="s">
        <v>5327</v>
      </c>
      <c r="M42" s="49" t="s">
        <v>5523</v>
      </c>
      <c r="N42" s="27" t="s">
        <v>5524</v>
      </c>
      <c r="O42" s="26"/>
      <c r="P42" s="53">
        <v>8</v>
      </c>
      <c r="Q42" s="32">
        <v>32</v>
      </c>
      <c r="R42" s="53">
        <v>283.69</v>
      </c>
      <c r="S42" s="26" t="s">
        <v>99</v>
      </c>
      <c r="T42" s="26" t="s">
        <v>100</v>
      </c>
      <c r="U42" s="26" t="s">
        <v>101</v>
      </c>
      <c r="V42" s="38" t="s">
        <v>5479</v>
      </c>
      <c r="W42" s="26" t="s">
        <v>103</v>
      </c>
      <c r="X42" s="26" t="s">
        <v>104</v>
      </c>
      <c r="Y42" s="26" t="s">
        <v>104</v>
      </c>
      <c r="Z42" s="26" t="s">
        <v>172</v>
      </c>
      <c r="AA42" s="26" t="s">
        <v>11</v>
      </c>
      <c r="AB42" s="30" t="s">
        <v>172</v>
      </c>
      <c r="AC42" s="49" t="s">
        <v>5300</v>
      </c>
      <c r="AD42" s="25" t="s">
        <v>174</v>
      </c>
      <c r="AE42" s="26" t="s">
        <v>175</v>
      </c>
      <c r="AF42" s="32">
        <f t="shared" si="5"/>
        <v>1</v>
      </c>
      <c r="AG42" s="32">
        <v>1</v>
      </c>
      <c r="AH42" s="32">
        <v>1</v>
      </c>
      <c r="AI42" s="32">
        <v>1</v>
      </c>
      <c r="AJ42" s="32"/>
      <c r="AK42" s="32"/>
      <c r="AL42" s="32">
        <f t="shared" si="4"/>
        <v>1</v>
      </c>
      <c r="AM42" s="32"/>
      <c r="AN42" s="32"/>
      <c r="AO42" s="32"/>
      <c r="AP42" s="32"/>
      <c r="AQ42" s="32">
        <v>1</v>
      </c>
      <c r="AR42" s="32"/>
      <c r="AS42" s="32"/>
      <c r="AT42" s="32">
        <v>1</v>
      </c>
      <c r="AU42" s="32"/>
      <c r="AW42" s="2" t="s">
        <v>5297</v>
      </c>
      <c r="AY42" s="75" t="s">
        <v>1675</v>
      </c>
    </row>
    <row r="43" spans="1:51" ht="16.5">
      <c r="A43" s="49" t="s">
        <v>5525</v>
      </c>
      <c r="B43" s="26" t="s">
        <v>160</v>
      </c>
      <c r="C43" s="26" t="s">
        <v>73</v>
      </c>
      <c r="D43" s="49" t="s">
        <v>5519</v>
      </c>
      <c r="E43" s="49" t="s">
        <v>162</v>
      </c>
      <c r="F43" s="49" t="s">
        <v>5526</v>
      </c>
      <c r="G43" s="49" t="s">
        <v>5527</v>
      </c>
      <c r="H43" s="49" t="s">
        <v>5516</v>
      </c>
      <c r="I43" s="26">
        <v>202606.3</v>
      </c>
      <c r="J43" s="25">
        <v>6.17</v>
      </c>
      <c r="K43" s="25" t="s">
        <v>73</v>
      </c>
      <c r="L43" s="26" t="s">
        <v>5380</v>
      </c>
      <c r="M43" s="49" t="s">
        <v>5528</v>
      </c>
      <c r="N43" s="27" t="s">
        <v>5529</v>
      </c>
      <c r="O43" s="26"/>
      <c r="P43" s="53">
        <v>4</v>
      </c>
      <c r="Q43" s="32">
        <v>16</v>
      </c>
      <c r="R43" s="53">
        <v>266.3</v>
      </c>
      <c r="S43" s="26" t="s">
        <v>99</v>
      </c>
      <c r="T43" s="26" t="s">
        <v>100</v>
      </c>
      <c r="U43" s="26" t="s">
        <v>101</v>
      </c>
      <c r="V43" s="38" t="s">
        <v>5479</v>
      </c>
      <c r="W43" s="26" t="s">
        <v>103</v>
      </c>
      <c r="X43" s="26" t="s">
        <v>104</v>
      </c>
      <c r="Y43" s="26" t="s">
        <v>104</v>
      </c>
      <c r="Z43" s="26" t="s">
        <v>172</v>
      </c>
      <c r="AA43" s="26" t="s">
        <v>11</v>
      </c>
      <c r="AB43" s="30" t="s">
        <v>172</v>
      </c>
      <c r="AC43" s="49" t="s">
        <v>5300</v>
      </c>
      <c r="AD43" s="25" t="s">
        <v>174</v>
      </c>
      <c r="AE43" s="26" t="s">
        <v>175</v>
      </c>
      <c r="AF43" s="32">
        <f t="shared" si="5"/>
        <v>1</v>
      </c>
      <c r="AG43" s="32">
        <v>1</v>
      </c>
      <c r="AH43" s="32">
        <v>1</v>
      </c>
      <c r="AI43" s="32">
        <v>1</v>
      </c>
      <c r="AJ43" s="32"/>
      <c r="AK43" s="32"/>
      <c r="AL43" s="32">
        <f t="shared" si="4"/>
        <v>1</v>
      </c>
      <c r="AM43" s="32"/>
      <c r="AN43" s="32"/>
      <c r="AO43" s="32"/>
      <c r="AP43" s="32"/>
      <c r="AQ43" s="32">
        <v>1</v>
      </c>
      <c r="AR43" s="32"/>
      <c r="AS43" s="32"/>
      <c r="AT43" s="32">
        <v>1</v>
      </c>
      <c r="AU43" s="32"/>
      <c r="AW43" s="2" t="s">
        <v>3728</v>
      </c>
      <c r="AY43" s="75" t="s">
        <v>5530</v>
      </c>
    </row>
    <row r="44" spans="1:51" ht="16.5">
      <c r="A44" s="49" t="s">
        <v>5531</v>
      </c>
      <c r="B44" s="26" t="s">
        <v>160</v>
      </c>
      <c r="C44" s="26" t="s">
        <v>73</v>
      </c>
      <c r="D44" s="49" t="s">
        <v>5532</v>
      </c>
      <c r="E44" s="49" t="s">
        <v>162</v>
      </c>
      <c r="F44" s="49" t="s">
        <v>5533</v>
      </c>
      <c r="G44" s="49" t="s">
        <v>5534</v>
      </c>
      <c r="H44" s="49" t="s">
        <v>5516</v>
      </c>
      <c r="I44" s="26">
        <v>202606.3</v>
      </c>
      <c r="J44" s="25">
        <v>6.17</v>
      </c>
      <c r="K44" s="25" t="s">
        <v>73</v>
      </c>
      <c r="L44" s="26" t="s">
        <v>5535</v>
      </c>
      <c r="M44" s="49" t="s">
        <v>5536</v>
      </c>
      <c r="N44" s="27" t="s">
        <v>5537</v>
      </c>
      <c r="O44" s="26"/>
      <c r="P44" s="53">
        <v>4</v>
      </c>
      <c r="Q44" s="32">
        <v>16</v>
      </c>
      <c r="R44" s="53">
        <v>266.29000000000002</v>
      </c>
      <c r="S44" s="26" t="s">
        <v>99</v>
      </c>
      <c r="T44" s="26" t="s">
        <v>100</v>
      </c>
      <c r="U44" s="26" t="s">
        <v>101</v>
      </c>
      <c r="V44" s="38" t="s">
        <v>5479</v>
      </c>
      <c r="W44" s="26" t="s">
        <v>103</v>
      </c>
      <c r="X44" s="26" t="s">
        <v>104</v>
      </c>
      <c r="Y44" s="26" t="s">
        <v>104</v>
      </c>
      <c r="Z44" s="26" t="s">
        <v>172</v>
      </c>
      <c r="AA44" s="26" t="s">
        <v>11</v>
      </c>
      <c r="AB44" s="30" t="s">
        <v>172</v>
      </c>
      <c r="AC44" s="49" t="s">
        <v>5300</v>
      </c>
      <c r="AD44" s="25" t="s">
        <v>174</v>
      </c>
      <c r="AE44" s="26" t="s">
        <v>175</v>
      </c>
      <c r="AF44" s="32">
        <f t="shared" si="5"/>
        <v>1</v>
      </c>
      <c r="AG44" s="32">
        <v>1</v>
      </c>
      <c r="AH44" s="32">
        <v>1</v>
      </c>
      <c r="AI44" s="32">
        <v>1</v>
      </c>
      <c r="AJ44" s="32"/>
      <c r="AK44" s="32"/>
      <c r="AL44" s="32">
        <f t="shared" si="4"/>
        <v>1</v>
      </c>
      <c r="AM44" s="32"/>
      <c r="AN44" s="32"/>
      <c r="AO44" s="32"/>
      <c r="AP44" s="32"/>
      <c r="AQ44" s="32">
        <v>1</v>
      </c>
      <c r="AR44" s="32"/>
      <c r="AS44" s="32"/>
      <c r="AT44" s="32">
        <v>1</v>
      </c>
      <c r="AU44" s="32"/>
      <c r="AW44" s="2" t="s">
        <v>3653</v>
      </c>
      <c r="AY44" s="75" t="s">
        <v>5488</v>
      </c>
    </row>
    <row r="45" spans="1:51" ht="16.5">
      <c r="A45" s="49" t="s">
        <v>5538</v>
      </c>
      <c r="B45" s="26" t="s">
        <v>160</v>
      </c>
      <c r="C45" s="26" t="s">
        <v>73</v>
      </c>
      <c r="D45" s="49" t="s">
        <v>5530</v>
      </c>
      <c r="E45" s="49" t="s">
        <v>188</v>
      </c>
      <c r="F45" s="49" t="s">
        <v>5539</v>
      </c>
      <c r="G45" s="49" t="s">
        <v>5540</v>
      </c>
      <c r="H45" s="49" t="s">
        <v>5516</v>
      </c>
      <c r="I45" s="26">
        <v>202606.3</v>
      </c>
      <c r="J45" s="25">
        <v>6.17</v>
      </c>
      <c r="K45" s="25" t="s">
        <v>73</v>
      </c>
      <c r="L45" s="26" t="s">
        <v>5383</v>
      </c>
      <c r="M45" s="49" t="s">
        <v>5541</v>
      </c>
      <c r="N45" s="27" t="s">
        <v>5542</v>
      </c>
      <c r="O45" s="26"/>
      <c r="P45" s="53">
        <v>8</v>
      </c>
      <c r="Q45" s="32">
        <v>32</v>
      </c>
      <c r="R45" s="53">
        <v>282.31</v>
      </c>
      <c r="S45" s="26" t="s">
        <v>99</v>
      </c>
      <c r="T45" s="26" t="s">
        <v>100</v>
      </c>
      <c r="U45" s="26" t="s">
        <v>101</v>
      </c>
      <c r="V45" s="38" t="s">
        <v>5479</v>
      </c>
      <c r="W45" s="26" t="s">
        <v>103</v>
      </c>
      <c r="X45" s="26" t="s">
        <v>104</v>
      </c>
      <c r="Y45" s="26" t="s">
        <v>104</v>
      </c>
      <c r="Z45" s="26" t="s">
        <v>172</v>
      </c>
      <c r="AA45" s="26" t="s">
        <v>11</v>
      </c>
      <c r="AB45" s="30" t="s">
        <v>172</v>
      </c>
      <c r="AC45" s="49" t="s">
        <v>5300</v>
      </c>
      <c r="AD45" s="25" t="s">
        <v>174</v>
      </c>
      <c r="AE45" s="26" t="s">
        <v>175</v>
      </c>
      <c r="AF45" s="32">
        <f t="shared" si="5"/>
        <v>1</v>
      </c>
      <c r="AG45" s="32">
        <v>1</v>
      </c>
      <c r="AH45" s="32">
        <v>1</v>
      </c>
      <c r="AI45" s="32">
        <v>1</v>
      </c>
      <c r="AJ45" s="32"/>
      <c r="AK45" s="32"/>
      <c r="AL45" s="32">
        <f t="shared" si="4"/>
        <v>1</v>
      </c>
      <c r="AM45" s="32"/>
      <c r="AN45" s="32"/>
      <c r="AO45" s="32"/>
      <c r="AP45" s="32"/>
      <c r="AQ45" s="32">
        <v>1</v>
      </c>
      <c r="AR45" s="32"/>
      <c r="AS45" s="32"/>
      <c r="AT45" s="32">
        <v>1</v>
      </c>
      <c r="AU45" s="32"/>
      <c r="AW45" s="2" t="s">
        <v>5543</v>
      </c>
      <c r="AY45" s="75" t="s">
        <v>5507</v>
      </c>
    </row>
    <row r="46" spans="1:51" ht="16.5">
      <c r="A46" s="49" t="s">
        <v>5544</v>
      </c>
      <c r="B46" s="26" t="s">
        <v>160</v>
      </c>
      <c r="C46" s="26" t="s">
        <v>73</v>
      </c>
      <c r="D46" s="49" t="s">
        <v>5545</v>
      </c>
      <c r="E46" s="49" t="s">
        <v>162</v>
      </c>
      <c r="F46" s="49" t="s">
        <v>5546</v>
      </c>
      <c r="G46" s="49" t="s">
        <v>5547</v>
      </c>
      <c r="H46" s="49" t="s">
        <v>5516</v>
      </c>
      <c r="I46" s="26">
        <v>202606.3</v>
      </c>
      <c r="J46" s="25">
        <v>6.17</v>
      </c>
      <c r="K46" s="25" t="s">
        <v>73</v>
      </c>
      <c r="L46" s="26" t="s">
        <v>5340</v>
      </c>
      <c r="M46" s="49" t="s">
        <v>5548</v>
      </c>
      <c r="N46" s="27" t="s">
        <v>5549</v>
      </c>
      <c r="O46" s="26"/>
      <c r="P46" s="53">
        <v>4</v>
      </c>
      <c r="Q46" s="32">
        <v>16</v>
      </c>
      <c r="R46" s="53">
        <v>266.22000000000003</v>
      </c>
      <c r="S46" s="26" t="s">
        <v>99</v>
      </c>
      <c r="T46" s="26" t="s">
        <v>100</v>
      </c>
      <c r="U46" s="26" t="s">
        <v>101</v>
      </c>
      <c r="V46" s="38" t="s">
        <v>5479</v>
      </c>
      <c r="W46" s="26" t="s">
        <v>103</v>
      </c>
      <c r="X46" s="26" t="s">
        <v>104</v>
      </c>
      <c r="Y46" s="26" t="s">
        <v>104</v>
      </c>
      <c r="Z46" s="26" t="s">
        <v>172</v>
      </c>
      <c r="AA46" s="26" t="s">
        <v>7</v>
      </c>
      <c r="AB46" s="30" t="s">
        <v>172</v>
      </c>
      <c r="AC46" s="49" t="s">
        <v>5300</v>
      </c>
      <c r="AD46" s="25" t="s">
        <v>174</v>
      </c>
      <c r="AE46" s="26" t="s">
        <v>175</v>
      </c>
      <c r="AF46" s="32">
        <f t="shared" si="5"/>
        <v>1</v>
      </c>
      <c r="AG46" s="32">
        <v>1</v>
      </c>
      <c r="AH46" s="32">
        <v>1</v>
      </c>
      <c r="AI46" s="32">
        <v>1</v>
      </c>
      <c r="AJ46" s="32"/>
      <c r="AK46" s="32"/>
      <c r="AL46" s="32">
        <f t="shared" si="4"/>
        <v>1</v>
      </c>
      <c r="AM46" s="32"/>
      <c r="AN46" s="32"/>
      <c r="AO46" s="32"/>
      <c r="AP46" s="32"/>
      <c r="AQ46" s="32">
        <v>1</v>
      </c>
      <c r="AR46" s="32"/>
      <c r="AS46" s="32"/>
      <c r="AT46" s="32">
        <v>1</v>
      </c>
      <c r="AU46" s="32"/>
      <c r="AW46" s="2" t="s">
        <v>5550</v>
      </c>
      <c r="AY46" s="75" t="s">
        <v>5501</v>
      </c>
    </row>
    <row r="47" spans="1:51" ht="16.5">
      <c r="A47" s="49" t="s">
        <v>5551</v>
      </c>
      <c r="B47" s="26" t="s">
        <v>160</v>
      </c>
      <c r="C47" s="26" t="s">
        <v>73</v>
      </c>
      <c r="D47" s="49" t="s">
        <v>5512</v>
      </c>
      <c r="E47" s="49" t="s">
        <v>162</v>
      </c>
      <c r="F47" s="49" t="s">
        <v>5552</v>
      </c>
      <c r="G47" s="49" t="s">
        <v>5553</v>
      </c>
      <c r="H47" s="49" t="s">
        <v>5516</v>
      </c>
      <c r="I47" s="26">
        <v>202606.3</v>
      </c>
      <c r="J47" s="25">
        <v>6.17</v>
      </c>
      <c r="K47" s="25" t="s">
        <v>73</v>
      </c>
      <c r="L47" s="26" t="s">
        <v>5377</v>
      </c>
      <c r="M47" s="49" t="s">
        <v>5554</v>
      </c>
      <c r="N47" s="27" t="s">
        <v>5555</v>
      </c>
      <c r="O47" s="26"/>
      <c r="P47" s="53">
        <v>4</v>
      </c>
      <c r="Q47" s="32">
        <v>16</v>
      </c>
      <c r="R47" s="53">
        <v>266.2</v>
      </c>
      <c r="S47" s="26" t="s">
        <v>99</v>
      </c>
      <c r="T47" s="26" t="s">
        <v>100</v>
      </c>
      <c r="U47" s="26" t="s">
        <v>101</v>
      </c>
      <c r="V47" s="38" t="s">
        <v>5479</v>
      </c>
      <c r="W47" s="26" t="s">
        <v>103</v>
      </c>
      <c r="X47" s="26" t="s">
        <v>104</v>
      </c>
      <c r="Y47" s="26" t="s">
        <v>104</v>
      </c>
      <c r="Z47" s="26" t="s">
        <v>172</v>
      </c>
      <c r="AA47" s="26" t="s">
        <v>11</v>
      </c>
      <c r="AB47" s="30" t="s">
        <v>172</v>
      </c>
      <c r="AC47" s="49" t="s">
        <v>5300</v>
      </c>
      <c r="AD47" s="25" t="s">
        <v>174</v>
      </c>
      <c r="AE47" s="26" t="s">
        <v>175</v>
      </c>
      <c r="AF47" s="32">
        <f t="shared" si="5"/>
        <v>1</v>
      </c>
      <c r="AG47" s="32">
        <v>1</v>
      </c>
      <c r="AH47" s="32">
        <v>1</v>
      </c>
      <c r="AI47" s="32">
        <v>1</v>
      </c>
      <c r="AJ47" s="32"/>
      <c r="AK47" s="32"/>
      <c r="AL47" s="32">
        <f t="shared" ref="AL47:AL59" si="6">IF(COUNTIF(AW:AW,"*"&amp;L47&amp;"*")&gt;0,1,0)</f>
        <v>1</v>
      </c>
      <c r="AM47" s="32"/>
      <c r="AN47" s="32"/>
      <c r="AO47" s="32"/>
      <c r="AP47" s="32"/>
      <c r="AQ47" s="32">
        <v>1</v>
      </c>
      <c r="AR47" s="32"/>
      <c r="AS47" s="32"/>
      <c r="AT47" s="32">
        <v>1</v>
      </c>
      <c r="AU47" s="32"/>
      <c r="AW47" s="2" t="s">
        <v>5556</v>
      </c>
      <c r="AY47" s="75" t="s">
        <v>5557</v>
      </c>
    </row>
    <row r="48" spans="1:51" ht="16.5">
      <c r="A48" s="49" t="s">
        <v>5558</v>
      </c>
      <c r="B48" s="26" t="s">
        <v>160</v>
      </c>
      <c r="C48" s="26" t="s">
        <v>73</v>
      </c>
      <c r="D48" s="49" t="s">
        <v>5557</v>
      </c>
      <c r="E48" s="49" t="s">
        <v>162</v>
      </c>
      <c r="F48" s="49" t="s">
        <v>5559</v>
      </c>
      <c r="G48" s="49" t="s">
        <v>5560</v>
      </c>
      <c r="H48" s="49" t="s">
        <v>5516</v>
      </c>
      <c r="I48" s="26">
        <v>202606.3</v>
      </c>
      <c r="J48" s="25">
        <v>6.17</v>
      </c>
      <c r="K48" s="25" t="s">
        <v>73</v>
      </c>
      <c r="L48" s="26" t="s">
        <v>5407</v>
      </c>
      <c r="M48" s="49" t="s">
        <v>5561</v>
      </c>
      <c r="N48" s="27" t="s">
        <v>5562</v>
      </c>
      <c r="O48" s="26"/>
      <c r="P48" s="53">
        <v>4</v>
      </c>
      <c r="Q48" s="32">
        <v>16</v>
      </c>
      <c r="R48" s="53">
        <v>266.2</v>
      </c>
      <c r="S48" s="26" t="s">
        <v>99</v>
      </c>
      <c r="T48" s="26" t="s">
        <v>100</v>
      </c>
      <c r="U48" s="26" t="s">
        <v>101</v>
      </c>
      <c r="V48" s="38" t="s">
        <v>5479</v>
      </c>
      <c r="W48" s="26" t="s">
        <v>103</v>
      </c>
      <c r="X48" s="26" t="s">
        <v>104</v>
      </c>
      <c r="Y48" s="26" t="s">
        <v>104</v>
      </c>
      <c r="Z48" s="26" t="s">
        <v>172</v>
      </c>
      <c r="AA48" s="26" t="s">
        <v>11</v>
      </c>
      <c r="AB48" s="30" t="s">
        <v>172</v>
      </c>
      <c r="AC48" s="49" t="s">
        <v>5300</v>
      </c>
      <c r="AD48" s="25" t="s">
        <v>174</v>
      </c>
      <c r="AE48" s="26" t="s">
        <v>175</v>
      </c>
      <c r="AF48" s="32">
        <f t="shared" si="5"/>
        <v>1</v>
      </c>
      <c r="AG48" s="32">
        <v>1</v>
      </c>
      <c r="AH48" s="32">
        <v>1</v>
      </c>
      <c r="AI48" s="32">
        <v>1</v>
      </c>
      <c r="AJ48" s="32"/>
      <c r="AK48" s="32"/>
      <c r="AL48" s="32">
        <f t="shared" si="6"/>
        <v>1</v>
      </c>
      <c r="AM48" s="32"/>
      <c r="AN48" s="32"/>
      <c r="AO48" s="32"/>
      <c r="AP48" s="32"/>
      <c r="AQ48" s="32">
        <v>1</v>
      </c>
      <c r="AR48" s="32"/>
      <c r="AS48" s="32"/>
      <c r="AT48" s="32">
        <v>1</v>
      </c>
      <c r="AU48" s="32"/>
      <c r="AW48" s="2" t="s">
        <v>5563</v>
      </c>
      <c r="AY48" s="75" t="s">
        <v>5564</v>
      </c>
    </row>
    <row r="49" spans="1:51" ht="16.5">
      <c r="A49" s="49" t="s">
        <v>5565</v>
      </c>
      <c r="B49" s="26" t="s">
        <v>160</v>
      </c>
      <c r="C49" s="26" t="s">
        <v>73</v>
      </c>
      <c r="D49" s="49" t="s">
        <v>5566</v>
      </c>
      <c r="E49" s="49" t="s">
        <v>162</v>
      </c>
      <c r="F49" s="49" t="s">
        <v>5567</v>
      </c>
      <c r="G49" s="49" t="s">
        <v>5568</v>
      </c>
      <c r="H49" s="49" t="s">
        <v>5516</v>
      </c>
      <c r="I49" s="26">
        <v>202606.3</v>
      </c>
      <c r="J49" s="25">
        <v>6.17</v>
      </c>
      <c r="K49" s="25" t="s">
        <v>73</v>
      </c>
      <c r="L49" s="26" t="s">
        <v>5569</v>
      </c>
      <c r="M49" s="49" t="s">
        <v>5570</v>
      </c>
      <c r="N49" s="27" t="s">
        <v>5571</v>
      </c>
      <c r="O49" s="26"/>
      <c r="P49" s="53">
        <v>4</v>
      </c>
      <c r="Q49" s="32">
        <v>16</v>
      </c>
      <c r="R49" s="53">
        <v>266.20999999999998</v>
      </c>
      <c r="S49" s="26" t="s">
        <v>99</v>
      </c>
      <c r="T49" s="26" t="s">
        <v>100</v>
      </c>
      <c r="U49" s="26" t="s">
        <v>101</v>
      </c>
      <c r="V49" s="38" t="s">
        <v>5479</v>
      </c>
      <c r="W49" s="26" t="s">
        <v>103</v>
      </c>
      <c r="X49" s="26" t="s">
        <v>104</v>
      </c>
      <c r="Y49" s="26" t="s">
        <v>104</v>
      </c>
      <c r="Z49" s="26" t="s">
        <v>172</v>
      </c>
      <c r="AA49" s="26" t="s">
        <v>11</v>
      </c>
      <c r="AB49" s="30" t="s">
        <v>172</v>
      </c>
      <c r="AC49" s="49" t="s">
        <v>5300</v>
      </c>
      <c r="AD49" s="25" t="s">
        <v>174</v>
      </c>
      <c r="AE49" s="26" t="s">
        <v>175</v>
      </c>
      <c r="AF49" s="32">
        <f t="shared" si="5"/>
        <v>1</v>
      </c>
      <c r="AG49" s="32">
        <v>1</v>
      </c>
      <c r="AH49" s="32">
        <v>1</v>
      </c>
      <c r="AI49" s="32">
        <v>1</v>
      </c>
      <c r="AJ49" s="32"/>
      <c r="AK49" s="32"/>
      <c r="AL49" s="32">
        <f t="shared" si="6"/>
        <v>1</v>
      </c>
      <c r="AM49" s="32"/>
      <c r="AN49" s="32"/>
      <c r="AO49" s="32"/>
      <c r="AP49" s="32"/>
      <c r="AQ49" s="32">
        <v>1</v>
      </c>
      <c r="AR49" s="32"/>
      <c r="AS49" s="32"/>
      <c r="AT49" s="32">
        <v>1</v>
      </c>
      <c r="AU49" s="32"/>
      <c r="AW49" s="2" t="s">
        <v>5572</v>
      </c>
      <c r="AY49" s="75" t="s">
        <v>5573</v>
      </c>
    </row>
    <row r="50" spans="1:51" ht="16.5">
      <c r="A50" s="49" t="s">
        <v>5574</v>
      </c>
      <c r="B50" s="26" t="s">
        <v>160</v>
      </c>
      <c r="C50" s="26" t="s">
        <v>73</v>
      </c>
      <c r="D50" s="49" t="s">
        <v>5575</v>
      </c>
      <c r="E50" s="49" t="s">
        <v>162</v>
      </c>
      <c r="F50" s="49" t="s">
        <v>5576</v>
      </c>
      <c r="G50" s="49" t="s">
        <v>5577</v>
      </c>
      <c r="H50" s="49" t="s">
        <v>5516</v>
      </c>
      <c r="I50" s="26">
        <v>202606.3</v>
      </c>
      <c r="J50" s="25">
        <v>6.17</v>
      </c>
      <c r="K50" s="25" t="s">
        <v>73</v>
      </c>
      <c r="L50" s="26" t="s">
        <v>5578</v>
      </c>
      <c r="M50" s="49" t="s">
        <v>5579</v>
      </c>
      <c r="N50" s="27" t="s">
        <v>5580</v>
      </c>
      <c r="O50" s="26"/>
      <c r="P50" s="53">
        <v>4</v>
      </c>
      <c r="Q50" s="32">
        <v>16</v>
      </c>
      <c r="R50" s="53">
        <v>266.23</v>
      </c>
      <c r="S50" s="26" t="s">
        <v>99</v>
      </c>
      <c r="T50" s="26" t="s">
        <v>100</v>
      </c>
      <c r="U50" s="26" t="s">
        <v>101</v>
      </c>
      <c r="V50" s="38" t="s">
        <v>5479</v>
      </c>
      <c r="W50" s="26" t="s">
        <v>103</v>
      </c>
      <c r="X50" s="26" t="s">
        <v>104</v>
      </c>
      <c r="Y50" s="26" t="s">
        <v>104</v>
      </c>
      <c r="Z50" s="26" t="s">
        <v>172</v>
      </c>
      <c r="AA50" s="26" t="s">
        <v>11</v>
      </c>
      <c r="AB50" s="30" t="s">
        <v>172</v>
      </c>
      <c r="AC50" s="49" t="s">
        <v>5300</v>
      </c>
      <c r="AD50" s="25" t="s">
        <v>174</v>
      </c>
      <c r="AE50" s="26" t="s">
        <v>175</v>
      </c>
      <c r="AF50" s="32">
        <f t="shared" si="5"/>
        <v>1</v>
      </c>
      <c r="AG50" s="32">
        <v>1</v>
      </c>
      <c r="AH50" s="32">
        <v>1</v>
      </c>
      <c r="AI50" s="32">
        <v>1</v>
      </c>
      <c r="AJ50" s="32"/>
      <c r="AK50" s="32"/>
      <c r="AL50" s="32">
        <f t="shared" si="6"/>
        <v>1</v>
      </c>
      <c r="AM50" s="32"/>
      <c r="AN50" s="32"/>
      <c r="AO50" s="32"/>
      <c r="AP50" s="32"/>
      <c r="AQ50" s="32">
        <v>1</v>
      </c>
      <c r="AR50" s="32"/>
      <c r="AS50" s="32"/>
      <c r="AT50" s="32">
        <v>1</v>
      </c>
      <c r="AU50" s="32"/>
      <c r="AW50" s="2" t="s">
        <v>5581</v>
      </c>
      <c r="AY50" s="75" t="s">
        <v>5582</v>
      </c>
    </row>
    <row r="51" spans="1:51" ht="16.5">
      <c r="A51" s="49" t="s">
        <v>5583</v>
      </c>
      <c r="B51" s="26" t="s">
        <v>160</v>
      </c>
      <c r="C51" s="26" t="s">
        <v>73</v>
      </c>
      <c r="D51" s="49" t="s">
        <v>5584</v>
      </c>
      <c r="E51" s="49" t="s">
        <v>162</v>
      </c>
      <c r="F51" s="49" t="s">
        <v>5585</v>
      </c>
      <c r="G51" s="49" t="s">
        <v>5586</v>
      </c>
      <c r="H51" s="49" t="s">
        <v>5516</v>
      </c>
      <c r="I51" s="26">
        <v>202606.3</v>
      </c>
      <c r="J51" s="25">
        <v>6.17</v>
      </c>
      <c r="K51" s="25" t="s">
        <v>73</v>
      </c>
      <c r="L51" s="26" t="s">
        <v>5587</v>
      </c>
      <c r="M51" s="49" t="s">
        <v>5588</v>
      </c>
      <c r="N51" s="27" t="s">
        <v>5589</v>
      </c>
      <c r="O51" s="26"/>
      <c r="P51" s="53">
        <v>4</v>
      </c>
      <c r="Q51" s="32">
        <v>16</v>
      </c>
      <c r="R51" s="53">
        <v>266.31</v>
      </c>
      <c r="S51" s="26" t="s">
        <v>99</v>
      </c>
      <c r="T51" s="26" t="s">
        <v>100</v>
      </c>
      <c r="U51" s="26" t="s">
        <v>101</v>
      </c>
      <c r="V51" s="38" t="s">
        <v>5479</v>
      </c>
      <c r="W51" s="26" t="s">
        <v>103</v>
      </c>
      <c r="X51" s="26" t="s">
        <v>104</v>
      </c>
      <c r="Y51" s="26" t="s">
        <v>104</v>
      </c>
      <c r="Z51" s="26" t="s">
        <v>172</v>
      </c>
      <c r="AA51" s="26" t="s">
        <v>11</v>
      </c>
      <c r="AB51" s="30" t="s">
        <v>172</v>
      </c>
      <c r="AC51" s="49" t="s">
        <v>5300</v>
      </c>
      <c r="AD51" s="25" t="s">
        <v>174</v>
      </c>
      <c r="AE51" s="26" t="s">
        <v>175</v>
      </c>
      <c r="AF51" s="32">
        <f t="shared" si="5"/>
        <v>1</v>
      </c>
      <c r="AG51" s="32">
        <v>1</v>
      </c>
      <c r="AH51" s="32">
        <v>1</v>
      </c>
      <c r="AI51" s="32">
        <v>1</v>
      </c>
      <c r="AJ51" s="32"/>
      <c r="AK51" s="32"/>
      <c r="AL51" s="32">
        <f t="shared" si="6"/>
        <v>1</v>
      </c>
      <c r="AM51" s="32"/>
      <c r="AN51" s="32"/>
      <c r="AO51" s="32"/>
      <c r="AP51" s="32"/>
      <c r="AQ51" s="32">
        <v>1</v>
      </c>
      <c r="AR51" s="32"/>
      <c r="AS51" s="32"/>
      <c r="AT51" s="32">
        <v>1</v>
      </c>
      <c r="AU51" s="32"/>
      <c r="AW51" s="2" t="s">
        <v>5590</v>
      </c>
      <c r="AY51" s="75" t="s">
        <v>5591</v>
      </c>
    </row>
    <row r="52" spans="1:51" ht="16.5">
      <c r="A52" s="49" t="s">
        <v>5592</v>
      </c>
      <c r="B52" s="26" t="s">
        <v>160</v>
      </c>
      <c r="C52" s="26" t="s">
        <v>73</v>
      </c>
      <c r="D52" s="49" t="s">
        <v>5593</v>
      </c>
      <c r="E52" s="49" t="s">
        <v>162</v>
      </c>
      <c r="F52" s="49" t="s">
        <v>5594</v>
      </c>
      <c r="G52" s="49" t="s">
        <v>5595</v>
      </c>
      <c r="H52" s="49" t="s">
        <v>5516</v>
      </c>
      <c r="I52" s="26">
        <v>202606.3</v>
      </c>
      <c r="J52" s="25">
        <v>6.17</v>
      </c>
      <c r="K52" s="25" t="s">
        <v>73</v>
      </c>
      <c r="L52" s="26" t="s">
        <v>5596</v>
      </c>
      <c r="M52" s="49" t="s">
        <v>5597</v>
      </c>
      <c r="N52" s="27" t="s">
        <v>5598</v>
      </c>
      <c r="O52" s="26"/>
      <c r="P52" s="53">
        <v>4</v>
      </c>
      <c r="Q52" s="32">
        <v>16</v>
      </c>
      <c r="R52" s="53">
        <v>266.20999999999998</v>
      </c>
      <c r="S52" s="26" t="s">
        <v>99</v>
      </c>
      <c r="T52" s="26" t="s">
        <v>100</v>
      </c>
      <c r="U52" s="26" t="s">
        <v>101</v>
      </c>
      <c r="V52" s="38" t="s">
        <v>5479</v>
      </c>
      <c r="W52" s="26" t="s">
        <v>103</v>
      </c>
      <c r="X52" s="26" t="s">
        <v>104</v>
      </c>
      <c r="Y52" s="26" t="s">
        <v>104</v>
      </c>
      <c r="Z52" s="26" t="s">
        <v>172</v>
      </c>
      <c r="AA52" s="26" t="s">
        <v>11</v>
      </c>
      <c r="AB52" s="30" t="s">
        <v>172</v>
      </c>
      <c r="AC52" s="49" t="s">
        <v>5300</v>
      </c>
      <c r="AD52" s="25" t="s">
        <v>174</v>
      </c>
      <c r="AE52" s="26" t="s">
        <v>175</v>
      </c>
      <c r="AF52" s="32">
        <f t="shared" si="5"/>
        <v>1</v>
      </c>
      <c r="AG52" s="32">
        <v>1</v>
      </c>
      <c r="AH52" s="32">
        <v>1</v>
      </c>
      <c r="AI52" s="32">
        <v>1</v>
      </c>
      <c r="AJ52" s="32"/>
      <c r="AK52" s="32"/>
      <c r="AL52" s="32">
        <f t="shared" si="6"/>
        <v>1</v>
      </c>
      <c r="AM52" s="32"/>
      <c r="AN52" s="32"/>
      <c r="AO52" s="32"/>
      <c r="AP52" s="32"/>
      <c r="AQ52" s="32">
        <v>1</v>
      </c>
      <c r="AR52" s="32"/>
      <c r="AS52" s="32"/>
      <c r="AT52" s="32">
        <v>1</v>
      </c>
      <c r="AU52" s="32"/>
      <c r="AW52" s="2" t="s">
        <v>5599</v>
      </c>
      <c r="AY52" s="75" t="s">
        <v>5600</v>
      </c>
    </row>
    <row r="53" spans="1:51" ht="16.5">
      <c r="A53" s="49" t="s">
        <v>5601</v>
      </c>
      <c r="B53" s="26" t="s">
        <v>160</v>
      </c>
      <c r="C53" s="26" t="s">
        <v>73</v>
      </c>
      <c r="D53" s="49" t="s">
        <v>5602</v>
      </c>
      <c r="E53" s="49" t="s">
        <v>162</v>
      </c>
      <c r="F53" s="49" t="s">
        <v>5603</v>
      </c>
      <c r="G53" s="49" t="s">
        <v>5604</v>
      </c>
      <c r="H53" s="49" t="s">
        <v>5516</v>
      </c>
      <c r="I53" s="26">
        <v>202606.3</v>
      </c>
      <c r="J53" s="25">
        <v>6.17</v>
      </c>
      <c r="K53" s="25" t="s">
        <v>73</v>
      </c>
      <c r="L53" s="26" t="s">
        <v>5605</v>
      </c>
      <c r="M53" s="49" t="s">
        <v>5606</v>
      </c>
      <c r="N53" s="27" t="s">
        <v>5607</v>
      </c>
      <c r="O53" s="26"/>
      <c r="P53" s="53">
        <v>4</v>
      </c>
      <c r="Q53" s="32">
        <v>16</v>
      </c>
      <c r="R53" s="53">
        <v>266.20999999999998</v>
      </c>
      <c r="S53" s="26" t="s">
        <v>99</v>
      </c>
      <c r="T53" s="26" t="s">
        <v>100</v>
      </c>
      <c r="U53" s="26" t="s">
        <v>101</v>
      </c>
      <c r="V53" s="38" t="s">
        <v>5479</v>
      </c>
      <c r="W53" s="26" t="s">
        <v>103</v>
      </c>
      <c r="X53" s="26" t="s">
        <v>104</v>
      </c>
      <c r="Y53" s="26" t="s">
        <v>104</v>
      </c>
      <c r="Z53" s="26" t="s">
        <v>172</v>
      </c>
      <c r="AA53" s="26" t="s">
        <v>11</v>
      </c>
      <c r="AB53" s="30" t="s">
        <v>172</v>
      </c>
      <c r="AC53" s="49" t="s">
        <v>5300</v>
      </c>
      <c r="AD53" s="25" t="s">
        <v>174</v>
      </c>
      <c r="AE53" s="26" t="s">
        <v>175</v>
      </c>
      <c r="AF53" s="32">
        <f t="shared" si="5"/>
        <v>1</v>
      </c>
      <c r="AG53" s="32">
        <v>1</v>
      </c>
      <c r="AH53" s="32">
        <v>1</v>
      </c>
      <c r="AI53" s="32">
        <v>1</v>
      </c>
      <c r="AJ53" s="32"/>
      <c r="AK53" s="32"/>
      <c r="AL53" s="32">
        <f t="shared" si="6"/>
        <v>1</v>
      </c>
      <c r="AM53" s="32"/>
      <c r="AN53" s="32"/>
      <c r="AO53" s="32"/>
      <c r="AP53" s="32"/>
      <c r="AQ53" s="32">
        <v>1</v>
      </c>
      <c r="AR53" s="32"/>
      <c r="AS53" s="32"/>
      <c r="AT53" s="32">
        <v>1</v>
      </c>
      <c r="AU53" s="32"/>
      <c r="AW53" s="2" t="s">
        <v>5608</v>
      </c>
      <c r="AY53" s="75" t="s">
        <v>5609</v>
      </c>
    </row>
    <row r="54" spans="1:51" ht="16.5">
      <c r="A54" s="49" t="s">
        <v>5610</v>
      </c>
      <c r="B54" s="26" t="s">
        <v>160</v>
      </c>
      <c r="C54" s="26" t="s">
        <v>73</v>
      </c>
      <c r="D54" s="49" t="s">
        <v>5611</v>
      </c>
      <c r="E54" s="49" t="s">
        <v>162</v>
      </c>
      <c r="F54" s="49" t="s">
        <v>5612</v>
      </c>
      <c r="G54" s="49" t="s">
        <v>5613</v>
      </c>
      <c r="H54" s="49" t="s">
        <v>5516</v>
      </c>
      <c r="I54" s="26">
        <v>202606.3</v>
      </c>
      <c r="J54" s="25">
        <v>6.17</v>
      </c>
      <c r="K54" s="25" t="s">
        <v>73</v>
      </c>
      <c r="L54" s="26" t="s">
        <v>5614</v>
      </c>
      <c r="M54" s="49" t="s">
        <v>5615</v>
      </c>
      <c r="N54" s="27" t="s">
        <v>5616</v>
      </c>
      <c r="O54" s="26"/>
      <c r="P54" s="53">
        <v>4</v>
      </c>
      <c r="Q54" s="32">
        <v>16</v>
      </c>
      <c r="R54" s="53">
        <v>266.20999999999998</v>
      </c>
      <c r="S54" s="26" t="s">
        <v>99</v>
      </c>
      <c r="T54" s="26" t="s">
        <v>100</v>
      </c>
      <c r="U54" s="26" t="s">
        <v>101</v>
      </c>
      <c r="V54" s="38" t="s">
        <v>5479</v>
      </c>
      <c r="W54" s="26" t="s">
        <v>103</v>
      </c>
      <c r="X54" s="26" t="s">
        <v>104</v>
      </c>
      <c r="Y54" s="26" t="s">
        <v>104</v>
      </c>
      <c r="Z54" s="26" t="s">
        <v>172</v>
      </c>
      <c r="AA54" s="26" t="s">
        <v>11</v>
      </c>
      <c r="AB54" s="30" t="s">
        <v>172</v>
      </c>
      <c r="AC54" s="49" t="s">
        <v>5300</v>
      </c>
      <c r="AD54" s="25" t="s">
        <v>174</v>
      </c>
      <c r="AE54" s="26" t="s">
        <v>175</v>
      </c>
      <c r="AF54" s="32">
        <f t="shared" si="5"/>
        <v>1</v>
      </c>
      <c r="AG54" s="32">
        <v>1</v>
      </c>
      <c r="AH54" s="32">
        <v>1</v>
      </c>
      <c r="AI54" s="32">
        <v>1</v>
      </c>
      <c r="AJ54" s="32"/>
      <c r="AK54" s="32"/>
      <c r="AL54" s="32">
        <f t="shared" si="6"/>
        <v>1</v>
      </c>
      <c r="AM54" s="32"/>
      <c r="AN54" s="32"/>
      <c r="AO54" s="32"/>
      <c r="AP54" s="32"/>
      <c r="AQ54" s="32">
        <v>1</v>
      </c>
      <c r="AR54" s="32"/>
      <c r="AS54" s="32"/>
      <c r="AT54" s="32">
        <v>1</v>
      </c>
      <c r="AU54" s="32"/>
      <c r="AW54" s="2" t="s">
        <v>5617</v>
      </c>
      <c r="AY54" s="75" t="s">
        <v>5575</v>
      </c>
    </row>
    <row r="55" spans="1:51" ht="16.5">
      <c r="A55" s="49" t="s">
        <v>5618</v>
      </c>
      <c r="B55" s="26" t="s">
        <v>160</v>
      </c>
      <c r="C55" s="26" t="s">
        <v>73</v>
      </c>
      <c r="D55" s="49" t="s">
        <v>5619</v>
      </c>
      <c r="E55" s="49" t="s">
        <v>162</v>
      </c>
      <c r="F55" s="49" t="s">
        <v>5620</v>
      </c>
      <c r="G55" s="49" t="s">
        <v>5621</v>
      </c>
      <c r="H55" s="49" t="s">
        <v>5516</v>
      </c>
      <c r="I55" s="26">
        <v>202606.3</v>
      </c>
      <c r="J55" s="25">
        <v>6.17</v>
      </c>
      <c r="K55" s="25" t="s">
        <v>73</v>
      </c>
      <c r="L55" s="26" t="s">
        <v>5622</v>
      </c>
      <c r="M55" s="49" t="s">
        <v>5623</v>
      </c>
      <c r="N55" s="27" t="s">
        <v>5624</v>
      </c>
      <c r="O55" s="26"/>
      <c r="P55" s="53">
        <v>4</v>
      </c>
      <c r="Q55" s="32">
        <v>16</v>
      </c>
      <c r="R55" s="53">
        <v>266.22000000000003</v>
      </c>
      <c r="S55" s="26" t="s">
        <v>99</v>
      </c>
      <c r="T55" s="26" t="s">
        <v>100</v>
      </c>
      <c r="U55" s="26" t="s">
        <v>101</v>
      </c>
      <c r="V55" s="38" t="s">
        <v>5479</v>
      </c>
      <c r="W55" s="26" t="s">
        <v>103</v>
      </c>
      <c r="X55" s="26" t="s">
        <v>104</v>
      </c>
      <c r="Y55" s="26" t="s">
        <v>104</v>
      </c>
      <c r="Z55" s="26" t="s">
        <v>172</v>
      </c>
      <c r="AA55" s="26" t="s">
        <v>11</v>
      </c>
      <c r="AB55" s="30" t="s">
        <v>172</v>
      </c>
      <c r="AC55" s="49" t="s">
        <v>5300</v>
      </c>
      <c r="AD55" s="25" t="s">
        <v>174</v>
      </c>
      <c r="AE55" s="26" t="s">
        <v>175</v>
      </c>
      <c r="AF55" s="32">
        <f t="shared" si="5"/>
        <v>1</v>
      </c>
      <c r="AG55" s="32">
        <v>1</v>
      </c>
      <c r="AH55" s="32">
        <v>1</v>
      </c>
      <c r="AI55" s="32">
        <v>1</v>
      </c>
      <c r="AJ55" s="32"/>
      <c r="AK55" s="32"/>
      <c r="AL55" s="32">
        <f t="shared" si="6"/>
        <v>1</v>
      </c>
      <c r="AM55" s="32"/>
      <c r="AN55" s="32"/>
      <c r="AO55" s="32"/>
      <c r="AP55" s="32"/>
      <c r="AQ55" s="32"/>
      <c r="AR55" s="32"/>
      <c r="AS55" s="32"/>
      <c r="AT55" s="34" t="s">
        <v>1211</v>
      </c>
      <c r="AU55" s="34" t="s">
        <v>5492</v>
      </c>
      <c r="AW55" s="2" t="s">
        <v>5625</v>
      </c>
      <c r="AY55" s="75" t="s">
        <v>5532</v>
      </c>
    </row>
    <row r="56" spans="1:51" ht="16.5">
      <c r="A56" s="49" t="s">
        <v>5626</v>
      </c>
      <c r="B56" s="26" t="s">
        <v>160</v>
      </c>
      <c r="C56" s="26" t="s">
        <v>73</v>
      </c>
      <c r="D56" s="49" t="s">
        <v>5627</v>
      </c>
      <c r="E56" s="49" t="s">
        <v>162</v>
      </c>
      <c r="F56" s="49" t="s">
        <v>5628</v>
      </c>
      <c r="G56" s="49" t="s">
        <v>5629</v>
      </c>
      <c r="H56" s="49" t="s">
        <v>5516</v>
      </c>
      <c r="I56" s="26">
        <v>202606.3</v>
      </c>
      <c r="J56" s="25">
        <v>6.17</v>
      </c>
      <c r="K56" s="25" t="s">
        <v>73</v>
      </c>
      <c r="L56" s="26" t="s">
        <v>5630</v>
      </c>
      <c r="M56" s="49" t="s">
        <v>5631</v>
      </c>
      <c r="N56" s="27" t="s">
        <v>5632</v>
      </c>
      <c r="O56" s="26"/>
      <c r="P56" s="53">
        <v>4</v>
      </c>
      <c r="Q56" s="32">
        <v>16</v>
      </c>
      <c r="R56" s="53">
        <v>267.14999999999998</v>
      </c>
      <c r="S56" s="26" t="s">
        <v>99</v>
      </c>
      <c r="T56" s="26" t="s">
        <v>100</v>
      </c>
      <c r="U56" s="26" t="s">
        <v>101</v>
      </c>
      <c r="V56" s="38" t="s">
        <v>5479</v>
      </c>
      <c r="W56" s="26" t="s">
        <v>103</v>
      </c>
      <c r="X56" s="26" t="s">
        <v>104</v>
      </c>
      <c r="Y56" s="26" t="s">
        <v>104</v>
      </c>
      <c r="Z56" s="26" t="s">
        <v>172</v>
      </c>
      <c r="AA56" s="26" t="s">
        <v>11</v>
      </c>
      <c r="AB56" s="30" t="s">
        <v>172</v>
      </c>
      <c r="AC56" s="49" t="s">
        <v>5300</v>
      </c>
      <c r="AD56" s="25" t="s">
        <v>174</v>
      </c>
      <c r="AE56" s="26" t="s">
        <v>175</v>
      </c>
      <c r="AF56" s="32">
        <f t="shared" si="5"/>
        <v>1</v>
      </c>
      <c r="AG56" s="32">
        <v>1</v>
      </c>
      <c r="AH56" s="32">
        <v>1</v>
      </c>
      <c r="AI56" s="32">
        <v>1</v>
      </c>
      <c r="AJ56" s="32"/>
      <c r="AK56" s="32"/>
      <c r="AL56" s="32">
        <f t="shared" si="6"/>
        <v>1</v>
      </c>
      <c r="AM56" s="32"/>
      <c r="AN56" s="32"/>
      <c r="AO56" s="32"/>
      <c r="AP56" s="32"/>
      <c r="AQ56" s="32">
        <v>1</v>
      </c>
      <c r="AR56" s="32"/>
      <c r="AS56" s="32"/>
      <c r="AT56" s="32">
        <v>1</v>
      </c>
      <c r="AU56" s="32"/>
      <c r="AW56" s="2" t="s">
        <v>5633</v>
      </c>
      <c r="AY56" s="75" t="s">
        <v>5634</v>
      </c>
    </row>
    <row r="57" spans="1:51" ht="16.5">
      <c r="A57" s="49" t="s">
        <v>5635</v>
      </c>
      <c r="B57" s="26" t="s">
        <v>160</v>
      </c>
      <c r="C57" s="26" t="s">
        <v>73</v>
      </c>
      <c r="D57" s="49" t="s">
        <v>5636</v>
      </c>
      <c r="E57" s="49" t="s">
        <v>162</v>
      </c>
      <c r="F57" s="49" t="s">
        <v>5637</v>
      </c>
      <c r="G57" s="49" t="s">
        <v>5638</v>
      </c>
      <c r="H57" s="49" t="s">
        <v>5516</v>
      </c>
      <c r="I57" s="26">
        <v>202606.3</v>
      </c>
      <c r="J57" s="25">
        <v>6.17</v>
      </c>
      <c r="K57" s="25" t="s">
        <v>73</v>
      </c>
      <c r="L57" s="26" t="s">
        <v>5639</v>
      </c>
      <c r="M57" s="49" t="s">
        <v>5640</v>
      </c>
      <c r="N57" s="27" t="s">
        <v>5641</v>
      </c>
      <c r="O57" s="26"/>
      <c r="P57" s="53">
        <v>4</v>
      </c>
      <c r="Q57" s="32">
        <v>16</v>
      </c>
      <c r="R57" s="53">
        <v>267.14</v>
      </c>
      <c r="S57" s="26" t="s">
        <v>99</v>
      </c>
      <c r="T57" s="26" t="s">
        <v>100</v>
      </c>
      <c r="U57" s="26" t="s">
        <v>101</v>
      </c>
      <c r="V57" s="38" t="s">
        <v>5479</v>
      </c>
      <c r="W57" s="26" t="s">
        <v>103</v>
      </c>
      <c r="X57" s="26" t="s">
        <v>104</v>
      </c>
      <c r="Y57" s="26" t="s">
        <v>104</v>
      </c>
      <c r="Z57" s="26" t="s">
        <v>172</v>
      </c>
      <c r="AA57" s="26" t="s">
        <v>11</v>
      </c>
      <c r="AB57" s="30" t="s">
        <v>172</v>
      </c>
      <c r="AC57" s="49" t="s">
        <v>5300</v>
      </c>
      <c r="AD57" s="25" t="s">
        <v>174</v>
      </c>
      <c r="AE57" s="26" t="s">
        <v>175</v>
      </c>
      <c r="AF57" s="32">
        <f t="shared" si="5"/>
        <v>1</v>
      </c>
      <c r="AG57" s="32">
        <v>1</v>
      </c>
      <c r="AH57" s="32">
        <v>1</v>
      </c>
      <c r="AI57" s="32">
        <v>1</v>
      </c>
      <c r="AJ57" s="32"/>
      <c r="AK57" s="32"/>
      <c r="AL57" s="32">
        <f t="shared" si="6"/>
        <v>1</v>
      </c>
      <c r="AM57" s="32"/>
      <c r="AN57" s="32"/>
      <c r="AO57" s="32"/>
      <c r="AP57" s="32"/>
      <c r="AQ57" s="32">
        <v>1</v>
      </c>
      <c r="AR57" s="32"/>
      <c r="AS57" s="32"/>
      <c r="AT57" s="32">
        <v>1</v>
      </c>
      <c r="AU57" s="32"/>
      <c r="AW57" s="2" t="s">
        <v>5642</v>
      </c>
      <c r="AY57" s="75" t="s">
        <v>5643</v>
      </c>
    </row>
    <row r="58" spans="1:51" ht="16.5">
      <c r="A58" s="49" t="s">
        <v>5644</v>
      </c>
      <c r="B58" s="26" t="s">
        <v>160</v>
      </c>
      <c r="C58" s="26" t="s">
        <v>73</v>
      </c>
      <c r="D58" s="49" t="s">
        <v>5643</v>
      </c>
      <c r="E58" s="49" t="s">
        <v>162</v>
      </c>
      <c r="F58" s="49" t="s">
        <v>5645</v>
      </c>
      <c r="G58" s="49" t="s">
        <v>5646</v>
      </c>
      <c r="H58" s="49" t="s">
        <v>5516</v>
      </c>
      <c r="I58" s="26">
        <v>202606.3</v>
      </c>
      <c r="J58" s="25">
        <v>6.17</v>
      </c>
      <c r="K58" s="25" t="s">
        <v>73</v>
      </c>
      <c r="L58" s="26" t="s">
        <v>5647</v>
      </c>
      <c r="M58" s="49" t="s">
        <v>5648</v>
      </c>
      <c r="N58" s="27" t="s">
        <v>5649</v>
      </c>
      <c r="O58" s="26"/>
      <c r="P58" s="53">
        <v>4</v>
      </c>
      <c r="Q58" s="32">
        <v>16</v>
      </c>
      <c r="R58" s="53">
        <v>266.20999999999998</v>
      </c>
      <c r="S58" s="26" t="s">
        <v>99</v>
      </c>
      <c r="T58" s="26" t="s">
        <v>100</v>
      </c>
      <c r="U58" s="26" t="s">
        <v>101</v>
      </c>
      <c r="V58" s="38" t="s">
        <v>5479</v>
      </c>
      <c r="W58" s="26" t="s">
        <v>103</v>
      </c>
      <c r="X58" s="26" t="s">
        <v>104</v>
      </c>
      <c r="Y58" s="26" t="s">
        <v>104</v>
      </c>
      <c r="Z58" s="26" t="s">
        <v>172</v>
      </c>
      <c r="AA58" s="26" t="s">
        <v>11</v>
      </c>
      <c r="AB58" s="30" t="s">
        <v>172</v>
      </c>
      <c r="AC58" s="49" t="s">
        <v>5300</v>
      </c>
      <c r="AD58" s="25" t="s">
        <v>174</v>
      </c>
      <c r="AE58" s="26" t="s">
        <v>175</v>
      </c>
      <c r="AF58" s="32">
        <f t="shared" si="5"/>
        <v>1</v>
      </c>
      <c r="AG58" s="32">
        <v>1</v>
      </c>
      <c r="AH58" s="32">
        <v>1</v>
      </c>
      <c r="AI58" s="32">
        <v>1</v>
      </c>
      <c r="AJ58" s="32"/>
      <c r="AK58" s="32"/>
      <c r="AL58" s="32">
        <f t="shared" si="6"/>
        <v>1</v>
      </c>
      <c r="AM58" s="32"/>
      <c r="AN58" s="32"/>
      <c r="AO58" s="32"/>
      <c r="AP58" s="32"/>
      <c r="AQ58" s="32">
        <v>1</v>
      </c>
      <c r="AR58" s="32"/>
      <c r="AS58" s="32"/>
      <c r="AT58" s="32">
        <v>1</v>
      </c>
      <c r="AU58" s="32"/>
      <c r="AW58" s="2" t="s">
        <v>5650</v>
      </c>
      <c r="AY58" s="75" t="s">
        <v>5636</v>
      </c>
    </row>
    <row r="59" spans="1:51" ht="16.5">
      <c r="A59" s="49" t="s">
        <v>5651</v>
      </c>
      <c r="B59" s="26" t="s">
        <v>160</v>
      </c>
      <c r="C59" s="26" t="s">
        <v>73</v>
      </c>
      <c r="D59" s="49" t="s">
        <v>5634</v>
      </c>
      <c r="E59" s="49" t="s">
        <v>162</v>
      </c>
      <c r="F59" s="49" t="s">
        <v>5652</v>
      </c>
      <c r="G59" s="49" t="s">
        <v>5653</v>
      </c>
      <c r="H59" s="49" t="s">
        <v>5516</v>
      </c>
      <c r="I59" s="26">
        <v>202606.3</v>
      </c>
      <c r="J59" s="25">
        <v>6.17</v>
      </c>
      <c r="K59" s="25" t="s">
        <v>73</v>
      </c>
      <c r="L59" s="26" t="s">
        <v>5654</v>
      </c>
      <c r="M59" s="49" t="s">
        <v>5655</v>
      </c>
      <c r="N59" s="27" t="s">
        <v>5656</v>
      </c>
      <c r="O59" s="26"/>
      <c r="P59" s="53">
        <v>4</v>
      </c>
      <c r="Q59" s="32">
        <v>16</v>
      </c>
      <c r="R59" s="53">
        <v>266.22000000000003</v>
      </c>
      <c r="S59" s="26" t="s">
        <v>99</v>
      </c>
      <c r="T59" s="26" t="s">
        <v>100</v>
      </c>
      <c r="U59" s="26" t="s">
        <v>101</v>
      </c>
      <c r="V59" s="38" t="s">
        <v>5479</v>
      </c>
      <c r="W59" s="26" t="s">
        <v>103</v>
      </c>
      <c r="X59" s="26" t="s">
        <v>104</v>
      </c>
      <c r="Y59" s="26" t="s">
        <v>104</v>
      </c>
      <c r="Z59" s="26" t="s">
        <v>172</v>
      </c>
      <c r="AA59" s="26" t="s">
        <v>11</v>
      </c>
      <c r="AB59" s="30" t="s">
        <v>172</v>
      </c>
      <c r="AC59" s="49" t="s">
        <v>5300</v>
      </c>
      <c r="AD59" s="25" t="s">
        <v>174</v>
      </c>
      <c r="AE59" s="26" t="s">
        <v>175</v>
      </c>
      <c r="AF59" s="32">
        <f t="shared" si="5"/>
        <v>1</v>
      </c>
      <c r="AG59" s="32">
        <v>1</v>
      </c>
      <c r="AH59" s="32">
        <v>1</v>
      </c>
      <c r="AI59" s="32">
        <v>1</v>
      </c>
      <c r="AJ59" s="32"/>
      <c r="AK59" s="32"/>
      <c r="AL59" s="32">
        <f t="shared" si="6"/>
        <v>1</v>
      </c>
      <c r="AM59" s="32"/>
      <c r="AN59" s="32"/>
      <c r="AO59" s="32"/>
      <c r="AP59" s="32"/>
      <c r="AQ59" s="32">
        <v>1</v>
      </c>
      <c r="AR59" s="32"/>
      <c r="AS59" s="32"/>
      <c r="AT59" s="32">
        <v>1</v>
      </c>
      <c r="AU59" s="32"/>
      <c r="AW59" s="2" t="s">
        <v>5657</v>
      </c>
      <c r="AY59" s="75" t="s">
        <v>5627</v>
      </c>
    </row>
    <row r="60" spans="1:51" ht="16.5" hidden="1">
      <c r="A60" s="49" t="s">
        <v>5658</v>
      </c>
      <c r="B60" s="150" t="s">
        <v>160</v>
      </c>
      <c r="C60" s="150" t="s">
        <v>73</v>
      </c>
      <c r="D60" s="151" t="s">
        <v>5600</v>
      </c>
      <c r="E60" s="151" t="s">
        <v>162</v>
      </c>
      <c r="F60" s="49" t="s">
        <v>5659</v>
      </c>
      <c r="G60" s="151" t="s">
        <v>5660</v>
      </c>
      <c r="H60" s="151" t="s">
        <v>5516</v>
      </c>
      <c r="I60" s="26">
        <v>202606.3</v>
      </c>
      <c r="J60" s="34" t="s">
        <v>3213</v>
      </c>
      <c r="K60" s="152" t="s">
        <v>73</v>
      </c>
      <c r="L60" s="26" t="s">
        <v>5661</v>
      </c>
      <c r="M60" s="151" t="s">
        <v>5662</v>
      </c>
      <c r="N60" s="153" t="s">
        <v>5663</v>
      </c>
      <c r="O60" s="26"/>
      <c r="P60" s="53">
        <v>4</v>
      </c>
      <c r="Q60" s="32">
        <v>16</v>
      </c>
      <c r="R60" s="53">
        <v>266.22000000000003</v>
      </c>
      <c r="S60" s="26" t="s">
        <v>99</v>
      </c>
      <c r="T60" s="26" t="s">
        <v>100</v>
      </c>
      <c r="U60" s="26" t="s">
        <v>101</v>
      </c>
      <c r="V60" s="38" t="s">
        <v>5479</v>
      </c>
      <c r="W60" s="26" t="s">
        <v>103</v>
      </c>
      <c r="X60" s="26" t="s">
        <v>104</v>
      </c>
      <c r="Y60" s="26" t="s">
        <v>104</v>
      </c>
      <c r="Z60" s="26" t="s">
        <v>172</v>
      </c>
      <c r="AA60" s="26" t="s">
        <v>11</v>
      </c>
      <c r="AB60" s="30" t="s">
        <v>172</v>
      </c>
      <c r="AC60" s="49" t="s">
        <v>5300</v>
      </c>
      <c r="AD60" s="25" t="s">
        <v>174</v>
      </c>
      <c r="AE60" s="26" t="s">
        <v>175</v>
      </c>
      <c r="AF60" s="32">
        <f t="shared" si="5"/>
        <v>1</v>
      </c>
      <c r="AG60" s="32">
        <v>1</v>
      </c>
      <c r="AH60" s="32">
        <v>1</v>
      </c>
      <c r="AI60" s="32">
        <v>1</v>
      </c>
      <c r="AJ60" s="32"/>
      <c r="AK60" s="32"/>
      <c r="AL60" s="32">
        <f t="shared" ref="AL60:AL64" si="7">IF(COUNTIF(AW:AW,"*"&amp;M60&amp;"*")&gt;0,1,0)</f>
        <v>0</v>
      </c>
      <c r="AM60" s="32"/>
      <c r="AN60" s="32"/>
      <c r="AO60" s="32"/>
      <c r="AP60" s="32"/>
      <c r="AQ60" s="32"/>
      <c r="AR60" s="32"/>
      <c r="AS60" s="32"/>
      <c r="AT60" s="32"/>
      <c r="AU60" s="32"/>
      <c r="AW60" s="2" t="s">
        <v>5664</v>
      </c>
      <c r="AY60" s="75" t="s">
        <v>5619</v>
      </c>
    </row>
    <row r="61" spans="1:51" ht="16.5">
      <c r="A61" s="49" t="s">
        <v>5665</v>
      </c>
      <c r="B61" s="26" t="s">
        <v>160</v>
      </c>
      <c r="C61" s="26" t="s">
        <v>73</v>
      </c>
      <c r="D61" s="49" t="s">
        <v>5609</v>
      </c>
      <c r="E61" s="49" t="s">
        <v>162</v>
      </c>
      <c r="F61" s="49" t="s">
        <v>5666</v>
      </c>
      <c r="G61" s="49" t="s">
        <v>5667</v>
      </c>
      <c r="H61" s="49" t="s">
        <v>5516</v>
      </c>
      <c r="I61" s="26">
        <v>202606.3</v>
      </c>
      <c r="J61" s="25">
        <v>6.17</v>
      </c>
      <c r="K61" s="25" t="s">
        <v>73</v>
      </c>
      <c r="L61" s="26" t="s">
        <v>5668</v>
      </c>
      <c r="M61" s="49" t="s">
        <v>5669</v>
      </c>
      <c r="N61" s="27" t="s">
        <v>5670</v>
      </c>
      <c r="O61" s="26"/>
      <c r="P61" s="53">
        <v>4</v>
      </c>
      <c r="Q61" s="32">
        <v>16</v>
      </c>
      <c r="R61" s="53">
        <v>266.10000000000002</v>
      </c>
      <c r="S61" s="26" t="s">
        <v>99</v>
      </c>
      <c r="T61" s="26" t="s">
        <v>100</v>
      </c>
      <c r="U61" s="26" t="s">
        <v>101</v>
      </c>
      <c r="V61" s="38" t="s">
        <v>5479</v>
      </c>
      <c r="W61" s="26" t="s">
        <v>103</v>
      </c>
      <c r="X61" s="26" t="s">
        <v>104</v>
      </c>
      <c r="Y61" s="26" t="s">
        <v>104</v>
      </c>
      <c r="Z61" s="26" t="s">
        <v>172</v>
      </c>
      <c r="AA61" s="26" t="s">
        <v>11</v>
      </c>
      <c r="AB61" s="30" t="s">
        <v>172</v>
      </c>
      <c r="AC61" s="49" t="s">
        <v>5300</v>
      </c>
      <c r="AD61" s="25" t="s">
        <v>174</v>
      </c>
      <c r="AE61" s="26" t="s">
        <v>175</v>
      </c>
      <c r="AF61" s="32">
        <f t="shared" si="5"/>
        <v>1</v>
      </c>
      <c r="AG61" s="32">
        <v>1</v>
      </c>
      <c r="AH61" s="32">
        <v>1</v>
      </c>
      <c r="AI61" s="32">
        <v>1</v>
      </c>
      <c r="AJ61" s="32"/>
      <c r="AK61" s="32"/>
      <c r="AL61" s="32">
        <f>IF(COUNTIF(AW:AW,"*"&amp;L61&amp;"*")&gt;0,1,0)</f>
        <v>1</v>
      </c>
      <c r="AM61" s="32"/>
      <c r="AN61" s="32"/>
      <c r="AO61" s="32"/>
      <c r="AP61" s="32"/>
      <c r="AQ61" s="32">
        <v>1</v>
      </c>
      <c r="AR61" s="32"/>
      <c r="AS61" s="32"/>
      <c r="AT61" s="32">
        <v>1</v>
      </c>
      <c r="AU61" s="32"/>
      <c r="AW61" s="2" t="s">
        <v>5671</v>
      </c>
      <c r="AY61" s="75" t="s">
        <v>5611</v>
      </c>
    </row>
    <row r="62" spans="1:51" ht="16.5">
      <c r="A62" s="49" t="s">
        <v>5672</v>
      </c>
      <c r="B62" s="26" t="s">
        <v>160</v>
      </c>
      <c r="C62" s="26" t="s">
        <v>73</v>
      </c>
      <c r="D62" s="49" t="s">
        <v>5591</v>
      </c>
      <c r="E62" s="49" t="s">
        <v>162</v>
      </c>
      <c r="F62" s="49" t="s">
        <v>5673</v>
      </c>
      <c r="G62" s="49" t="s">
        <v>5674</v>
      </c>
      <c r="H62" s="49" t="s">
        <v>5516</v>
      </c>
      <c r="I62" s="26">
        <v>202606.3</v>
      </c>
      <c r="J62" s="25">
        <v>6.17</v>
      </c>
      <c r="K62" s="25" t="s">
        <v>73</v>
      </c>
      <c r="L62" s="26" t="s">
        <v>5675</v>
      </c>
      <c r="M62" s="49" t="s">
        <v>5676</v>
      </c>
      <c r="N62" s="27" t="s">
        <v>5677</v>
      </c>
      <c r="O62" s="26"/>
      <c r="P62" s="53">
        <v>4</v>
      </c>
      <c r="Q62" s="32">
        <v>16</v>
      </c>
      <c r="R62" s="53">
        <v>266.56</v>
      </c>
      <c r="S62" s="26" t="s">
        <v>99</v>
      </c>
      <c r="T62" s="26" t="s">
        <v>100</v>
      </c>
      <c r="U62" s="26" t="s">
        <v>101</v>
      </c>
      <c r="V62" s="38" t="s">
        <v>5479</v>
      </c>
      <c r="W62" s="26" t="s">
        <v>103</v>
      </c>
      <c r="X62" s="26" t="s">
        <v>104</v>
      </c>
      <c r="Y62" s="26" t="s">
        <v>104</v>
      </c>
      <c r="Z62" s="26" t="s">
        <v>172</v>
      </c>
      <c r="AA62" s="26" t="s">
        <v>11</v>
      </c>
      <c r="AB62" s="30" t="s">
        <v>172</v>
      </c>
      <c r="AC62" s="49" t="s">
        <v>5300</v>
      </c>
      <c r="AD62" s="25" t="s">
        <v>174</v>
      </c>
      <c r="AE62" s="26" t="s">
        <v>175</v>
      </c>
      <c r="AF62" s="32">
        <f t="shared" si="5"/>
        <v>1</v>
      </c>
      <c r="AG62" s="32">
        <v>1</v>
      </c>
      <c r="AH62" s="32">
        <v>1</v>
      </c>
      <c r="AI62" s="32">
        <v>1</v>
      </c>
      <c r="AJ62" s="32"/>
      <c r="AK62" s="32"/>
      <c r="AL62" s="32">
        <f>IF(COUNTIF(AW:AW,"*"&amp;L62&amp;"*")&gt;0,1,0)</f>
        <v>1</v>
      </c>
      <c r="AM62" s="32"/>
      <c r="AN62" s="32"/>
      <c r="AO62" s="32"/>
      <c r="AP62" s="32"/>
      <c r="AQ62" s="32">
        <v>1</v>
      </c>
      <c r="AR62" s="32"/>
      <c r="AS62" s="32"/>
      <c r="AT62" s="32">
        <v>1</v>
      </c>
      <c r="AU62" s="32"/>
      <c r="AW62" s="2" t="s">
        <v>5678</v>
      </c>
      <c r="AY62" s="75" t="s">
        <v>5602</v>
      </c>
    </row>
    <row r="63" spans="1:51" ht="16.5">
      <c r="A63" s="49" t="s">
        <v>5679</v>
      </c>
      <c r="B63" s="26" t="s">
        <v>160</v>
      </c>
      <c r="C63" s="26" t="s">
        <v>73</v>
      </c>
      <c r="D63" s="49" t="s">
        <v>5582</v>
      </c>
      <c r="E63" s="49" t="s">
        <v>162</v>
      </c>
      <c r="F63" s="49" t="s">
        <v>5680</v>
      </c>
      <c r="G63" s="49" t="s">
        <v>5681</v>
      </c>
      <c r="H63" s="49" t="s">
        <v>5516</v>
      </c>
      <c r="I63" s="26">
        <v>202606.3</v>
      </c>
      <c r="J63" s="25">
        <v>6.17</v>
      </c>
      <c r="K63" s="25" t="s">
        <v>73</v>
      </c>
      <c r="L63" s="26" t="s">
        <v>5682</v>
      </c>
      <c r="M63" s="49" t="s">
        <v>5683</v>
      </c>
      <c r="N63" s="27" t="s">
        <v>5684</v>
      </c>
      <c r="O63" s="26"/>
      <c r="P63" s="53">
        <v>4</v>
      </c>
      <c r="Q63" s="32">
        <v>16</v>
      </c>
      <c r="R63" s="53">
        <v>266.32</v>
      </c>
      <c r="S63" s="26" t="s">
        <v>99</v>
      </c>
      <c r="T63" s="26" t="s">
        <v>100</v>
      </c>
      <c r="U63" s="26" t="s">
        <v>101</v>
      </c>
      <c r="V63" s="38" t="s">
        <v>5479</v>
      </c>
      <c r="W63" s="26" t="s">
        <v>103</v>
      </c>
      <c r="X63" s="26" t="s">
        <v>104</v>
      </c>
      <c r="Y63" s="26" t="s">
        <v>104</v>
      </c>
      <c r="Z63" s="26" t="s">
        <v>172</v>
      </c>
      <c r="AA63" s="26" t="s">
        <v>11</v>
      </c>
      <c r="AB63" s="30" t="s">
        <v>172</v>
      </c>
      <c r="AC63" s="49" t="s">
        <v>5300</v>
      </c>
      <c r="AD63" s="25" t="s">
        <v>174</v>
      </c>
      <c r="AE63" s="26" t="s">
        <v>175</v>
      </c>
      <c r="AF63" s="32">
        <f t="shared" si="5"/>
        <v>1</v>
      </c>
      <c r="AG63" s="32">
        <v>1</v>
      </c>
      <c r="AH63" s="32">
        <v>1</v>
      </c>
      <c r="AI63" s="32">
        <v>1</v>
      </c>
      <c r="AJ63" s="32"/>
      <c r="AK63" s="32"/>
      <c r="AL63" s="32">
        <f>IF(COUNTIF(AW:AW,"*"&amp;L63&amp;"*")&gt;0,1,0)</f>
        <v>1</v>
      </c>
      <c r="AM63" s="32"/>
      <c r="AN63" s="32"/>
      <c r="AO63" s="32"/>
      <c r="AP63" s="32"/>
      <c r="AQ63" s="32">
        <v>1</v>
      </c>
      <c r="AR63" s="32"/>
      <c r="AS63" s="32"/>
      <c r="AT63" s="32">
        <v>1</v>
      </c>
      <c r="AU63" s="32"/>
      <c r="AW63" s="2" t="s">
        <v>5685</v>
      </c>
      <c r="AY63" s="75" t="s">
        <v>5593</v>
      </c>
    </row>
    <row r="64" spans="1:51" ht="16.5" hidden="1">
      <c r="A64" s="49" t="s">
        <v>5686</v>
      </c>
      <c r="B64" s="26" t="s">
        <v>160</v>
      </c>
      <c r="C64" s="26" t="s">
        <v>73</v>
      </c>
      <c r="D64" s="49" t="s">
        <v>5687</v>
      </c>
      <c r="E64" s="49" t="s">
        <v>162</v>
      </c>
      <c r="F64" s="49" t="s">
        <v>5688</v>
      </c>
      <c r="G64" s="49" t="s">
        <v>5689</v>
      </c>
      <c r="H64" s="49" t="s">
        <v>5516</v>
      </c>
      <c r="I64" s="26">
        <v>202606.3</v>
      </c>
      <c r="J64" s="34" t="s">
        <v>5690</v>
      </c>
      <c r="K64" s="25" t="s">
        <v>73</v>
      </c>
      <c r="L64" s="26" t="s">
        <v>5691</v>
      </c>
      <c r="M64" s="49" t="s">
        <v>5692</v>
      </c>
      <c r="N64" s="27" t="s">
        <v>5693</v>
      </c>
      <c r="O64" s="26"/>
      <c r="P64" s="53">
        <v>4</v>
      </c>
      <c r="Q64" s="32">
        <v>16</v>
      </c>
      <c r="R64" s="53">
        <v>267.14999999999998</v>
      </c>
      <c r="S64" s="26" t="s">
        <v>99</v>
      </c>
      <c r="T64" s="26" t="s">
        <v>100</v>
      </c>
      <c r="U64" s="26" t="s">
        <v>101</v>
      </c>
      <c r="V64" s="38" t="s">
        <v>5479</v>
      </c>
      <c r="W64" s="26" t="s">
        <v>103</v>
      </c>
      <c r="X64" s="26" t="s">
        <v>104</v>
      </c>
      <c r="Y64" s="26" t="s">
        <v>104</v>
      </c>
      <c r="Z64" s="26" t="s">
        <v>172</v>
      </c>
      <c r="AA64" s="26" t="s">
        <v>7</v>
      </c>
      <c r="AB64" s="30" t="s">
        <v>172</v>
      </c>
      <c r="AC64" s="49" t="s">
        <v>5300</v>
      </c>
      <c r="AD64" s="25" t="s">
        <v>174</v>
      </c>
      <c r="AE64" s="26" t="s">
        <v>175</v>
      </c>
      <c r="AF64" s="32">
        <f t="shared" si="5"/>
        <v>1</v>
      </c>
      <c r="AG64" s="34" t="s">
        <v>5690</v>
      </c>
      <c r="AH64" s="32"/>
      <c r="AI64" s="32"/>
      <c r="AJ64" s="32"/>
      <c r="AK64" s="32"/>
      <c r="AL64" s="32">
        <f t="shared" si="7"/>
        <v>0</v>
      </c>
      <c r="AM64" s="32"/>
      <c r="AN64" s="32"/>
      <c r="AO64" s="32"/>
      <c r="AP64" s="32"/>
      <c r="AQ64" s="32"/>
      <c r="AR64" s="32"/>
      <c r="AS64" s="32"/>
      <c r="AT64" s="32"/>
      <c r="AU64" s="32"/>
      <c r="AW64" s="2" t="s">
        <v>5694</v>
      </c>
      <c r="AY64" s="75" t="s">
        <v>5584</v>
      </c>
    </row>
    <row r="65" spans="1:51" ht="16.5">
      <c r="A65" s="49" t="s">
        <v>5695</v>
      </c>
      <c r="B65" s="26" t="s">
        <v>160</v>
      </c>
      <c r="C65" s="26" t="s">
        <v>73</v>
      </c>
      <c r="D65" s="49" t="s">
        <v>5573</v>
      </c>
      <c r="E65" s="49" t="s">
        <v>162</v>
      </c>
      <c r="F65" s="49" t="s">
        <v>5696</v>
      </c>
      <c r="G65" s="49" t="s">
        <v>5697</v>
      </c>
      <c r="H65" s="49" t="s">
        <v>5516</v>
      </c>
      <c r="I65" s="26">
        <v>202606.3</v>
      </c>
      <c r="J65" s="25">
        <v>6.17</v>
      </c>
      <c r="K65" s="25" t="s">
        <v>73</v>
      </c>
      <c r="L65" s="26" t="s">
        <v>5698</v>
      </c>
      <c r="M65" s="49" t="s">
        <v>5699</v>
      </c>
      <c r="N65" s="27" t="s">
        <v>5700</v>
      </c>
      <c r="O65" s="26"/>
      <c r="P65" s="53">
        <v>4</v>
      </c>
      <c r="Q65" s="32">
        <v>16</v>
      </c>
      <c r="R65" s="53">
        <v>266.81</v>
      </c>
      <c r="S65" s="26" t="s">
        <v>99</v>
      </c>
      <c r="T65" s="26" t="s">
        <v>100</v>
      </c>
      <c r="U65" s="26" t="s">
        <v>101</v>
      </c>
      <c r="V65" s="38" t="s">
        <v>5479</v>
      </c>
      <c r="W65" s="26" t="s">
        <v>103</v>
      </c>
      <c r="X65" s="26" t="s">
        <v>104</v>
      </c>
      <c r="Y65" s="26" t="s">
        <v>104</v>
      </c>
      <c r="Z65" s="26" t="s">
        <v>172</v>
      </c>
      <c r="AA65" s="26" t="s">
        <v>11</v>
      </c>
      <c r="AB65" s="30" t="s">
        <v>172</v>
      </c>
      <c r="AC65" s="49" t="s">
        <v>5300</v>
      </c>
      <c r="AD65" s="25" t="s">
        <v>174</v>
      </c>
      <c r="AE65" s="26" t="s">
        <v>175</v>
      </c>
      <c r="AF65" s="32">
        <f t="shared" si="5"/>
        <v>1</v>
      </c>
      <c r="AG65" s="32">
        <v>1</v>
      </c>
      <c r="AH65" s="32">
        <v>1</v>
      </c>
      <c r="AI65" s="32">
        <v>1</v>
      </c>
      <c r="AJ65" s="32"/>
      <c r="AK65" s="32"/>
      <c r="AL65" s="32">
        <f>IF(COUNTIF(AW:AW,"*"&amp;L65&amp;"*")&gt;0,1,0)</f>
        <v>1</v>
      </c>
      <c r="AM65" s="32"/>
      <c r="AN65" s="32"/>
      <c r="AO65" s="32"/>
      <c r="AP65" s="32"/>
      <c r="AQ65" s="32">
        <v>1</v>
      </c>
      <c r="AR65" s="32"/>
      <c r="AS65" s="32"/>
      <c r="AT65" s="32">
        <v>1</v>
      </c>
      <c r="AU65" s="32"/>
      <c r="AW65" s="2" t="s">
        <v>5701</v>
      </c>
      <c r="AY65" s="75" t="s">
        <v>5566</v>
      </c>
    </row>
    <row r="66" spans="1:51" ht="16.5">
      <c r="A66" s="49" t="s">
        <v>5702</v>
      </c>
      <c r="B66" s="26" t="s">
        <v>160</v>
      </c>
      <c r="C66" s="26" t="s">
        <v>73</v>
      </c>
      <c r="D66" s="49" t="s">
        <v>5564</v>
      </c>
      <c r="E66" s="49" t="s">
        <v>162</v>
      </c>
      <c r="F66" s="49" t="s">
        <v>5703</v>
      </c>
      <c r="G66" s="49" t="s">
        <v>5704</v>
      </c>
      <c r="H66" s="49" t="s">
        <v>5516</v>
      </c>
      <c r="I66" s="26">
        <v>202606.3</v>
      </c>
      <c r="J66" s="25">
        <v>6.17</v>
      </c>
      <c r="K66" s="25" t="s">
        <v>73</v>
      </c>
      <c r="L66" s="26" t="s">
        <v>5705</v>
      </c>
      <c r="M66" s="49" t="s">
        <v>5706</v>
      </c>
      <c r="N66" s="27" t="s">
        <v>5707</v>
      </c>
      <c r="O66" s="26"/>
      <c r="P66" s="53">
        <v>4</v>
      </c>
      <c r="Q66" s="32">
        <v>16</v>
      </c>
      <c r="R66" s="53">
        <v>267.12</v>
      </c>
      <c r="S66" s="26" t="s">
        <v>99</v>
      </c>
      <c r="T66" s="26" t="s">
        <v>100</v>
      </c>
      <c r="U66" s="26" t="s">
        <v>101</v>
      </c>
      <c r="V66" s="38" t="s">
        <v>5479</v>
      </c>
      <c r="W66" s="26" t="s">
        <v>103</v>
      </c>
      <c r="X66" s="26" t="s">
        <v>104</v>
      </c>
      <c r="Y66" s="26" t="s">
        <v>104</v>
      </c>
      <c r="Z66" s="26" t="s">
        <v>172</v>
      </c>
      <c r="AA66" s="26" t="s">
        <v>11</v>
      </c>
      <c r="AB66" s="30" t="s">
        <v>172</v>
      </c>
      <c r="AC66" s="49" t="s">
        <v>5300</v>
      </c>
      <c r="AD66" s="25" t="s">
        <v>174</v>
      </c>
      <c r="AE66" s="26" t="s">
        <v>175</v>
      </c>
      <c r="AF66" s="32">
        <f t="shared" si="5"/>
        <v>1</v>
      </c>
      <c r="AG66" s="32">
        <v>1</v>
      </c>
      <c r="AH66" s="32">
        <v>1</v>
      </c>
      <c r="AI66" s="32">
        <v>1</v>
      </c>
      <c r="AJ66" s="32"/>
      <c r="AK66" s="32"/>
      <c r="AL66" s="32">
        <f>IF(COUNTIF(AW:AW,"*"&amp;L66&amp;"*")&gt;0,1,0)</f>
        <v>1</v>
      </c>
      <c r="AM66" s="32"/>
      <c r="AN66" s="32"/>
      <c r="AO66" s="32"/>
      <c r="AP66" s="32"/>
      <c r="AQ66" s="32">
        <v>1</v>
      </c>
      <c r="AR66" s="32"/>
      <c r="AS66" s="32"/>
      <c r="AT66" s="32">
        <v>1</v>
      </c>
      <c r="AU66" s="32"/>
      <c r="AW66" s="2" t="s">
        <v>5708</v>
      </c>
      <c r="AY66" s="75" t="s">
        <v>4738</v>
      </c>
    </row>
    <row r="67" spans="1:51" ht="16.5" hidden="1">
      <c r="A67" s="49" t="s">
        <v>5709</v>
      </c>
      <c r="B67" s="150" t="s">
        <v>160</v>
      </c>
      <c r="C67" s="150" t="s">
        <v>73</v>
      </c>
      <c r="D67" s="151" t="s">
        <v>5710</v>
      </c>
      <c r="E67" s="151" t="s">
        <v>162</v>
      </c>
      <c r="F67" s="49" t="s">
        <v>5711</v>
      </c>
      <c r="G67" s="151" t="s">
        <v>5712</v>
      </c>
      <c r="H67" s="151" t="s">
        <v>5516</v>
      </c>
      <c r="I67" s="26">
        <v>202606.3</v>
      </c>
      <c r="J67" s="34" t="s">
        <v>3213</v>
      </c>
      <c r="K67" s="152" t="s">
        <v>73</v>
      </c>
      <c r="L67" s="26" t="s">
        <v>5713</v>
      </c>
      <c r="M67" s="151" t="s">
        <v>5714</v>
      </c>
      <c r="N67" s="153" t="s">
        <v>5715</v>
      </c>
      <c r="O67" s="26"/>
      <c r="P67" s="53">
        <v>4</v>
      </c>
      <c r="Q67" s="32">
        <v>16</v>
      </c>
      <c r="R67" s="53">
        <v>266.36</v>
      </c>
      <c r="S67" s="26" t="s">
        <v>99</v>
      </c>
      <c r="T67" s="26" t="s">
        <v>100</v>
      </c>
      <c r="U67" s="26" t="s">
        <v>101</v>
      </c>
      <c r="V67" s="26" t="s">
        <v>5716</v>
      </c>
      <c r="W67" s="26" t="s">
        <v>103</v>
      </c>
      <c r="X67" s="26" t="s">
        <v>104</v>
      </c>
      <c r="Y67" s="26" t="s">
        <v>104</v>
      </c>
      <c r="Z67" s="26" t="s">
        <v>172</v>
      </c>
      <c r="AA67" s="26" t="s">
        <v>13</v>
      </c>
      <c r="AB67" s="30" t="s">
        <v>172</v>
      </c>
      <c r="AC67" s="49" t="s">
        <v>5300</v>
      </c>
      <c r="AD67" s="25" t="s">
        <v>174</v>
      </c>
      <c r="AE67" s="26" t="s">
        <v>175</v>
      </c>
      <c r="AF67" s="32">
        <f t="shared" ref="AF67:AF86" si="8">IF(COUNTIF(AY:AY,D67)&gt;0,1,0)</f>
        <v>1</v>
      </c>
      <c r="AG67" s="32">
        <v>1</v>
      </c>
      <c r="AH67" s="32">
        <v>1</v>
      </c>
      <c r="AI67" s="32">
        <v>1</v>
      </c>
      <c r="AJ67" s="32"/>
      <c r="AK67" s="32"/>
      <c r="AL67" s="32">
        <f t="shared" ref="AL67" si="9">IF(COUNTIF(AW:AW,"*"&amp;M67&amp;"*")&gt;0,1,0)</f>
        <v>0</v>
      </c>
      <c r="AM67" s="32"/>
      <c r="AN67" s="32"/>
      <c r="AO67" s="32"/>
      <c r="AP67" s="32"/>
      <c r="AQ67" s="32"/>
      <c r="AR67" s="32"/>
      <c r="AS67" s="32"/>
      <c r="AT67" s="32"/>
      <c r="AU67" s="32"/>
      <c r="AW67" s="2" t="s">
        <v>5717</v>
      </c>
      <c r="AY67" s="75" t="s">
        <v>5718</v>
      </c>
    </row>
    <row r="68" spans="1:51" ht="16.5">
      <c r="A68" s="49" t="s">
        <v>5719</v>
      </c>
      <c r="B68" s="26" t="s">
        <v>160</v>
      </c>
      <c r="C68" s="26" t="s">
        <v>73</v>
      </c>
      <c r="D68" s="49" t="s">
        <v>5720</v>
      </c>
      <c r="E68" s="49" t="s">
        <v>162</v>
      </c>
      <c r="F68" s="49" t="s">
        <v>5721</v>
      </c>
      <c r="G68" s="49" t="s">
        <v>5722</v>
      </c>
      <c r="H68" s="49" t="s">
        <v>5516</v>
      </c>
      <c r="I68" s="26">
        <v>202606.3</v>
      </c>
      <c r="J68" s="25">
        <v>6.17</v>
      </c>
      <c r="K68" s="25" t="s">
        <v>73</v>
      </c>
      <c r="L68" s="26" t="s">
        <v>5608</v>
      </c>
      <c r="M68" s="49" t="s">
        <v>5723</v>
      </c>
      <c r="N68" s="27" t="s">
        <v>5724</v>
      </c>
      <c r="O68" s="26"/>
      <c r="P68" s="53">
        <v>4</v>
      </c>
      <c r="Q68" s="32">
        <v>16</v>
      </c>
      <c r="R68" s="53">
        <v>267.08</v>
      </c>
      <c r="S68" s="26" t="s">
        <v>99</v>
      </c>
      <c r="T68" s="26" t="s">
        <v>100</v>
      </c>
      <c r="U68" s="26" t="s">
        <v>101</v>
      </c>
      <c r="V68" s="26" t="s">
        <v>5716</v>
      </c>
      <c r="W68" s="26" t="s">
        <v>103</v>
      </c>
      <c r="X68" s="26" t="s">
        <v>104</v>
      </c>
      <c r="Y68" s="26" t="s">
        <v>104</v>
      </c>
      <c r="Z68" s="26" t="s">
        <v>172</v>
      </c>
      <c r="AA68" s="26" t="s">
        <v>13</v>
      </c>
      <c r="AB68" s="30" t="s">
        <v>172</v>
      </c>
      <c r="AC68" s="49" t="s">
        <v>5300</v>
      </c>
      <c r="AD68" s="25" t="s">
        <v>174</v>
      </c>
      <c r="AE68" s="26" t="s">
        <v>175</v>
      </c>
      <c r="AF68" s="32">
        <f t="shared" si="8"/>
        <v>1</v>
      </c>
      <c r="AG68" s="32">
        <v>1</v>
      </c>
      <c r="AH68" s="32">
        <v>1</v>
      </c>
      <c r="AI68" s="32">
        <v>1</v>
      </c>
      <c r="AJ68" s="32"/>
      <c r="AK68" s="32"/>
      <c r="AL68" s="32">
        <f t="shared" ref="AL68:AL74" si="10">IF(COUNTIF(AW:AW,"*"&amp;L68&amp;"*")&gt;0,1,0)</f>
        <v>1</v>
      </c>
      <c r="AM68" s="32"/>
      <c r="AN68" s="32"/>
      <c r="AO68" s="32"/>
      <c r="AP68" s="32"/>
      <c r="AQ68" s="32">
        <v>1</v>
      </c>
      <c r="AR68" s="32">
        <v>1</v>
      </c>
      <c r="AS68" s="32"/>
      <c r="AT68" s="32">
        <v>1</v>
      </c>
      <c r="AU68" s="32"/>
      <c r="AW68" s="2" t="s">
        <v>5725</v>
      </c>
      <c r="AY68" s="75" t="s">
        <v>5726</v>
      </c>
    </row>
    <row r="69" spans="1:51" ht="16.5">
      <c r="A69" s="49" t="s">
        <v>5727</v>
      </c>
      <c r="B69" s="26" t="s">
        <v>160</v>
      </c>
      <c r="C69" s="26" t="s">
        <v>73</v>
      </c>
      <c r="D69" s="49" t="s">
        <v>5728</v>
      </c>
      <c r="E69" s="49" t="s">
        <v>162</v>
      </c>
      <c r="F69" s="49" t="s">
        <v>5729</v>
      </c>
      <c r="G69" s="49" t="s">
        <v>5730</v>
      </c>
      <c r="H69" s="49" t="s">
        <v>5516</v>
      </c>
      <c r="I69" s="26">
        <v>202606.3</v>
      </c>
      <c r="J69" s="25">
        <v>6.17</v>
      </c>
      <c r="K69" s="25" t="s">
        <v>73</v>
      </c>
      <c r="L69" s="26" t="s">
        <v>5731</v>
      </c>
      <c r="M69" s="49" t="s">
        <v>5732</v>
      </c>
      <c r="N69" s="27" t="s">
        <v>5733</v>
      </c>
      <c r="O69" s="26"/>
      <c r="P69" s="53">
        <v>4</v>
      </c>
      <c r="Q69" s="32">
        <v>16</v>
      </c>
      <c r="R69" s="53">
        <v>266.24</v>
      </c>
      <c r="S69" s="26" t="s">
        <v>99</v>
      </c>
      <c r="T69" s="26" t="s">
        <v>100</v>
      </c>
      <c r="U69" s="26" t="s">
        <v>101</v>
      </c>
      <c r="V69" s="26" t="s">
        <v>5716</v>
      </c>
      <c r="W69" s="26" t="s">
        <v>103</v>
      </c>
      <c r="X69" s="26" t="s">
        <v>104</v>
      </c>
      <c r="Y69" s="26" t="s">
        <v>104</v>
      </c>
      <c r="Z69" s="26" t="s">
        <v>172</v>
      </c>
      <c r="AA69" s="26" t="s">
        <v>13</v>
      </c>
      <c r="AB69" s="30" t="s">
        <v>172</v>
      </c>
      <c r="AC69" s="49" t="s">
        <v>5300</v>
      </c>
      <c r="AD69" s="25" t="s">
        <v>174</v>
      </c>
      <c r="AE69" s="26" t="s">
        <v>175</v>
      </c>
      <c r="AF69" s="32">
        <f t="shared" si="8"/>
        <v>1</v>
      </c>
      <c r="AG69" s="32">
        <v>1</v>
      </c>
      <c r="AH69" s="32">
        <v>1</v>
      </c>
      <c r="AI69" s="32">
        <v>1</v>
      </c>
      <c r="AJ69" s="32"/>
      <c r="AK69" s="32"/>
      <c r="AL69" s="32">
        <f t="shared" si="10"/>
        <v>1</v>
      </c>
      <c r="AM69" s="32"/>
      <c r="AN69" s="32"/>
      <c r="AO69" s="32"/>
      <c r="AP69" s="32"/>
      <c r="AQ69" s="32">
        <v>1</v>
      </c>
      <c r="AR69" s="32">
        <v>1</v>
      </c>
      <c r="AS69" s="32"/>
      <c r="AT69" s="32">
        <v>1</v>
      </c>
      <c r="AU69" s="32"/>
      <c r="AW69" s="2" t="s">
        <v>5734</v>
      </c>
      <c r="AY69" s="75" t="s">
        <v>5735</v>
      </c>
    </row>
    <row r="70" spans="1:51" ht="16.5">
      <c r="A70" s="49" t="s">
        <v>5736</v>
      </c>
      <c r="B70" s="26" t="s">
        <v>160</v>
      </c>
      <c r="C70" s="26" t="s">
        <v>73</v>
      </c>
      <c r="D70" s="49" t="s">
        <v>5737</v>
      </c>
      <c r="E70" s="49" t="s">
        <v>162</v>
      </c>
      <c r="F70" s="49" t="s">
        <v>5738</v>
      </c>
      <c r="G70" s="49" t="s">
        <v>5739</v>
      </c>
      <c r="H70" s="49" t="s">
        <v>5516</v>
      </c>
      <c r="I70" s="26">
        <v>202606.3</v>
      </c>
      <c r="J70" s="25">
        <v>6.17</v>
      </c>
      <c r="K70" s="25" t="s">
        <v>73</v>
      </c>
      <c r="L70" s="26" t="s">
        <v>5415</v>
      </c>
      <c r="M70" s="49" t="s">
        <v>5740</v>
      </c>
      <c r="N70" s="27" t="s">
        <v>5741</v>
      </c>
      <c r="O70" s="26"/>
      <c r="P70" s="53">
        <v>4</v>
      </c>
      <c r="Q70" s="32">
        <v>16</v>
      </c>
      <c r="R70" s="53">
        <v>266.23</v>
      </c>
      <c r="S70" s="26" t="s">
        <v>99</v>
      </c>
      <c r="T70" s="26" t="s">
        <v>100</v>
      </c>
      <c r="U70" s="26" t="s">
        <v>101</v>
      </c>
      <c r="V70" s="26" t="s">
        <v>5716</v>
      </c>
      <c r="W70" s="26" t="s">
        <v>103</v>
      </c>
      <c r="X70" s="26" t="s">
        <v>104</v>
      </c>
      <c r="Y70" s="26" t="s">
        <v>104</v>
      </c>
      <c r="Z70" s="26" t="s">
        <v>172</v>
      </c>
      <c r="AA70" s="26" t="s">
        <v>7</v>
      </c>
      <c r="AB70" s="30" t="s">
        <v>172</v>
      </c>
      <c r="AC70" s="49" t="s">
        <v>5300</v>
      </c>
      <c r="AD70" s="25" t="s">
        <v>174</v>
      </c>
      <c r="AE70" s="26" t="s">
        <v>175</v>
      </c>
      <c r="AF70" s="32">
        <f t="shared" si="8"/>
        <v>1</v>
      </c>
      <c r="AG70" s="32">
        <v>1</v>
      </c>
      <c r="AH70" s="32">
        <v>1</v>
      </c>
      <c r="AI70" s="32">
        <v>1</v>
      </c>
      <c r="AJ70" s="32"/>
      <c r="AK70" s="32"/>
      <c r="AL70" s="32">
        <f t="shared" si="10"/>
        <v>1</v>
      </c>
      <c r="AM70" s="32"/>
      <c r="AN70" s="32"/>
      <c r="AO70" s="32"/>
      <c r="AP70" s="32"/>
      <c r="AQ70" s="32">
        <v>1</v>
      </c>
      <c r="AR70" s="32"/>
      <c r="AS70" s="32"/>
      <c r="AT70" s="32">
        <v>1</v>
      </c>
      <c r="AU70" s="32"/>
      <c r="AW70" s="2" t="s">
        <v>5742</v>
      </c>
      <c r="AY70" s="75" t="s">
        <v>5743</v>
      </c>
    </row>
    <row r="71" spans="1:51" ht="16.5">
      <c r="A71" s="49" t="s">
        <v>5744</v>
      </c>
      <c r="B71" s="26" t="s">
        <v>160</v>
      </c>
      <c r="C71" s="26" t="s">
        <v>73</v>
      </c>
      <c r="D71" s="49" t="s">
        <v>5745</v>
      </c>
      <c r="E71" s="49" t="s">
        <v>162</v>
      </c>
      <c r="F71" s="49" t="s">
        <v>5746</v>
      </c>
      <c r="G71" s="49" t="s">
        <v>5747</v>
      </c>
      <c r="H71" s="49" t="s">
        <v>5516</v>
      </c>
      <c r="I71" s="26">
        <v>202606.3</v>
      </c>
      <c r="J71" s="25">
        <v>6.17</v>
      </c>
      <c r="K71" s="25" t="s">
        <v>73</v>
      </c>
      <c r="L71" s="26" t="s">
        <v>5748</v>
      </c>
      <c r="M71" s="49" t="s">
        <v>5749</v>
      </c>
      <c r="N71" s="27" t="s">
        <v>5750</v>
      </c>
      <c r="O71" s="26"/>
      <c r="P71" s="53">
        <v>4</v>
      </c>
      <c r="Q71" s="32">
        <v>16</v>
      </c>
      <c r="R71" s="53">
        <v>266.24</v>
      </c>
      <c r="S71" s="26" t="s">
        <v>99</v>
      </c>
      <c r="T71" s="26" t="s">
        <v>100</v>
      </c>
      <c r="U71" s="26" t="s">
        <v>101</v>
      </c>
      <c r="V71" s="26" t="s">
        <v>5716</v>
      </c>
      <c r="W71" s="26" t="s">
        <v>103</v>
      </c>
      <c r="X71" s="26" t="s">
        <v>104</v>
      </c>
      <c r="Y71" s="26" t="s">
        <v>104</v>
      </c>
      <c r="Z71" s="26" t="s">
        <v>172</v>
      </c>
      <c r="AA71" s="26" t="s">
        <v>13</v>
      </c>
      <c r="AB71" s="30" t="s">
        <v>172</v>
      </c>
      <c r="AC71" s="49" t="s">
        <v>5300</v>
      </c>
      <c r="AD71" s="25" t="s">
        <v>174</v>
      </c>
      <c r="AE71" s="26" t="s">
        <v>175</v>
      </c>
      <c r="AF71" s="32">
        <f t="shared" si="8"/>
        <v>1</v>
      </c>
      <c r="AG71" s="32">
        <v>1</v>
      </c>
      <c r="AH71" s="32">
        <v>1</v>
      </c>
      <c r="AI71" s="32">
        <v>1</v>
      </c>
      <c r="AJ71" s="32"/>
      <c r="AK71" s="32"/>
      <c r="AL71" s="32">
        <f t="shared" si="10"/>
        <v>1</v>
      </c>
      <c r="AM71" s="32"/>
      <c r="AN71" s="32"/>
      <c r="AO71" s="32"/>
      <c r="AP71" s="32"/>
      <c r="AQ71" s="32">
        <v>1</v>
      </c>
      <c r="AR71" s="32">
        <v>1</v>
      </c>
      <c r="AS71" s="32"/>
      <c r="AT71" s="32">
        <v>1</v>
      </c>
      <c r="AU71" s="32"/>
      <c r="AW71" s="2" t="s">
        <v>5751</v>
      </c>
      <c r="AY71" s="75" t="s">
        <v>5752</v>
      </c>
    </row>
    <row r="72" spans="1:51" ht="16.5">
      <c r="A72" s="49" t="s">
        <v>5753</v>
      </c>
      <c r="B72" s="26" t="s">
        <v>160</v>
      </c>
      <c r="C72" s="26" t="s">
        <v>73</v>
      </c>
      <c r="D72" s="49" t="s">
        <v>5754</v>
      </c>
      <c r="E72" s="49" t="s">
        <v>162</v>
      </c>
      <c r="F72" s="49" t="s">
        <v>5755</v>
      </c>
      <c r="G72" s="49" t="s">
        <v>5756</v>
      </c>
      <c r="H72" s="49" t="s">
        <v>5516</v>
      </c>
      <c r="I72" s="26">
        <v>202606.3</v>
      </c>
      <c r="J72" s="25">
        <v>6.17</v>
      </c>
      <c r="K72" s="25" t="s">
        <v>73</v>
      </c>
      <c r="L72" s="26" t="s">
        <v>5757</v>
      </c>
      <c r="M72" s="49" t="s">
        <v>5758</v>
      </c>
      <c r="N72" s="27" t="s">
        <v>5759</v>
      </c>
      <c r="O72" s="26"/>
      <c r="P72" s="53">
        <v>4</v>
      </c>
      <c r="Q72" s="32">
        <v>16</v>
      </c>
      <c r="R72" s="53">
        <v>267.20999999999998</v>
      </c>
      <c r="S72" s="26" t="s">
        <v>99</v>
      </c>
      <c r="T72" s="26" t="s">
        <v>100</v>
      </c>
      <c r="U72" s="26" t="s">
        <v>101</v>
      </c>
      <c r="V72" s="26" t="s">
        <v>5716</v>
      </c>
      <c r="W72" s="26" t="s">
        <v>103</v>
      </c>
      <c r="X72" s="26" t="s">
        <v>104</v>
      </c>
      <c r="Y72" s="26" t="s">
        <v>104</v>
      </c>
      <c r="Z72" s="26" t="s">
        <v>172</v>
      </c>
      <c r="AA72" s="26" t="s">
        <v>13</v>
      </c>
      <c r="AB72" s="30" t="s">
        <v>172</v>
      </c>
      <c r="AC72" s="49" t="s">
        <v>5300</v>
      </c>
      <c r="AD72" s="25" t="s">
        <v>174</v>
      </c>
      <c r="AE72" s="26" t="s">
        <v>175</v>
      </c>
      <c r="AF72" s="32">
        <f t="shared" si="8"/>
        <v>1</v>
      </c>
      <c r="AG72" s="32">
        <v>1</v>
      </c>
      <c r="AH72" s="32">
        <v>1</v>
      </c>
      <c r="AI72" s="32">
        <v>1</v>
      </c>
      <c r="AJ72" s="32"/>
      <c r="AK72" s="32"/>
      <c r="AL72" s="32">
        <f t="shared" si="10"/>
        <v>1</v>
      </c>
      <c r="AM72" s="32"/>
      <c r="AN72" s="32"/>
      <c r="AO72" s="32"/>
      <c r="AP72" s="32"/>
      <c r="AQ72" s="32">
        <v>1</v>
      </c>
      <c r="AR72" s="32">
        <v>1</v>
      </c>
      <c r="AS72" s="32"/>
      <c r="AT72" s="32">
        <v>1</v>
      </c>
      <c r="AU72" s="32"/>
      <c r="AW72" s="2" t="s">
        <v>5760</v>
      </c>
      <c r="AY72" s="75" t="s">
        <v>5761</v>
      </c>
    </row>
    <row r="73" spans="1:51" ht="16.5">
      <c r="A73" s="49" t="s">
        <v>5762</v>
      </c>
      <c r="B73" s="26" t="s">
        <v>160</v>
      </c>
      <c r="C73" s="26" t="s">
        <v>73</v>
      </c>
      <c r="D73" s="49" t="s">
        <v>5763</v>
      </c>
      <c r="E73" s="49" t="s">
        <v>162</v>
      </c>
      <c r="F73" s="49" t="s">
        <v>5764</v>
      </c>
      <c r="G73" s="49" t="s">
        <v>5765</v>
      </c>
      <c r="H73" s="49" t="s">
        <v>5516</v>
      </c>
      <c r="I73" s="26">
        <v>202606.3</v>
      </c>
      <c r="J73" s="25">
        <v>6.17</v>
      </c>
      <c r="K73" s="25" t="s">
        <v>73</v>
      </c>
      <c r="L73" s="26" t="s">
        <v>5766</v>
      </c>
      <c r="M73" s="49" t="s">
        <v>5767</v>
      </c>
      <c r="N73" s="27" t="s">
        <v>5768</v>
      </c>
      <c r="O73" s="26"/>
      <c r="P73" s="53">
        <v>4</v>
      </c>
      <c r="Q73" s="32">
        <v>16</v>
      </c>
      <c r="R73" s="53">
        <v>266.22000000000003</v>
      </c>
      <c r="S73" s="26" t="s">
        <v>99</v>
      </c>
      <c r="T73" s="26" t="s">
        <v>100</v>
      </c>
      <c r="U73" s="26" t="s">
        <v>101</v>
      </c>
      <c r="V73" s="26" t="s">
        <v>5716</v>
      </c>
      <c r="W73" s="26" t="s">
        <v>103</v>
      </c>
      <c r="X73" s="26" t="s">
        <v>104</v>
      </c>
      <c r="Y73" s="26" t="s">
        <v>104</v>
      </c>
      <c r="Z73" s="26" t="s">
        <v>172</v>
      </c>
      <c r="AA73" s="26" t="s">
        <v>13</v>
      </c>
      <c r="AB73" s="30" t="s">
        <v>172</v>
      </c>
      <c r="AC73" s="49" t="s">
        <v>5300</v>
      </c>
      <c r="AD73" s="25" t="s">
        <v>174</v>
      </c>
      <c r="AE73" s="26" t="s">
        <v>175</v>
      </c>
      <c r="AF73" s="32">
        <f t="shared" si="8"/>
        <v>1</v>
      </c>
      <c r="AG73" s="32">
        <v>1</v>
      </c>
      <c r="AH73" s="32">
        <v>1</v>
      </c>
      <c r="AI73" s="32">
        <v>1</v>
      </c>
      <c r="AJ73" s="32"/>
      <c r="AK73" s="32"/>
      <c r="AL73" s="32">
        <f t="shared" si="10"/>
        <v>1</v>
      </c>
      <c r="AM73" s="32"/>
      <c r="AN73" s="32"/>
      <c r="AO73" s="32"/>
      <c r="AP73" s="32"/>
      <c r="AQ73" s="32">
        <v>1</v>
      </c>
      <c r="AR73" s="32">
        <v>1</v>
      </c>
      <c r="AS73" s="32"/>
      <c r="AT73" s="32">
        <v>1</v>
      </c>
      <c r="AU73" s="32"/>
      <c r="AW73" s="2" t="s">
        <v>5769</v>
      </c>
      <c r="AY73" s="75" t="s">
        <v>3683</v>
      </c>
    </row>
    <row r="74" spans="1:51" ht="16.5">
      <c r="A74" s="49" t="s">
        <v>5770</v>
      </c>
      <c r="B74" s="26" t="s">
        <v>160</v>
      </c>
      <c r="C74" s="26" t="s">
        <v>73</v>
      </c>
      <c r="D74" s="49" t="s">
        <v>5771</v>
      </c>
      <c r="E74" s="49" t="s">
        <v>162</v>
      </c>
      <c r="F74" s="49" t="s">
        <v>5772</v>
      </c>
      <c r="G74" s="49" t="s">
        <v>5773</v>
      </c>
      <c r="H74" s="49" t="s">
        <v>5516</v>
      </c>
      <c r="I74" s="26">
        <v>202606.3</v>
      </c>
      <c r="J74" s="25">
        <v>6.17</v>
      </c>
      <c r="K74" s="25" t="s">
        <v>73</v>
      </c>
      <c r="L74" s="26" t="s">
        <v>5774</v>
      </c>
      <c r="M74" s="49" t="s">
        <v>5775</v>
      </c>
      <c r="N74" s="27" t="s">
        <v>5776</v>
      </c>
      <c r="O74" s="26"/>
      <c r="P74" s="53">
        <v>4</v>
      </c>
      <c r="Q74" s="32">
        <v>16</v>
      </c>
      <c r="R74" s="53">
        <v>266.23</v>
      </c>
      <c r="S74" s="26" t="s">
        <v>99</v>
      </c>
      <c r="T74" s="26" t="s">
        <v>100</v>
      </c>
      <c r="U74" s="26" t="s">
        <v>101</v>
      </c>
      <c r="V74" s="26" t="s">
        <v>5716</v>
      </c>
      <c r="W74" s="26" t="s">
        <v>103</v>
      </c>
      <c r="X74" s="26" t="s">
        <v>104</v>
      </c>
      <c r="Y74" s="26" t="s">
        <v>104</v>
      </c>
      <c r="Z74" s="26" t="s">
        <v>172</v>
      </c>
      <c r="AA74" s="26" t="s">
        <v>13</v>
      </c>
      <c r="AB74" s="30" t="s">
        <v>172</v>
      </c>
      <c r="AC74" s="49" t="s">
        <v>5300</v>
      </c>
      <c r="AD74" s="25" t="s">
        <v>174</v>
      </c>
      <c r="AE74" s="26" t="s">
        <v>175</v>
      </c>
      <c r="AF74" s="32">
        <f t="shared" si="8"/>
        <v>1</v>
      </c>
      <c r="AG74" s="32">
        <v>1</v>
      </c>
      <c r="AH74" s="32">
        <v>1</v>
      </c>
      <c r="AI74" s="32">
        <v>1</v>
      </c>
      <c r="AJ74" s="32"/>
      <c r="AK74" s="32"/>
      <c r="AL74" s="32">
        <f t="shared" si="10"/>
        <v>1</v>
      </c>
      <c r="AM74" s="32"/>
      <c r="AN74" s="32"/>
      <c r="AO74" s="32"/>
      <c r="AP74" s="32"/>
      <c r="AQ74" s="32">
        <v>1</v>
      </c>
      <c r="AR74" s="32">
        <v>1</v>
      </c>
      <c r="AS74" s="32"/>
      <c r="AT74" s="32">
        <v>1</v>
      </c>
      <c r="AU74" s="32"/>
      <c r="AW74" s="2" t="s">
        <v>5777</v>
      </c>
      <c r="AY74" s="75" t="s">
        <v>5778</v>
      </c>
    </row>
    <row r="75" spans="1:51" ht="16.5">
      <c r="A75" s="49" t="s">
        <v>5779</v>
      </c>
      <c r="B75" s="26" t="s">
        <v>160</v>
      </c>
      <c r="C75" s="26" t="s">
        <v>73</v>
      </c>
      <c r="D75" s="49" t="s">
        <v>5780</v>
      </c>
      <c r="E75" s="49" t="s">
        <v>162</v>
      </c>
      <c r="F75" s="49" t="s">
        <v>5781</v>
      </c>
      <c r="G75" s="49" t="s">
        <v>5782</v>
      </c>
      <c r="H75" s="49" t="s">
        <v>5516</v>
      </c>
      <c r="I75" s="26">
        <v>202606.3</v>
      </c>
      <c r="J75" s="25">
        <v>6.17</v>
      </c>
      <c r="K75" s="25" t="s">
        <v>73</v>
      </c>
      <c r="L75" s="26" t="s">
        <v>5783</v>
      </c>
      <c r="M75" s="49" t="s">
        <v>5784</v>
      </c>
      <c r="N75" s="27" t="s">
        <v>5785</v>
      </c>
      <c r="O75" s="26"/>
      <c r="P75" s="53">
        <v>4</v>
      </c>
      <c r="Q75" s="32">
        <v>16</v>
      </c>
      <c r="R75" s="53">
        <v>266.26</v>
      </c>
      <c r="S75" s="26" t="s">
        <v>99</v>
      </c>
      <c r="T75" s="26" t="s">
        <v>100</v>
      </c>
      <c r="U75" s="26" t="s">
        <v>101</v>
      </c>
      <c r="V75" s="26" t="s">
        <v>5716</v>
      </c>
      <c r="W75" s="26" t="s">
        <v>103</v>
      </c>
      <c r="X75" s="26" t="s">
        <v>104</v>
      </c>
      <c r="Y75" s="26" t="s">
        <v>104</v>
      </c>
      <c r="Z75" s="26" t="s">
        <v>172</v>
      </c>
      <c r="AA75" s="26" t="s">
        <v>13</v>
      </c>
      <c r="AB75" s="30" t="s">
        <v>172</v>
      </c>
      <c r="AC75" s="49" t="s">
        <v>5300</v>
      </c>
      <c r="AD75" s="25" t="s">
        <v>174</v>
      </c>
      <c r="AE75" s="26" t="s">
        <v>175</v>
      </c>
      <c r="AF75" s="32">
        <f t="shared" si="8"/>
        <v>1</v>
      </c>
      <c r="AG75" s="32">
        <v>1</v>
      </c>
      <c r="AH75" s="32">
        <v>1</v>
      </c>
      <c r="AI75" s="32">
        <v>1</v>
      </c>
      <c r="AJ75" s="32"/>
      <c r="AK75" s="32"/>
      <c r="AL75" s="32">
        <f t="shared" ref="AL75:AL86" si="11">IF(COUNTIF(AW:AW,"*"&amp;L75&amp;"*")&gt;0,1,0)</f>
        <v>1</v>
      </c>
      <c r="AM75" s="32"/>
      <c r="AN75" s="32"/>
      <c r="AO75" s="32"/>
      <c r="AP75" s="32"/>
      <c r="AQ75" s="32">
        <v>1</v>
      </c>
      <c r="AR75" s="32">
        <v>1</v>
      </c>
      <c r="AS75" s="32"/>
      <c r="AT75" s="32">
        <v>1</v>
      </c>
      <c r="AU75" s="32"/>
      <c r="AW75" s="2" t="s">
        <v>5786</v>
      </c>
      <c r="AY75" s="75" t="s">
        <v>5787</v>
      </c>
    </row>
    <row r="76" spans="1:51" ht="16.5">
      <c r="A76" s="49" t="s">
        <v>5788</v>
      </c>
      <c r="B76" s="26" t="s">
        <v>160</v>
      </c>
      <c r="C76" s="26" t="s">
        <v>73</v>
      </c>
      <c r="D76" s="49" t="s">
        <v>5789</v>
      </c>
      <c r="E76" s="49" t="s">
        <v>162</v>
      </c>
      <c r="F76" s="49" t="s">
        <v>5790</v>
      </c>
      <c r="G76" s="49" t="s">
        <v>5791</v>
      </c>
      <c r="H76" s="49" t="s">
        <v>5516</v>
      </c>
      <c r="I76" s="26">
        <v>202606.3</v>
      </c>
      <c r="J76" s="25">
        <v>6.17</v>
      </c>
      <c r="K76" s="25" t="s">
        <v>73</v>
      </c>
      <c r="L76" s="26" t="s">
        <v>5792</v>
      </c>
      <c r="M76" s="49" t="s">
        <v>5793</v>
      </c>
      <c r="N76" s="27" t="s">
        <v>5794</v>
      </c>
      <c r="O76" s="26"/>
      <c r="P76" s="53">
        <v>4</v>
      </c>
      <c r="Q76" s="32">
        <v>16</v>
      </c>
      <c r="R76" s="53">
        <v>266.89999999999998</v>
      </c>
      <c r="S76" s="26" t="s">
        <v>99</v>
      </c>
      <c r="T76" s="26" t="s">
        <v>100</v>
      </c>
      <c r="U76" s="26" t="s">
        <v>101</v>
      </c>
      <c r="V76" s="26" t="s">
        <v>5716</v>
      </c>
      <c r="W76" s="26" t="s">
        <v>103</v>
      </c>
      <c r="X76" s="26" t="s">
        <v>104</v>
      </c>
      <c r="Y76" s="26" t="s">
        <v>104</v>
      </c>
      <c r="Z76" s="26" t="s">
        <v>172</v>
      </c>
      <c r="AA76" s="26" t="s">
        <v>13</v>
      </c>
      <c r="AB76" s="30" t="s">
        <v>172</v>
      </c>
      <c r="AC76" s="49" t="s">
        <v>5300</v>
      </c>
      <c r="AD76" s="25" t="s">
        <v>174</v>
      </c>
      <c r="AE76" s="26" t="s">
        <v>175</v>
      </c>
      <c r="AF76" s="32">
        <f t="shared" si="8"/>
        <v>1</v>
      </c>
      <c r="AG76" s="32">
        <v>1</v>
      </c>
      <c r="AH76" s="32">
        <v>1</v>
      </c>
      <c r="AI76" s="32">
        <v>1</v>
      </c>
      <c r="AJ76" s="32"/>
      <c r="AK76" s="32"/>
      <c r="AL76" s="32">
        <f t="shared" si="11"/>
        <v>1</v>
      </c>
      <c r="AM76" s="32"/>
      <c r="AN76" s="32"/>
      <c r="AO76" s="32"/>
      <c r="AP76" s="32"/>
      <c r="AQ76" s="32">
        <v>1</v>
      </c>
      <c r="AR76" s="32">
        <v>1</v>
      </c>
      <c r="AS76" s="32"/>
      <c r="AT76" s="32">
        <v>1</v>
      </c>
      <c r="AU76" s="32"/>
      <c r="AW76" s="2" t="s">
        <v>5795</v>
      </c>
      <c r="AY76" s="75" t="s">
        <v>5796</v>
      </c>
    </row>
    <row r="77" spans="1:51" ht="16.5">
      <c r="A77" s="49" t="s">
        <v>5797</v>
      </c>
      <c r="B77" s="26" t="s">
        <v>160</v>
      </c>
      <c r="C77" s="26" t="s">
        <v>73</v>
      </c>
      <c r="D77" s="49" t="s">
        <v>5798</v>
      </c>
      <c r="E77" s="49" t="s">
        <v>162</v>
      </c>
      <c r="F77" s="49" t="s">
        <v>5799</v>
      </c>
      <c r="G77" s="49" t="s">
        <v>5800</v>
      </c>
      <c r="H77" s="49" t="s">
        <v>5516</v>
      </c>
      <c r="I77" s="26">
        <v>202606.3</v>
      </c>
      <c r="J77" s="25">
        <v>6.17</v>
      </c>
      <c r="K77" s="25" t="s">
        <v>73</v>
      </c>
      <c r="L77" s="26" t="s">
        <v>5801</v>
      </c>
      <c r="M77" s="49" t="s">
        <v>5802</v>
      </c>
      <c r="N77" s="27" t="s">
        <v>5803</v>
      </c>
      <c r="O77" s="26"/>
      <c r="P77" s="53">
        <v>4</v>
      </c>
      <c r="Q77" s="32">
        <v>16</v>
      </c>
      <c r="R77" s="53">
        <v>267.19</v>
      </c>
      <c r="S77" s="26" t="s">
        <v>99</v>
      </c>
      <c r="T77" s="26" t="s">
        <v>100</v>
      </c>
      <c r="U77" s="26" t="s">
        <v>101</v>
      </c>
      <c r="V77" s="26" t="s">
        <v>5716</v>
      </c>
      <c r="W77" s="26" t="s">
        <v>103</v>
      </c>
      <c r="X77" s="26" t="s">
        <v>104</v>
      </c>
      <c r="Y77" s="26" t="s">
        <v>104</v>
      </c>
      <c r="Z77" s="26" t="s">
        <v>172</v>
      </c>
      <c r="AA77" s="26" t="s">
        <v>13</v>
      </c>
      <c r="AB77" s="30" t="s">
        <v>172</v>
      </c>
      <c r="AC77" s="49" t="s">
        <v>5300</v>
      </c>
      <c r="AD77" s="25" t="s">
        <v>174</v>
      </c>
      <c r="AE77" s="26" t="s">
        <v>175</v>
      </c>
      <c r="AF77" s="32">
        <f t="shared" si="8"/>
        <v>1</v>
      </c>
      <c r="AG77" s="32">
        <v>1</v>
      </c>
      <c r="AH77" s="32">
        <v>1</v>
      </c>
      <c r="AI77" s="32">
        <v>1</v>
      </c>
      <c r="AJ77" s="32"/>
      <c r="AK77" s="32"/>
      <c r="AL77" s="32">
        <f t="shared" si="11"/>
        <v>1</v>
      </c>
      <c r="AM77" s="32"/>
      <c r="AN77" s="32"/>
      <c r="AO77" s="32"/>
      <c r="AP77" s="32"/>
      <c r="AQ77" s="32">
        <v>1</v>
      </c>
      <c r="AR77" s="32">
        <v>1</v>
      </c>
      <c r="AS77" s="32"/>
      <c r="AT77" s="32">
        <v>1</v>
      </c>
      <c r="AU77" s="32"/>
      <c r="AW77" s="2" t="s">
        <v>5804</v>
      </c>
      <c r="AY77" s="75" t="s">
        <v>5720</v>
      </c>
    </row>
    <row r="78" spans="1:51" ht="16.5">
      <c r="A78" s="49" t="s">
        <v>5805</v>
      </c>
      <c r="B78" s="26" t="s">
        <v>160</v>
      </c>
      <c r="C78" s="26" t="s">
        <v>73</v>
      </c>
      <c r="D78" s="49" t="s">
        <v>5806</v>
      </c>
      <c r="E78" s="49" t="s">
        <v>162</v>
      </c>
      <c r="F78" s="49" t="s">
        <v>5807</v>
      </c>
      <c r="G78" s="49" t="s">
        <v>5808</v>
      </c>
      <c r="H78" s="49" t="s">
        <v>5516</v>
      </c>
      <c r="I78" s="26">
        <v>202606.3</v>
      </c>
      <c r="J78" s="25">
        <v>6.17</v>
      </c>
      <c r="K78" s="25" t="s">
        <v>73</v>
      </c>
      <c r="L78" s="26" t="s">
        <v>5685</v>
      </c>
      <c r="M78" s="49" t="s">
        <v>5809</v>
      </c>
      <c r="N78" s="27" t="s">
        <v>5810</v>
      </c>
      <c r="O78" s="26"/>
      <c r="P78" s="53">
        <v>4</v>
      </c>
      <c r="Q78" s="32">
        <v>16</v>
      </c>
      <c r="R78" s="53">
        <v>267.26</v>
      </c>
      <c r="S78" s="26" t="s">
        <v>99</v>
      </c>
      <c r="T78" s="26" t="s">
        <v>100</v>
      </c>
      <c r="U78" s="26" t="s">
        <v>101</v>
      </c>
      <c r="V78" s="26" t="s">
        <v>5716</v>
      </c>
      <c r="W78" s="26" t="s">
        <v>103</v>
      </c>
      <c r="X78" s="26" t="s">
        <v>104</v>
      </c>
      <c r="Y78" s="26" t="s">
        <v>104</v>
      </c>
      <c r="Z78" s="26" t="s">
        <v>172</v>
      </c>
      <c r="AA78" s="26" t="s">
        <v>13</v>
      </c>
      <c r="AB78" s="30" t="s">
        <v>172</v>
      </c>
      <c r="AC78" s="49" t="s">
        <v>5300</v>
      </c>
      <c r="AD78" s="25" t="s">
        <v>174</v>
      </c>
      <c r="AE78" s="26" t="s">
        <v>175</v>
      </c>
      <c r="AF78" s="32">
        <f t="shared" si="8"/>
        <v>1</v>
      </c>
      <c r="AG78" s="32">
        <v>1</v>
      </c>
      <c r="AH78" s="32">
        <v>1</v>
      </c>
      <c r="AI78" s="32">
        <v>1</v>
      </c>
      <c r="AJ78" s="32"/>
      <c r="AK78" s="32"/>
      <c r="AL78" s="32">
        <f t="shared" si="11"/>
        <v>1</v>
      </c>
      <c r="AM78" s="32"/>
      <c r="AN78" s="32"/>
      <c r="AO78" s="32"/>
      <c r="AP78" s="32"/>
      <c r="AQ78" s="32">
        <v>1</v>
      </c>
      <c r="AR78" s="32">
        <v>1</v>
      </c>
      <c r="AS78" s="32"/>
      <c r="AT78" s="32">
        <v>1</v>
      </c>
      <c r="AU78" s="32"/>
      <c r="AW78" s="2" t="s">
        <v>5811</v>
      </c>
      <c r="AY78" s="75" t="s">
        <v>3658</v>
      </c>
    </row>
    <row r="79" spans="1:51" ht="16.5">
      <c r="A79" s="49" t="s">
        <v>5812</v>
      </c>
      <c r="B79" s="26" t="s">
        <v>160</v>
      </c>
      <c r="C79" s="26" t="s">
        <v>73</v>
      </c>
      <c r="D79" s="49" t="s">
        <v>5813</v>
      </c>
      <c r="E79" s="49" t="s">
        <v>162</v>
      </c>
      <c r="F79" s="49" t="s">
        <v>5814</v>
      </c>
      <c r="G79" s="49" t="s">
        <v>5815</v>
      </c>
      <c r="H79" s="49" t="s">
        <v>5516</v>
      </c>
      <c r="I79" s="26">
        <v>202606.3</v>
      </c>
      <c r="J79" s="25">
        <v>6.17</v>
      </c>
      <c r="K79" s="25" t="s">
        <v>73</v>
      </c>
      <c r="L79" s="26" t="s">
        <v>5678</v>
      </c>
      <c r="M79" s="49" t="s">
        <v>5816</v>
      </c>
      <c r="N79" s="27" t="s">
        <v>5817</v>
      </c>
      <c r="O79" s="26"/>
      <c r="P79" s="53">
        <v>4</v>
      </c>
      <c r="Q79" s="32">
        <v>16</v>
      </c>
      <c r="R79" s="53">
        <v>267.2</v>
      </c>
      <c r="S79" s="26" t="s">
        <v>99</v>
      </c>
      <c r="T79" s="26" t="s">
        <v>100</v>
      </c>
      <c r="U79" s="26" t="s">
        <v>101</v>
      </c>
      <c r="V79" s="26" t="s">
        <v>5716</v>
      </c>
      <c r="W79" s="26" t="s">
        <v>103</v>
      </c>
      <c r="X79" s="26" t="s">
        <v>104</v>
      </c>
      <c r="Y79" s="26" t="s">
        <v>104</v>
      </c>
      <c r="Z79" s="26" t="s">
        <v>172</v>
      </c>
      <c r="AA79" s="26" t="s">
        <v>13</v>
      </c>
      <c r="AB79" s="30" t="s">
        <v>172</v>
      </c>
      <c r="AC79" s="49" t="s">
        <v>5300</v>
      </c>
      <c r="AD79" s="25" t="s">
        <v>174</v>
      </c>
      <c r="AE79" s="26" t="s">
        <v>175</v>
      </c>
      <c r="AF79" s="32">
        <f t="shared" si="8"/>
        <v>1</v>
      </c>
      <c r="AG79" s="32">
        <v>1</v>
      </c>
      <c r="AH79" s="32">
        <v>1</v>
      </c>
      <c r="AI79" s="32">
        <v>1</v>
      </c>
      <c r="AJ79" s="32"/>
      <c r="AK79" s="32"/>
      <c r="AL79" s="32">
        <f t="shared" si="11"/>
        <v>1</v>
      </c>
      <c r="AM79" s="32"/>
      <c r="AN79" s="32"/>
      <c r="AO79" s="32"/>
      <c r="AP79" s="32"/>
      <c r="AQ79" s="32">
        <v>1</v>
      </c>
      <c r="AR79" s="32">
        <v>1</v>
      </c>
      <c r="AS79" s="32"/>
      <c r="AT79" s="32">
        <v>1</v>
      </c>
      <c r="AU79" s="32"/>
      <c r="AW79" s="2" t="s">
        <v>5818</v>
      </c>
      <c r="AY79" s="75" t="s">
        <v>3617</v>
      </c>
    </row>
    <row r="80" spans="1:51" ht="16.5">
      <c r="A80" s="49" t="s">
        <v>5819</v>
      </c>
      <c r="B80" s="26" t="s">
        <v>160</v>
      </c>
      <c r="C80" s="26" t="s">
        <v>73</v>
      </c>
      <c r="D80" s="49" t="s">
        <v>5820</v>
      </c>
      <c r="E80" s="49" t="s">
        <v>162</v>
      </c>
      <c r="F80" s="49" t="s">
        <v>5821</v>
      </c>
      <c r="G80" s="49" t="s">
        <v>5822</v>
      </c>
      <c r="H80" s="49" t="s">
        <v>5516</v>
      </c>
      <c r="I80" s="26">
        <v>202606.3</v>
      </c>
      <c r="J80" s="25">
        <v>6.17</v>
      </c>
      <c r="K80" s="25" t="s">
        <v>73</v>
      </c>
      <c r="L80" s="26" t="s">
        <v>5671</v>
      </c>
      <c r="M80" s="49" t="s">
        <v>5823</v>
      </c>
      <c r="N80" s="27" t="s">
        <v>5824</v>
      </c>
      <c r="O80" s="26"/>
      <c r="P80" s="53">
        <v>4</v>
      </c>
      <c r="Q80" s="32">
        <v>16</v>
      </c>
      <c r="R80" s="53">
        <v>266.23</v>
      </c>
      <c r="S80" s="26" t="s">
        <v>99</v>
      </c>
      <c r="T80" s="26" t="s">
        <v>100</v>
      </c>
      <c r="U80" s="26" t="s">
        <v>101</v>
      </c>
      <c r="V80" s="26" t="s">
        <v>5716</v>
      </c>
      <c r="W80" s="26" t="s">
        <v>103</v>
      </c>
      <c r="X80" s="26" t="s">
        <v>104</v>
      </c>
      <c r="Y80" s="26" t="s">
        <v>104</v>
      </c>
      <c r="Z80" s="26" t="s">
        <v>172</v>
      </c>
      <c r="AA80" s="26" t="s">
        <v>13</v>
      </c>
      <c r="AB80" s="30" t="s">
        <v>172</v>
      </c>
      <c r="AC80" s="49" t="s">
        <v>5300</v>
      </c>
      <c r="AD80" s="25" t="s">
        <v>174</v>
      </c>
      <c r="AE80" s="26" t="s">
        <v>175</v>
      </c>
      <c r="AF80" s="32">
        <f t="shared" si="8"/>
        <v>1</v>
      </c>
      <c r="AG80" s="32">
        <v>1</v>
      </c>
      <c r="AH80" s="32">
        <v>1</v>
      </c>
      <c r="AI80" s="32">
        <v>1</v>
      </c>
      <c r="AJ80" s="32"/>
      <c r="AK80" s="32"/>
      <c r="AL80" s="32">
        <f t="shared" si="11"/>
        <v>1</v>
      </c>
      <c r="AM80" s="32"/>
      <c r="AN80" s="32"/>
      <c r="AO80" s="32"/>
      <c r="AP80" s="32"/>
      <c r="AQ80" s="32">
        <v>1</v>
      </c>
      <c r="AR80" s="32">
        <v>1</v>
      </c>
      <c r="AS80" s="32"/>
      <c r="AT80" s="32">
        <v>1</v>
      </c>
      <c r="AU80" s="32"/>
      <c r="AW80" s="2" t="s">
        <v>5825</v>
      </c>
      <c r="AY80" s="75" t="s">
        <v>5826</v>
      </c>
    </row>
    <row r="81" spans="1:51" ht="16.5">
      <c r="A81" s="49" t="s">
        <v>5827</v>
      </c>
      <c r="B81" s="26" t="s">
        <v>160</v>
      </c>
      <c r="C81" s="26" t="s">
        <v>73</v>
      </c>
      <c r="D81" s="49" t="s">
        <v>5828</v>
      </c>
      <c r="E81" s="49" t="s">
        <v>162</v>
      </c>
      <c r="F81" s="49" t="s">
        <v>5829</v>
      </c>
      <c r="G81" s="49" t="s">
        <v>5830</v>
      </c>
      <c r="H81" s="49" t="s">
        <v>5516</v>
      </c>
      <c r="I81" s="26">
        <v>202606.3</v>
      </c>
      <c r="J81" s="25">
        <v>6.17</v>
      </c>
      <c r="K81" s="25" t="s">
        <v>73</v>
      </c>
      <c r="L81" s="26" t="s">
        <v>5664</v>
      </c>
      <c r="M81" s="49" t="s">
        <v>5831</v>
      </c>
      <c r="N81" s="27" t="s">
        <v>5832</v>
      </c>
      <c r="O81" s="26"/>
      <c r="P81" s="53">
        <v>4</v>
      </c>
      <c r="Q81" s="32">
        <v>16</v>
      </c>
      <c r="R81" s="53">
        <v>266.68</v>
      </c>
      <c r="S81" s="26" t="s">
        <v>99</v>
      </c>
      <c r="T81" s="26" t="s">
        <v>100</v>
      </c>
      <c r="U81" s="26" t="s">
        <v>101</v>
      </c>
      <c r="V81" s="26" t="s">
        <v>5716</v>
      </c>
      <c r="W81" s="26" t="s">
        <v>103</v>
      </c>
      <c r="X81" s="26" t="s">
        <v>104</v>
      </c>
      <c r="Y81" s="26" t="s">
        <v>104</v>
      </c>
      <c r="Z81" s="26" t="s">
        <v>172</v>
      </c>
      <c r="AA81" s="26" t="s">
        <v>13</v>
      </c>
      <c r="AB81" s="30" t="s">
        <v>172</v>
      </c>
      <c r="AC81" s="49" t="s">
        <v>5300</v>
      </c>
      <c r="AD81" s="25" t="s">
        <v>174</v>
      </c>
      <c r="AE81" s="26" t="s">
        <v>175</v>
      </c>
      <c r="AF81" s="32">
        <f t="shared" si="8"/>
        <v>1</v>
      </c>
      <c r="AG81" s="32">
        <v>1</v>
      </c>
      <c r="AH81" s="32">
        <v>1</v>
      </c>
      <c r="AI81" s="32">
        <v>1</v>
      </c>
      <c r="AJ81" s="32"/>
      <c r="AK81" s="32"/>
      <c r="AL81" s="32">
        <f t="shared" si="11"/>
        <v>1</v>
      </c>
      <c r="AM81" s="32"/>
      <c r="AN81" s="32"/>
      <c r="AO81" s="32"/>
      <c r="AP81" s="32"/>
      <c r="AQ81" s="32">
        <v>1</v>
      </c>
      <c r="AR81" s="32">
        <v>1</v>
      </c>
      <c r="AS81" s="32"/>
      <c r="AT81" s="32">
        <v>1</v>
      </c>
      <c r="AU81" s="32"/>
      <c r="AW81" s="2" t="s">
        <v>5833</v>
      </c>
      <c r="AY81" s="75" t="s">
        <v>3725</v>
      </c>
    </row>
    <row r="82" spans="1:51" ht="16.5">
      <c r="A82" s="49" t="s">
        <v>5834</v>
      </c>
      <c r="B82" s="26" t="s">
        <v>160</v>
      </c>
      <c r="C82" s="26" t="s">
        <v>73</v>
      </c>
      <c r="D82" s="49" t="s">
        <v>5761</v>
      </c>
      <c r="E82" s="49" t="s">
        <v>162</v>
      </c>
      <c r="F82" s="49" t="s">
        <v>5835</v>
      </c>
      <c r="G82" s="49" t="s">
        <v>5836</v>
      </c>
      <c r="H82" s="49" t="s">
        <v>5516</v>
      </c>
      <c r="I82" s="26">
        <v>202606.3</v>
      </c>
      <c r="J82" s="25">
        <v>6.17</v>
      </c>
      <c r="K82" s="25" t="s">
        <v>73</v>
      </c>
      <c r="L82" s="26" t="s">
        <v>5572</v>
      </c>
      <c r="M82" s="49" t="s">
        <v>5837</v>
      </c>
      <c r="N82" s="27" t="s">
        <v>5838</v>
      </c>
      <c r="O82" s="26"/>
      <c r="P82" s="53">
        <v>4</v>
      </c>
      <c r="Q82" s="32">
        <v>16</v>
      </c>
      <c r="R82" s="53">
        <v>266.93</v>
      </c>
      <c r="S82" s="26" t="s">
        <v>99</v>
      </c>
      <c r="T82" s="26" t="s">
        <v>100</v>
      </c>
      <c r="U82" s="26" t="s">
        <v>101</v>
      </c>
      <c r="V82" s="26" t="s">
        <v>5716</v>
      </c>
      <c r="W82" s="26" t="s">
        <v>103</v>
      </c>
      <c r="X82" s="26" t="s">
        <v>104</v>
      </c>
      <c r="Y82" s="26" t="s">
        <v>104</v>
      </c>
      <c r="Z82" s="26" t="s">
        <v>172</v>
      </c>
      <c r="AA82" s="26" t="s">
        <v>13</v>
      </c>
      <c r="AB82" s="30" t="s">
        <v>172</v>
      </c>
      <c r="AC82" s="49" t="s">
        <v>5300</v>
      </c>
      <c r="AD82" s="25" t="s">
        <v>174</v>
      </c>
      <c r="AE82" s="26" t="s">
        <v>175</v>
      </c>
      <c r="AF82" s="32">
        <f t="shared" si="8"/>
        <v>1</v>
      </c>
      <c r="AG82" s="32">
        <v>1</v>
      </c>
      <c r="AH82" s="32">
        <v>1</v>
      </c>
      <c r="AI82" s="32">
        <v>1</v>
      </c>
      <c r="AJ82" s="32"/>
      <c r="AK82" s="32"/>
      <c r="AL82" s="32">
        <f t="shared" si="11"/>
        <v>1</v>
      </c>
      <c r="AM82" s="32"/>
      <c r="AN82" s="32"/>
      <c r="AO82" s="32"/>
      <c r="AP82" s="32"/>
      <c r="AQ82" s="32">
        <v>1</v>
      </c>
      <c r="AR82" s="32">
        <v>1</v>
      </c>
      <c r="AS82" s="32"/>
      <c r="AT82" s="32">
        <v>1</v>
      </c>
      <c r="AU82" s="32"/>
      <c r="AW82" s="2" t="s">
        <v>5839</v>
      </c>
      <c r="AY82" s="75" t="s">
        <v>5840</v>
      </c>
    </row>
    <row r="83" spans="1:51" ht="16.5">
      <c r="A83" s="49" t="s">
        <v>5841</v>
      </c>
      <c r="B83" s="26" t="s">
        <v>160</v>
      </c>
      <c r="C83" s="26" t="s">
        <v>73</v>
      </c>
      <c r="D83" s="49" t="s">
        <v>5752</v>
      </c>
      <c r="E83" s="49" t="s">
        <v>162</v>
      </c>
      <c r="F83" s="49" t="s">
        <v>5842</v>
      </c>
      <c r="G83" s="49" t="s">
        <v>5843</v>
      </c>
      <c r="H83" s="49" t="s">
        <v>5516</v>
      </c>
      <c r="I83" s="26">
        <v>202606.3</v>
      </c>
      <c r="J83" s="25">
        <v>6.17</v>
      </c>
      <c r="K83" s="25" t="s">
        <v>73</v>
      </c>
      <c r="L83" s="26" t="s">
        <v>5563</v>
      </c>
      <c r="M83" s="49" t="s">
        <v>5844</v>
      </c>
      <c r="N83" s="27" t="s">
        <v>5845</v>
      </c>
      <c r="O83" s="26"/>
      <c r="P83" s="53">
        <v>4</v>
      </c>
      <c r="Q83" s="32">
        <v>16</v>
      </c>
      <c r="R83" s="53">
        <v>266.68</v>
      </c>
      <c r="S83" s="26" t="s">
        <v>99</v>
      </c>
      <c r="T83" s="26" t="s">
        <v>100</v>
      </c>
      <c r="U83" s="26" t="s">
        <v>101</v>
      </c>
      <c r="V83" s="26" t="s">
        <v>5716</v>
      </c>
      <c r="W83" s="26" t="s">
        <v>103</v>
      </c>
      <c r="X83" s="26" t="s">
        <v>104</v>
      </c>
      <c r="Y83" s="26" t="s">
        <v>104</v>
      </c>
      <c r="Z83" s="26" t="s">
        <v>172</v>
      </c>
      <c r="AA83" s="26" t="s">
        <v>13</v>
      </c>
      <c r="AB83" s="30" t="s">
        <v>172</v>
      </c>
      <c r="AC83" s="49" t="s">
        <v>5300</v>
      </c>
      <c r="AD83" s="25" t="s">
        <v>174</v>
      </c>
      <c r="AE83" s="26" t="s">
        <v>175</v>
      </c>
      <c r="AF83" s="32">
        <f t="shared" si="8"/>
        <v>1</v>
      </c>
      <c r="AG83" s="32">
        <v>1</v>
      </c>
      <c r="AH83" s="32">
        <v>1</v>
      </c>
      <c r="AI83" s="32">
        <v>1</v>
      </c>
      <c r="AJ83" s="32"/>
      <c r="AK83" s="32"/>
      <c r="AL83" s="32">
        <f t="shared" si="11"/>
        <v>1</v>
      </c>
      <c r="AM83" s="32"/>
      <c r="AN83" s="32"/>
      <c r="AO83" s="32"/>
      <c r="AP83" s="32"/>
      <c r="AQ83" s="32">
        <v>1</v>
      </c>
      <c r="AR83" s="32">
        <v>1</v>
      </c>
      <c r="AS83" s="32"/>
      <c r="AT83" s="32">
        <v>1</v>
      </c>
      <c r="AU83" s="32"/>
      <c r="AW83" s="2" t="s">
        <v>5846</v>
      </c>
      <c r="AY83" s="75" t="s">
        <v>5847</v>
      </c>
    </row>
    <row r="84" spans="1:51" ht="16.5">
      <c r="A84" s="49" t="s">
        <v>5848</v>
      </c>
      <c r="B84" s="26" t="s">
        <v>160</v>
      </c>
      <c r="C84" s="26" t="s">
        <v>73</v>
      </c>
      <c r="D84" s="49" t="s">
        <v>5743</v>
      </c>
      <c r="E84" s="49" t="s">
        <v>162</v>
      </c>
      <c r="F84" s="49" t="s">
        <v>5849</v>
      </c>
      <c r="G84" s="49" t="s">
        <v>5850</v>
      </c>
      <c r="H84" s="49" t="s">
        <v>5516</v>
      </c>
      <c r="I84" s="26">
        <v>202606.3</v>
      </c>
      <c r="J84" s="25">
        <v>6.17</v>
      </c>
      <c r="K84" s="25" t="s">
        <v>73</v>
      </c>
      <c r="L84" s="26" t="s">
        <v>5556</v>
      </c>
      <c r="M84" s="49" t="s">
        <v>5851</v>
      </c>
      <c r="N84" s="27" t="s">
        <v>5852</v>
      </c>
      <c r="O84" s="26"/>
      <c r="P84" s="53">
        <v>4</v>
      </c>
      <c r="Q84" s="32">
        <v>16</v>
      </c>
      <c r="R84" s="53">
        <v>266.23</v>
      </c>
      <c r="S84" s="26" t="s">
        <v>99</v>
      </c>
      <c r="T84" s="26" t="s">
        <v>100</v>
      </c>
      <c r="U84" s="26" t="s">
        <v>101</v>
      </c>
      <c r="V84" s="26" t="s">
        <v>5716</v>
      </c>
      <c r="W84" s="26" t="s">
        <v>103</v>
      </c>
      <c r="X84" s="26" t="s">
        <v>104</v>
      </c>
      <c r="Y84" s="26" t="s">
        <v>104</v>
      </c>
      <c r="Z84" s="26" t="s">
        <v>172</v>
      </c>
      <c r="AA84" s="26" t="s">
        <v>13</v>
      </c>
      <c r="AB84" s="30" t="s">
        <v>172</v>
      </c>
      <c r="AC84" s="49" t="s">
        <v>5300</v>
      </c>
      <c r="AD84" s="25" t="s">
        <v>174</v>
      </c>
      <c r="AE84" s="26" t="s">
        <v>175</v>
      </c>
      <c r="AF84" s="32">
        <f t="shared" si="8"/>
        <v>1</v>
      </c>
      <c r="AG84" s="32">
        <v>1</v>
      </c>
      <c r="AH84" s="32">
        <v>1</v>
      </c>
      <c r="AI84" s="32">
        <v>1</v>
      </c>
      <c r="AJ84" s="32"/>
      <c r="AK84" s="32"/>
      <c r="AL84" s="32">
        <f t="shared" si="11"/>
        <v>1</v>
      </c>
      <c r="AM84" s="32"/>
      <c r="AN84" s="32"/>
      <c r="AO84" s="32"/>
      <c r="AP84" s="32"/>
      <c r="AQ84" s="32">
        <v>1</v>
      </c>
      <c r="AR84" s="32">
        <v>1</v>
      </c>
      <c r="AS84" s="32"/>
      <c r="AT84" s="32">
        <v>1</v>
      </c>
      <c r="AU84" s="32"/>
      <c r="AW84" s="2" t="s">
        <v>5853</v>
      </c>
      <c r="AY84" s="75" t="s">
        <v>5854</v>
      </c>
    </row>
    <row r="85" spans="1:51" ht="16.5">
      <c r="A85" s="49" t="s">
        <v>5855</v>
      </c>
      <c r="B85" s="26" t="s">
        <v>160</v>
      </c>
      <c r="C85" s="26" t="s">
        <v>73</v>
      </c>
      <c r="D85" s="49" t="s">
        <v>5735</v>
      </c>
      <c r="E85" s="49" t="s">
        <v>162</v>
      </c>
      <c r="F85" s="49" t="s">
        <v>5856</v>
      </c>
      <c r="G85" s="49" t="s">
        <v>5857</v>
      </c>
      <c r="H85" s="49" t="s">
        <v>5516</v>
      </c>
      <c r="I85" s="26">
        <v>202606.3</v>
      </c>
      <c r="J85" s="25">
        <v>6.17</v>
      </c>
      <c r="K85" s="25" t="s">
        <v>73</v>
      </c>
      <c r="L85" s="26" t="s">
        <v>5550</v>
      </c>
      <c r="M85" s="49" t="s">
        <v>5858</v>
      </c>
      <c r="N85" s="27" t="s">
        <v>5859</v>
      </c>
      <c r="O85" s="26"/>
      <c r="P85" s="53">
        <v>4</v>
      </c>
      <c r="Q85" s="32">
        <v>16</v>
      </c>
      <c r="R85" s="53">
        <v>266.23</v>
      </c>
      <c r="S85" s="26" t="s">
        <v>99</v>
      </c>
      <c r="T85" s="26" t="s">
        <v>100</v>
      </c>
      <c r="U85" s="26" t="s">
        <v>101</v>
      </c>
      <c r="V85" s="26" t="s">
        <v>5716</v>
      </c>
      <c r="W85" s="26" t="s">
        <v>103</v>
      </c>
      <c r="X85" s="26" t="s">
        <v>104</v>
      </c>
      <c r="Y85" s="26" t="s">
        <v>104</v>
      </c>
      <c r="Z85" s="26" t="s">
        <v>172</v>
      </c>
      <c r="AA85" s="26" t="s">
        <v>13</v>
      </c>
      <c r="AB85" s="30" t="s">
        <v>172</v>
      </c>
      <c r="AC85" s="49" t="s">
        <v>5300</v>
      </c>
      <c r="AD85" s="25" t="s">
        <v>174</v>
      </c>
      <c r="AE85" s="26" t="s">
        <v>175</v>
      </c>
      <c r="AF85" s="32">
        <f t="shared" si="8"/>
        <v>1</v>
      </c>
      <c r="AG85" s="32">
        <v>1</v>
      </c>
      <c r="AH85" s="32">
        <v>1</v>
      </c>
      <c r="AI85" s="32">
        <v>1</v>
      </c>
      <c r="AJ85" s="32"/>
      <c r="AK85" s="32"/>
      <c r="AL85" s="32">
        <f t="shared" si="11"/>
        <v>1</v>
      </c>
      <c r="AM85" s="32"/>
      <c r="AN85" s="32"/>
      <c r="AO85" s="32"/>
      <c r="AP85" s="32"/>
      <c r="AQ85" s="32">
        <v>1</v>
      </c>
      <c r="AR85" s="32">
        <v>1</v>
      </c>
      <c r="AS85" s="32"/>
      <c r="AT85" s="32">
        <v>1</v>
      </c>
      <c r="AU85" s="32"/>
      <c r="AW85" s="2" t="s">
        <v>5860</v>
      </c>
      <c r="AY85" s="75" t="s">
        <v>5861</v>
      </c>
    </row>
    <row r="86" spans="1:51" ht="16.5">
      <c r="A86" s="49" t="s">
        <v>5862</v>
      </c>
      <c r="B86" s="26" t="s">
        <v>160</v>
      </c>
      <c r="C86" s="26" t="s">
        <v>73</v>
      </c>
      <c r="D86" s="49" t="s">
        <v>5726</v>
      </c>
      <c r="E86" s="49" t="s">
        <v>162</v>
      </c>
      <c r="F86" s="49" t="s">
        <v>5863</v>
      </c>
      <c r="G86" s="49" t="s">
        <v>5864</v>
      </c>
      <c r="H86" s="49" t="s">
        <v>5516</v>
      </c>
      <c r="I86" s="26">
        <v>202606.3</v>
      </c>
      <c r="J86" s="25">
        <v>6.17</v>
      </c>
      <c r="K86" s="25" t="s">
        <v>73</v>
      </c>
      <c r="L86" s="26" t="s">
        <v>5543</v>
      </c>
      <c r="M86" s="49" t="s">
        <v>5865</v>
      </c>
      <c r="N86" s="27" t="s">
        <v>5866</v>
      </c>
      <c r="O86" s="26"/>
      <c r="P86" s="53">
        <v>4</v>
      </c>
      <c r="Q86" s="32">
        <v>16</v>
      </c>
      <c r="R86" s="53">
        <v>266.25</v>
      </c>
      <c r="S86" s="26" t="s">
        <v>99</v>
      </c>
      <c r="T86" s="26" t="s">
        <v>100</v>
      </c>
      <c r="U86" s="26" t="s">
        <v>101</v>
      </c>
      <c r="V86" s="26" t="s">
        <v>5716</v>
      </c>
      <c r="W86" s="26" t="s">
        <v>103</v>
      </c>
      <c r="X86" s="26" t="s">
        <v>104</v>
      </c>
      <c r="Y86" s="26" t="s">
        <v>104</v>
      </c>
      <c r="Z86" s="26" t="s">
        <v>172</v>
      </c>
      <c r="AA86" s="26" t="s">
        <v>13</v>
      </c>
      <c r="AB86" s="30" t="s">
        <v>172</v>
      </c>
      <c r="AC86" s="49" t="s">
        <v>5300</v>
      </c>
      <c r="AD86" s="25" t="s">
        <v>174</v>
      </c>
      <c r="AE86" s="26" t="s">
        <v>175</v>
      </c>
      <c r="AF86" s="32">
        <f t="shared" si="8"/>
        <v>1</v>
      </c>
      <c r="AG86" s="32">
        <v>1</v>
      </c>
      <c r="AH86" s="32">
        <v>1</v>
      </c>
      <c r="AI86" s="32">
        <v>1</v>
      </c>
      <c r="AJ86" s="32"/>
      <c r="AK86" s="32"/>
      <c r="AL86" s="32">
        <f t="shared" si="11"/>
        <v>1</v>
      </c>
      <c r="AM86" s="32"/>
      <c r="AN86" s="32"/>
      <c r="AO86" s="32"/>
      <c r="AP86" s="32"/>
      <c r="AQ86" s="32">
        <v>1</v>
      </c>
      <c r="AR86" s="32">
        <v>1</v>
      </c>
      <c r="AS86" s="32"/>
      <c r="AT86" s="32">
        <v>1</v>
      </c>
      <c r="AU86" s="32"/>
      <c r="AW86" s="2" t="s">
        <v>5867</v>
      </c>
      <c r="AY86" s="75" t="s">
        <v>5868</v>
      </c>
    </row>
    <row r="87" spans="1:51" hidden="1">
      <c r="A87" s="49" t="s">
        <v>5869</v>
      </c>
      <c r="B87" s="26" t="s">
        <v>160</v>
      </c>
      <c r="C87" s="26" t="s">
        <v>73</v>
      </c>
      <c r="D87" s="49" t="s">
        <v>5870</v>
      </c>
      <c r="E87" s="49" t="s">
        <v>162</v>
      </c>
      <c r="F87" s="49" t="s">
        <v>5871</v>
      </c>
      <c r="G87" s="49" t="s">
        <v>5872</v>
      </c>
      <c r="H87" s="49" t="s">
        <v>5516</v>
      </c>
      <c r="I87" s="26">
        <v>202606.3</v>
      </c>
      <c r="J87" s="34" t="s">
        <v>166</v>
      </c>
      <c r="K87" s="25" t="s">
        <v>73</v>
      </c>
      <c r="L87" s="26" t="s">
        <v>5873</v>
      </c>
      <c r="M87" s="49" t="s">
        <v>5874</v>
      </c>
      <c r="N87" s="27" t="s">
        <v>5875</v>
      </c>
      <c r="O87" s="26"/>
      <c r="P87" s="30"/>
      <c r="Q87" s="30"/>
      <c r="R87" s="30"/>
      <c r="S87" s="26" t="s">
        <v>99</v>
      </c>
      <c r="T87" s="26" t="s">
        <v>100</v>
      </c>
      <c r="U87" s="26" t="s">
        <v>101</v>
      </c>
      <c r="V87" s="26" t="s">
        <v>5716</v>
      </c>
      <c r="W87" s="26" t="s">
        <v>103</v>
      </c>
      <c r="X87" s="26" t="s">
        <v>104</v>
      </c>
      <c r="Y87" s="26" t="s">
        <v>104</v>
      </c>
      <c r="Z87" s="26" t="s">
        <v>172</v>
      </c>
      <c r="AA87" s="26" t="s">
        <v>13</v>
      </c>
      <c r="AB87" s="30" t="s">
        <v>172</v>
      </c>
      <c r="AC87" s="123" t="s">
        <v>5300</v>
      </c>
      <c r="AD87" s="25" t="s">
        <v>174</v>
      </c>
      <c r="AE87" s="26" t="s">
        <v>175</v>
      </c>
      <c r="AF87" s="30"/>
      <c r="AG87" s="30"/>
      <c r="AH87" s="30"/>
      <c r="AI87" s="30"/>
      <c r="AJ87" s="30"/>
      <c r="AK87" s="30"/>
      <c r="AL87" s="30"/>
      <c r="AM87" s="30"/>
      <c r="AN87" s="30"/>
      <c r="AO87" s="30"/>
      <c r="AP87" s="30"/>
      <c r="AQ87" s="30"/>
      <c r="AR87" s="30"/>
      <c r="AS87" s="30"/>
      <c r="AT87" s="30"/>
      <c r="AU87" s="30"/>
      <c r="AW87" s="2" t="s">
        <v>5876</v>
      </c>
    </row>
    <row r="88" spans="1:51" ht="16.5">
      <c r="A88" s="49" t="s">
        <v>5877</v>
      </c>
      <c r="B88" s="26" t="s">
        <v>160</v>
      </c>
      <c r="C88" s="26" t="s">
        <v>73</v>
      </c>
      <c r="D88" s="49" t="s">
        <v>5878</v>
      </c>
      <c r="E88" s="49" t="s">
        <v>162</v>
      </c>
      <c r="F88" s="49" t="s">
        <v>5879</v>
      </c>
      <c r="G88" s="49" t="s">
        <v>5880</v>
      </c>
      <c r="H88" s="49" t="s">
        <v>5516</v>
      </c>
      <c r="I88" s="26">
        <v>202606.3</v>
      </c>
      <c r="J88" s="25">
        <v>6.17</v>
      </c>
      <c r="K88" s="25" t="s">
        <v>73</v>
      </c>
      <c r="L88" s="26" t="s">
        <v>5657</v>
      </c>
      <c r="M88" s="49" t="s">
        <v>5881</v>
      </c>
      <c r="N88" s="27" t="s">
        <v>5882</v>
      </c>
      <c r="O88" s="26"/>
      <c r="P88" s="53">
        <v>4</v>
      </c>
      <c r="Q88" s="32">
        <v>16</v>
      </c>
      <c r="R88" s="53">
        <v>266.29000000000002</v>
      </c>
      <c r="S88" s="26" t="s">
        <v>99</v>
      </c>
      <c r="T88" s="26" t="s">
        <v>100</v>
      </c>
      <c r="U88" s="26" t="s">
        <v>101</v>
      </c>
      <c r="V88" s="26" t="s">
        <v>5716</v>
      </c>
      <c r="W88" s="26" t="s">
        <v>103</v>
      </c>
      <c r="X88" s="26" t="s">
        <v>104</v>
      </c>
      <c r="Y88" s="26" t="s">
        <v>104</v>
      </c>
      <c r="Z88" s="26" t="s">
        <v>172</v>
      </c>
      <c r="AA88" s="26" t="s">
        <v>13</v>
      </c>
      <c r="AB88" s="30" t="s">
        <v>172</v>
      </c>
      <c r="AC88" s="49" t="s">
        <v>5300</v>
      </c>
      <c r="AD88" s="25" t="s">
        <v>174</v>
      </c>
      <c r="AE88" s="26" t="s">
        <v>175</v>
      </c>
      <c r="AF88" s="32">
        <f t="shared" ref="AF88:AF108" si="12">IF(COUNTIF(AY:AY,D88)&gt;0,1,0)</f>
        <v>1</v>
      </c>
      <c r="AG88" s="32">
        <v>1</v>
      </c>
      <c r="AH88" s="32">
        <v>1</v>
      </c>
      <c r="AI88" s="32">
        <v>1</v>
      </c>
      <c r="AJ88" s="32"/>
      <c r="AK88" s="32"/>
      <c r="AL88" s="32">
        <f>IF(COUNTIF(AW:AW,"*"&amp;L88&amp;"*")&gt;0,1,0)</f>
        <v>1</v>
      </c>
      <c r="AM88" s="32"/>
      <c r="AN88" s="32"/>
      <c r="AO88" s="32"/>
      <c r="AP88" s="32"/>
      <c r="AQ88" s="32">
        <v>1</v>
      </c>
      <c r="AR88" s="32">
        <v>1</v>
      </c>
      <c r="AS88" s="32"/>
      <c r="AT88" s="32">
        <v>1</v>
      </c>
      <c r="AU88" s="32"/>
      <c r="AW88" s="2" t="s">
        <v>5883</v>
      </c>
      <c r="AY88" s="75" t="s">
        <v>5878</v>
      </c>
    </row>
    <row r="89" spans="1:51" ht="16.5">
      <c r="A89" s="49" t="s">
        <v>5884</v>
      </c>
      <c r="B89" s="26" t="s">
        <v>160</v>
      </c>
      <c r="C89" s="26" t="s">
        <v>73</v>
      </c>
      <c r="D89" s="49" t="s">
        <v>5868</v>
      </c>
      <c r="E89" s="49" t="s">
        <v>162</v>
      </c>
      <c r="F89" s="49" t="s">
        <v>5885</v>
      </c>
      <c r="G89" s="49" t="s">
        <v>5886</v>
      </c>
      <c r="H89" s="49" t="s">
        <v>5516</v>
      </c>
      <c r="I89" s="26">
        <v>202606.3</v>
      </c>
      <c r="J89" s="25">
        <v>6.17</v>
      </c>
      <c r="K89" s="25" t="s">
        <v>73</v>
      </c>
      <c r="L89" s="26" t="s">
        <v>5650</v>
      </c>
      <c r="M89" s="49" t="s">
        <v>5887</v>
      </c>
      <c r="N89" s="27" t="s">
        <v>5888</v>
      </c>
      <c r="O89" s="26"/>
      <c r="P89" s="53">
        <v>4</v>
      </c>
      <c r="Q89" s="32">
        <v>16</v>
      </c>
      <c r="R89" s="53">
        <v>266.41000000000003</v>
      </c>
      <c r="S89" s="26" t="s">
        <v>99</v>
      </c>
      <c r="T89" s="26" t="s">
        <v>100</v>
      </c>
      <c r="U89" s="26" t="s">
        <v>101</v>
      </c>
      <c r="V89" s="26" t="s">
        <v>5716</v>
      </c>
      <c r="W89" s="26" t="s">
        <v>103</v>
      </c>
      <c r="X89" s="26" t="s">
        <v>104</v>
      </c>
      <c r="Y89" s="26" t="s">
        <v>104</v>
      </c>
      <c r="Z89" s="26" t="s">
        <v>172</v>
      </c>
      <c r="AA89" s="26" t="s">
        <v>13</v>
      </c>
      <c r="AB89" s="30" t="s">
        <v>172</v>
      </c>
      <c r="AC89" s="49" t="s">
        <v>5300</v>
      </c>
      <c r="AD89" s="25" t="s">
        <v>174</v>
      </c>
      <c r="AE89" s="26" t="s">
        <v>175</v>
      </c>
      <c r="AF89" s="32">
        <f t="shared" si="12"/>
        <v>1</v>
      </c>
      <c r="AG89" s="32">
        <v>1</v>
      </c>
      <c r="AH89" s="32">
        <v>1</v>
      </c>
      <c r="AI89" s="32">
        <v>1</v>
      </c>
      <c r="AJ89" s="32"/>
      <c r="AK89" s="32"/>
      <c r="AL89" s="32">
        <f>IF(COUNTIF(AW:AW,"*"&amp;L89&amp;"*")&gt;0,1,0)</f>
        <v>1</v>
      </c>
      <c r="AM89" s="32"/>
      <c r="AN89" s="32"/>
      <c r="AO89" s="32"/>
      <c r="AP89" s="32"/>
      <c r="AQ89" s="32">
        <v>1</v>
      </c>
      <c r="AR89" s="32">
        <v>1</v>
      </c>
      <c r="AS89" s="32"/>
      <c r="AT89" s="32">
        <v>1</v>
      </c>
      <c r="AU89" s="32"/>
      <c r="AW89" s="2" t="s">
        <v>5889</v>
      </c>
      <c r="AY89" s="75" t="s">
        <v>5828</v>
      </c>
    </row>
    <row r="90" spans="1:51" ht="16.5">
      <c r="A90" s="49" t="s">
        <v>5890</v>
      </c>
      <c r="B90" s="26" t="s">
        <v>160</v>
      </c>
      <c r="C90" s="26" t="s">
        <v>73</v>
      </c>
      <c r="D90" s="49" t="s">
        <v>5861</v>
      </c>
      <c r="E90" s="49" t="s">
        <v>162</v>
      </c>
      <c r="F90" s="49" t="s">
        <v>5891</v>
      </c>
      <c r="G90" s="49" t="s">
        <v>5892</v>
      </c>
      <c r="H90" s="49" t="s">
        <v>5516</v>
      </c>
      <c r="I90" s="26">
        <v>202606.3</v>
      </c>
      <c r="J90" s="25">
        <v>6.17</v>
      </c>
      <c r="K90" s="25" t="s">
        <v>73</v>
      </c>
      <c r="L90" s="26" t="s">
        <v>5642</v>
      </c>
      <c r="M90" s="49" t="s">
        <v>5893</v>
      </c>
      <c r="N90" s="27" t="s">
        <v>5894</v>
      </c>
      <c r="O90" s="26"/>
      <c r="P90" s="53">
        <v>4</v>
      </c>
      <c r="Q90" s="32">
        <v>16</v>
      </c>
      <c r="R90" s="53">
        <v>266.12</v>
      </c>
      <c r="S90" s="26" t="s">
        <v>99</v>
      </c>
      <c r="T90" s="26" t="s">
        <v>100</v>
      </c>
      <c r="U90" s="26" t="s">
        <v>101</v>
      </c>
      <c r="V90" s="26" t="s">
        <v>5716</v>
      </c>
      <c r="W90" s="26" t="s">
        <v>103</v>
      </c>
      <c r="X90" s="26" t="s">
        <v>104</v>
      </c>
      <c r="Y90" s="26" t="s">
        <v>104</v>
      </c>
      <c r="Z90" s="26" t="s">
        <v>172</v>
      </c>
      <c r="AA90" s="26" t="s">
        <v>13</v>
      </c>
      <c r="AB90" s="30" t="s">
        <v>172</v>
      </c>
      <c r="AC90" s="49" t="s">
        <v>5300</v>
      </c>
      <c r="AD90" s="25" t="s">
        <v>174</v>
      </c>
      <c r="AE90" s="26" t="s">
        <v>175</v>
      </c>
      <c r="AF90" s="32">
        <f t="shared" si="12"/>
        <v>1</v>
      </c>
      <c r="AG90" s="32">
        <v>1</v>
      </c>
      <c r="AH90" s="32">
        <v>1</v>
      </c>
      <c r="AI90" s="32">
        <v>1</v>
      </c>
      <c r="AJ90" s="32"/>
      <c r="AK90" s="32"/>
      <c r="AL90" s="32">
        <f>IF(COUNTIF(AW:AW,"*"&amp;L90&amp;"*")&gt;0,1,0)</f>
        <v>1</v>
      </c>
      <c r="AM90" s="32"/>
      <c r="AN90" s="32"/>
      <c r="AO90" s="32"/>
      <c r="AP90" s="32"/>
      <c r="AQ90" s="32">
        <v>1</v>
      </c>
      <c r="AR90" s="32">
        <v>1</v>
      </c>
      <c r="AS90" s="32"/>
      <c r="AT90" s="32">
        <v>1</v>
      </c>
      <c r="AU90" s="32"/>
      <c r="AW90" s="2" t="s">
        <v>5895</v>
      </c>
      <c r="AY90" s="75" t="s">
        <v>5820</v>
      </c>
    </row>
    <row r="91" spans="1:51" ht="16.5">
      <c r="A91" s="49" t="s">
        <v>5896</v>
      </c>
      <c r="B91" s="26" t="s">
        <v>160</v>
      </c>
      <c r="C91" s="26" t="s">
        <v>73</v>
      </c>
      <c r="D91" s="49" t="s">
        <v>5854</v>
      </c>
      <c r="E91" s="49" t="s">
        <v>162</v>
      </c>
      <c r="F91" s="49" t="s">
        <v>5897</v>
      </c>
      <c r="G91" s="49" t="s">
        <v>5880</v>
      </c>
      <c r="H91" s="49" t="s">
        <v>5516</v>
      </c>
      <c r="I91" s="26">
        <v>202606.3</v>
      </c>
      <c r="J91" s="25">
        <v>6.17</v>
      </c>
      <c r="K91" s="25" t="s">
        <v>73</v>
      </c>
      <c r="L91" s="26" t="s">
        <v>5633</v>
      </c>
      <c r="M91" s="49" t="s">
        <v>5898</v>
      </c>
      <c r="N91" s="27" t="s">
        <v>5899</v>
      </c>
      <c r="O91" s="26"/>
      <c r="P91" s="53">
        <v>4</v>
      </c>
      <c r="Q91" s="32">
        <v>16</v>
      </c>
      <c r="R91" s="53">
        <v>266.33999999999997</v>
      </c>
      <c r="S91" s="26" t="s">
        <v>99</v>
      </c>
      <c r="T91" s="26" t="s">
        <v>100</v>
      </c>
      <c r="U91" s="26" t="s">
        <v>101</v>
      </c>
      <c r="V91" s="26" t="s">
        <v>5716</v>
      </c>
      <c r="W91" s="26" t="s">
        <v>103</v>
      </c>
      <c r="X91" s="26" t="s">
        <v>104</v>
      </c>
      <c r="Y91" s="26" t="s">
        <v>104</v>
      </c>
      <c r="Z91" s="26" t="s">
        <v>172</v>
      </c>
      <c r="AA91" s="26" t="s">
        <v>13</v>
      </c>
      <c r="AB91" s="30" t="s">
        <v>172</v>
      </c>
      <c r="AC91" s="49" t="s">
        <v>5300</v>
      </c>
      <c r="AD91" s="25" t="s">
        <v>174</v>
      </c>
      <c r="AE91" s="26" t="s">
        <v>175</v>
      </c>
      <c r="AF91" s="32">
        <f t="shared" si="12"/>
        <v>1</v>
      </c>
      <c r="AG91" s="32">
        <v>1</v>
      </c>
      <c r="AH91" s="32">
        <v>1</v>
      </c>
      <c r="AI91" s="32">
        <v>1</v>
      </c>
      <c r="AJ91" s="32"/>
      <c r="AK91" s="32"/>
      <c r="AL91" s="32">
        <f>IF(COUNTIF(AW:AW,"*"&amp;L91&amp;"*")&gt;0,1,0)</f>
        <v>1</v>
      </c>
      <c r="AM91" s="32"/>
      <c r="AN91" s="32"/>
      <c r="AO91" s="32"/>
      <c r="AP91" s="32"/>
      <c r="AQ91" s="32">
        <v>1</v>
      </c>
      <c r="AR91" s="32">
        <v>1</v>
      </c>
      <c r="AS91" s="32"/>
      <c r="AT91" s="32">
        <v>1</v>
      </c>
      <c r="AU91" s="32"/>
      <c r="AW91" s="2" t="s">
        <v>5900</v>
      </c>
      <c r="AY91" s="75" t="s">
        <v>5813</v>
      </c>
    </row>
    <row r="92" spans="1:51" ht="16.5" hidden="1">
      <c r="A92" s="49" t="s">
        <v>5901</v>
      </c>
      <c r="B92" s="150" t="s">
        <v>160</v>
      </c>
      <c r="C92" s="150" t="s">
        <v>73</v>
      </c>
      <c r="D92" s="151" t="s">
        <v>5847</v>
      </c>
      <c r="E92" s="151" t="s">
        <v>162</v>
      </c>
      <c r="F92" s="49" t="s">
        <v>5902</v>
      </c>
      <c r="G92" s="151" t="s">
        <v>5903</v>
      </c>
      <c r="H92" s="151" t="s">
        <v>5516</v>
      </c>
      <c r="I92" s="26">
        <v>202606.3</v>
      </c>
      <c r="J92" s="34" t="s">
        <v>3213</v>
      </c>
      <c r="K92" s="152" t="s">
        <v>73</v>
      </c>
      <c r="L92" s="26" t="s">
        <v>5904</v>
      </c>
      <c r="M92" s="151" t="s">
        <v>5905</v>
      </c>
      <c r="N92" s="153" t="s">
        <v>5906</v>
      </c>
      <c r="O92" s="26"/>
      <c r="P92" s="53">
        <v>4</v>
      </c>
      <c r="Q92" s="32">
        <v>16</v>
      </c>
      <c r="R92" s="53">
        <v>266.64999999999998</v>
      </c>
      <c r="S92" s="26" t="s">
        <v>99</v>
      </c>
      <c r="T92" s="26" t="s">
        <v>100</v>
      </c>
      <c r="U92" s="26" t="s">
        <v>101</v>
      </c>
      <c r="V92" s="26" t="s">
        <v>5716</v>
      </c>
      <c r="W92" s="26" t="s">
        <v>103</v>
      </c>
      <c r="X92" s="26" t="s">
        <v>104</v>
      </c>
      <c r="Y92" s="26" t="s">
        <v>104</v>
      </c>
      <c r="Z92" s="26" t="s">
        <v>172</v>
      </c>
      <c r="AA92" s="26" t="s">
        <v>13</v>
      </c>
      <c r="AB92" s="30" t="s">
        <v>172</v>
      </c>
      <c r="AC92" s="49" t="s">
        <v>5300</v>
      </c>
      <c r="AD92" s="25" t="s">
        <v>174</v>
      </c>
      <c r="AE92" s="26" t="s">
        <v>175</v>
      </c>
      <c r="AF92" s="32">
        <f t="shared" si="12"/>
        <v>1</v>
      </c>
      <c r="AG92" s="32">
        <v>1</v>
      </c>
      <c r="AH92" s="32">
        <v>1</v>
      </c>
      <c r="AI92" s="32">
        <v>1</v>
      </c>
      <c r="AJ92" s="32"/>
      <c r="AK92" s="32"/>
      <c r="AL92" s="32">
        <f t="shared" ref="AL92:AL102" si="13">IF(COUNTIF(AW:AW,"*"&amp;M92&amp;"*")&gt;0,1,0)</f>
        <v>0</v>
      </c>
      <c r="AM92" s="32"/>
      <c r="AN92" s="32"/>
      <c r="AO92" s="32"/>
      <c r="AP92" s="32"/>
      <c r="AQ92" s="32"/>
      <c r="AR92" s="32"/>
      <c r="AS92" s="32"/>
      <c r="AT92" s="32"/>
      <c r="AU92" s="32"/>
      <c r="AW92" s="2" t="s">
        <v>5907</v>
      </c>
      <c r="AY92" s="75" t="s">
        <v>5806</v>
      </c>
    </row>
    <row r="93" spans="1:51" ht="16.5">
      <c r="A93" s="49" t="s">
        <v>5908</v>
      </c>
      <c r="B93" s="26" t="s">
        <v>160</v>
      </c>
      <c r="C93" s="26" t="s">
        <v>73</v>
      </c>
      <c r="D93" s="49" t="s">
        <v>5840</v>
      </c>
      <c r="E93" s="49" t="s">
        <v>162</v>
      </c>
      <c r="F93" s="49" t="s">
        <v>5909</v>
      </c>
      <c r="G93" s="49" t="s">
        <v>5910</v>
      </c>
      <c r="H93" s="49" t="s">
        <v>5516</v>
      </c>
      <c r="I93" s="26">
        <v>202606.3</v>
      </c>
      <c r="J93" s="25">
        <v>6.17</v>
      </c>
      <c r="K93" s="25" t="s">
        <v>73</v>
      </c>
      <c r="L93" s="26" t="s">
        <v>5625</v>
      </c>
      <c r="M93" s="49" t="s">
        <v>5911</v>
      </c>
      <c r="N93" s="27" t="s">
        <v>5912</v>
      </c>
      <c r="O93" s="26"/>
      <c r="P93" s="53">
        <v>4</v>
      </c>
      <c r="Q93" s="32">
        <v>16</v>
      </c>
      <c r="R93" s="53">
        <v>266.11</v>
      </c>
      <c r="S93" s="26" t="s">
        <v>99</v>
      </c>
      <c r="T93" s="26" t="s">
        <v>100</v>
      </c>
      <c r="U93" s="26" t="s">
        <v>101</v>
      </c>
      <c r="V93" s="26" t="s">
        <v>5716</v>
      </c>
      <c r="W93" s="26" t="s">
        <v>103</v>
      </c>
      <c r="X93" s="26" t="s">
        <v>104</v>
      </c>
      <c r="Y93" s="26" t="s">
        <v>104</v>
      </c>
      <c r="Z93" s="26" t="s">
        <v>172</v>
      </c>
      <c r="AA93" s="26" t="s">
        <v>13</v>
      </c>
      <c r="AB93" s="30" t="s">
        <v>172</v>
      </c>
      <c r="AC93" s="49" t="s">
        <v>5300</v>
      </c>
      <c r="AD93" s="25" t="s">
        <v>174</v>
      </c>
      <c r="AE93" s="26" t="s">
        <v>175</v>
      </c>
      <c r="AF93" s="32">
        <f t="shared" si="12"/>
        <v>1</v>
      </c>
      <c r="AG93" s="32">
        <v>1</v>
      </c>
      <c r="AH93" s="32">
        <v>1</v>
      </c>
      <c r="AI93" s="32">
        <v>1</v>
      </c>
      <c r="AJ93" s="32"/>
      <c r="AK93" s="32"/>
      <c r="AL93" s="32">
        <f t="shared" ref="AL93:AL101" si="14">IF(COUNTIF(AW:AW,"*"&amp;L93&amp;"*")&gt;0,1,0)</f>
        <v>1</v>
      </c>
      <c r="AM93" s="32"/>
      <c r="AN93" s="32"/>
      <c r="AO93" s="32"/>
      <c r="AP93" s="32"/>
      <c r="AQ93" s="32">
        <v>1</v>
      </c>
      <c r="AR93" s="32">
        <v>1</v>
      </c>
      <c r="AS93" s="32"/>
      <c r="AT93" s="32">
        <v>1</v>
      </c>
      <c r="AU93" s="32"/>
      <c r="AW93" s="2" t="s">
        <v>5913</v>
      </c>
      <c r="AY93" s="75" t="s">
        <v>5798</v>
      </c>
    </row>
    <row r="94" spans="1:51" ht="16.5">
      <c r="A94" s="49" t="s">
        <v>5914</v>
      </c>
      <c r="B94" s="26" t="s">
        <v>160</v>
      </c>
      <c r="C94" s="26" t="s">
        <v>73</v>
      </c>
      <c r="D94" s="49" t="s">
        <v>5718</v>
      </c>
      <c r="E94" s="49" t="s">
        <v>162</v>
      </c>
      <c r="F94" s="49" t="s">
        <v>5915</v>
      </c>
      <c r="G94" s="49" t="s">
        <v>5916</v>
      </c>
      <c r="H94" s="49" t="s">
        <v>5516</v>
      </c>
      <c r="I94" s="26">
        <v>202606.3</v>
      </c>
      <c r="J94" s="25">
        <v>6.17</v>
      </c>
      <c r="K94" s="25" t="s">
        <v>73</v>
      </c>
      <c r="L94" s="26" t="s">
        <v>5316</v>
      </c>
      <c r="M94" s="49" t="s">
        <v>5917</v>
      </c>
      <c r="N94" s="27" t="s">
        <v>5918</v>
      </c>
      <c r="O94" s="26"/>
      <c r="P94" s="53">
        <v>4</v>
      </c>
      <c r="Q94" s="32">
        <v>16</v>
      </c>
      <c r="R94" s="53">
        <v>266.62</v>
      </c>
      <c r="S94" s="26" t="s">
        <v>99</v>
      </c>
      <c r="T94" s="26" t="s">
        <v>100</v>
      </c>
      <c r="U94" s="26" t="s">
        <v>101</v>
      </c>
      <c r="V94" s="26" t="s">
        <v>5716</v>
      </c>
      <c r="W94" s="26" t="s">
        <v>103</v>
      </c>
      <c r="X94" s="26" t="s">
        <v>104</v>
      </c>
      <c r="Y94" s="26" t="s">
        <v>104</v>
      </c>
      <c r="Z94" s="26" t="s">
        <v>172</v>
      </c>
      <c r="AA94" s="26" t="s">
        <v>13</v>
      </c>
      <c r="AB94" s="30" t="s">
        <v>172</v>
      </c>
      <c r="AC94" s="49" t="s">
        <v>5300</v>
      </c>
      <c r="AD94" s="25" t="s">
        <v>174</v>
      </c>
      <c r="AE94" s="26" t="s">
        <v>175</v>
      </c>
      <c r="AF94" s="32">
        <f t="shared" si="12"/>
        <v>1</v>
      </c>
      <c r="AG94" s="32">
        <v>1</v>
      </c>
      <c r="AH94" s="32">
        <v>1</v>
      </c>
      <c r="AI94" s="32">
        <v>1</v>
      </c>
      <c r="AJ94" s="32"/>
      <c r="AK94" s="32"/>
      <c r="AL94" s="32">
        <f t="shared" si="14"/>
        <v>1</v>
      </c>
      <c r="AM94" s="32"/>
      <c r="AN94" s="32"/>
      <c r="AO94" s="32"/>
      <c r="AP94" s="32"/>
      <c r="AQ94" s="32">
        <v>1</v>
      </c>
      <c r="AR94" s="32">
        <v>1</v>
      </c>
      <c r="AS94" s="32"/>
      <c r="AT94" s="32">
        <v>1</v>
      </c>
      <c r="AU94" s="32"/>
      <c r="AW94" s="2" t="s">
        <v>5919</v>
      </c>
      <c r="AY94" s="75" t="s">
        <v>5789</v>
      </c>
    </row>
    <row r="95" spans="1:51" ht="16.5">
      <c r="A95" s="49" t="s">
        <v>5920</v>
      </c>
      <c r="B95" s="26" t="s">
        <v>160</v>
      </c>
      <c r="C95" s="26" t="s">
        <v>73</v>
      </c>
      <c r="D95" s="49" t="s">
        <v>5796</v>
      </c>
      <c r="E95" s="49" t="s">
        <v>162</v>
      </c>
      <c r="F95" s="49" t="s">
        <v>5921</v>
      </c>
      <c r="G95" s="49" t="s">
        <v>5922</v>
      </c>
      <c r="H95" s="49" t="s">
        <v>5516</v>
      </c>
      <c r="I95" s="26">
        <v>202606.3</v>
      </c>
      <c r="J95" s="25">
        <v>6.17</v>
      </c>
      <c r="K95" s="25" t="s">
        <v>73</v>
      </c>
      <c r="L95" s="26" t="s">
        <v>5599</v>
      </c>
      <c r="M95" s="49" t="s">
        <v>5923</v>
      </c>
      <c r="N95" s="27" t="s">
        <v>5924</v>
      </c>
      <c r="O95" s="26"/>
      <c r="P95" s="53">
        <v>4</v>
      </c>
      <c r="Q95" s="32">
        <v>16</v>
      </c>
      <c r="R95" s="53">
        <v>266.31</v>
      </c>
      <c r="S95" s="26" t="s">
        <v>99</v>
      </c>
      <c r="T95" s="26" t="s">
        <v>100</v>
      </c>
      <c r="U95" s="26" t="s">
        <v>101</v>
      </c>
      <c r="V95" s="26" t="s">
        <v>5716</v>
      </c>
      <c r="W95" s="26" t="s">
        <v>103</v>
      </c>
      <c r="X95" s="26" t="s">
        <v>104</v>
      </c>
      <c r="Y95" s="26" t="s">
        <v>104</v>
      </c>
      <c r="Z95" s="26" t="s">
        <v>172</v>
      </c>
      <c r="AA95" s="26" t="s">
        <v>13</v>
      </c>
      <c r="AB95" s="30" t="s">
        <v>172</v>
      </c>
      <c r="AC95" s="49" t="s">
        <v>5300</v>
      </c>
      <c r="AD95" s="25" t="s">
        <v>174</v>
      </c>
      <c r="AE95" s="26" t="s">
        <v>175</v>
      </c>
      <c r="AF95" s="32">
        <f t="shared" si="12"/>
        <v>1</v>
      </c>
      <c r="AG95" s="32">
        <v>1</v>
      </c>
      <c r="AH95" s="32">
        <v>1</v>
      </c>
      <c r="AI95" s="32">
        <v>1</v>
      </c>
      <c r="AJ95" s="32"/>
      <c r="AK95" s="32"/>
      <c r="AL95" s="32">
        <f t="shared" si="14"/>
        <v>1</v>
      </c>
      <c r="AM95" s="32"/>
      <c r="AN95" s="32"/>
      <c r="AO95" s="32"/>
      <c r="AP95" s="32"/>
      <c r="AQ95" s="32">
        <v>1</v>
      </c>
      <c r="AR95" s="32">
        <v>1</v>
      </c>
      <c r="AS95" s="32"/>
      <c r="AT95" s="32">
        <v>1</v>
      </c>
      <c r="AU95" s="32"/>
      <c r="AW95" s="2" t="s">
        <v>5925</v>
      </c>
      <c r="AY95" s="75" t="s">
        <v>5780</v>
      </c>
    </row>
    <row r="96" spans="1:51" ht="16.5">
      <c r="A96" s="49" t="s">
        <v>5926</v>
      </c>
      <c r="B96" s="26" t="s">
        <v>160</v>
      </c>
      <c r="C96" s="26" t="s">
        <v>73</v>
      </c>
      <c r="D96" s="49" t="s">
        <v>5778</v>
      </c>
      <c r="E96" s="49" t="s">
        <v>162</v>
      </c>
      <c r="F96" s="49" t="s">
        <v>5927</v>
      </c>
      <c r="G96" s="49" t="s">
        <v>5928</v>
      </c>
      <c r="H96" s="49" t="s">
        <v>5516</v>
      </c>
      <c r="I96" s="26">
        <v>202606.3</v>
      </c>
      <c r="J96" s="25">
        <v>6.17</v>
      </c>
      <c r="K96" s="25" t="s">
        <v>73</v>
      </c>
      <c r="L96" s="26" t="s">
        <v>5581</v>
      </c>
      <c r="M96" s="49" t="s">
        <v>5929</v>
      </c>
      <c r="N96" s="27" t="s">
        <v>5930</v>
      </c>
      <c r="O96" s="26"/>
      <c r="P96" s="53">
        <v>4</v>
      </c>
      <c r="Q96" s="32">
        <v>16</v>
      </c>
      <c r="R96" s="53">
        <v>267.32</v>
      </c>
      <c r="S96" s="26" t="s">
        <v>99</v>
      </c>
      <c r="T96" s="26" t="s">
        <v>100</v>
      </c>
      <c r="U96" s="26" t="s">
        <v>101</v>
      </c>
      <c r="V96" s="26" t="s">
        <v>5716</v>
      </c>
      <c r="W96" s="26" t="s">
        <v>103</v>
      </c>
      <c r="X96" s="26" t="s">
        <v>104</v>
      </c>
      <c r="Y96" s="26" t="s">
        <v>104</v>
      </c>
      <c r="Z96" s="26" t="s">
        <v>172</v>
      </c>
      <c r="AA96" s="26" t="s">
        <v>13</v>
      </c>
      <c r="AB96" s="30" t="s">
        <v>172</v>
      </c>
      <c r="AC96" s="49" t="s">
        <v>5300</v>
      </c>
      <c r="AD96" s="25" t="s">
        <v>174</v>
      </c>
      <c r="AE96" s="26" t="s">
        <v>175</v>
      </c>
      <c r="AF96" s="32">
        <f t="shared" si="12"/>
        <v>1</v>
      </c>
      <c r="AG96" s="32">
        <v>1</v>
      </c>
      <c r="AH96" s="32">
        <v>1</v>
      </c>
      <c r="AI96" s="32">
        <v>1</v>
      </c>
      <c r="AJ96" s="32"/>
      <c r="AK96" s="32"/>
      <c r="AL96" s="32">
        <f t="shared" si="14"/>
        <v>1</v>
      </c>
      <c r="AM96" s="32"/>
      <c r="AN96" s="32"/>
      <c r="AO96" s="32"/>
      <c r="AP96" s="32"/>
      <c r="AQ96" s="32">
        <v>1</v>
      </c>
      <c r="AR96" s="32">
        <v>1</v>
      </c>
      <c r="AS96" s="32"/>
      <c r="AT96" s="32">
        <v>1</v>
      </c>
      <c r="AU96" s="32"/>
      <c r="AW96" s="2" t="s">
        <v>5931</v>
      </c>
      <c r="AY96" s="75" t="s">
        <v>5771</v>
      </c>
    </row>
    <row r="97" spans="1:51" ht="16.5">
      <c r="A97" s="49" t="s">
        <v>5932</v>
      </c>
      <c r="B97" s="26" t="s">
        <v>160</v>
      </c>
      <c r="C97" s="26" t="s">
        <v>73</v>
      </c>
      <c r="D97" s="49" t="s">
        <v>5787</v>
      </c>
      <c r="E97" s="49" t="s">
        <v>162</v>
      </c>
      <c r="F97" s="49" t="s">
        <v>5933</v>
      </c>
      <c r="G97" s="49" t="s">
        <v>5934</v>
      </c>
      <c r="H97" s="49" t="s">
        <v>5516</v>
      </c>
      <c r="I97" s="26">
        <v>202606.3</v>
      </c>
      <c r="J97" s="25">
        <v>6.17</v>
      </c>
      <c r="K97" s="25" t="s">
        <v>73</v>
      </c>
      <c r="L97" s="26" t="s">
        <v>5590</v>
      </c>
      <c r="M97" s="49" t="s">
        <v>5935</v>
      </c>
      <c r="N97" s="27" t="s">
        <v>5936</v>
      </c>
      <c r="O97" s="26"/>
      <c r="P97" s="53">
        <v>4</v>
      </c>
      <c r="Q97" s="32">
        <v>16</v>
      </c>
      <c r="R97" s="53">
        <v>267.22000000000003</v>
      </c>
      <c r="S97" s="26" t="s">
        <v>99</v>
      </c>
      <c r="T97" s="26" t="s">
        <v>100</v>
      </c>
      <c r="U97" s="26" t="s">
        <v>101</v>
      </c>
      <c r="V97" s="26" t="s">
        <v>5716</v>
      </c>
      <c r="W97" s="26" t="s">
        <v>103</v>
      </c>
      <c r="X97" s="26" t="s">
        <v>104</v>
      </c>
      <c r="Y97" s="26" t="s">
        <v>104</v>
      </c>
      <c r="Z97" s="26" t="s">
        <v>172</v>
      </c>
      <c r="AA97" s="26" t="s">
        <v>13</v>
      </c>
      <c r="AB97" s="30" t="s">
        <v>172</v>
      </c>
      <c r="AC97" s="49" t="s">
        <v>5300</v>
      </c>
      <c r="AD97" s="25" t="s">
        <v>174</v>
      </c>
      <c r="AE97" s="26" t="s">
        <v>175</v>
      </c>
      <c r="AF97" s="32">
        <f t="shared" si="12"/>
        <v>1</v>
      </c>
      <c r="AG97" s="32">
        <v>1</v>
      </c>
      <c r="AH97" s="32">
        <v>1</v>
      </c>
      <c r="AI97" s="32">
        <v>1</v>
      </c>
      <c r="AJ97" s="32"/>
      <c r="AK97" s="32"/>
      <c r="AL97" s="32">
        <f t="shared" si="14"/>
        <v>1</v>
      </c>
      <c r="AM97" s="32"/>
      <c r="AN97" s="32"/>
      <c r="AO97" s="32"/>
      <c r="AP97" s="32"/>
      <c r="AQ97" s="32">
        <v>1</v>
      </c>
      <c r="AR97" s="32">
        <v>1</v>
      </c>
      <c r="AS97" s="32"/>
      <c r="AT97" s="32">
        <v>1</v>
      </c>
      <c r="AU97" s="32"/>
      <c r="AW97" s="2" t="s">
        <v>5937</v>
      </c>
      <c r="AY97" s="75" t="s">
        <v>5763</v>
      </c>
    </row>
    <row r="98" spans="1:51" ht="16.5">
      <c r="A98" s="49" t="s">
        <v>5938</v>
      </c>
      <c r="B98" s="26" t="s">
        <v>160</v>
      </c>
      <c r="C98" s="26" t="s">
        <v>73</v>
      </c>
      <c r="D98" s="49" t="s">
        <v>5826</v>
      </c>
      <c r="E98" s="49" t="s">
        <v>162</v>
      </c>
      <c r="F98" s="49" t="s">
        <v>5939</v>
      </c>
      <c r="G98" s="49" t="s">
        <v>5940</v>
      </c>
      <c r="H98" s="49" t="s">
        <v>5516</v>
      </c>
      <c r="I98" s="26">
        <v>202606.3</v>
      </c>
      <c r="J98" s="25">
        <v>6.17</v>
      </c>
      <c r="K98" s="25" t="s">
        <v>73</v>
      </c>
      <c r="L98" s="26" t="s">
        <v>5617</v>
      </c>
      <c r="M98" s="49" t="s">
        <v>5941</v>
      </c>
      <c r="N98" s="27" t="s">
        <v>5942</v>
      </c>
      <c r="O98" s="26"/>
      <c r="P98" s="53">
        <v>4</v>
      </c>
      <c r="Q98" s="32">
        <v>16</v>
      </c>
      <c r="R98" s="53">
        <v>266.45</v>
      </c>
      <c r="S98" s="26" t="s">
        <v>99</v>
      </c>
      <c r="T98" s="26" t="s">
        <v>100</v>
      </c>
      <c r="U98" s="26" t="s">
        <v>101</v>
      </c>
      <c r="V98" s="26" t="s">
        <v>5716</v>
      </c>
      <c r="W98" s="26" t="s">
        <v>103</v>
      </c>
      <c r="X98" s="26" t="s">
        <v>104</v>
      </c>
      <c r="Y98" s="26" t="s">
        <v>104</v>
      </c>
      <c r="Z98" s="26" t="s">
        <v>172</v>
      </c>
      <c r="AA98" s="26" t="s">
        <v>13</v>
      </c>
      <c r="AB98" s="30" t="s">
        <v>172</v>
      </c>
      <c r="AC98" s="49" t="s">
        <v>5300</v>
      </c>
      <c r="AD98" s="25" t="s">
        <v>174</v>
      </c>
      <c r="AE98" s="26" t="s">
        <v>175</v>
      </c>
      <c r="AF98" s="32">
        <f t="shared" si="12"/>
        <v>1</v>
      </c>
      <c r="AG98" s="32">
        <v>1</v>
      </c>
      <c r="AH98" s="32">
        <v>1</v>
      </c>
      <c r="AI98" s="32">
        <v>1</v>
      </c>
      <c r="AJ98" s="32"/>
      <c r="AK98" s="32"/>
      <c r="AL98" s="32">
        <f t="shared" si="14"/>
        <v>1</v>
      </c>
      <c r="AM98" s="32"/>
      <c r="AN98" s="32"/>
      <c r="AO98" s="32"/>
      <c r="AP98" s="32"/>
      <c r="AQ98" s="32">
        <v>1</v>
      </c>
      <c r="AR98" s="32">
        <v>1</v>
      </c>
      <c r="AS98" s="32"/>
      <c r="AT98" s="32">
        <v>1</v>
      </c>
      <c r="AU98" s="32"/>
      <c r="AW98" s="2" t="s">
        <v>5943</v>
      </c>
      <c r="AY98" s="75" t="s">
        <v>5754</v>
      </c>
    </row>
    <row r="99" spans="1:51" ht="16.5">
      <c r="A99" s="49" t="s">
        <v>5944</v>
      </c>
      <c r="B99" s="26" t="s">
        <v>160</v>
      </c>
      <c r="C99" s="26" t="s">
        <v>73</v>
      </c>
      <c r="D99" s="49" t="s">
        <v>5945</v>
      </c>
      <c r="E99" s="49" t="s">
        <v>162</v>
      </c>
      <c r="F99" s="49" t="s">
        <v>5946</v>
      </c>
      <c r="G99" s="49" t="s">
        <v>5947</v>
      </c>
      <c r="H99" s="49" t="s">
        <v>5516</v>
      </c>
      <c r="I99" s="26">
        <v>202606.3</v>
      </c>
      <c r="J99" s="25">
        <v>6.17</v>
      </c>
      <c r="K99" s="25" t="s">
        <v>73</v>
      </c>
      <c r="L99" s="26" t="s">
        <v>5948</v>
      </c>
      <c r="M99" s="49" t="s">
        <v>5949</v>
      </c>
      <c r="N99" s="27" t="s">
        <v>5950</v>
      </c>
      <c r="O99" s="26"/>
      <c r="P99" s="53">
        <v>4</v>
      </c>
      <c r="Q99" s="32">
        <v>16</v>
      </c>
      <c r="R99" s="53">
        <v>267.66000000000003</v>
      </c>
      <c r="S99" s="26" t="s">
        <v>99</v>
      </c>
      <c r="T99" s="26" t="s">
        <v>100</v>
      </c>
      <c r="U99" s="26" t="s">
        <v>101</v>
      </c>
      <c r="V99" s="38" t="s">
        <v>5951</v>
      </c>
      <c r="W99" s="26" t="s">
        <v>103</v>
      </c>
      <c r="X99" s="26" t="s">
        <v>104</v>
      </c>
      <c r="Y99" s="26" t="s">
        <v>104</v>
      </c>
      <c r="Z99" s="26" t="s">
        <v>172</v>
      </c>
      <c r="AA99" s="26" t="s">
        <v>15</v>
      </c>
      <c r="AB99" s="30" t="s">
        <v>172</v>
      </c>
      <c r="AC99" s="49" t="s">
        <v>5300</v>
      </c>
      <c r="AD99" s="25" t="s">
        <v>174</v>
      </c>
      <c r="AE99" s="26" t="s">
        <v>175</v>
      </c>
      <c r="AF99" s="32">
        <f t="shared" si="12"/>
        <v>1</v>
      </c>
      <c r="AG99" s="32">
        <v>1</v>
      </c>
      <c r="AH99" s="32">
        <v>1</v>
      </c>
      <c r="AI99" s="32">
        <v>1</v>
      </c>
      <c r="AJ99" s="32"/>
      <c r="AK99" s="32">
        <v>1</v>
      </c>
      <c r="AL99" s="32">
        <f t="shared" si="14"/>
        <v>1</v>
      </c>
      <c r="AM99" s="32"/>
      <c r="AN99" s="32">
        <v>1</v>
      </c>
      <c r="AO99" s="32">
        <v>1</v>
      </c>
      <c r="AP99" s="32">
        <v>1</v>
      </c>
      <c r="AQ99" s="32">
        <v>1</v>
      </c>
      <c r="AR99" s="32">
        <v>1</v>
      </c>
      <c r="AS99" s="32"/>
      <c r="AT99" s="32">
        <v>1</v>
      </c>
      <c r="AU99" s="32"/>
      <c r="AW99" s="2" t="s">
        <v>5952</v>
      </c>
      <c r="AY99" s="75" t="s">
        <v>5745</v>
      </c>
    </row>
    <row r="100" spans="1:51" ht="16.5">
      <c r="A100" s="49" t="s">
        <v>5953</v>
      </c>
      <c r="B100" s="26" t="s">
        <v>160</v>
      </c>
      <c r="C100" s="26" t="s">
        <v>73</v>
      </c>
      <c r="D100" s="49" t="s">
        <v>5954</v>
      </c>
      <c r="E100" s="49" t="s">
        <v>162</v>
      </c>
      <c r="F100" s="49" t="s">
        <v>5955</v>
      </c>
      <c r="G100" s="49" t="s">
        <v>5956</v>
      </c>
      <c r="H100" s="49" t="s">
        <v>5516</v>
      </c>
      <c r="I100" s="26">
        <v>202606.3</v>
      </c>
      <c r="J100" s="25">
        <v>6.17</v>
      </c>
      <c r="K100" s="25" t="s">
        <v>73</v>
      </c>
      <c r="L100" s="26" t="s">
        <v>5957</v>
      </c>
      <c r="M100" s="49" t="s">
        <v>5958</v>
      </c>
      <c r="N100" s="27" t="s">
        <v>5959</v>
      </c>
      <c r="O100" s="26"/>
      <c r="P100" s="53">
        <v>4</v>
      </c>
      <c r="Q100" s="32">
        <v>16</v>
      </c>
      <c r="R100" s="53">
        <v>267.83</v>
      </c>
      <c r="S100" s="26" t="s">
        <v>99</v>
      </c>
      <c r="T100" s="26" t="s">
        <v>100</v>
      </c>
      <c r="U100" s="26" t="s">
        <v>101</v>
      </c>
      <c r="V100" s="38" t="s">
        <v>5951</v>
      </c>
      <c r="W100" s="26" t="s">
        <v>103</v>
      </c>
      <c r="X100" s="26" t="s">
        <v>104</v>
      </c>
      <c r="Y100" s="26" t="s">
        <v>104</v>
      </c>
      <c r="Z100" s="26" t="s">
        <v>172</v>
      </c>
      <c r="AA100" s="26" t="s">
        <v>15</v>
      </c>
      <c r="AB100" s="30" t="s">
        <v>172</v>
      </c>
      <c r="AC100" s="49" t="s">
        <v>5300</v>
      </c>
      <c r="AD100" s="25" t="s">
        <v>174</v>
      </c>
      <c r="AE100" s="26" t="s">
        <v>175</v>
      </c>
      <c r="AF100" s="32">
        <f t="shared" si="12"/>
        <v>1</v>
      </c>
      <c r="AG100" s="32">
        <v>1</v>
      </c>
      <c r="AH100" s="32">
        <v>1</v>
      </c>
      <c r="AI100" s="32">
        <v>1</v>
      </c>
      <c r="AJ100" s="32"/>
      <c r="AK100" s="32">
        <v>1</v>
      </c>
      <c r="AL100" s="32">
        <f t="shared" si="14"/>
        <v>1</v>
      </c>
      <c r="AM100" s="32"/>
      <c r="AN100" s="32">
        <v>1</v>
      </c>
      <c r="AO100" s="32">
        <v>1</v>
      </c>
      <c r="AP100" s="32">
        <v>1</v>
      </c>
      <c r="AQ100" s="32">
        <v>1</v>
      </c>
      <c r="AR100" s="32">
        <v>1</v>
      </c>
      <c r="AS100" s="32"/>
      <c r="AT100" s="32">
        <v>1</v>
      </c>
      <c r="AU100" s="32"/>
      <c r="AW100" s="2" t="s">
        <v>5960</v>
      </c>
      <c r="AY100" s="75" t="s">
        <v>5728</v>
      </c>
    </row>
    <row r="101" spans="1:51" ht="16.5">
      <c r="A101" s="49" t="s">
        <v>5961</v>
      </c>
      <c r="B101" s="26" t="s">
        <v>160</v>
      </c>
      <c r="C101" s="26" t="s">
        <v>73</v>
      </c>
      <c r="D101" s="49" t="s">
        <v>5962</v>
      </c>
      <c r="E101" s="49" t="s">
        <v>162</v>
      </c>
      <c r="F101" s="49" t="s">
        <v>5963</v>
      </c>
      <c r="G101" s="49" t="s">
        <v>5964</v>
      </c>
      <c r="H101" s="49" t="s">
        <v>5516</v>
      </c>
      <c r="I101" s="26">
        <v>202606.3</v>
      </c>
      <c r="J101" s="25">
        <v>6.17</v>
      </c>
      <c r="K101" s="25" t="s">
        <v>73</v>
      </c>
      <c r="L101" s="26" t="s">
        <v>5965</v>
      </c>
      <c r="M101" s="49" t="s">
        <v>5966</v>
      </c>
      <c r="N101" s="27" t="s">
        <v>5967</v>
      </c>
      <c r="O101" s="26"/>
      <c r="P101" s="53">
        <v>4</v>
      </c>
      <c r="Q101" s="32">
        <v>16</v>
      </c>
      <c r="R101" s="53">
        <v>266.52999999999997</v>
      </c>
      <c r="S101" s="26" t="s">
        <v>99</v>
      </c>
      <c r="T101" s="26" t="s">
        <v>100</v>
      </c>
      <c r="U101" s="26" t="s">
        <v>101</v>
      </c>
      <c r="V101" s="38" t="s">
        <v>5951</v>
      </c>
      <c r="W101" s="26" t="s">
        <v>103</v>
      </c>
      <c r="X101" s="26" t="s">
        <v>104</v>
      </c>
      <c r="Y101" s="26" t="s">
        <v>104</v>
      </c>
      <c r="Z101" s="26" t="s">
        <v>172</v>
      </c>
      <c r="AA101" s="26" t="s">
        <v>15</v>
      </c>
      <c r="AB101" s="30" t="s">
        <v>172</v>
      </c>
      <c r="AC101" s="49" t="s">
        <v>5300</v>
      </c>
      <c r="AD101" s="25" t="s">
        <v>174</v>
      </c>
      <c r="AE101" s="26" t="s">
        <v>175</v>
      </c>
      <c r="AF101" s="32">
        <f t="shared" si="12"/>
        <v>1</v>
      </c>
      <c r="AG101" s="32">
        <v>1</v>
      </c>
      <c r="AH101" s="32">
        <v>1</v>
      </c>
      <c r="AI101" s="32">
        <v>1</v>
      </c>
      <c r="AJ101" s="32"/>
      <c r="AK101" s="32">
        <v>1</v>
      </c>
      <c r="AL101" s="32">
        <f t="shared" si="14"/>
        <v>1</v>
      </c>
      <c r="AM101" s="32"/>
      <c r="AN101" s="32">
        <v>1</v>
      </c>
      <c r="AO101" s="32">
        <v>1</v>
      </c>
      <c r="AP101" s="32">
        <v>1</v>
      </c>
      <c r="AQ101" s="32">
        <v>1</v>
      </c>
      <c r="AR101" s="32">
        <v>1</v>
      </c>
      <c r="AS101" s="32"/>
      <c r="AT101" s="32">
        <v>1</v>
      </c>
      <c r="AU101" s="32"/>
      <c r="AW101" s="2" t="s">
        <v>5968</v>
      </c>
      <c r="AY101" s="75" t="s">
        <v>5710</v>
      </c>
    </row>
    <row r="102" spans="1:51" ht="16.5" hidden="1">
      <c r="A102" s="49" t="s">
        <v>5969</v>
      </c>
      <c r="B102" s="150" t="s">
        <v>160</v>
      </c>
      <c r="C102" s="150" t="s">
        <v>73</v>
      </c>
      <c r="D102" s="151" t="s">
        <v>5970</v>
      </c>
      <c r="E102" s="151" t="s">
        <v>162</v>
      </c>
      <c r="F102" s="49" t="s">
        <v>5971</v>
      </c>
      <c r="G102" s="151" t="s">
        <v>2275</v>
      </c>
      <c r="H102" s="151" t="s">
        <v>5516</v>
      </c>
      <c r="I102" s="26">
        <v>202606.3</v>
      </c>
      <c r="J102" s="34" t="s">
        <v>3213</v>
      </c>
      <c r="K102" s="152" t="s">
        <v>73</v>
      </c>
      <c r="L102" s="26" t="s">
        <v>5972</v>
      </c>
      <c r="M102" s="151" t="s">
        <v>5973</v>
      </c>
      <c r="N102" s="153" t="s">
        <v>5974</v>
      </c>
      <c r="O102" s="26"/>
      <c r="P102" s="53">
        <v>4</v>
      </c>
      <c r="Q102" s="32">
        <v>16</v>
      </c>
      <c r="R102" s="53">
        <v>267.22000000000003</v>
      </c>
      <c r="S102" s="26" t="s">
        <v>99</v>
      </c>
      <c r="T102" s="26" t="s">
        <v>100</v>
      </c>
      <c r="U102" s="26" t="s">
        <v>101</v>
      </c>
      <c r="V102" s="38" t="s">
        <v>5951</v>
      </c>
      <c r="W102" s="26" t="s">
        <v>103</v>
      </c>
      <c r="X102" s="26" t="s">
        <v>104</v>
      </c>
      <c r="Y102" s="26" t="s">
        <v>104</v>
      </c>
      <c r="Z102" s="26" t="s">
        <v>172</v>
      </c>
      <c r="AA102" s="26" t="s">
        <v>15</v>
      </c>
      <c r="AB102" s="30" t="s">
        <v>172</v>
      </c>
      <c r="AC102" s="49" t="s">
        <v>5300</v>
      </c>
      <c r="AD102" s="25" t="s">
        <v>174</v>
      </c>
      <c r="AE102" s="26" t="s">
        <v>175</v>
      </c>
      <c r="AF102" s="32">
        <f t="shared" si="12"/>
        <v>1</v>
      </c>
      <c r="AG102" s="32">
        <v>1</v>
      </c>
      <c r="AH102" s="32">
        <v>1</v>
      </c>
      <c r="AI102" s="32">
        <v>1</v>
      </c>
      <c r="AJ102" s="32"/>
      <c r="AK102" s="32"/>
      <c r="AL102" s="32">
        <f t="shared" si="13"/>
        <v>0</v>
      </c>
      <c r="AM102" s="32"/>
      <c r="AN102" s="32"/>
      <c r="AO102" s="32"/>
      <c r="AP102" s="32"/>
      <c r="AQ102" s="32"/>
      <c r="AR102" s="32"/>
      <c r="AS102" s="32"/>
      <c r="AT102" s="32"/>
      <c r="AU102" s="32"/>
      <c r="AW102" s="2" t="s">
        <v>5975</v>
      </c>
      <c r="AY102" s="75" t="s">
        <v>3650</v>
      </c>
    </row>
    <row r="103" spans="1:51" ht="16.5">
      <c r="A103" s="49" t="s">
        <v>5976</v>
      </c>
      <c r="B103" s="26" t="s">
        <v>160</v>
      </c>
      <c r="C103" s="26" t="s">
        <v>73</v>
      </c>
      <c r="D103" s="49" t="s">
        <v>5977</v>
      </c>
      <c r="E103" s="49" t="s">
        <v>162</v>
      </c>
      <c r="F103" s="49" t="s">
        <v>5978</v>
      </c>
      <c r="G103" s="49" t="s">
        <v>5979</v>
      </c>
      <c r="H103" s="49" t="s">
        <v>5516</v>
      </c>
      <c r="I103" s="26">
        <v>202606.3</v>
      </c>
      <c r="J103" s="25">
        <v>6.17</v>
      </c>
      <c r="K103" s="25" t="s">
        <v>73</v>
      </c>
      <c r="L103" s="26" t="s">
        <v>5980</v>
      </c>
      <c r="M103" s="49" t="s">
        <v>5981</v>
      </c>
      <c r="N103" s="27" t="s">
        <v>5982</v>
      </c>
      <c r="O103" s="26"/>
      <c r="P103" s="53">
        <v>4</v>
      </c>
      <c r="Q103" s="32">
        <v>16</v>
      </c>
      <c r="R103" s="53">
        <v>266.68</v>
      </c>
      <c r="S103" s="26" t="s">
        <v>99</v>
      </c>
      <c r="T103" s="26" t="s">
        <v>100</v>
      </c>
      <c r="U103" s="26" t="s">
        <v>101</v>
      </c>
      <c r="V103" s="38" t="s">
        <v>5951</v>
      </c>
      <c r="W103" s="26" t="s">
        <v>103</v>
      </c>
      <c r="X103" s="26" t="s">
        <v>104</v>
      </c>
      <c r="Y103" s="26" t="s">
        <v>104</v>
      </c>
      <c r="Z103" s="26" t="s">
        <v>172</v>
      </c>
      <c r="AA103" s="26" t="s">
        <v>15</v>
      </c>
      <c r="AB103" s="30" t="s">
        <v>172</v>
      </c>
      <c r="AC103" s="49" t="s">
        <v>5300</v>
      </c>
      <c r="AD103" s="25" t="s">
        <v>174</v>
      </c>
      <c r="AE103" s="26" t="s">
        <v>175</v>
      </c>
      <c r="AF103" s="32">
        <f t="shared" si="12"/>
        <v>1</v>
      </c>
      <c r="AG103" s="32">
        <v>1</v>
      </c>
      <c r="AH103" s="32">
        <v>1</v>
      </c>
      <c r="AI103" s="32">
        <v>1</v>
      </c>
      <c r="AJ103" s="32"/>
      <c r="AK103" s="32">
        <v>1</v>
      </c>
      <c r="AL103" s="32">
        <f t="shared" ref="AL103:AL108" si="15">IF(COUNTIF(AW:AW,"*"&amp;L103&amp;"*")&gt;0,1,0)</f>
        <v>1</v>
      </c>
      <c r="AM103" s="32"/>
      <c r="AN103" s="32">
        <v>1</v>
      </c>
      <c r="AO103" s="32">
        <v>1</v>
      </c>
      <c r="AP103" s="32">
        <v>1</v>
      </c>
      <c r="AQ103" s="32">
        <v>1</v>
      </c>
      <c r="AR103" s="32">
        <v>1</v>
      </c>
      <c r="AS103" s="32"/>
      <c r="AT103" s="32">
        <v>1</v>
      </c>
      <c r="AU103" s="32"/>
      <c r="AW103" s="2" t="s">
        <v>5983</v>
      </c>
      <c r="AY103" s="75" t="s">
        <v>812</v>
      </c>
    </row>
    <row r="104" spans="1:51" ht="16.5">
      <c r="A104" s="49" t="s">
        <v>5984</v>
      </c>
      <c r="B104" s="26" t="s">
        <v>160</v>
      </c>
      <c r="C104" s="26" t="s">
        <v>73</v>
      </c>
      <c r="D104" s="49" t="s">
        <v>5985</v>
      </c>
      <c r="E104" s="49" t="s">
        <v>162</v>
      </c>
      <c r="F104" s="49" t="s">
        <v>5986</v>
      </c>
      <c r="G104" s="49" t="s">
        <v>5987</v>
      </c>
      <c r="H104" s="49" t="s">
        <v>5516</v>
      </c>
      <c r="I104" s="26">
        <v>202606.3</v>
      </c>
      <c r="J104" s="25">
        <v>6.17</v>
      </c>
      <c r="K104" s="25" t="s">
        <v>73</v>
      </c>
      <c r="L104" s="26" t="s">
        <v>5701</v>
      </c>
      <c r="M104" s="49" t="s">
        <v>5988</v>
      </c>
      <c r="N104" s="27" t="s">
        <v>5989</v>
      </c>
      <c r="O104" s="26"/>
      <c r="P104" s="53">
        <v>4</v>
      </c>
      <c r="Q104" s="32">
        <v>16</v>
      </c>
      <c r="R104" s="53">
        <v>267.14999999999998</v>
      </c>
      <c r="S104" s="26" t="s">
        <v>99</v>
      </c>
      <c r="T104" s="26" t="s">
        <v>100</v>
      </c>
      <c r="U104" s="26" t="s">
        <v>101</v>
      </c>
      <c r="V104" s="38" t="s">
        <v>5951</v>
      </c>
      <c r="W104" s="26" t="s">
        <v>103</v>
      </c>
      <c r="X104" s="26" t="s">
        <v>104</v>
      </c>
      <c r="Y104" s="26" t="s">
        <v>104</v>
      </c>
      <c r="Z104" s="26" t="s">
        <v>172</v>
      </c>
      <c r="AA104" s="26" t="s">
        <v>15</v>
      </c>
      <c r="AB104" s="30" t="s">
        <v>172</v>
      </c>
      <c r="AC104" s="49" t="s">
        <v>5300</v>
      </c>
      <c r="AD104" s="25" t="s">
        <v>174</v>
      </c>
      <c r="AE104" s="26" t="s">
        <v>175</v>
      </c>
      <c r="AF104" s="32">
        <f t="shared" si="12"/>
        <v>1</v>
      </c>
      <c r="AG104" s="32">
        <v>1</v>
      </c>
      <c r="AH104" s="32">
        <v>1</v>
      </c>
      <c r="AI104" s="32">
        <v>1</v>
      </c>
      <c r="AJ104" s="32"/>
      <c r="AK104" s="32">
        <v>1</v>
      </c>
      <c r="AL104" s="32">
        <f t="shared" si="15"/>
        <v>1</v>
      </c>
      <c r="AM104" s="32"/>
      <c r="AN104" s="32">
        <v>1</v>
      </c>
      <c r="AO104" s="32">
        <v>1</v>
      </c>
      <c r="AP104" s="32">
        <v>1</v>
      </c>
      <c r="AQ104" s="32">
        <v>1</v>
      </c>
      <c r="AR104" s="32">
        <v>1</v>
      </c>
      <c r="AS104" s="32"/>
      <c r="AT104" s="32">
        <v>1</v>
      </c>
      <c r="AU104" s="32"/>
      <c r="AW104" s="2" t="s">
        <v>5990</v>
      </c>
      <c r="AY104" s="75" t="s">
        <v>4871</v>
      </c>
    </row>
    <row r="105" spans="1:51" ht="16.5">
      <c r="A105" s="49" t="s">
        <v>5991</v>
      </c>
      <c r="B105" s="26" t="s">
        <v>160</v>
      </c>
      <c r="C105" s="26" t="s">
        <v>73</v>
      </c>
      <c r="D105" s="49" t="s">
        <v>5992</v>
      </c>
      <c r="E105" s="49" t="s">
        <v>162</v>
      </c>
      <c r="F105" s="49" t="s">
        <v>5993</v>
      </c>
      <c r="G105" s="49" t="s">
        <v>5994</v>
      </c>
      <c r="H105" s="49" t="s">
        <v>5516</v>
      </c>
      <c r="I105" s="26">
        <v>202606.3</v>
      </c>
      <c r="J105" s="25">
        <v>6.17</v>
      </c>
      <c r="K105" s="25" t="s">
        <v>73</v>
      </c>
      <c r="L105" s="26" t="s">
        <v>5694</v>
      </c>
      <c r="M105" s="49" t="s">
        <v>5995</v>
      </c>
      <c r="N105" s="27" t="s">
        <v>5996</v>
      </c>
      <c r="O105" s="26"/>
      <c r="P105" s="53">
        <v>4</v>
      </c>
      <c r="Q105" s="32">
        <v>16</v>
      </c>
      <c r="R105" s="53">
        <v>266.38</v>
      </c>
      <c r="S105" s="26" t="s">
        <v>99</v>
      </c>
      <c r="T105" s="26" t="s">
        <v>100</v>
      </c>
      <c r="U105" s="26" t="s">
        <v>101</v>
      </c>
      <c r="V105" s="38" t="s">
        <v>5951</v>
      </c>
      <c r="W105" s="26" t="s">
        <v>103</v>
      </c>
      <c r="X105" s="26" t="s">
        <v>104</v>
      </c>
      <c r="Y105" s="26" t="s">
        <v>104</v>
      </c>
      <c r="Z105" s="26" t="s">
        <v>172</v>
      </c>
      <c r="AA105" s="26" t="s">
        <v>15</v>
      </c>
      <c r="AB105" s="30" t="s">
        <v>172</v>
      </c>
      <c r="AC105" s="49" t="s">
        <v>5300</v>
      </c>
      <c r="AD105" s="25" t="s">
        <v>174</v>
      </c>
      <c r="AE105" s="26" t="s">
        <v>175</v>
      </c>
      <c r="AF105" s="32">
        <f t="shared" si="12"/>
        <v>1</v>
      </c>
      <c r="AG105" s="32">
        <v>1</v>
      </c>
      <c r="AH105" s="32">
        <v>1</v>
      </c>
      <c r="AI105" s="32">
        <v>1</v>
      </c>
      <c r="AJ105" s="32"/>
      <c r="AK105" s="32">
        <v>1</v>
      </c>
      <c r="AL105" s="32">
        <f t="shared" si="15"/>
        <v>1</v>
      </c>
      <c r="AM105" s="32"/>
      <c r="AN105" s="32">
        <v>1</v>
      </c>
      <c r="AO105" s="32">
        <v>1</v>
      </c>
      <c r="AP105" s="32">
        <v>1</v>
      </c>
      <c r="AQ105" s="32">
        <v>1</v>
      </c>
      <c r="AR105" s="32">
        <v>1</v>
      </c>
      <c r="AS105" s="32"/>
      <c r="AT105" s="32">
        <v>1</v>
      </c>
      <c r="AU105" s="32"/>
      <c r="AW105" s="2" t="s">
        <v>5997</v>
      </c>
      <c r="AY105" s="75" t="s">
        <v>5992</v>
      </c>
    </row>
    <row r="106" spans="1:51" ht="16.5">
      <c r="A106" s="49" t="s">
        <v>5998</v>
      </c>
      <c r="B106" s="26" t="s">
        <v>160</v>
      </c>
      <c r="C106" s="26" t="s">
        <v>73</v>
      </c>
      <c r="D106" s="49" t="s">
        <v>5999</v>
      </c>
      <c r="E106" s="49" t="s">
        <v>162</v>
      </c>
      <c r="F106" s="49" t="s">
        <v>6000</v>
      </c>
      <c r="G106" s="49" t="s">
        <v>6001</v>
      </c>
      <c r="H106" s="49" t="s">
        <v>5516</v>
      </c>
      <c r="I106" s="26">
        <v>202606.3</v>
      </c>
      <c r="J106" s="25">
        <v>6.17</v>
      </c>
      <c r="K106" s="25" t="s">
        <v>73</v>
      </c>
      <c r="L106" s="26" t="s">
        <v>5708</v>
      </c>
      <c r="M106" s="49" t="s">
        <v>6002</v>
      </c>
      <c r="N106" s="27" t="s">
        <v>6003</v>
      </c>
      <c r="O106" s="26"/>
      <c r="P106" s="53">
        <v>4</v>
      </c>
      <c r="Q106" s="32">
        <v>16</v>
      </c>
      <c r="R106" s="53">
        <v>267.98</v>
      </c>
      <c r="S106" s="26" t="s">
        <v>99</v>
      </c>
      <c r="T106" s="26" t="s">
        <v>100</v>
      </c>
      <c r="U106" s="26" t="s">
        <v>101</v>
      </c>
      <c r="V106" s="38" t="s">
        <v>5951</v>
      </c>
      <c r="W106" s="26" t="s">
        <v>103</v>
      </c>
      <c r="X106" s="26" t="s">
        <v>104</v>
      </c>
      <c r="Y106" s="26" t="s">
        <v>104</v>
      </c>
      <c r="Z106" s="26" t="s">
        <v>172</v>
      </c>
      <c r="AA106" s="26" t="s">
        <v>15</v>
      </c>
      <c r="AB106" s="30" t="s">
        <v>172</v>
      </c>
      <c r="AC106" s="49" t="s">
        <v>5300</v>
      </c>
      <c r="AD106" s="25" t="s">
        <v>174</v>
      </c>
      <c r="AE106" s="26" t="s">
        <v>175</v>
      </c>
      <c r="AF106" s="32">
        <f t="shared" si="12"/>
        <v>1</v>
      </c>
      <c r="AG106" s="32">
        <v>1</v>
      </c>
      <c r="AH106" s="32">
        <v>1</v>
      </c>
      <c r="AI106" s="32">
        <v>1</v>
      </c>
      <c r="AJ106" s="32"/>
      <c r="AK106" s="32">
        <v>1</v>
      </c>
      <c r="AL106" s="32">
        <f t="shared" si="15"/>
        <v>1</v>
      </c>
      <c r="AM106" s="32"/>
      <c r="AN106" s="32">
        <v>1</v>
      </c>
      <c r="AO106" s="32">
        <v>1</v>
      </c>
      <c r="AP106" s="32">
        <v>1</v>
      </c>
      <c r="AQ106" s="32">
        <v>1</v>
      </c>
      <c r="AR106" s="32">
        <v>1</v>
      </c>
      <c r="AS106" s="32"/>
      <c r="AT106" s="32">
        <v>1</v>
      </c>
      <c r="AU106" s="32"/>
      <c r="AW106" s="2" t="s">
        <v>6004</v>
      </c>
      <c r="AY106" s="75" t="s">
        <v>5985</v>
      </c>
    </row>
    <row r="107" spans="1:51" ht="16.5">
      <c r="A107" s="49" t="s">
        <v>6005</v>
      </c>
      <c r="B107" s="26" t="s">
        <v>160</v>
      </c>
      <c r="C107" s="26" t="s">
        <v>73</v>
      </c>
      <c r="D107" s="49" t="s">
        <v>6006</v>
      </c>
      <c r="E107" s="49" t="s">
        <v>162</v>
      </c>
      <c r="F107" s="49" t="s">
        <v>6007</v>
      </c>
      <c r="G107" s="49" t="s">
        <v>6008</v>
      </c>
      <c r="H107" s="49" t="s">
        <v>5516</v>
      </c>
      <c r="I107" s="26">
        <v>202606.3</v>
      </c>
      <c r="J107" s="25">
        <v>6.17</v>
      </c>
      <c r="K107" s="25" t="s">
        <v>73</v>
      </c>
      <c r="L107" s="26" t="s">
        <v>5742</v>
      </c>
      <c r="M107" s="49" t="s">
        <v>6009</v>
      </c>
      <c r="N107" s="27" t="s">
        <v>6010</v>
      </c>
      <c r="O107" s="26"/>
      <c r="P107" s="53">
        <v>4</v>
      </c>
      <c r="Q107" s="32">
        <v>16</v>
      </c>
      <c r="R107" s="53">
        <v>268.12</v>
      </c>
      <c r="S107" s="26" t="s">
        <v>99</v>
      </c>
      <c r="T107" s="26" t="s">
        <v>100</v>
      </c>
      <c r="U107" s="26" t="s">
        <v>101</v>
      </c>
      <c r="V107" s="38" t="s">
        <v>5951</v>
      </c>
      <c r="W107" s="26" t="s">
        <v>103</v>
      </c>
      <c r="X107" s="26" t="s">
        <v>104</v>
      </c>
      <c r="Y107" s="26" t="s">
        <v>104</v>
      </c>
      <c r="Z107" s="26" t="s">
        <v>172</v>
      </c>
      <c r="AA107" s="26" t="s">
        <v>15</v>
      </c>
      <c r="AB107" s="30" t="s">
        <v>172</v>
      </c>
      <c r="AC107" s="49" t="s">
        <v>5300</v>
      </c>
      <c r="AD107" s="25" t="s">
        <v>174</v>
      </c>
      <c r="AE107" s="26" t="s">
        <v>175</v>
      </c>
      <c r="AF107" s="32">
        <f t="shared" si="12"/>
        <v>1</v>
      </c>
      <c r="AG107" s="32">
        <v>1</v>
      </c>
      <c r="AH107" s="32">
        <v>1</v>
      </c>
      <c r="AI107" s="32">
        <v>1</v>
      </c>
      <c r="AJ107" s="32"/>
      <c r="AK107" s="32">
        <v>1</v>
      </c>
      <c r="AL107" s="32">
        <f t="shared" si="15"/>
        <v>1</v>
      </c>
      <c r="AM107" s="32"/>
      <c r="AN107" s="32">
        <v>1</v>
      </c>
      <c r="AO107" s="32">
        <v>1</v>
      </c>
      <c r="AP107" s="32">
        <v>1</v>
      </c>
      <c r="AQ107" s="32">
        <v>1</v>
      </c>
      <c r="AR107" s="32">
        <v>1</v>
      </c>
      <c r="AS107" s="32"/>
      <c r="AT107" s="32">
        <v>1</v>
      </c>
      <c r="AU107" s="32"/>
      <c r="AW107" s="2" t="s">
        <v>6011</v>
      </c>
      <c r="AY107" s="75" t="s">
        <v>5999</v>
      </c>
    </row>
    <row r="108" spans="1:51" ht="16.5">
      <c r="A108" s="49" t="s">
        <v>6012</v>
      </c>
      <c r="B108" s="26" t="s">
        <v>160</v>
      </c>
      <c r="C108" s="26" t="s">
        <v>73</v>
      </c>
      <c r="D108" s="49" t="s">
        <v>6013</v>
      </c>
      <c r="E108" s="49" t="s">
        <v>162</v>
      </c>
      <c r="F108" s="49" t="s">
        <v>6014</v>
      </c>
      <c r="G108" s="49" t="s">
        <v>6015</v>
      </c>
      <c r="H108" s="49" t="s">
        <v>5516</v>
      </c>
      <c r="I108" s="26">
        <v>202606.3</v>
      </c>
      <c r="J108" s="25">
        <v>6.17</v>
      </c>
      <c r="K108" s="25" t="s">
        <v>73</v>
      </c>
      <c r="L108" s="26" t="s">
        <v>5760</v>
      </c>
      <c r="M108" s="49" t="s">
        <v>6016</v>
      </c>
      <c r="N108" s="27" t="s">
        <v>6017</v>
      </c>
      <c r="O108" s="26"/>
      <c r="P108" s="53">
        <v>4</v>
      </c>
      <c r="Q108" s="32">
        <v>16</v>
      </c>
      <c r="R108" s="53">
        <v>267.61</v>
      </c>
      <c r="S108" s="26" t="s">
        <v>99</v>
      </c>
      <c r="T108" s="26" t="s">
        <v>100</v>
      </c>
      <c r="U108" s="26" t="s">
        <v>101</v>
      </c>
      <c r="V108" s="38" t="s">
        <v>5951</v>
      </c>
      <c r="W108" s="26" t="s">
        <v>103</v>
      </c>
      <c r="X108" s="26" t="s">
        <v>104</v>
      </c>
      <c r="Y108" s="26" t="s">
        <v>104</v>
      </c>
      <c r="Z108" s="26" t="s">
        <v>172</v>
      </c>
      <c r="AA108" s="26" t="s">
        <v>15</v>
      </c>
      <c r="AB108" s="30" t="s">
        <v>172</v>
      </c>
      <c r="AC108" s="49" t="s">
        <v>5300</v>
      </c>
      <c r="AD108" s="25" t="s">
        <v>174</v>
      </c>
      <c r="AE108" s="26" t="s">
        <v>175</v>
      </c>
      <c r="AF108" s="32">
        <f t="shared" si="12"/>
        <v>1</v>
      </c>
      <c r="AG108" s="32">
        <v>1</v>
      </c>
      <c r="AH108" s="32">
        <v>1</v>
      </c>
      <c r="AI108" s="32">
        <v>1</v>
      </c>
      <c r="AJ108" s="32"/>
      <c r="AK108" s="32">
        <v>1</v>
      </c>
      <c r="AL108" s="32">
        <f t="shared" si="15"/>
        <v>1</v>
      </c>
      <c r="AM108" s="32"/>
      <c r="AN108" s="32">
        <v>1</v>
      </c>
      <c r="AO108" s="32">
        <v>1</v>
      </c>
      <c r="AP108" s="32">
        <v>1</v>
      </c>
      <c r="AQ108" s="32">
        <v>1</v>
      </c>
      <c r="AR108" s="32">
        <v>1</v>
      </c>
      <c r="AS108" s="32"/>
      <c r="AT108" s="32">
        <v>1</v>
      </c>
      <c r="AU108" s="32"/>
      <c r="AW108" s="2" t="s">
        <v>6018</v>
      </c>
      <c r="AY108" s="75" t="s">
        <v>6019</v>
      </c>
    </row>
    <row r="109" spans="1:51" hidden="1">
      <c r="A109" s="49" t="s">
        <v>6020</v>
      </c>
      <c r="B109" s="26" t="s">
        <v>160</v>
      </c>
      <c r="C109" s="26" t="s">
        <v>73</v>
      </c>
      <c r="D109" s="49" t="s">
        <v>6021</v>
      </c>
      <c r="E109" s="49" t="s">
        <v>162</v>
      </c>
      <c r="F109" s="49" t="s">
        <v>6022</v>
      </c>
      <c r="G109" s="49" t="s">
        <v>6023</v>
      </c>
      <c r="H109" s="49" t="s">
        <v>5516</v>
      </c>
      <c r="I109" s="26">
        <v>202606.3</v>
      </c>
      <c r="J109" s="34" t="s">
        <v>166</v>
      </c>
      <c r="K109" s="25" t="s">
        <v>73</v>
      </c>
      <c r="L109" s="26" t="s">
        <v>6024</v>
      </c>
      <c r="M109" s="49" t="s">
        <v>6025</v>
      </c>
      <c r="N109" s="27" t="s">
        <v>6026</v>
      </c>
      <c r="O109" s="26"/>
      <c r="P109" s="30"/>
      <c r="Q109" s="30"/>
      <c r="R109" s="30"/>
      <c r="S109" s="26" t="s">
        <v>99</v>
      </c>
      <c r="T109" s="26" t="s">
        <v>100</v>
      </c>
      <c r="U109" s="26" t="s">
        <v>101</v>
      </c>
      <c r="V109" s="38" t="s">
        <v>5951</v>
      </c>
      <c r="W109" s="26" t="s">
        <v>103</v>
      </c>
      <c r="X109" s="26" t="s">
        <v>104</v>
      </c>
      <c r="Y109" s="26" t="s">
        <v>104</v>
      </c>
      <c r="Z109" s="26" t="s">
        <v>172</v>
      </c>
      <c r="AA109" s="26" t="s">
        <v>15</v>
      </c>
      <c r="AB109" s="30" t="s">
        <v>172</v>
      </c>
      <c r="AC109" s="123" t="s">
        <v>5300</v>
      </c>
      <c r="AD109" s="25" t="s">
        <v>174</v>
      </c>
      <c r="AE109" s="26" t="s">
        <v>175</v>
      </c>
      <c r="AF109" s="30"/>
      <c r="AG109" s="30"/>
      <c r="AH109" s="30"/>
      <c r="AI109" s="30"/>
      <c r="AJ109" s="30"/>
      <c r="AK109" s="30"/>
      <c r="AL109" s="30"/>
      <c r="AM109" s="30"/>
      <c r="AN109" s="30"/>
      <c r="AO109" s="30"/>
      <c r="AP109" s="30"/>
      <c r="AQ109" s="30"/>
      <c r="AR109" s="30"/>
      <c r="AS109" s="30"/>
      <c r="AT109" s="30"/>
      <c r="AU109" s="30"/>
      <c r="AW109" s="2" t="s">
        <v>6027</v>
      </c>
    </row>
    <row r="110" spans="1:51" ht="16.5">
      <c r="A110" s="49" t="s">
        <v>6028</v>
      </c>
      <c r="B110" s="26" t="s">
        <v>160</v>
      </c>
      <c r="C110" s="26" t="s">
        <v>73</v>
      </c>
      <c r="D110" s="49" t="s">
        <v>6029</v>
      </c>
      <c r="E110" s="49" t="s">
        <v>162</v>
      </c>
      <c r="F110" s="49" t="s">
        <v>6030</v>
      </c>
      <c r="G110" s="49" t="s">
        <v>6031</v>
      </c>
      <c r="H110" s="49" t="s">
        <v>5516</v>
      </c>
      <c r="I110" s="26">
        <v>202606.3</v>
      </c>
      <c r="J110" s="25">
        <v>6.17</v>
      </c>
      <c r="K110" s="25" t="s">
        <v>73</v>
      </c>
      <c r="L110" s="26" t="s">
        <v>6032</v>
      </c>
      <c r="M110" s="49" t="s">
        <v>6033</v>
      </c>
      <c r="N110" s="27" t="s">
        <v>6034</v>
      </c>
      <c r="O110" s="26"/>
      <c r="P110" s="53">
        <v>4</v>
      </c>
      <c r="Q110" s="32">
        <v>16</v>
      </c>
      <c r="R110" s="53">
        <v>266.39999999999998</v>
      </c>
      <c r="S110" s="26" t="s">
        <v>99</v>
      </c>
      <c r="T110" s="26" t="s">
        <v>100</v>
      </c>
      <c r="U110" s="26" t="s">
        <v>101</v>
      </c>
      <c r="V110" s="38" t="s">
        <v>5951</v>
      </c>
      <c r="W110" s="26" t="s">
        <v>103</v>
      </c>
      <c r="X110" s="26" t="s">
        <v>104</v>
      </c>
      <c r="Y110" s="26" t="s">
        <v>104</v>
      </c>
      <c r="Z110" s="26" t="s">
        <v>172</v>
      </c>
      <c r="AA110" s="26" t="s">
        <v>15</v>
      </c>
      <c r="AB110" s="30" t="s">
        <v>172</v>
      </c>
      <c r="AC110" s="49" t="s">
        <v>5300</v>
      </c>
      <c r="AD110" s="25" t="s">
        <v>174</v>
      </c>
      <c r="AE110" s="26" t="s">
        <v>175</v>
      </c>
      <c r="AF110" s="32">
        <f t="shared" ref="AF110:AF141" si="16">IF(COUNTIF(AY:AY,D110)&gt;0,1,0)</f>
        <v>1</v>
      </c>
      <c r="AG110" s="32">
        <v>1</v>
      </c>
      <c r="AH110" s="32">
        <v>1</v>
      </c>
      <c r="AI110" s="32">
        <v>1</v>
      </c>
      <c r="AJ110" s="32"/>
      <c r="AK110" s="32">
        <v>1</v>
      </c>
      <c r="AL110" s="32">
        <f>IF(COUNTIF(AW:AW,"*"&amp;L110&amp;"*")&gt;0,1,0)</f>
        <v>1</v>
      </c>
      <c r="AM110" s="32"/>
      <c r="AN110" s="32">
        <v>1</v>
      </c>
      <c r="AO110" s="32">
        <v>1</v>
      </c>
      <c r="AP110" s="32">
        <v>1</v>
      </c>
      <c r="AQ110" s="32">
        <v>1</v>
      </c>
      <c r="AR110" s="32">
        <v>1</v>
      </c>
      <c r="AS110" s="32"/>
      <c r="AT110" s="32">
        <v>1</v>
      </c>
      <c r="AU110" s="32"/>
      <c r="AW110" s="2" t="s">
        <v>3214</v>
      </c>
      <c r="AY110" s="75" t="s">
        <v>6035</v>
      </c>
    </row>
    <row r="111" spans="1:51" ht="16.5">
      <c r="A111" s="49" t="s">
        <v>6036</v>
      </c>
      <c r="B111" s="26" t="s">
        <v>160</v>
      </c>
      <c r="C111" s="26" t="s">
        <v>73</v>
      </c>
      <c r="D111" s="49" t="s">
        <v>6037</v>
      </c>
      <c r="E111" s="49" t="s">
        <v>162</v>
      </c>
      <c r="F111" s="49" t="s">
        <v>6038</v>
      </c>
      <c r="G111" s="49" t="s">
        <v>6039</v>
      </c>
      <c r="H111" s="49" t="s">
        <v>5516</v>
      </c>
      <c r="I111" s="26">
        <v>202606.3</v>
      </c>
      <c r="J111" s="25">
        <v>6.17</v>
      </c>
      <c r="K111" s="25" t="s">
        <v>73</v>
      </c>
      <c r="L111" s="26" t="s">
        <v>6040</v>
      </c>
      <c r="M111" s="49" t="s">
        <v>6041</v>
      </c>
      <c r="N111" s="27" t="s">
        <v>6042</v>
      </c>
      <c r="O111" s="26"/>
      <c r="P111" s="53">
        <v>4</v>
      </c>
      <c r="Q111" s="32">
        <v>16</v>
      </c>
      <c r="R111" s="53">
        <v>268.45999999999998</v>
      </c>
      <c r="S111" s="26" t="s">
        <v>99</v>
      </c>
      <c r="T111" s="26" t="s">
        <v>100</v>
      </c>
      <c r="U111" s="26" t="s">
        <v>101</v>
      </c>
      <c r="V111" s="38" t="s">
        <v>5951</v>
      </c>
      <c r="W111" s="26" t="s">
        <v>103</v>
      </c>
      <c r="X111" s="26" t="s">
        <v>104</v>
      </c>
      <c r="Y111" s="26" t="s">
        <v>104</v>
      </c>
      <c r="Z111" s="26" t="s">
        <v>172</v>
      </c>
      <c r="AA111" s="26" t="s">
        <v>15</v>
      </c>
      <c r="AB111" s="30" t="s">
        <v>172</v>
      </c>
      <c r="AC111" s="49" t="s">
        <v>5300</v>
      </c>
      <c r="AD111" s="25" t="s">
        <v>174</v>
      </c>
      <c r="AE111" s="26" t="s">
        <v>175</v>
      </c>
      <c r="AF111" s="32">
        <f t="shared" si="16"/>
        <v>1</v>
      </c>
      <c r="AG111" s="32">
        <v>1</v>
      </c>
      <c r="AH111" s="32">
        <v>1</v>
      </c>
      <c r="AI111" s="32">
        <v>1</v>
      </c>
      <c r="AJ111" s="32"/>
      <c r="AK111" s="32">
        <v>1</v>
      </c>
      <c r="AL111" s="32">
        <f>IF(COUNTIF(AW:AW,"*"&amp;L111&amp;"*")&gt;0,1,0)</f>
        <v>1</v>
      </c>
      <c r="AM111" s="32"/>
      <c r="AN111" s="32">
        <v>1</v>
      </c>
      <c r="AO111" s="32">
        <v>1</v>
      </c>
      <c r="AP111" s="32">
        <v>1</v>
      </c>
      <c r="AQ111" s="32">
        <v>1</v>
      </c>
      <c r="AR111" s="32">
        <v>1</v>
      </c>
      <c r="AS111" s="32"/>
      <c r="AT111" s="32">
        <v>1</v>
      </c>
      <c r="AU111" s="32"/>
      <c r="AW111" s="2" t="s">
        <v>3533</v>
      </c>
      <c r="AY111" s="75" t="s">
        <v>6043</v>
      </c>
    </row>
    <row r="112" spans="1:51" ht="16.5">
      <c r="A112" s="49" t="s">
        <v>6044</v>
      </c>
      <c r="B112" s="26" t="s">
        <v>160</v>
      </c>
      <c r="C112" s="26" t="s">
        <v>73</v>
      </c>
      <c r="D112" s="49" t="s">
        <v>6045</v>
      </c>
      <c r="E112" s="49" t="s">
        <v>162</v>
      </c>
      <c r="F112" s="49" t="s">
        <v>6046</v>
      </c>
      <c r="G112" s="49" t="s">
        <v>6047</v>
      </c>
      <c r="H112" s="49" t="s">
        <v>5516</v>
      </c>
      <c r="I112" s="26">
        <v>202606.3</v>
      </c>
      <c r="J112" s="25">
        <v>6.17</v>
      </c>
      <c r="K112" s="25" t="s">
        <v>73</v>
      </c>
      <c r="L112" s="26" t="s">
        <v>6048</v>
      </c>
      <c r="M112" s="49" t="s">
        <v>6049</v>
      </c>
      <c r="N112" s="27" t="s">
        <v>6050</v>
      </c>
      <c r="O112" s="26"/>
      <c r="P112" s="53">
        <v>4</v>
      </c>
      <c r="Q112" s="32">
        <v>16</v>
      </c>
      <c r="R112" s="53">
        <v>268.33999999999997</v>
      </c>
      <c r="S112" s="26" t="s">
        <v>99</v>
      </c>
      <c r="T112" s="26" t="s">
        <v>100</v>
      </c>
      <c r="U112" s="26" t="s">
        <v>101</v>
      </c>
      <c r="V112" s="38" t="s">
        <v>5951</v>
      </c>
      <c r="W112" s="26" t="s">
        <v>103</v>
      </c>
      <c r="X112" s="26" t="s">
        <v>104</v>
      </c>
      <c r="Y112" s="26" t="s">
        <v>104</v>
      </c>
      <c r="Z112" s="26" t="s">
        <v>172</v>
      </c>
      <c r="AA112" s="26" t="s">
        <v>15</v>
      </c>
      <c r="AB112" s="30" t="s">
        <v>172</v>
      </c>
      <c r="AC112" s="49" t="s">
        <v>5300</v>
      </c>
      <c r="AD112" s="25" t="s">
        <v>174</v>
      </c>
      <c r="AE112" s="26" t="s">
        <v>175</v>
      </c>
      <c r="AF112" s="32">
        <f t="shared" si="16"/>
        <v>1</v>
      </c>
      <c r="AG112" s="32">
        <v>1</v>
      </c>
      <c r="AH112" s="32">
        <v>1</v>
      </c>
      <c r="AI112" s="32">
        <v>1</v>
      </c>
      <c r="AJ112" s="32"/>
      <c r="AK112" s="32">
        <v>1</v>
      </c>
      <c r="AL112" s="32">
        <f t="shared" ref="AL112:AL125" si="17">IF(COUNTIF(AW:AW,"*"&amp;L112&amp;"*")&gt;0,1,0)</f>
        <v>1</v>
      </c>
      <c r="AM112" s="32"/>
      <c r="AN112" s="32">
        <v>1</v>
      </c>
      <c r="AO112" s="32">
        <v>1</v>
      </c>
      <c r="AP112" s="32">
        <v>1</v>
      </c>
      <c r="AQ112" s="32">
        <v>1</v>
      </c>
      <c r="AR112" s="32">
        <v>1</v>
      </c>
      <c r="AS112" s="32"/>
      <c r="AT112" s="32">
        <v>1</v>
      </c>
      <c r="AU112" s="32"/>
      <c r="AW112" s="2" t="s">
        <v>6051</v>
      </c>
      <c r="AY112" s="75" t="s">
        <v>6006</v>
      </c>
    </row>
    <row r="113" spans="1:51" ht="16.5">
      <c r="A113" s="49" t="s">
        <v>6052</v>
      </c>
      <c r="B113" s="26" t="s">
        <v>160</v>
      </c>
      <c r="C113" s="26" t="s">
        <v>73</v>
      </c>
      <c r="D113" s="49" t="s">
        <v>6053</v>
      </c>
      <c r="E113" s="49" t="s">
        <v>162</v>
      </c>
      <c r="F113" s="49" t="s">
        <v>6054</v>
      </c>
      <c r="G113" s="49" t="s">
        <v>6055</v>
      </c>
      <c r="H113" s="49" t="s">
        <v>5516</v>
      </c>
      <c r="I113" s="26">
        <v>202606.3</v>
      </c>
      <c r="J113" s="25">
        <v>6.17</v>
      </c>
      <c r="K113" s="25" t="s">
        <v>73</v>
      </c>
      <c r="L113" s="26" t="s">
        <v>6056</v>
      </c>
      <c r="M113" s="49" t="s">
        <v>6057</v>
      </c>
      <c r="N113" s="27" t="s">
        <v>6058</v>
      </c>
      <c r="O113" s="26"/>
      <c r="P113" s="53">
        <v>4</v>
      </c>
      <c r="Q113" s="32">
        <v>16</v>
      </c>
      <c r="R113" s="53">
        <v>267.98</v>
      </c>
      <c r="S113" s="26" t="s">
        <v>99</v>
      </c>
      <c r="T113" s="26" t="s">
        <v>100</v>
      </c>
      <c r="U113" s="26" t="s">
        <v>101</v>
      </c>
      <c r="V113" s="38" t="s">
        <v>5951</v>
      </c>
      <c r="W113" s="26" t="s">
        <v>103</v>
      </c>
      <c r="X113" s="26" t="s">
        <v>104</v>
      </c>
      <c r="Y113" s="26" t="s">
        <v>104</v>
      </c>
      <c r="Z113" s="26" t="s">
        <v>172</v>
      </c>
      <c r="AA113" s="26" t="s">
        <v>15</v>
      </c>
      <c r="AB113" s="30" t="s">
        <v>172</v>
      </c>
      <c r="AC113" s="49" t="s">
        <v>5300</v>
      </c>
      <c r="AD113" s="25" t="s">
        <v>174</v>
      </c>
      <c r="AE113" s="26" t="s">
        <v>175</v>
      </c>
      <c r="AF113" s="32">
        <f t="shared" si="16"/>
        <v>1</v>
      </c>
      <c r="AG113" s="32">
        <v>1</v>
      </c>
      <c r="AH113" s="32">
        <v>1</v>
      </c>
      <c r="AI113" s="32">
        <v>1</v>
      </c>
      <c r="AJ113" s="32"/>
      <c r="AK113" s="32">
        <v>1</v>
      </c>
      <c r="AL113" s="32">
        <f t="shared" si="17"/>
        <v>1</v>
      </c>
      <c r="AM113" s="32"/>
      <c r="AN113" s="32">
        <v>1</v>
      </c>
      <c r="AO113" s="32">
        <v>1</v>
      </c>
      <c r="AP113" s="32">
        <v>1</v>
      </c>
      <c r="AQ113" s="32">
        <v>1</v>
      </c>
      <c r="AR113" s="32">
        <v>1</v>
      </c>
      <c r="AS113" s="32"/>
      <c r="AT113" s="32">
        <v>1</v>
      </c>
      <c r="AU113" s="32"/>
      <c r="AW113" s="2" t="s">
        <v>6059</v>
      </c>
      <c r="AY113" s="75" t="s">
        <v>6060</v>
      </c>
    </row>
    <row r="114" spans="1:51" ht="16.5">
      <c r="A114" s="49" t="s">
        <v>6061</v>
      </c>
      <c r="B114" s="26" t="s">
        <v>160</v>
      </c>
      <c r="C114" s="26" t="s">
        <v>73</v>
      </c>
      <c r="D114" s="49" t="s">
        <v>6062</v>
      </c>
      <c r="E114" s="49" t="s">
        <v>162</v>
      </c>
      <c r="F114" s="49" t="s">
        <v>6063</v>
      </c>
      <c r="G114" s="49" t="s">
        <v>6064</v>
      </c>
      <c r="H114" s="49" t="s">
        <v>5516</v>
      </c>
      <c r="I114" s="26">
        <v>202606.3</v>
      </c>
      <c r="J114" s="25">
        <v>6.17</v>
      </c>
      <c r="K114" s="25" t="s">
        <v>73</v>
      </c>
      <c r="L114" s="26" t="s">
        <v>5786</v>
      </c>
      <c r="M114" s="49" t="s">
        <v>6065</v>
      </c>
      <c r="N114" s="27" t="s">
        <v>6066</v>
      </c>
      <c r="O114" s="26"/>
      <c r="P114" s="53">
        <v>4</v>
      </c>
      <c r="Q114" s="32">
        <v>16</v>
      </c>
      <c r="R114" s="53">
        <v>268.52999999999997</v>
      </c>
      <c r="S114" s="26" t="s">
        <v>99</v>
      </c>
      <c r="T114" s="26" t="s">
        <v>100</v>
      </c>
      <c r="U114" s="26" t="s">
        <v>101</v>
      </c>
      <c r="V114" s="38" t="s">
        <v>5951</v>
      </c>
      <c r="W114" s="26" t="s">
        <v>103</v>
      </c>
      <c r="X114" s="26" t="s">
        <v>104</v>
      </c>
      <c r="Y114" s="26" t="s">
        <v>104</v>
      </c>
      <c r="Z114" s="26" t="s">
        <v>172</v>
      </c>
      <c r="AA114" s="26" t="s">
        <v>15</v>
      </c>
      <c r="AB114" s="30" t="s">
        <v>172</v>
      </c>
      <c r="AC114" s="49" t="s">
        <v>5300</v>
      </c>
      <c r="AD114" s="25" t="s">
        <v>174</v>
      </c>
      <c r="AE114" s="26" t="s">
        <v>175</v>
      </c>
      <c r="AF114" s="32">
        <f t="shared" si="16"/>
        <v>1</v>
      </c>
      <c r="AG114" s="32">
        <v>1</v>
      </c>
      <c r="AH114" s="32">
        <v>1</v>
      </c>
      <c r="AI114" s="32">
        <v>1</v>
      </c>
      <c r="AJ114" s="32"/>
      <c r="AK114" s="32">
        <v>1</v>
      </c>
      <c r="AL114" s="32">
        <f t="shared" si="17"/>
        <v>1</v>
      </c>
      <c r="AM114" s="32"/>
      <c r="AN114" s="32">
        <v>1</v>
      </c>
      <c r="AO114" s="32">
        <v>1</v>
      </c>
      <c r="AP114" s="32">
        <v>1</v>
      </c>
      <c r="AQ114" s="32">
        <v>1</v>
      </c>
      <c r="AR114" s="32">
        <v>1</v>
      </c>
      <c r="AS114" s="32"/>
      <c r="AT114" s="32">
        <v>1</v>
      </c>
      <c r="AU114" s="32"/>
      <c r="AW114" s="2" t="s">
        <v>6032</v>
      </c>
      <c r="AY114" s="75" t="s">
        <v>6013</v>
      </c>
    </row>
    <row r="115" spans="1:51" ht="16.5">
      <c r="A115" s="49" t="s">
        <v>6067</v>
      </c>
      <c r="B115" s="26" t="s">
        <v>160</v>
      </c>
      <c r="C115" s="26" t="s">
        <v>73</v>
      </c>
      <c r="D115" s="49" t="s">
        <v>6043</v>
      </c>
      <c r="E115" s="49" t="s">
        <v>162</v>
      </c>
      <c r="F115" s="49" t="s">
        <v>6068</v>
      </c>
      <c r="G115" s="49" t="s">
        <v>6069</v>
      </c>
      <c r="H115" s="49" t="s">
        <v>5516</v>
      </c>
      <c r="I115" s="26">
        <v>202606.3</v>
      </c>
      <c r="J115" s="25">
        <v>6.17</v>
      </c>
      <c r="K115" s="25" t="s">
        <v>73</v>
      </c>
      <c r="L115" s="26" t="s">
        <v>5734</v>
      </c>
      <c r="M115" s="49" t="s">
        <v>6070</v>
      </c>
      <c r="N115" s="27" t="s">
        <v>6071</v>
      </c>
      <c r="O115" s="26"/>
      <c r="P115" s="53">
        <v>4</v>
      </c>
      <c r="Q115" s="32">
        <v>16</v>
      </c>
      <c r="R115" s="53">
        <v>266.44</v>
      </c>
      <c r="S115" s="26" t="s">
        <v>99</v>
      </c>
      <c r="T115" s="26" t="s">
        <v>100</v>
      </c>
      <c r="U115" s="26" t="s">
        <v>101</v>
      </c>
      <c r="V115" s="38" t="s">
        <v>5951</v>
      </c>
      <c r="W115" s="26" t="s">
        <v>103</v>
      </c>
      <c r="X115" s="26" t="s">
        <v>104</v>
      </c>
      <c r="Y115" s="26" t="s">
        <v>104</v>
      </c>
      <c r="Z115" s="26" t="s">
        <v>172</v>
      </c>
      <c r="AA115" s="26" t="s">
        <v>15</v>
      </c>
      <c r="AB115" s="30" t="s">
        <v>172</v>
      </c>
      <c r="AC115" s="49" t="s">
        <v>5300</v>
      </c>
      <c r="AD115" s="25" t="s">
        <v>174</v>
      </c>
      <c r="AE115" s="26" t="s">
        <v>175</v>
      </c>
      <c r="AF115" s="32">
        <f t="shared" si="16"/>
        <v>1</v>
      </c>
      <c r="AG115" s="32">
        <v>1</v>
      </c>
      <c r="AH115" s="32">
        <v>1</v>
      </c>
      <c r="AI115" s="32">
        <v>1</v>
      </c>
      <c r="AJ115" s="32"/>
      <c r="AK115" s="32">
        <v>1</v>
      </c>
      <c r="AL115" s="32">
        <f t="shared" si="17"/>
        <v>1</v>
      </c>
      <c r="AM115" s="32"/>
      <c r="AN115" s="32">
        <v>1</v>
      </c>
      <c r="AO115" s="32">
        <v>1</v>
      </c>
      <c r="AP115" s="32">
        <v>1</v>
      </c>
      <c r="AQ115" s="32">
        <v>1</v>
      </c>
      <c r="AR115" s="32">
        <v>1</v>
      </c>
      <c r="AS115" s="32"/>
      <c r="AT115" s="32">
        <v>1</v>
      </c>
      <c r="AU115" s="32"/>
      <c r="AW115" s="2" t="s">
        <v>5957</v>
      </c>
      <c r="AY115" s="75" t="s">
        <v>5970</v>
      </c>
    </row>
    <row r="116" spans="1:51" ht="16.5">
      <c r="A116" s="49" t="s">
        <v>6072</v>
      </c>
      <c r="B116" s="26" t="s">
        <v>160</v>
      </c>
      <c r="C116" s="26" t="s">
        <v>73</v>
      </c>
      <c r="D116" s="49" t="s">
        <v>6073</v>
      </c>
      <c r="E116" s="49" t="s">
        <v>162</v>
      </c>
      <c r="F116" s="49" t="s">
        <v>6074</v>
      </c>
      <c r="G116" s="49" t="s">
        <v>6075</v>
      </c>
      <c r="H116" s="49" t="s">
        <v>5516</v>
      </c>
      <c r="I116" s="26">
        <v>202606.3</v>
      </c>
      <c r="J116" s="25">
        <v>6.17</v>
      </c>
      <c r="K116" s="25" t="s">
        <v>73</v>
      </c>
      <c r="L116" s="26" t="s">
        <v>6076</v>
      </c>
      <c r="M116" s="49" t="s">
        <v>6077</v>
      </c>
      <c r="N116" s="27" t="s">
        <v>6078</v>
      </c>
      <c r="O116" s="26"/>
      <c r="P116" s="53">
        <v>4</v>
      </c>
      <c r="Q116" s="32">
        <v>16</v>
      </c>
      <c r="R116" s="53">
        <v>268.52</v>
      </c>
      <c r="S116" s="26" t="s">
        <v>99</v>
      </c>
      <c r="T116" s="26" t="s">
        <v>100</v>
      </c>
      <c r="U116" s="26" t="s">
        <v>101</v>
      </c>
      <c r="V116" s="38" t="s">
        <v>5951</v>
      </c>
      <c r="W116" s="26" t="s">
        <v>103</v>
      </c>
      <c r="X116" s="26" t="s">
        <v>104</v>
      </c>
      <c r="Y116" s="26" t="s">
        <v>104</v>
      </c>
      <c r="Z116" s="26" t="s">
        <v>172</v>
      </c>
      <c r="AA116" s="26" t="s">
        <v>15</v>
      </c>
      <c r="AB116" s="30" t="s">
        <v>172</v>
      </c>
      <c r="AC116" s="49" t="s">
        <v>5300</v>
      </c>
      <c r="AD116" s="25" t="s">
        <v>174</v>
      </c>
      <c r="AE116" s="26" t="s">
        <v>175</v>
      </c>
      <c r="AF116" s="32">
        <f t="shared" si="16"/>
        <v>1</v>
      </c>
      <c r="AG116" s="32">
        <v>1</v>
      </c>
      <c r="AH116" s="32">
        <v>1</v>
      </c>
      <c r="AI116" s="32">
        <v>1</v>
      </c>
      <c r="AJ116" s="32"/>
      <c r="AK116" s="32">
        <v>1</v>
      </c>
      <c r="AL116" s="32">
        <f t="shared" si="17"/>
        <v>1</v>
      </c>
      <c r="AM116" s="32"/>
      <c r="AN116" s="32">
        <v>1</v>
      </c>
      <c r="AO116" s="32">
        <v>1</v>
      </c>
      <c r="AP116" s="32">
        <v>1</v>
      </c>
      <c r="AQ116" s="32">
        <v>1</v>
      </c>
      <c r="AR116" s="32">
        <v>1</v>
      </c>
      <c r="AS116" s="32"/>
      <c r="AT116" s="32">
        <v>1</v>
      </c>
      <c r="AU116" s="32"/>
      <c r="AW116" s="2" t="s">
        <v>6079</v>
      </c>
      <c r="AY116" s="75" t="s">
        <v>6080</v>
      </c>
    </row>
    <row r="117" spans="1:51" ht="16.5">
      <c r="A117" s="49" t="s">
        <v>6081</v>
      </c>
      <c r="B117" s="26" t="s">
        <v>160</v>
      </c>
      <c r="C117" s="26" t="s">
        <v>73</v>
      </c>
      <c r="D117" s="49" t="s">
        <v>6082</v>
      </c>
      <c r="E117" s="49" t="s">
        <v>162</v>
      </c>
      <c r="F117" s="49" t="s">
        <v>6083</v>
      </c>
      <c r="G117" s="49" t="s">
        <v>6084</v>
      </c>
      <c r="H117" s="49" t="s">
        <v>5516</v>
      </c>
      <c r="I117" s="26">
        <v>202606.3</v>
      </c>
      <c r="J117" s="25">
        <v>6.17</v>
      </c>
      <c r="K117" s="25" t="s">
        <v>73</v>
      </c>
      <c r="L117" s="26" t="s">
        <v>6079</v>
      </c>
      <c r="M117" s="49" t="s">
        <v>6085</v>
      </c>
      <c r="N117" s="27" t="s">
        <v>6086</v>
      </c>
      <c r="O117" s="26"/>
      <c r="P117" s="53">
        <v>4</v>
      </c>
      <c r="Q117" s="32">
        <v>16</v>
      </c>
      <c r="R117" s="53">
        <v>268.11</v>
      </c>
      <c r="S117" s="26" t="s">
        <v>99</v>
      </c>
      <c r="T117" s="26" t="s">
        <v>100</v>
      </c>
      <c r="U117" s="26" t="s">
        <v>101</v>
      </c>
      <c r="V117" s="38" t="s">
        <v>5951</v>
      </c>
      <c r="W117" s="26" t="s">
        <v>103</v>
      </c>
      <c r="X117" s="26" t="s">
        <v>104</v>
      </c>
      <c r="Y117" s="26" t="s">
        <v>104</v>
      </c>
      <c r="Z117" s="26" t="s">
        <v>172</v>
      </c>
      <c r="AA117" s="26" t="s">
        <v>15</v>
      </c>
      <c r="AB117" s="30" t="s">
        <v>172</v>
      </c>
      <c r="AC117" s="49" t="s">
        <v>5300</v>
      </c>
      <c r="AD117" s="25" t="s">
        <v>174</v>
      </c>
      <c r="AE117" s="26" t="s">
        <v>175</v>
      </c>
      <c r="AF117" s="32">
        <f t="shared" si="16"/>
        <v>1</v>
      </c>
      <c r="AG117" s="32">
        <v>1</v>
      </c>
      <c r="AH117" s="32">
        <v>1</v>
      </c>
      <c r="AI117" s="32">
        <v>1</v>
      </c>
      <c r="AJ117" s="32"/>
      <c r="AK117" s="32">
        <v>1</v>
      </c>
      <c r="AL117" s="32">
        <f t="shared" si="17"/>
        <v>1</v>
      </c>
      <c r="AM117" s="32"/>
      <c r="AN117" s="32">
        <v>1</v>
      </c>
      <c r="AO117" s="32">
        <v>1</v>
      </c>
      <c r="AP117" s="32">
        <v>1</v>
      </c>
      <c r="AQ117" s="32">
        <v>1</v>
      </c>
      <c r="AR117" s="32">
        <v>1</v>
      </c>
      <c r="AS117" s="32"/>
      <c r="AT117" s="32">
        <v>1</v>
      </c>
      <c r="AU117" s="32"/>
      <c r="AW117" s="2" t="s">
        <v>6087</v>
      </c>
      <c r="AY117" s="75" t="s">
        <v>6088</v>
      </c>
    </row>
    <row r="118" spans="1:51" ht="16.5">
      <c r="A118" s="49" t="s">
        <v>6089</v>
      </c>
      <c r="B118" s="26" t="s">
        <v>160</v>
      </c>
      <c r="C118" s="26" t="s">
        <v>73</v>
      </c>
      <c r="D118" s="49" t="s">
        <v>6060</v>
      </c>
      <c r="E118" s="49" t="s">
        <v>162</v>
      </c>
      <c r="F118" s="49" t="s">
        <v>6090</v>
      </c>
      <c r="G118" s="49" t="s">
        <v>6091</v>
      </c>
      <c r="H118" s="49" t="s">
        <v>5516</v>
      </c>
      <c r="I118" s="26">
        <v>202606.3</v>
      </c>
      <c r="J118" s="25">
        <v>6.17</v>
      </c>
      <c r="K118" s="25" t="s">
        <v>73</v>
      </c>
      <c r="L118" s="26" t="s">
        <v>5751</v>
      </c>
      <c r="M118" s="49" t="s">
        <v>6092</v>
      </c>
      <c r="N118" s="27" t="s">
        <v>6093</v>
      </c>
      <c r="O118" s="26"/>
      <c r="P118" s="53">
        <v>4</v>
      </c>
      <c r="Q118" s="32">
        <v>16</v>
      </c>
      <c r="R118" s="53">
        <v>266.22000000000003</v>
      </c>
      <c r="S118" s="26" t="s">
        <v>99</v>
      </c>
      <c r="T118" s="26" t="s">
        <v>100</v>
      </c>
      <c r="U118" s="26" t="s">
        <v>101</v>
      </c>
      <c r="V118" s="38" t="s">
        <v>5951</v>
      </c>
      <c r="W118" s="26" t="s">
        <v>103</v>
      </c>
      <c r="X118" s="26" t="s">
        <v>104</v>
      </c>
      <c r="Y118" s="26" t="s">
        <v>104</v>
      </c>
      <c r="Z118" s="26" t="s">
        <v>172</v>
      </c>
      <c r="AA118" s="26" t="s">
        <v>15</v>
      </c>
      <c r="AB118" s="30" t="s">
        <v>172</v>
      </c>
      <c r="AC118" s="49" t="s">
        <v>5300</v>
      </c>
      <c r="AD118" s="25" t="s">
        <v>174</v>
      </c>
      <c r="AE118" s="26" t="s">
        <v>175</v>
      </c>
      <c r="AF118" s="32">
        <f t="shared" si="16"/>
        <v>1</v>
      </c>
      <c r="AG118" s="32">
        <v>1</v>
      </c>
      <c r="AH118" s="32">
        <v>1</v>
      </c>
      <c r="AI118" s="32">
        <v>1</v>
      </c>
      <c r="AJ118" s="32"/>
      <c r="AK118" s="32">
        <v>1</v>
      </c>
      <c r="AL118" s="32">
        <f t="shared" si="17"/>
        <v>1</v>
      </c>
      <c r="AM118" s="32"/>
      <c r="AN118" s="32">
        <v>1</v>
      </c>
      <c r="AO118" s="32">
        <v>1</v>
      </c>
      <c r="AP118" s="32">
        <v>1</v>
      </c>
      <c r="AQ118" s="32">
        <v>1</v>
      </c>
      <c r="AR118" s="32">
        <v>1</v>
      </c>
      <c r="AS118" s="32"/>
      <c r="AT118" s="32">
        <v>1</v>
      </c>
      <c r="AU118" s="32"/>
      <c r="AW118" s="2" t="s">
        <v>6094</v>
      </c>
      <c r="AY118" s="75" t="s">
        <v>6062</v>
      </c>
    </row>
    <row r="119" spans="1:51" ht="16.5">
      <c r="A119" s="49" t="s">
        <v>6095</v>
      </c>
      <c r="B119" s="26" t="s">
        <v>160</v>
      </c>
      <c r="C119" s="26" t="s">
        <v>73</v>
      </c>
      <c r="D119" s="49" t="s">
        <v>6088</v>
      </c>
      <c r="E119" s="49" t="s">
        <v>162</v>
      </c>
      <c r="F119" s="49" t="s">
        <v>6096</v>
      </c>
      <c r="G119" s="49" t="s">
        <v>6097</v>
      </c>
      <c r="H119" s="49" t="s">
        <v>5516</v>
      </c>
      <c r="I119" s="26">
        <v>202606.3</v>
      </c>
      <c r="J119" s="25">
        <v>6.17</v>
      </c>
      <c r="K119" s="25" t="s">
        <v>73</v>
      </c>
      <c r="L119" s="26" t="s">
        <v>5777</v>
      </c>
      <c r="M119" s="49" t="s">
        <v>6098</v>
      </c>
      <c r="N119" s="27" t="s">
        <v>6099</v>
      </c>
      <c r="O119" s="26"/>
      <c r="P119" s="53">
        <v>4</v>
      </c>
      <c r="Q119" s="32">
        <v>16</v>
      </c>
      <c r="R119" s="53">
        <v>268.83</v>
      </c>
      <c r="S119" s="26" t="s">
        <v>99</v>
      </c>
      <c r="T119" s="26" t="s">
        <v>100</v>
      </c>
      <c r="U119" s="26" t="s">
        <v>101</v>
      </c>
      <c r="V119" s="38" t="s">
        <v>5951</v>
      </c>
      <c r="W119" s="26" t="s">
        <v>103</v>
      </c>
      <c r="X119" s="26" t="s">
        <v>104</v>
      </c>
      <c r="Y119" s="26" t="s">
        <v>104</v>
      </c>
      <c r="Z119" s="26" t="s">
        <v>172</v>
      </c>
      <c r="AA119" s="26" t="s">
        <v>15</v>
      </c>
      <c r="AB119" s="30" t="s">
        <v>172</v>
      </c>
      <c r="AC119" s="49" t="s">
        <v>5300</v>
      </c>
      <c r="AD119" s="25" t="s">
        <v>174</v>
      </c>
      <c r="AE119" s="26" t="s">
        <v>175</v>
      </c>
      <c r="AF119" s="32">
        <f t="shared" si="16"/>
        <v>1</v>
      </c>
      <c r="AG119" s="32">
        <v>1</v>
      </c>
      <c r="AH119" s="32">
        <v>1</v>
      </c>
      <c r="AI119" s="32">
        <v>1</v>
      </c>
      <c r="AJ119" s="32"/>
      <c r="AK119" s="32">
        <v>1</v>
      </c>
      <c r="AL119" s="32">
        <f t="shared" si="17"/>
        <v>1</v>
      </c>
      <c r="AM119" s="32"/>
      <c r="AN119" s="32">
        <v>1</v>
      </c>
      <c r="AO119" s="32">
        <v>1</v>
      </c>
      <c r="AP119" s="32">
        <v>1</v>
      </c>
      <c r="AQ119" s="32">
        <v>1</v>
      </c>
      <c r="AR119" s="32">
        <v>1</v>
      </c>
      <c r="AS119" s="32"/>
      <c r="AT119" s="32">
        <v>1</v>
      </c>
      <c r="AU119" s="32"/>
      <c r="AW119" s="2" t="s">
        <v>6100</v>
      </c>
      <c r="AY119" s="75" t="s">
        <v>6101</v>
      </c>
    </row>
    <row r="120" spans="1:51" ht="16.5">
      <c r="A120" s="49" t="s">
        <v>6102</v>
      </c>
      <c r="B120" s="26" t="s">
        <v>160</v>
      </c>
      <c r="C120" s="26" t="s">
        <v>73</v>
      </c>
      <c r="D120" s="49" t="s">
        <v>6103</v>
      </c>
      <c r="E120" s="49" t="s">
        <v>162</v>
      </c>
      <c r="F120" s="49" t="s">
        <v>6104</v>
      </c>
      <c r="G120" s="49" t="s">
        <v>6105</v>
      </c>
      <c r="H120" s="49" t="s">
        <v>5516</v>
      </c>
      <c r="I120" s="26">
        <v>202606.3</v>
      </c>
      <c r="J120" s="25">
        <v>6.17</v>
      </c>
      <c r="K120" s="25" t="s">
        <v>73</v>
      </c>
      <c r="L120" s="26" t="s">
        <v>6106</v>
      </c>
      <c r="M120" s="49" t="s">
        <v>6107</v>
      </c>
      <c r="N120" s="27" t="s">
        <v>6108</v>
      </c>
      <c r="O120" s="26"/>
      <c r="P120" s="53">
        <v>4</v>
      </c>
      <c r="Q120" s="32">
        <v>16</v>
      </c>
      <c r="R120" s="53">
        <v>269.13</v>
      </c>
      <c r="S120" s="26" t="s">
        <v>99</v>
      </c>
      <c r="T120" s="26" t="s">
        <v>100</v>
      </c>
      <c r="U120" s="26" t="s">
        <v>101</v>
      </c>
      <c r="V120" s="38" t="s">
        <v>5951</v>
      </c>
      <c r="W120" s="26" t="s">
        <v>103</v>
      </c>
      <c r="X120" s="26" t="s">
        <v>104</v>
      </c>
      <c r="Y120" s="26" t="s">
        <v>104</v>
      </c>
      <c r="Z120" s="26" t="s">
        <v>172</v>
      </c>
      <c r="AA120" s="26" t="s">
        <v>15</v>
      </c>
      <c r="AB120" s="30" t="s">
        <v>172</v>
      </c>
      <c r="AC120" s="49" t="s">
        <v>5300</v>
      </c>
      <c r="AD120" s="25" t="s">
        <v>174</v>
      </c>
      <c r="AE120" s="26" t="s">
        <v>175</v>
      </c>
      <c r="AF120" s="32">
        <f t="shared" si="16"/>
        <v>1</v>
      </c>
      <c r="AG120" s="32">
        <v>1</v>
      </c>
      <c r="AH120" s="32">
        <v>1</v>
      </c>
      <c r="AI120" s="32">
        <v>1</v>
      </c>
      <c r="AJ120" s="32"/>
      <c r="AK120" s="32">
        <v>1</v>
      </c>
      <c r="AL120" s="32">
        <f t="shared" si="17"/>
        <v>1</v>
      </c>
      <c r="AM120" s="32"/>
      <c r="AN120" s="32">
        <v>1</v>
      </c>
      <c r="AO120" s="32">
        <v>1</v>
      </c>
      <c r="AP120" s="32">
        <v>1</v>
      </c>
      <c r="AQ120" s="32">
        <v>1</v>
      </c>
      <c r="AR120" s="32">
        <v>1</v>
      </c>
      <c r="AS120" s="32"/>
      <c r="AT120" s="32">
        <v>1</v>
      </c>
      <c r="AU120" s="32"/>
      <c r="AW120" s="2" t="s">
        <v>6106</v>
      </c>
      <c r="AY120" s="75" t="s">
        <v>6109</v>
      </c>
    </row>
    <row r="121" spans="1:51" ht="16.5">
      <c r="A121" s="49" t="s">
        <v>6110</v>
      </c>
      <c r="B121" s="26" t="s">
        <v>160</v>
      </c>
      <c r="C121" s="26" t="s">
        <v>73</v>
      </c>
      <c r="D121" s="49" t="s">
        <v>6111</v>
      </c>
      <c r="E121" s="49" t="s">
        <v>162</v>
      </c>
      <c r="F121" s="49" t="s">
        <v>6112</v>
      </c>
      <c r="G121" s="49" t="s">
        <v>6113</v>
      </c>
      <c r="H121" s="49" t="s">
        <v>5516</v>
      </c>
      <c r="I121" s="26">
        <v>202606.3</v>
      </c>
      <c r="J121" s="25">
        <v>6.17</v>
      </c>
      <c r="K121" s="25" t="s">
        <v>73</v>
      </c>
      <c r="L121" s="26" t="s">
        <v>6059</v>
      </c>
      <c r="M121" s="49" t="s">
        <v>6114</v>
      </c>
      <c r="N121" s="27" t="s">
        <v>6115</v>
      </c>
      <c r="O121" s="26"/>
      <c r="P121" s="53">
        <v>4</v>
      </c>
      <c r="Q121" s="32">
        <v>16</v>
      </c>
      <c r="R121" s="53">
        <v>266.10000000000002</v>
      </c>
      <c r="S121" s="26" t="s">
        <v>99</v>
      </c>
      <c r="T121" s="26" t="s">
        <v>100</v>
      </c>
      <c r="U121" s="26" t="s">
        <v>101</v>
      </c>
      <c r="V121" s="38" t="s">
        <v>5951</v>
      </c>
      <c r="W121" s="26" t="s">
        <v>103</v>
      </c>
      <c r="X121" s="26" t="s">
        <v>104</v>
      </c>
      <c r="Y121" s="26" t="s">
        <v>104</v>
      </c>
      <c r="Z121" s="26" t="s">
        <v>172</v>
      </c>
      <c r="AA121" s="26" t="s">
        <v>15</v>
      </c>
      <c r="AB121" s="30" t="s">
        <v>172</v>
      </c>
      <c r="AC121" s="49" t="s">
        <v>5300</v>
      </c>
      <c r="AD121" s="25" t="s">
        <v>174</v>
      </c>
      <c r="AE121" s="26" t="s">
        <v>175</v>
      </c>
      <c r="AF121" s="32">
        <f t="shared" si="16"/>
        <v>1</v>
      </c>
      <c r="AG121" s="32">
        <v>1</v>
      </c>
      <c r="AH121" s="32">
        <v>1</v>
      </c>
      <c r="AI121" s="32">
        <v>1</v>
      </c>
      <c r="AJ121" s="32"/>
      <c r="AK121" s="32">
        <v>1</v>
      </c>
      <c r="AL121" s="32">
        <f t="shared" si="17"/>
        <v>1</v>
      </c>
      <c r="AM121" s="32"/>
      <c r="AN121" s="32">
        <v>1</v>
      </c>
      <c r="AO121" s="32">
        <v>1</v>
      </c>
      <c r="AP121" s="32">
        <v>1</v>
      </c>
      <c r="AQ121" s="32">
        <v>1</v>
      </c>
      <c r="AR121" s="32">
        <v>1</v>
      </c>
      <c r="AS121" s="32"/>
      <c r="AT121" s="32">
        <v>1</v>
      </c>
      <c r="AU121" s="32"/>
      <c r="AW121" s="2" t="s">
        <v>6076</v>
      </c>
      <c r="AY121" s="75" t="s">
        <v>6116</v>
      </c>
    </row>
    <row r="122" spans="1:51" ht="16.5">
      <c r="A122" s="49" t="s">
        <v>6117</v>
      </c>
      <c r="B122" s="26" t="s">
        <v>160</v>
      </c>
      <c r="C122" s="26" t="s">
        <v>73</v>
      </c>
      <c r="D122" s="49" t="s">
        <v>6118</v>
      </c>
      <c r="E122" s="49" t="s">
        <v>162</v>
      </c>
      <c r="F122" s="49" t="s">
        <v>6119</v>
      </c>
      <c r="G122" s="49" t="s">
        <v>6120</v>
      </c>
      <c r="H122" s="49" t="s">
        <v>5516</v>
      </c>
      <c r="I122" s="26">
        <v>202606.3</v>
      </c>
      <c r="J122" s="25">
        <v>6.17</v>
      </c>
      <c r="K122" s="25" t="s">
        <v>73</v>
      </c>
      <c r="L122" s="26" t="s">
        <v>6100</v>
      </c>
      <c r="M122" s="49" t="s">
        <v>6121</v>
      </c>
      <c r="N122" s="27" t="s">
        <v>6122</v>
      </c>
      <c r="O122" s="26"/>
      <c r="P122" s="53">
        <v>4</v>
      </c>
      <c r="Q122" s="32">
        <v>16</v>
      </c>
      <c r="R122" s="53">
        <v>267.81</v>
      </c>
      <c r="S122" s="26" t="s">
        <v>99</v>
      </c>
      <c r="T122" s="26" t="s">
        <v>100</v>
      </c>
      <c r="U122" s="26" t="s">
        <v>101</v>
      </c>
      <c r="V122" s="38" t="s">
        <v>5951</v>
      </c>
      <c r="W122" s="26" t="s">
        <v>103</v>
      </c>
      <c r="X122" s="26" t="s">
        <v>104</v>
      </c>
      <c r="Y122" s="26" t="s">
        <v>104</v>
      </c>
      <c r="Z122" s="26" t="s">
        <v>172</v>
      </c>
      <c r="AA122" s="26" t="s">
        <v>15</v>
      </c>
      <c r="AB122" s="30" t="s">
        <v>172</v>
      </c>
      <c r="AC122" s="49" t="s">
        <v>5300</v>
      </c>
      <c r="AD122" s="25" t="s">
        <v>174</v>
      </c>
      <c r="AE122" s="26" t="s">
        <v>175</v>
      </c>
      <c r="AF122" s="32">
        <f t="shared" si="16"/>
        <v>1</v>
      </c>
      <c r="AG122" s="32">
        <v>1</v>
      </c>
      <c r="AH122" s="32">
        <v>1</v>
      </c>
      <c r="AI122" s="32">
        <v>1</v>
      </c>
      <c r="AJ122" s="32"/>
      <c r="AK122" s="32">
        <v>1</v>
      </c>
      <c r="AL122" s="32">
        <f t="shared" si="17"/>
        <v>1</v>
      </c>
      <c r="AM122" s="32"/>
      <c r="AN122" s="32">
        <v>1</v>
      </c>
      <c r="AO122" s="32">
        <v>1</v>
      </c>
      <c r="AP122" s="32">
        <v>1</v>
      </c>
      <c r="AQ122" s="32">
        <v>1</v>
      </c>
      <c r="AR122" s="32">
        <v>1</v>
      </c>
      <c r="AS122" s="32"/>
      <c r="AT122" s="32">
        <v>1</v>
      </c>
      <c r="AU122" s="32"/>
      <c r="AW122" s="2" t="s">
        <v>6056</v>
      </c>
      <c r="AY122" s="75" t="s">
        <v>6123</v>
      </c>
    </row>
    <row r="123" spans="1:51" ht="16.5">
      <c r="A123" s="49" t="s">
        <v>6124</v>
      </c>
      <c r="B123" s="26" t="s">
        <v>160</v>
      </c>
      <c r="C123" s="26" t="s">
        <v>73</v>
      </c>
      <c r="D123" s="49" t="s">
        <v>6125</v>
      </c>
      <c r="E123" s="49" t="s">
        <v>162</v>
      </c>
      <c r="F123" s="49" t="s">
        <v>6126</v>
      </c>
      <c r="G123" s="49" t="s">
        <v>6127</v>
      </c>
      <c r="H123" s="49" t="s">
        <v>5516</v>
      </c>
      <c r="I123" s="26">
        <v>202606.3</v>
      </c>
      <c r="J123" s="25">
        <v>6.17</v>
      </c>
      <c r="K123" s="25" t="s">
        <v>73</v>
      </c>
      <c r="L123" s="26" t="s">
        <v>6094</v>
      </c>
      <c r="M123" s="49" t="s">
        <v>6128</v>
      </c>
      <c r="N123" s="27" t="s">
        <v>6129</v>
      </c>
      <c r="O123" s="26"/>
      <c r="P123" s="53">
        <v>4</v>
      </c>
      <c r="Q123" s="32">
        <v>16</v>
      </c>
      <c r="R123" s="53">
        <v>266.18</v>
      </c>
      <c r="S123" s="26" t="s">
        <v>99</v>
      </c>
      <c r="T123" s="26" t="s">
        <v>100</v>
      </c>
      <c r="U123" s="26" t="s">
        <v>101</v>
      </c>
      <c r="V123" s="38" t="s">
        <v>5951</v>
      </c>
      <c r="W123" s="26" t="s">
        <v>103</v>
      </c>
      <c r="X123" s="26" t="s">
        <v>104</v>
      </c>
      <c r="Y123" s="26" t="s">
        <v>104</v>
      </c>
      <c r="Z123" s="26" t="s">
        <v>172</v>
      </c>
      <c r="AA123" s="26" t="s">
        <v>15</v>
      </c>
      <c r="AB123" s="30" t="s">
        <v>172</v>
      </c>
      <c r="AC123" s="49" t="s">
        <v>5300</v>
      </c>
      <c r="AD123" s="25" t="s">
        <v>174</v>
      </c>
      <c r="AE123" s="26" t="s">
        <v>175</v>
      </c>
      <c r="AF123" s="32">
        <f t="shared" si="16"/>
        <v>1</v>
      </c>
      <c r="AG123" s="32">
        <v>1</v>
      </c>
      <c r="AH123" s="32">
        <v>1</v>
      </c>
      <c r="AI123" s="32">
        <v>1</v>
      </c>
      <c r="AJ123" s="32"/>
      <c r="AK123" s="32">
        <v>1</v>
      </c>
      <c r="AL123" s="32">
        <f t="shared" si="17"/>
        <v>1</v>
      </c>
      <c r="AM123" s="32"/>
      <c r="AN123" s="32">
        <v>1</v>
      </c>
      <c r="AO123" s="32">
        <v>1</v>
      </c>
      <c r="AP123" s="32">
        <v>1</v>
      </c>
      <c r="AQ123" s="32">
        <v>1</v>
      </c>
      <c r="AR123" s="32">
        <v>1</v>
      </c>
      <c r="AS123" s="32"/>
      <c r="AT123" s="32">
        <v>1</v>
      </c>
      <c r="AU123" s="32"/>
      <c r="AW123" s="2" t="s">
        <v>6048</v>
      </c>
      <c r="AY123" s="75" t="s">
        <v>3878</v>
      </c>
    </row>
    <row r="124" spans="1:51" ht="16.5">
      <c r="A124" s="49" t="s">
        <v>6130</v>
      </c>
      <c r="B124" s="26" t="s">
        <v>160</v>
      </c>
      <c r="C124" s="26" t="s">
        <v>73</v>
      </c>
      <c r="D124" s="49" t="s">
        <v>6131</v>
      </c>
      <c r="E124" s="49" t="s">
        <v>162</v>
      </c>
      <c r="F124" s="49" t="s">
        <v>6132</v>
      </c>
      <c r="G124" s="49" t="s">
        <v>6133</v>
      </c>
      <c r="H124" s="49" t="s">
        <v>5516</v>
      </c>
      <c r="I124" s="26">
        <v>202606.3</v>
      </c>
      <c r="J124" s="25">
        <v>6.17</v>
      </c>
      <c r="K124" s="25" t="s">
        <v>73</v>
      </c>
      <c r="L124" s="26" t="s">
        <v>6087</v>
      </c>
      <c r="M124" s="49" t="s">
        <v>6134</v>
      </c>
      <c r="N124" s="27" t="s">
        <v>6135</v>
      </c>
      <c r="O124" s="26"/>
      <c r="P124" s="53">
        <v>4</v>
      </c>
      <c r="Q124" s="32">
        <v>16</v>
      </c>
      <c r="R124" s="53">
        <v>267.39</v>
      </c>
      <c r="S124" s="26" t="s">
        <v>99</v>
      </c>
      <c r="T124" s="26" t="s">
        <v>100</v>
      </c>
      <c r="U124" s="26" t="s">
        <v>101</v>
      </c>
      <c r="V124" s="38" t="s">
        <v>5951</v>
      </c>
      <c r="W124" s="26" t="s">
        <v>103</v>
      </c>
      <c r="X124" s="26" t="s">
        <v>104</v>
      </c>
      <c r="Y124" s="26" t="s">
        <v>104</v>
      </c>
      <c r="Z124" s="26" t="s">
        <v>172</v>
      </c>
      <c r="AA124" s="26" t="s">
        <v>15</v>
      </c>
      <c r="AB124" s="30" t="s">
        <v>172</v>
      </c>
      <c r="AC124" s="49" t="s">
        <v>5300</v>
      </c>
      <c r="AD124" s="25" t="s">
        <v>174</v>
      </c>
      <c r="AE124" s="26" t="s">
        <v>175</v>
      </c>
      <c r="AF124" s="32">
        <f t="shared" si="16"/>
        <v>1</v>
      </c>
      <c r="AG124" s="32">
        <v>1</v>
      </c>
      <c r="AH124" s="32">
        <v>1</v>
      </c>
      <c r="AI124" s="32">
        <v>1</v>
      </c>
      <c r="AJ124" s="32"/>
      <c r="AK124" s="32">
        <v>1</v>
      </c>
      <c r="AL124" s="32">
        <f t="shared" si="17"/>
        <v>1</v>
      </c>
      <c r="AM124" s="32"/>
      <c r="AN124" s="32">
        <v>1</v>
      </c>
      <c r="AO124" s="32">
        <v>1</v>
      </c>
      <c r="AP124" s="32">
        <v>1</v>
      </c>
      <c r="AQ124" s="32">
        <v>1</v>
      </c>
      <c r="AR124" s="32">
        <v>1</v>
      </c>
      <c r="AS124" s="32"/>
      <c r="AT124" s="32">
        <v>1</v>
      </c>
      <c r="AU124" s="32"/>
      <c r="AW124" s="2" t="s">
        <v>6040</v>
      </c>
      <c r="AY124" s="75" t="s">
        <v>6136</v>
      </c>
    </row>
    <row r="125" spans="1:51" ht="16.5">
      <c r="A125" s="49" t="s">
        <v>6137</v>
      </c>
      <c r="B125" s="26" t="s">
        <v>160</v>
      </c>
      <c r="C125" s="26" t="s">
        <v>73</v>
      </c>
      <c r="D125" s="49" t="s">
        <v>6123</v>
      </c>
      <c r="E125" s="49" t="s">
        <v>162</v>
      </c>
      <c r="F125" s="49" t="s">
        <v>6138</v>
      </c>
      <c r="G125" s="49" t="s">
        <v>6139</v>
      </c>
      <c r="H125" s="49" t="s">
        <v>5516</v>
      </c>
      <c r="I125" s="26">
        <v>202606.3</v>
      </c>
      <c r="J125" s="25">
        <v>6.17</v>
      </c>
      <c r="K125" s="25" t="s">
        <v>73</v>
      </c>
      <c r="L125" s="26" t="s">
        <v>6027</v>
      </c>
      <c r="M125" s="49" t="s">
        <v>6140</v>
      </c>
      <c r="N125" s="27" t="s">
        <v>6141</v>
      </c>
      <c r="O125" s="26"/>
      <c r="P125" s="53">
        <v>4</v>
      </c>
      <c r="Q125" s="32">
        <v>16</v>
      </c>
      <c r="R125" s="53">
        <v>268.58</v>
      </c>
      <c r="S125" s="26" t="s">
        <v>99</v>
      </c>
      <c r="T125" s="26" t="s">
        <v>100</v>
      </c>
      <c r="U125" s="26" t="s">
        <v>101</v>
      </c>
      <c r="V125" s="38" t="s">
        <v>5951</v>
      </c>
      <c r="W125" s="26" t="s">
        <v>103</v>
      </c>
      <c r="X125" s="26" t="s">
        <v>104</v>
      </c>
      <c r="Y125" s="26" t="s">
        <v>104</v>
      </c>
      <c r="Z125" s="26" t="s">
        <v>172</v>
      </c>
      <c r="AA125" s="26" t="s">
        <v>15</v>
      </c>
      <c r="AB125" s="30" t="s">
        <v>172</v>
      </c>
      <c r="AC125" s="49" t="s">
        <v>5300</v>
      </c>
      <c r="AD125" s="25" t="s">
        <v>174</v>
      </c>
      <c r="AE125" s="26" t="s">
        <v>175</v>
      </c>
      <c r="AF125" s="32">
        <f t="shared" si="16"/>
        <v>1</v>
      </c>
      <c r="AG125" s="32">
        <v>1</v>
      </c>
      <c r="AH125" s="32">
        <v>1</v>
      </c>
      <c r="AI125" s="32">
        <v>1</v>
      </c>
      <c r="AJ125" s="32"/>
      <c r="AK125" s="32">
        <v>1</v>
      </c>
      <c r="AL125" s="32">
        <f t="shared" si="17"/>
        <v>1</v>
      </c>
      <c r="AM125" s="32"/>
      <c r="AN125" s="32">
        <v>1</v>
      </c>
      <c r="AO125" s="32">
        <v>1</v>
      </c>
      <c r="AP125" s="32">
        <v>1</v>
      </c>
      <c r="AQ125" s="32">
        <v>1</v>
      </c>
      <c r="AR125" s="32">
        <v>1</v>
      </c>
      <c r="AS125" s="32"/>
      <c r="AT125" s="32">
        <v>1</v>
      </c>
      <c r="AU125" s="32"/>
      <c r="AW125" s="2" t="s">
        <v>5980</v>
      </c>
      <c r="AY125" s="75" t="s">
        <v>6111</v>
      </c>
    </row>
    <row r="126" spans="1:51" ht="16.5" hidden="1">
      <c r="A126" s="49" t="s">
        <v>6142</v>
      </c>
      <c r="B126" s="150" t="s">
        <v>160</v>
      </c>
      <c r="C126" s="150" t="s">
        <v>73</v>
      </c>
      <c r="D126" s="151" t="s">
        <v>6136</v>
      </c>
      <c r="E126" s="151" t="s">
        <v>162</v>
      </c>
      <c r="F126" s="49" t="s">
        <v>6143</v>
      </c>
      <c r="G126" s="151" t="s">
        <v>6144</v>
      </c>
      <c r="H126" s="151" t="s">
        <v>5516</v>
      </c>
      <c r="I126" s="26">
        <v>202606.3</v>
      </c>
      <c r="J126" s="34" t="s">
        <v>3213</v>
      </c>
      <c r="K126" s="152" t="s">
        <v>73</v>
      </c>
      <c r="L126" s="26" t="s">
        <v>6145</v>
      </c>
      <c r="M126" s="151" t="s">
        <v>6146</v>
      </c>
      <c r="N126" s="153" t="s">
        <v>6147</v>
      </c>
      <c r="O126" s="26"/>
      <c r="P126" s="53">
        <v>4</v>
      </c>
      <c r="Q126" s="32">
        <v>16</v>
      </c>
      <c r="R126" s="53">
        <v>267.33</v>
      </c>
      <c r="S126" s="26" t="s">
        <v>99</v>
      </c>
      <c r="T126" s="26" t="s">
        <v>100</v>
      </c>
      <c r="U126" s="26" t="s">
        <v>101</v>
      </c>
      <c r="V126" s="38" t="s">
        <v>5951</v>
      </c>
      <c r="W126" s="26" t="s">
        <v>103</v>
      </c>
      <c r="X126" s="26" t="s">
        <v>104</v>
      </c>
      <c r="Y126" s="26" t="s">
        <v>104</v>
      </c>
      <c r="Z126" s="26" t="s">
        <v>172</v>
      </c>
      <c r="AA126" s="26" t="s">
        <v>15</v>
      </c>
      <c r="AB126" s="30" t="s">
        <v>172</v>
      </c>
      <c r="AC126" s="49" t="s">
        <v>5300</v>
      </c>
      <c r="AD126" s="25" t="s">
        <v>174</v>
      </c>
      <c r="AE126" s="26" t="s">
        <v>175</v>
      </c>
      <c r="AF126" s="32">
        <f t="shared" si="16"/>
        <v>1</v>
      </c>
      <c r="AG126" s="32">
        <v>1</v>
      </c>
      <c r="AH126" s="32">
        <v>1</v>
      </c>
      <c r="AI126" s="32">
        <v>1</v>
      </c>
      <c r="AJ126" s="32"/>
      <c r="AK126" s="32"/>
      <c r="AL126" s="32">
        <f t="shared" ref="AL126" si="18">IF(COUNTIF(AW:AW,"*"&amp;M126&amp;"*")&gt;0,1,0)</f>
        <v>0</v>
      </c>
      <c r="AM126" s="32"/>
      <c r="AN126" s="32"/>
      <c r="AO126" s="32"/>
      <c r="AP126" s="32"/>
      <c r="AQ126" s="32"/>
      <c r="AR126" s="32"/>
      <c r="AS126" s="32"/>
      <c r="AT126" s="32"/>
      <c r="AU126" s="32"/>
      <c r="AW126" s="2" t="s">
        <v>5948</v>
      </c>
      <c r="AY126" s="75" t="s">
        <v>6029</v>
      </c>
    </row>
    <row r="127" spans="1:51" ht="16.5">
      <c r="A127" s="49" t="s">
        <v>6148</v>
      </c>
      <c r="B127" s="26" t="s">
        <v>160</v>
      </c>
      <c r="C127" s="26" t="s">
        <v>73</v>
      </c>
      <c r="D127" s="49" t="s">
        <v>6035</v>
      </c>
      <c r="E127" s="49" t="s">
        <v>162</v>
      </c>
      <c r="F127" s="49" t="s">
        <v>6149</v>
      </c>
      <c r="G127" s="49" t="s">
        <v>6150</v>
      </c>
      <c r="H127" s="49" t="s">
        <v>5516</v>
      </c>
      <c r="I127" s="26">
        <v>202606.3</v>
      </c>
      <c r="J127" s="25">
        <v>6.17</v>
      </c>
      <c r="K127" s="25" t="s">
        <v>73</v>
      </c>
      <c r="L127" s="26" t="s">
        <v>5725</v>
      </c>
      <c r="M127" s="49" t="s">
        <v>6151</v>
      </c>
      <c r="N127" s="27" t="s">
        <v>6152</v>
      </c>
      <c r="O127" s="26"/>
      <c r="P127" s="53">
        <v>4</v>
      </c>
      <c r="Q127" s="32">
        <v>16</v>
      </c>
      <c r="R127" s="53">
        <v>266.64</v>
      </c>
      <c r="S127" s="26" t="s">
        <v>99</v>
      </c>
      <c r="T127" s="26" t="s">
        <v>100</v>
      </c>
      <c r="U127" s="26" t="s">
        <v>101</v>
      </c>
      <c r="V127" s="38" t="s">
        <v>5951</v>
      </c>
      <c r="W127" s="26" t="s">
        <v>103</v>
      </c>
      <c r="X127" s="26" t="s">
        <v>104</v>
      </c>
      <c r="Y127" s="26" t="s">
        <v>104</v>
      </c>
      <c r="Z127" s="26" t="s">
        <v>172</v>
      </c>
      <c r="AA127" s="26" t="s">
        <v>15</v>
      </c>
      <c r="AB127" s="30" t="s">
        <v>172</v>
      </c>
      <c r="AC127" s="49" t="s">
        <v>5300</v>
      </c>
      <c r="AD127" s="25" t="s">
        <v>174</v>
      </c>
      <c r="AE127" s="26" t="s">
        <v>175</v>
      </c>
      <c r="AF127" s="32">
        <f t="shared" si="16"/>
        <v>1</v>
      </c>
      <c r="AG127" s="32">
        <v>1</v>
      </c>
      <c r="AH127" s="32">
        <v>1</v>
      </c>
      <c r="AI127" s="32">
        <v>1</v>
      </c>
      <c r="AJ127" s="32"/>
      <c r="AK127" s="32">
        <v>1</v>
      </c>
      <c r="AL127" s="32">
        <f t="shared" ref="AL127:AL142" si="19">IF(COUNTIF(AW:AW,"*"&amp;L127&amp;"*")&gt;0,1,0)</f>
        <v>1</v>
      </c>
      <c r="AM127" s="32"/>
      <c r="AN127" s="32">
        <v>1</v>
      </c>
      <c r="AO127" s="32">
        <v>1</v>
      </c>
      <c r="AP127" s="32">
        <v>1</v>
      </c>
      <c r="AQ127" s="32">
        <v>1</v>
      </c>
      <c r="AR127" s="32">
        <v>1</v>
      </c>
      <c r="AS127" s="32"/>
      <c r="AT127" s="32">
        <v>1</v>
      </c>
      <c r="AU127" s="32"/>
      <c r="AW127" s="2" t="s">
        <v>5458</v>
      </c>
      <c r="AY127" s="75" t="s">
        <v>5954</v>
      </c>
    </row>
    <row r="128" spans="1:51" ht="16.5">
      <c r="A128" s="49" t="s">
        <v>6153</v>
      </c>
      <c r="B128" s="26" t="s">
        <v>160</v>
      </c>
      <c r="C128" s="26" t="s">
        <v>73</v>
      </c>
      <c r="D128" s="49" t="s">
        <v>6116</v>
      </c>
      <c r="E128" s="49" t="s">
        <v>162</v>
      </c>
      <c r="F128" s="49" t="s">
        <v>6154</v>
      </c>
      <c r="G128" s="49" t="s">
        <v>6155</v>
      </c>
      <c r="H128" s="49" t="s">
        <v>5516</v>
      </c>
      <c r="I128" s="26">
        <v>202606.3</v>
      </c>
      <c r="J128" s="25">
        <v>6.17</v>
      </c>
      <c r="K128" s="25" t="s">
        <v>73</v>
      </c>
      <c r="L128" s="26" t="s">
        <v>5811</v>
      </c>
      <c r="M128" s="49" t="s">
        <v>6156</v>
      </c>
      <c r="N128" s="27" t="s">
        <v>6157</v>
      </c>
      <c r="O128" s="26"/>
      <c r="P128" s="53">
        <v>4</v>
      </c>
      <c r="Q128" s="32">
        <v>16</v>
      </c>
      <c r="R128" s="53">
        <v>269.27</v>
      </c>
      <c r="S128" s="26" t="s">
        <v>99</v>
      </c>
      <c r="T128" s="26" t="s">
        <v>100</v>
      </c>
      <c r="U128" s="26" t="s">
        <v>101</v>
      </c>
      <c r="V128" s="38" t="s">
        <v>5951</v>
      </c>
      <c r="W128" s="26" t="s">
        <v>103</v>
      </c>
      <c r="X128" s="26" t="s">
        <v>104</v>
      </c>
      <c r="Y128" s="26" t="s">
        <v>104</v>
      </c>
      <c r="Z128" s="26" t="s">
        <v>172</v>
      </c>
      <c r="AA128" s="26" t="s">
        <v>15</v>
      </c>
      <c r="AB128" s="30" t="s">
        <v>172</v>
      </c>
      <c r="AC128" s="49" t="s">
        <v>5300</v>
      </c>
      <c r="AD128" s="25" t="s">
        <v>174</v>
      </c>
      <c r="AE128" s="26" t="s">
        <v>175</v>
      </c>
      <c r="AF128" s="32">
        <f t="shared" si="16"/>
        <v>1</v>
      </c>
      <c r="AG128" s="32">
        <v>1</v>
      </c>
      <c r="AH128" s="32">
        <v>1</v>
      </c>
      <c r="AI128" s="32">
        <v>1</v>
      </c>
      <c r="AJ128" s="32"/>
      <c r="AK128" s="32">
        <v>1</v>
      </c>
      <c r="AL128" s="32">
        <f t="shared" si="19"/>
        <v>1</v>
      </c>
      <c r="AM128" s="32"/>
      <c r="AN128" s="32">
        <v>1</v>
      </c>
      <c r="AO128" s="32">
        <v>1</v>
      </c>
      <c r="AP128" s="32">
        <v>1</v>
      </c>
      <c r="AQ128" s="32">
        <v>1</v>
      </c>
      <c r="AR128" s="32">
        <v>1</v>
      </c>
      <c r="AS128" s="32"/>
      <c r="AT128" s="32">
        <v>1</v>
      </c>
      <c r="AU128" s="32"/>
      <c r="AW128" s="2" t="s">
        <v>5337</v>
      </c>
      <c r="AY128" s="75" t="s">
        <v>6082</v>
      </c>
    </row>
    <row r="129" spans="1:51" ht="16.5">
      <c r="A129" s="49" t="s">
        <v>6158</v>
      </c>
      <c r="B129" s="26" t="s">
        <v>160</v>
      </c>
      <c r="C129" s="26" t="s">
        <v>73</v>
      </c>
      <c r="D129" s="49" t="s">
        <v>6109</v>
      </c>
      <c r="E129" s="49" t="s">
        <v>162</v>
      </c>
      <c r="F129" s="49" t="s">
        <v>6159</v>
      </c>
      <c r="G129" s="49" t="s">
        <v>6160</v>
      </c>
      <c r="H129" s="49" t="s">
        <v>5516</v>
      </c>
      <c r="I129" s="26">
        <v>202606.3</v>
      </c>
      <c r="J129" s="25">
        <v>6.17</v>
      </c>
      <c r="K129" s="25" t="s">
        <v>73</v>
      </c>
      <c r="L129" s="26" t="s">
        <v>5804</v>
      </c>
      <c r="M129" s="49" t="s">
        <v>6161</v>
      </c>
      <c r="N129" s="27" t="s">
        <v>6162</v>
      </c>
      <c r="O129" s="26"/>
      <c r="P129" s="53">
        <v>4</v>
      </c>
      <c r="Q129" s="32">
        <v>16</v>
      </c>
      <c r="R129" s="53">
        <v>268.45999999999998</v>
      </c>
      <c r="S129" s="26" t="s">
        <v>99</v>
      </c>
      <c r="T129" s="26" t="s">
        <v>100</v>
      </c>
      <c r="U129" s="26" t="s">
        <v>101</v>
      </c>
      <c r="V129" s="38" t="s">
        <v>5951</v>
      </c>
      <c r="W129" s="26" t="s">
        <v>103</v>
      </c>
      <c r="X129" s="26" t="s">
        <v>104</v>
      </c>
      <c r="Y129" s="26" t="s">
        <v>104</v>
      </c>
      <c r="Z129" s="26" t="s">
        <v>172</v>
      </c>
      <c r="AA129" s="26" t="s">
        <v>15</v>
      </c>
      <c r="AB129" s="30" t="s">
        <v>172</v>
      </c>
      <c r="AC129" s="49" t="s">
        <v>5300</v>
      </c>
      <c r="AD129" s="25" t="s">
        <v>174</v>
      </c>
      <c r="AE129" s="26" t="s">
        <v>175</v>
      </c>
      <c r="AF129" s="32">
        <f t="shared" si="16"/>
        <v>1</v>
      </c>
      <c r="AG129" s="32">
        <v>1</v>
      </c>
      <c r="AH129" s="32">
        <v>1</v>
      </c>
      <c r="AI129" s="32">
        <v>1</v>
      </c>
      <c r="AJ129" s="32"/>
      <c r="AK129" s="32">
        <v>1</v>
      </c>
      <c r="AL129" s="32">
        <f t="shared" si="19"/>
        <v>1</v>
      </c>
      <c r="AM129" s="32"/>
      <c r="AN129" s="32">
        <v>1</v>
      </c>
      <c r="AO129" s="32">
        <v>1</v>
      </c>
      <c r="AP129" s="32">
        <v>1</v>
      </c>
      <c r="AQ129" s="32">
        <v>1</v>
      </c>
      <c r="AR129" s="32">
        <v>1</v>
      </c>
      <c r="AS129" s="32"/>
      <c r="AT129" s="32">
        <v>1</v>
      </c>
      <c r="AU129" s="32"/>
      <c r="AW129" s="2" t="s">
        <v>5965</v>
      </c>
      <c r="AY129" s="75" t="s">
        <v>6131</v>
      </c>
    </row>
    <row r="130" spans="1:51" ht="16.5">
      <c r="A130" s="49" t="s">
        <v>6163</v>
      </c>
      <c r="B130" s="26" t="s">
        <v>160</v>
      </c>
      <c r="C130" s="26" t="s">
        <v>73</v>
      </c>
      <c r="D130" s="49" t="s">
        <v>6019</v>
      </c>
      <c r="E130" s="49" t="s">
        <v>162</v>
      </c>
      <c r="F130" s="49" t="s">
        <v>6164</v>
      </c>
      <c r="G130" s="49" t="s">
        <v>6165</v>
      </c>
      <c r="H130" s="49" t="s">
        <v>5516</v>
      </c>
      <c r="I130" s="26">
        <v>202606.3</v>
      </c>
      <c r="J130" s="25">
        <v>6.17</v>
      </c>
      <c r="K130" s="25" t="s">
        <v>73</v>
      </c>
      <c r="L130" s="26" t="s">
        <v>5717</v>
      </c>
      <c r="M130" s="49" t="s">
        <v>6166</v>
      </c>
      <c r="N130" s="27" t="s">
        <v>6167</v>
      </c>
      <c r="O130" s="26"/>
      <c r="P130" s="53">
        <v>4</v>
      </c>
      <c r="Q130" s="32">
        <v>16</v>
      </c>
      <c r="R130" s="53">
        <v>266.18</v>
      </c>
      <c r="S130" s="26" t="s">
        <v>99</v>
      </c>
      <c r="T130" s="26" t="s">
        <v>100</v>
      </c>
      <c r="U130" s="26" t="s">
        <v>101</v>
      </c>
      <c r="V130" s="38" t="s">
        <v>5951</v>
      </c>
      <c r="W130" s="26" t="s">
        <v>103</v>
      </c>
      <c r="X130" s="26" t="s">
        <v>104</v>
      </c>
      <c r="Y130" s="26" t="s">
        <v>104</v>
      </c>
      <c r="Z130" s="26" t="s">
        <v>172</v>
      </c>
      <c r="AA130" s="26" t="s">
        <v>15</v>
      </c>
      <c r="AB130" s="30" t="s">
        <v>172</v>
      </c>
      <c r="AC130" s="49" t="s">
        <v>5300</v>
      </c>
      <c r="AD130" s="25" t="s">
        <v>174</v>
      </c>
      <c r="AE130" s="26" t="s">
        <v>175</v>
      </c>
      <c r="AF130" s="32">
        <f t="shared" si="16"/>
        <v>1</v>
      </c>
      <c r="AG130" s="32">
        <v>1</v>
      </c>
      <c r="AH130" s="32">
        <v>1</v>
      </c>
      <c r="AI130" s="32">
        <v>1</v>
      </c>
      <c r="AJ130" s="32"/>
      <c r="AK130" s="32">
        <v>1</v>
      </c>
      <c r="AL130" s="32">
        <f t="shared" si="19"/>
        <v>1</v>
      </c>
      <c r="AM130" s="32"/>
      <c r="AN130" s="32">
        <v>1</v>
      </c>
      <c r="AO130" s="32">
        <v>1</v>
      </c>
      <c r="AP130" s="32">
        <v>1</v>
      </c>
      <c r="AQ130" s="32">
        <v>1</v>
      </c>
      <c r="AR130" s="32">
        <v>1</v>
      </c>
      <c r="AS130" s="32"/>
      <c r="AT130" s="32">
        <v>1</v>
      </c>
      <c r="AU130" s="32"/>
      <c r="AW130" s="2" t="s">
        <v>6168</v>
      </c>
      <c r="AY130" s="75" t="s">
        <v>6125</v>
      </c>
    </row>
    <row r="131" spans="1:51" ht="16.5">
      <c r="A131" s="49" t="s">
        <v>6169</v>
      </c>
      <c r="B131" s="26" t="s">
        <v>160</v>
      </c>
      <c r="C131" s="26" t="s">
        <v>73</v>
      </c>
      <c r="D131" s="49" t="s">
        <v>6080</v>
      </c>
      <c r="E131" s="49" t="s">
        <v>162</v>
      </c>
      <c r="F131" s="49" t="s">
        <v>6170</v>
      </c>
      <c r="G131" s="49" t="s">
        <v>6171</v>
      </c>
      <c r="H131" s="49" t="s">
        <v>5516</v>
      </c>
      <c r="I131" s="26">
        <v>202606.3</v>
      </c>
      <c r="J131" s="25">
        <v>6.17</v>
      </c>
      <c r="K131" s="25" t="s">
        <v>73</v>
      </c>
      <c r="L131" s="26" t="s">
        <v>5769</v>
      </c>
      <c r="M131" s="49" t="s">
        <v>6172</v>
      </c>
      <c r="N131" s="27" t="s">
        <v>6173</v>
      </c>
      <c r="O131" s="26"/>
      <c r="P131" s="53">
        <v>4</v>
      </c>
      <c r="Q131" s="32">
        <v>16</v>
      </c>
      <c r="R131" s="53">
        <v>266.51</v>
      </c>
      <c r="S131" s="26" t="s">
        <v>99</v>
      </c>
      <c r="T131" s="26" t="s">
        <v>100</v>
      </c>
      <c r="U131" s="26" t="s">
        <v>101</v>
      </c>
      <c r="V131" s="38" t="s">
        <v>5951</v>
      </c>
      <c r="W131" s="26" t="s">
        <v>103</v>
      </c>
      <c r="X131" s="26" t="s">
        <v>104</v>
      </c>
      <c r="Y131" s="26" t="s">
        <v>104</v>
      </c>
      <c r="Z131" s="26" t="s">
        <v>172</v>
      </c>
      <c r="AA131" s="26" t="s">
        <v>15</v>
      </c>
      <c r="AB131" s="30" t="s">
        <v>172</v>
      </c>
      <c r="AC131" s="49" t="s">
        <v>5300</v>
      </c>
      <c r="AD131" s="25" t="s">
        <v>174</v>
      </c>
      <c r="AE131" s="26" t="s">
        <v>175</v>
      </c>
      <c r="AF131" s="32">
        <f t="shared" si="16"/>
        <v>1</v>
      </c>
      <c r="AG131" s="32">
        <v>1</v>
      </c>
      <c r="AH131" s="32">
        <v>1</v>
      </c>
      <c r="AI131" s="32">
        <v>1</v>
      </c>
      <c r="AJ131" s="32"/>
      <c r="AK131" s="32">
        <v>1</v>
      </c>
      <c r="AL131" s="32">
        <f t="shared" si="19"/>
        <v>1</v>
      </c>
      <c r="AM131" s="32"/>
      <c r="AN131" s="32">
        <v>1</v>
      </c>
      <c r="AO131" s="32">
        <v>1</v>
      </c>
      <c r="AP131" s="32">
        <v>1</v>
      </c>
      <c r="AQ131" s="32">
        <v>1</v>
      </c>
      <c r="AR131" s="32">
        <v>1</v>
      </c>
      <c r="AS131" s="32"/>
      <c r="AT131" s="32">
        <v>1</v>
      </c>
      <c r="AU131" s="32"/>
      <c r="AW131" s="2" t="s">
        <v>6174</v>
      </c>
      <c r="AY131" s="75" t="s">
        <v>6118</v>
      </c>
    </row>
    <row r="132" spans="1:51" ht="16.5">
      <c r="A132" s="49" t="s">
        <v>6175</v>
      </c>
      <c r="B132" s="26" t="s">
        <v>160</v>
      </c>
      <c r="C132" s="26" t="s">
        <v>73</v>
      </c>
      <c r="D132" s="49" t="s">
        <v>6101</v>
      </c>
      <c r="E132" s="49" t="s">
        <v>162</v>
      </c>
      <c r="F132" s="49" t="s">
        <v>6176</v>
      </c>
      <c r="G132" s="49" t="s">
        <v>6177</v>
      </c>
      <c r="H132" s="49" t="s">
        <v>5516</v>
      </c>
      <c r="I132" s="26">
        <v>202606.3</v>
      </c>
      <c r="J132" s="25">
        <v>6.17</v>
      </c>
      <c r="K132" s="25" t="s">
        <v>73</v>
      </c>
      <c r="L132" s="26" t="s">
        <v>5795</v>
      </c>
      <c r="M132" s="49" t="s">
        <v>6178</v>
      </c>
      <c r="N132" s="27" t="s">
        <v>6179</v>
      </c>
      <c r="O132" s="26"/>
      <c r="P132" s="53">
        <v>4</v>
      </c>
      <c r="Q132" s="32">
        <v>16</v>
      </c>
      <c r="R132" s="53">
        <v>269.24</v>
      </c>
      <c r="S132" s="26" t="s">
        <v>99</v>
      </c>
      <c r="T132" s="26" t="s">
        <v>100</v>
      </c>
      <c r="U132" s="26" t="s">
        <v>101</v>
      </c>
      <c r="V132" s="38" t="s">
        <v>5951</v>
      </c>
      <c r="W132" s="26" t="s">
        <v>103</v>
      </c>
      <c r="X132" s="26" t="s">
        <v>104</v>
      </c>
      <c r="Y132" s="26" t="s">
        <v>104</v>
      </c>
      <c r="Z132" s="26" t="s">
        <v>172</v>
      </c>
      <c r="AA132" s="26" t="s">
        <v>15</v>
      </c>
      <c r="AB132" s="30" t="s">
        <v>172</v>
      </c>
      <c r="AC132" s="49" t="s">
        <v>5300</v>
      </c>
      <c r="AD132" s="25" t="s">
        <v>174</v>
      </c>
      <c r="AE132" s="26" t="s">
        <v>175</v>
      </c>
      <c r="AF132" s="32">
        <f t="shared" si="16"/>
        <v>1</v>
      </c>
      <c r="AG132" s="32">
        <v>1</v>
      </c>
      <c r="AH132" s="32">
        <v>1</v>
      </c>
      <c r="AI132" s="32">
        <v>1</v>
      </c>
      <c r="AJ132" s="32"/>
      <c r="AK132" s="32">
        <v>1</v>
      </c>
      <c r="AL132" s="32">
        <f t="shared" si="19"/>
        <v>1</v>
      </c>
      <c r="AM132" s="32"/>
      <c r="AN132" s="32">
        <v>1</v>
      </c>
      <c r="AO132" s="32">
        <v>1</v>
      </c>
      <c r="AP132" s="32">
        <v>1</v>
      </c>
      <c r="AQ132" s="32">
        <v>1</v>
      </c>
      <c r="AR132" s="32">
        <v>1</v>
      </c>
      <c r="AS132" s="32"/>
      <c r="AT132" s="32">
        <v>1</v>
      </c>
      <c r="AU132" s="32"/>
      <c r="AW132" s="2" t="s">
        <v>6180</v>
      </c>
      <c r="AY132" s="75" t="s">
        <v>6103</v>
      </c>
    </row>
    <row r="133" spans="1:51" ht="16.5">
      <c r="A133" s="49" t="s">
        <v>6181</v>
      </c>
      <c r="B133" s="26" t="s">
        <v>160</v>
      </c>
      <c r="C133" s="26" t="s">
        <v>73</v>
      </c>
      <c r="D133" s="49" t="s">
        <v>6182</v>
      </c>
      <c r="E133" s="49" t="s">
        <v>162</v>
      </c>
      <c r="F133" s="49" t="s">
        <v>6183</v>
      </c>
      <c r="G133" s="49" t="s">
        <v>6184</v>
      </c>
      <c r="H133" s="49" t="s">
        <v>5516</v>
      </c>
      <c r="I133" s="26">
        <v>202606.3</v>
      </c>
      <c r="J133" s="25">
        <v>6.17</v>
      </c>
      <c r="K133" s="25" t="s">
        <v>73</v>
      </c>
      <c r="L133" s="26" t="s">
        <v>6185</v>
      </c>
      <c r="M133" s="49" t="s">
        <v>6186</v>
      </c>
      <c r="N133" s="27" t="s">
        <v>6187</v>
      </c>
      <c r="O133" s="26"/>
      <c r="P133" s="53">
        <v>4</v>
      </c>
      <c r="Q133" s="32">
        <v>16</v>
      </c>
      <c r="R133" s="53">
        <v>266.74</v>
      </c>
      <c r="S133" s="26" t="s">
        <v>99</v>
      </c>
      <c r="T133" s="26" t="s">
        <v>100</v>
      </c>
      <c r="U133" s="26" t="s">
        <v>101</v>
      </c>
      <c r="V133" s="38" t="s">
        <v>6188</v>
      </c>
      <c r="W133" s="26" t="s">
        <v>103</v>
      </c>
      <c r="X133" s="26" t="s">
        <v>104</v>
      </c>
      <c r="Y133" s="26" t="s">
        <v>104</v>
      </c>
      <c r="Z133" s="26" t="s">
        <v>172</v>
      </c>
      <c r="AA133" s="26" t="s">
        <v>17</v>
      </c>
      <c r="AB133" s="30" t="s">
        <v>172</v>
      </c>
      <c r="AC133" s="49" t="s">
        <v>5300</v>
      </c>
      <c r="AD133" s="25" t="s">
        <v>174</v>
      </c>
      <c r="AE133" s="26" t="s">
        <v>175</v>
      </c>
      <c r="AF133" s="32">
        <f t="shared" si="16"/>
        <v>1</v>
      </c>
      <c r="AG133" s="32">
        <v>1</v>
      </c>
      <c r="AH133" s="32">
        <v>1</v>
      </c>
      <c r="AI133" s="32">
        <v>1</v>
      </c>
      <c r="AJ133" s="32"/>
      <c r="AK133" s="32">
        <v>1</v>
      </c>
      <c r="AL133" s="32">
        <f t="shared" si="19"/>
        <v>1</v>
      </c>
      <c r="AM133" s="32"/>
      <c r="AN133" s="32">
        <v>1</v>
      </c>
      <c r="AO133" s="32">
        <v>1</v>
      </c>
      <c r="AP133" s="32">
        <v>1</v>
      </c>
      <c r="AQ133" s="32">
        <v>1</v>
      </c>
      <c r="AR133" s="32">
        <v>1</v>
      </c>
      <c r="AS133" s="32"/>
      <c r="AT133" s="32">
        <v>1</v>
      </c>
      <c r="AU133" s="32"/>
      <c r="AW133" s="2" t="s">
        <v>6189</v>
      </c>
      <c r="AY133" s="75" t="s">
        <v>6073</v>
      </c>
    </row>
    <row r="134" spans="1:51" ht="16.5">
      <c r="A134" s="49" t="s">
        <v>6190</v>
      </c>
      <c r="B134" s="26" t="s">
        <v>160</v>
      </c>
      <c r="C134" s="26" t="s">
        <v>73</v>
      </c>
      <c r="D134" s="49" t="s">
        <v>6191</v>
      </c>
      <c r="E134" s="49" t="s">
        <v>162</v>
      </c>
      <c r="F134" s="49" t="s">
        <v>6192</v>
      </c>
      <c r="G134" s="49" t="s">
        <v>6193</v>
      </c>
      <c r="H134" s="49" t="s">
        <v>5516</v>
      </c>
      <c r="I134" s="26">
        <v>202606.3</v>
      </c>
      <c r="J134" s="25">
        <v>6.17</v>
      </c>
      <c r="K134" s="25" t="s">
        <v>73</v>
      </c>
      <c r="L134" s="26" t="s">
        <v>6194</v>
      </c>
      <c r="M134" s="49" t="s">
        <v>6195</v>
      </c>
      <c r="N134" s="27" t="s">
        <v>6196</v>
      </c>
      <c r="O134" s="26"/>
      <c r="P134" s="53">
        <v>4</v>
      </c>
      <c r="Q134" s="32">
        <v>16</v>
      </c>
      <c r="R134" s="53">
        <v>266.68</v>
      </c>
      <c r="S134" s="26" t="s">
        <v>99</v>
      </c>
      <c r="T134" s="26" t="s">
        <v>100</v>
      </c>
      <c r="U134" s="26" t="s">
        <v>101</v>
      </c>
      <c r="V134" s="38" t="s">
        <v>6188</v>
      </c>
      <c r="W134" s="26" t="s">
        <v>103</v>
      </c>
      <c r="X134" s="26" t="s">
        <v>104</v>
      </c>
      <c r="Y134" s="26" t="s">
        <v>104</v>
      </c>
      <c r="Z134" s="26" t="s">
        <v>172</v>
      </c>
      <c r="AA134" s="26" t="s">
        <v>17</v>
      </c>
      <c r="AB134" s="30" t="s">
        <v>172</v>
      </c>
      <c r="AC134" s="49" t="s">
        <v>5300</v>
      </c>
      <c r="AD134" s="25" t="s">
        <v>174</v>
      </c>
      <c r="AE134" s="26" t="s">
        <v>175</v>
      </c>
      <c r="AF134" s="32">
        <f t="shared" si="16"/>
        <v>1</v>
      </c>
      <c r="AG134" s="32">
        <v>1</v>
      </c>
      <c r="AH134" s="32">
        <v>1</v>
      </c>
      <c r="AI134" s="32">
        <v>1</v>
      </c>
      <c r="AJ134" s="32"/>
      <c r="AK134" s="32">
        <v>1</v>
      </c>
      <c r="AL134" s="32">
        <f t="shared" si="19"/>
        <v>1</v>
      </c>
      <c r="AM134" s="32"/>
      <c r="AN134" s="32">
        <v>1</v>
      </c>
      <c r="AO134" s="32">
        <v>1</v>
      </c>
      <c r="AP134" s="32">
        <v>1</v>
      </c>
      <c r="AQ134" s="32">
        <v>1</v>
      </c>
      <c r="AR134" s="32">
        <v>1</v>
      </c>
      <c r="AS134" s="32"/>
      <c r="AT134" s="32">
        <v>1</v>
      </c>
      <c r="AU134" s="32"/>
      <c r="AW134" s="2" t="s">
        <v>6197</v>
      </c>
      <c r="AY134" s="75" t="s">
        <v>6053</v>
      </c>
    </row>
    <row r="135" spans="1:51" ht="16.5">
      <c r="A135" s="49" t="s">
        <v>6198</v>
      </c>
      <c r="B135" s="26" t="s">
        <v>160</v>
      </c>
      <c r="C135" s="26" t="s">
        <v>73</v>
      </c>
      <c r="D135" s="49" t="s">
        <v>6199</v>
      </c>
      <c r="E135" s="49" t="s">
        <v>162</v>
      </c>
      <c r="F135" s="49" t="s">
        <v>6200</v>
      </c>
      <c r="G135" s="49" t="s">
        <v>6201</v>
      </c>
      <c r="H135" s="49" t="s">
        <v>5516</v>
      </c>
      <c r="I135" s="26">
        <v>202606.3</v>
      </c>
      <c r="J135" s="25">
        <v>6.17</v>
      </c>
      <c r="K135" s="25" t="s">
        <v>73</v>
      </c>
      <c r="L135" s="26" t="s">
        <v>6197</v>
      </c>
      <c r="M135" s="49" t="s">
        <v>6202</v>
      </c>
      <c r="N135" s="27" t="s">
        <v>6203</v>
      </c>
      <c r="O135" s="26"/>
      <c r="P135" s="53">
        <v>4</v>
      </c>
      <c r="Q135" s="32">
        <v>16</v>
      </c>
      <c r="R135" s="53">
        <v>268.58</v>
      </c>
      <c r="S135" s="26" t="s">
        <v>99</v>
      </c>
      <c r="T135" s="26" t="s">
        <v>100</v>
      </c>
      <c r="U135" s="26" t="s">
        <v>101</v>
      </c>
      <c r="V135" s="38" t="s">
        <v>6188</v>
      </c>
      <c r="W135" s="26" t="s">
        <v>103</v>
      </c>
      <c r="X135" s="26" t="s">
        <v>104</v>
      </c>
      <c r="Y135" s="26" t="s">
        <v>104</v>
      </c>
      <c r="Z135" s="26" t="s">
        <v>172</v>
      </c>
      <c r="AA135" s="26" t="s">
        <v>17</v>
      </c>
      <c r="AB135" s="30" t="s">
        <v>172</v>
      </c>
      <c r="AC135" s="49" t="s">
        <v>5300</v>
      </c>
      <c r="AD135" s="25" t="s">
        <v>174</v>
      </c>
      <c r="AE135" s="26" t="s">
        <v>175</v>
      </c>
      <c r="AF135" s="32">
        <f t="shared" si="16"/>
        <v>1</v>
      </c>
      <c r="AG135" s="32">
        <v>1</v>
      </c>
      <c r="AH135" s="32">
        <v>1</v>
      </c>
      <c r="AI135" s="32">
        <v>1</v>
      </c>
      <c r="AJ135" s="32"/>
      <c r="AK135" s="32">
        <v>1</v>
      </c>
      <c r="AL135" s="32">
        <f t="shared" si="19"/>
        <v>1</v>
      </c>
      <c r="AM135" s="32"/>
      <c r="AN135" s="32">
        <v>1</v>
      </c>
      <c r="AO135" s="32">
        <v>1</v>
      </c>
      <c r="AP135" s="32">
        <v>1</v>
      </c>
      <c r="AQ135" s="32">
        <v>1</v>
      </c>
      <c r="AR135" s="32">
        <v>1</v>
      </c>
      <c r="AS135" s="32"/>
      <c r="AT135" s="32">
        <v>1</v>
      </c>
      <c r="AU135" s="32"/>
      <c r="AW135" s="2" t="s">
        <v>6204</v>
      </c>
      <c r="AY135" s="75" t="s">
        <v>6045</v>
      </c>
    </row>
    <row r="136" spans="1:51" ht="16.5">
      <c r="A136" s="49" t="s">
        <v>6205</v>
      </c>
      <c r="B136" s="26" t="s">
        <v>160</v>
      </c>
      <c r="C136" s="26" t="s">
        <v>73</v>
      </c>
      <c r="D136" s="49" t="s">
        <v>6206</v>
      </c>
      <c r="E136" s="49" t="s">
        <v>162</v>
      </c>
      <c r="F136" s="49" t="s">
        <v>6207</v>
      </c>
      <c r="G136" s="49" t="s">
        <v>6208</v>
      </c>
      <c r="H136" s="49" t="s">
        <v>5516</v>
      </c>
      <c r="I136" s="26">
        <v>202606.3</v>
      </c>
      <c r="J136" s="25">
        <v>6.17</v>
      </c>
      <c r="K136" s="25" t="s">
        <v>73</v>
      </c>
      <c r="L136" s="26" t="s">
        <v>6168</v>
      </c>
      <c r="M136" s="49" t="s">
        <v>6209</v>
      </c>
      <c r="N136" s="27" t="s">
        <v>6210</v>
      </c>
      <c r="O136" s="26"/>
      <c r="P136" s="53">
        <v>4</v>
      </c>
      <c r="Q136" s="32">
        <v>16</v>
      </c>
      <c r="R136" s="53">
        <v>268.67</v>
      </c>
      <c r="S136" s="26" t="s">
        <v>99</v>
      </c>
      <c r="T136" s="26" t="s">
        <v>100</v>
      </c>
      <c r="U136" s="26" t="s">
        <v>101</v>
      </c>
      <c r="V136" s="38" t="s">
        <v>6188</v>
      </c>
      <c r="W136" s="26" t="s">
        <v>103</v>
      </c>
      <c r="X136" s="26" t="s">
        <v>104</v>
      </c>
      <c r="Y136" s="26" t="s">
        <v>104</v>
      </c>
      <c r="Z136" s="26" t="s">
        <v>172</v>
      </c>
      <c r="AA136" s="26" t="s">
        <v>17</v>
      </c>
      <c r="AB136" s="30" t="s">
        <v>172</v>
      </c>
      <c r="AC136" s="49" t="s">
        <v>5300</v>
      </c>
      <c r="AD136" s="25" t="s">
        <v>174</v>
      </c>
      <c r="AE136" s="26" t="s">
        <v>175</v>
      </c>
      <c r="AF136" s="32">
        <f t="shared" si="16"/>
        <v>1</v>
      </c>
      <c r="AG136" s="32">
        <v>1</v>
      </c>
      <c r="AH136" s="32">
        <v>1</v>
      </c>
      <c r="AI136" s="32">
        <v>1</v>
      </c>
      <c r="AJ136" s="32"/>
      <c r="AK136" s="32">
        <v>1</v>
      </c>
      <c r="AL136" s="32">
        <f t="shared" si="19"/>
        <v>1</v>
      </c>
      <c r="AM136" s="32"/>
      <c r="AN136" s="32">
        <v>1</v>
      </c>
      <c r="AO136" s="32">
        <v>1</v>
      </c>
      <c r="AP136" s="32">
        <v>1</v>
      </c>
      <c r="AQ136" s="32">
        <v>1</v>
      </c>
      <c r="AR136" s="32">
        <v>1</v>
      </c>
      <c r="AS136" s="32"/>
      <c r="AT136" s="32">
        <v>1</v>
      </c>
      <c r="AU136" s="32"/>
      <c r="AW136" s="2" t="s">
        <v>6211</v>
      </c>
      <c r="AY136" s="75" t="s">
        <v>6037</v>
      </c>
    </row>
    <row r="137" spans="1:51" ht="16.5">
      <c r="A137" s="49" t="s">
        <v>6212</v>
      </c>
      <c r="B137" s="26" t="s">
        <v>160</v>
      </c>
      <c r="C137" s="26" t="s">
        <v>73</v>
      </c>
      <c r="D137" s="49" t="s">
        <v>6213</v>
      </c>
      <c r="E137" s="49" t="s">
        <v>162</v>
      </c>
      <c r="F137" s="49" t="s">
        <v>6214</v>
      </c>
      <c r="G137" s="49" t="s">
        <v>6215</v>
      </c>
      <c r="H137" s="49" t="s">
        <v>5516</v>
      </c>
      <c r="I137" s="26">
        <v>202606.3</v>
      </c>
      <c r="J137" s="25">
        <v>6.17</v>
      </c>
      <c r="K137" s="25" t="s">
        <v>73</v>
      </c>
      <c r="L137" s="26" t="s">
        <v>6216</v>
      </c>
      <c r="M137" s="49" t="s">
        <v>6217</v>
      </c>
      <c r="N137" s="27" t="s">
        <v>6218</v>
      </c>
      <c r="O137" s="26"/>
      <c r="P137" s="53">
        <v>4</v>
      </c>
      <c r="Q137" s="32">
        <v>16</v>
      </c>
      <c r="R137" s="53">
        <v>266.11</v>
      </c>
      <c r="S137" s="26" t="s">
        <v>99</v>
      </c>
      <c r="T137" s="26" t="s">
        <v>100</v>
      </c>
      <c r="U137" s="26" t="s">
        <v>101</v>
      </c>
      <c r="V137" s="38" t="s">
        <v>6188</v>
      </c>
      <c r="W137" s="26" t="s">
        <v>103</v>
      </c>
      <c r="X137" s="26" t="s">
        <v>104</v>
      </c>
      <c r="Y137" s="26" t="s">
        <v>104</v>
      </c>
      <c r="Z137" s="26" t="s">
        <v>172</v>
      </c>
      <c r="AA137" s="26" t="s">
        <v>17</v>
      </c>
      <c r="AB137" s="30" t="s">
        <v>172</v>
      </c>
      <c r="AC137" s="49" t="s">
        <v>5300</v>
      </c>
      <c r="AD137" s="25" t="s">
        <v>174</v>
      </c>
      <c r="AE137" s="26" t="s">
        <v>175</v>
      </c>
      <c r="AF137" s="32">
        <f t="shared" si="16"/>
        <v>1</v>
      </c>
      <c r="AG137" s="32">
        <v>1</v>
      </c>
      <c r="AH137" s="32">
        <v>1</v>
      </c>
      <c r="AI137" s="32">
        <v>1</v>
      </c>
      <c r="AJ137" s="32"/>
      <c r="AK137" s="32">
        <v>1</v>
      </c>
      <c r="AL137" s="32">
        <f t="shared" si="19"/>
        <v>1</v>
      </c>
      <c r="AM137" s="32"/>
      <c r="AN137" s="32">
        <v>1</v>
      </c>
      <c r="AO137" s="32">
        <v>1</v>
      </c>
      <c r="AP137" s="32">
        <v>1</v>
      </c>
      <c r="AQ137" s="32">
        <v>1</v>
      </c>
      <c r="AR137" s="32">
        <v>1</v>
      </c>
      <c r="AS137" s="32"/>
      <c r="AT137" s="32">
        <v>1</v>
      </c>
      <c r="AU137" s="32"/>
      <c r="AW137" s="2" t="s">
        <v>6219</v>
      </c>
      <c r="AY137" s="75" t="s">
        <v>5977</v>
      </c>
    </row>
    <row r="138" spans="1:51" ht="16.5">
      <c r="A138" s="49" t="s">
        <v>6220</v>
      </c>
      <c r="B138" s="26" t="s">
        <v>160</v>
      </c>
      <c r="C138" s="26" t="s">
        <v>73</v>
      </c>
      <c r="D138" s="49" t="s">
        <v>6221</v>
      </c>
      <c r="E138" s="49" t="s">
        <v>162</v>
      </c>
      <c r="F138" s="49" t="s">
        <v>6222</v>
      </c>
      <c r="G138" s="49" t="s">
        <v>6223</v>
      </c>
      <c r="H138" s="49" t="s">
        <v>5516</v>
      </c>
      <c r="I138" s="26">
        <v>202606.3</v>
      </c>
      <c r="J138" s="25">
        <v>6.17</v>
      </c>
      <c r="K138" s="25" t="s">
        <v>73</v>
      </c>
      <c r="L138" s="26" t="s">
        <v>6224</v>
      </c>
      <c r="M138" s="49" t="s">
        <v>6225</v>
      </c>
      <c r="N138" s="27" t="s">
        <v>6226</v>
      </c>
      <c r="O138" s="26"/>
      <c r="P138" s="53">
        <v>4</v>
      </c>
      <c r="Q138" s="32">
        <v>16</v>
      </c>
      <c r="R138" s="53">
        <v>266.63</v>
      </c>
      <c r="S138" s="26" t="s">
        <v>99</v>
      </c>
      <c r="T138" s="26" t="s">
        <v>100</v>
      </c>
      <c r="U138" s="26" t="s">
        <v>101</v>
      </c>
      <c r="V138" s="38" t="s">
        <v>6188</v>
      </c>
      <c r="W138" s="26" t="s">
        <v>103</v>
      </c>
      <c r="X138" s="26" t="s">
        <v>104</v>
      </c>
      <c r="Y138" s="26" t="s">
        <v>104</v>
      </c>
      <c r="Z138" s="26" t="s">
        <v>172</v>
      </c>
      <c r="AA138" s="26" t="s">
        <v>17</v>
      </c>
      <c r="AB138" s="30" t="s">
        <v>172</v>
      </c>
      <c r="AC138" s="49" t="s">
        <v>5300</v>
      </c>
      <c r="AD138" s="25" t="s">
        <v>174</v>
      </c>
      <c r="AE138" s="26" t="s">
        <v>175</v>
      </c>
      <c r="AF138" s="32">
        <f t="shared" si="16"/>
        <v>1</v>
      </c>
      <c r="AG138" s="32">
        <v>1</v>
      </c>
      <c r="AH138" s="32">
        <v>1</v>
      </c>
      <c r="AI138" s="32">
        <v>1</v>
      </c>
      <c r="AJ138" s="32"/>
      <c r="AK138" s="32">
        <v>1</v>
      </c>
      <c r="AL138" s="32">
        <f t="shared" si="19"/>
        <v>1</v>
      </c>
      <c r="AM138" s="32"/>
      <c r="AN138" s="32">
        <v>1</v>
      </c>
      <c r="AO138" s="32">
        <v>1</v>
      </c>
      <c r="AP138" s="32">
        <v>1</v>
      </c>
      <c r="AQ138" s="32">
        <v>1</v>
      </c>
      <c r="AR138" s="32">
        <v>1</v>
      </c>
      <c r="AS138" s="32"/>
      <c r="AT138" s="32">
        <v>1</v>
      </c>
      <c r="AU138" s="32"/>
      <c r="AW138" s="2" t="s">
        <v>6227</v>
      </c>
      <c r="AY138" s="75" t="s">
        <v>5945</v>
      </c>
    </row>
    <row r="139" spans="1:51" ht="16.5">
      <c r="A139" s="49" t="s">
        <v>6228</v>
      </c>
      <c r="B139" s="26" t="s">
        <v>160</v>
      </c>
      <c r="C139" s="26" t="s">
        <v>73</v>
      </c>
      <c r="D139" s="49" t="s">
        <v>6229</v>
      </c>
      <c r="E139" s="49" t="s">
        <v>162</v>
      </c>
      <c r="F139" s="49" t="s">
        <v>6230</v>
      </c>
      <c r="G139" s="49" t="s">
        <v>6231</v>
      </c>
      <c r="H139" s="49" t="s">
        <v>5516</v>
      </c>
      <c r="I139" s="26">
        <v>202606.3</v>
      </c>
      <c r="J139" s="25">
        <v>6.17</v>
      </c>
      <c r="K139" s="25" t="s">
        <v>73</v>
      </c>
      <c r="L139" s="26" t="s">
        <v>6232</v>
      </c>
      <c r="M139" s="49" t="s">
        <v>6233</v>
      </c>
      <c r="N139" s="27" t="s">
        <v>6234</v>
      </c>
      <c r="O139" s="26"/>
      <c r="P139" s="53">
        <v>4</v>
      </c>
      <c r="Q139" s="32">
        <v>16</v>
      </c>
      <c r="R139" s="53">
        <v>266.13</v>
      </c>
      <c r="S139" s="26" t="s">
        <v>99</v>
      </c>
      <c r="T139" s="26" t="s">
        <v>100</v>
      </c>
      <c r="U139" s="26" t="s">
        <v>101</v>
      </c>
      <c r="V139" s="38" t="s">
        <v>6188</v>
      </c>
      <c r="W139" s="26" t="s">
        <v>103</v>
      </c>
      <c r="X139" s="26" t="s">
        <v>104</v>
      </c>
      <c r="Y139" s="26" t="s">
        <v>104</v>
      </c>
      <c r="Z139" s="26" t="s">
        <v>172</v>
      </c>
      <c r="AA139" s="26" t="s">
        <v>17</v>
      </c>
      <c r="AB139" s="30" t="s">
        <v>172</v>
      </c>
      <c r="AC139" s="49" t="s">
        <v>5300</v>
      </c>
      <c r="AD139" s="25" t="s">
        <v>174</v>
      </c>
      <c r="AE139" s="26" t="s">
        <v>175</v>
      </c>
      <c r="AF139" s="32">
        <f t="shared" si="16"/>
        <v>1</v>
      </c>
      <c r="AG139" s="32">
        <v>1</v>
      </c>
      <c r="AH139" s="32">
        <v>1</v>
      </c>
      <c r="AI139" s="32">
        <v>1</v>
      </c>
      <c r="AJ139" s="32"/>
      <c r="AK139" s="32">
        <v>1</v>
      </c>
      <c r="AL139" s="32">
        <f t="shared" si="19"/>
        <v>1</v>
      </c>
      <c r="AM139" s="32"/>
      <c r="AN139" s="32">
        <v>1</v>
      </c>
      <c r="AO139" s="32">
        <v>1</v>
      </c>
      <c r="AP139" s="32">
        <v>1</v>
      </c>
      <c r="AQ139" s="32">
        <v>1</v>
      </c>
      <c r="AR139" s="32">
        <v>1</v>
      </c>
      <c r="AS139" s="32"/>
      <c r="AT139" s="32">
        <v>1</v>
      </c>
      <c r="AU139" s="32"/>
      <c r="AW139" s="2" t="s">
        <v>6235</v>
      </c>
      <c r="AY139" s="75" t="s">
        <v>5962</v>
      </c>
    </row>
    <row r="140" spans="1:51" ht="16.5">
      <c r="A140" s="49" t="s">
        <v>6236</v>
      </c>
      <c r="B140" s="26" t="s">
        <v>160</v>
      </c>
      <c r="C140" s="26" t="s">
        <v>73</v>
      </c>
      <c r="D140" s="49" t="s">
        <v>6237</v>
      </c>
      <c r="E140" s="49" t="s">
        <v>162</v>
      </c>
      <c r="F140" s="49" t="s">
        <v>6238</v>
      </c>
      <c r="G140" s="49" t="s">
        <v>6239</v>
      </c>
      <c r="H140" s="49" t="s">
        <v>5516</v>
      </c>
      <c r="I140" s="26">
        <v>202606.3</v>
      </c>
      <c r="J140" s="25">
        <v>6.17</v>
      </c>
      <c r="K140" s="25" t="s">
        <v>73</v>
      </c>
      <c r="L140" s="26" t="s">
        <v>6240</v>
      </c>
      <c r="M140" s="49" t="s">
        <v>6241</v>
      </c>
      <c r="N140" s="27" t="s">
        <v>6242</v>
      </c>
      <c r="O140" s="26"/>
      <c r="P140" s="53">
        <v>4</v>
      </c>
      <c r="Q140" s="32">
        <v>16</v>
      </c>
      <c r="R140" s="53">
        <v>266.47000000000003</v>
      </c>
      <c r="S140" s="26" t="s">
        <v>99</v>
      </c>
      <c r="T140" s="26" t="s">
        <v>100</v>
      </c>
      <c r="U140" s="26" t="s">
        <v>101</v>
      </c>
      <c r="V140" s="38" t="s">
        <v>6188</v>
      </c>
      <c r="W140" s="26" t="s">
        <v>103</v>
      </c>
      <c r="X140" s="26" t="s">
        <v>104</v>
      </c>
      <c r="Y140" s="26" t="s">
        <v>104</v>
      </c>
      <c r="Z140" s="26" t="s">
        <v>172</v>
      </c>
      <c r="AA140" s="26" t="s">
        <v>17</v>
      </c>
      <c r="AB140" s="30" t="s">
        <v>172</v>
      </c>
      <c r="AC140" s="49" t="s">
        <v>5300</v>
      </c>
      <c r="AD140" s="25" t="s">
        <v>174</v>
      </c>
      <c r="AE140" s="26" t="s">
        <v>175</v>
      </c>
      <c r="AF140" s="32">
        <f t="shared" si="16"/>
        <v>1</v>
      </c>
      <c r="AG140" s="32">
        <v>1</v>
      </c>
      <c r="AH140" s="32">
        <v>1</v>
      </c>
      <c r="AI140" s="32">
        <v>1</v>
      </c>
      <c r="AJ140" s="32"/>
      <c r="AK140" s="32">
        <v>1</v>
      </c>
      <c r="AL140" s="32">
        <f t="shared" si="19"/>
        <v>1</v>
      </c>
      <c r="AM140" s="32"/>
      <c r="AN140" s="32">
        <v>1</v>
      </c>
      <c r="AO140" s="32">
        <v>1</v>
      </c>
      <c r="AP140" s="32">
        <v>1</v>
      </c>
      <c r="AQ140" s="32">
        <v>1</v>
      </c>
      <c r="AR140" s="32">
        <v>1</v>
      </c>
      <c r="AS140" s="32"/>
      <c r="AT140" s="32">
        <v>1</v>
      </c>
      <c r="AU140" s="32"/>
      <c r="AW140" s="2" t="s">
        <v>6243</v>
      </c>
      <c r="AY140" s="75" t="s">
        <v>3953</v>
      </c>
    </row>
    <row r="141" spans="1:51" ht="16.5">
      <c r="A141" s="49" t="s">
        <v>6244</v>
      </c>
      <c r="B141" s="26" t="s">
        <v>160</v>
      </c>
      <c r="C141" s="26" t="s">
        <v>73</v>
      </c>
      <c r="D141" s="49" t="s">
        <v>6245</v>
      </c>
      <c r="E141" s="49" t="s">
        <v>162</v>
      </c>
      <c r="F141" s="49" t="s">
        <v>6246</v>
      </c>
      <c r="G141" s="49" t="s">
        <v>6247</v>
      </c>
      <c r="H141" s="49" t="s">
        <v>5516</v>
      </c>
      <c r="I141" s="26">
        <v>202606.3</v>
      </c>
      <c r="J141" s="25">
        <v>6.17</v>
      </c>
      <c r="K141" s="25" t="s">
        <v>73</v>
      </c>
      <c r="L141" s="26" t="s">
        <v>6248</v>
      </c>
      <c r="M141" s="49" t="s">
        <v>6249</v>
      </c>
      <c r="N141" s="27" t="s">
        <v>6250</v>
      </c>
      <c r="O141" s="26"/>
      <c r="P141" s="53">
        <v>4</v>
      </c>
      <c r="Q141" s="32">
        <v>16</v>
      </c>
      <c r="R141" s="53">
        <v>266.52</v>
      </c>
      <c r="S141" s="26" t="s">
        <v>99</v>
      </c>
      <c r="T141" s="26" t="s">
        <v>100</v>
      </c>
      <c r="U141" s="26" t="s">
        <v>101</v>
      </c>
      <c r="V141" s="38" t="s">
        <v>6188</v>
      </c>
      <c r="W141" s="26" t="s">
        <v>103</v>
      </c>
      <c r="X141" s="26" t="s">
        <v>104</v>
      </c>
      <c r="Y141" s="26" t="s">
        <v>104</v>
      </c>
      <c r="Z141" s="26" t="s">
        <v>172</v>
      </c>
      <c r="AA141" s="26" t="s">
        <v>17</v>
      </c>
      <c r="AB141" s="30" t="s">
        <v>172</v>
      </c>
      <c r="AC141" s="49" t="s">
        <v>5300</v>
      </c>
      <c r="AD141" s="25" t="s">
        <v>174</v>
      </c>
      <c r="AE141" s="26" t="s">
        <v>175</v>
      </c>
      <c r="AF141" s="32">
        <f t="shared" si="16"/>
        <v>1</v>
      </c>
      <c r="AG141" s="32">
        <v>1</v>
      </c>
      <c r="AH141" s="32">
        <v>1</v>
      </c>
      <c r="AI141" s="32">
        <v>1</v>
      </c>
      <c r="AJ141" s="32"/>
      <c r="AK141" s="32">
        <v>1</v>
      </c>
      <c r="AL141" s="32">
        <f t="shared" si="19"/>
        <v>1</v>
      </c>
      <c r="AM141" s="32"/>
      <c r="AN141" s="32">
        <v>1</v>
      </c>
      <c r="AO141" s="32">
        <v>1</v>
      </c>
      <c r="AP141" s="32">
        <v>1</v>
      </c>
      <c r="AQ141" s="32">
        <v>1</v>
      </c>
      <c r="AR141" s="32">
        <v>1</v>
      </c>
      <c r="AS141" s="32"/>
      <c r="AT141" s="32">
        <v>1</v>
      </c>
      <c r="AU141" s="32"/>
      <c r="AW141" s="2" t="s">
        <v>6251</v>
      </c>
      <c r="AY141" s="75" t="s">
        <v>1355</v>
      </c>
    </row>
    <row r="142" spans="1:51" ht="16.5">
      <c r="A142" s="49" t="s">
        <v>6252</v>
      </c>
      <c r="B142" s="26" t="s">
        <v>160</v>
      </c>
      <c r="C142" s="26" t="s">
        <v>73</v>
      </c>
      <c r="D142" s="49" t="s">
        <v>6253</v>
      </c>
      <c r="E142" s="49" t="s">
        <v>162</v>
      </c>
      <c r="F142" s="49" t="s">
        <v>6254</v>
      </c>
      <c r="G142" s="49" t="s">
        <v>6255</v>
      </c>
      <c r="H142" s="49" t="s">
        <v>5516</v>
      </c>
      <c r="I142" s="26">
        <v>202606.3</v>
      </c>
      <c r="J142" s="25">
        <v>6.17</v>
      </c>
      <c r="K142" s="25" t="s">
        <v>73</v>
      </c>
      <c r="L142" s="26" t="s">
        <v>6256</v>
      </c>
      <c r="M142" s="49" t="s">
        <v>6257</v>
      </c>
      <c r="N142" s="27" t="s">
        <v>6258</v>
      </c>
      <c r="O142" s="26"/>
      <c r="P142" s="53">
        <v>4</v>
      </c>
      <c r="Q142" s="32">
        <v>16</v>
      </c>
      <c r="R142" s="53">
        <v>268.95999999999998</v>
      </c>
      <c r="S142" s="26" t="s">
        <v>99</v>
      </c>
      <c r="T142" s="26" t="s">
        <v>100</v>
      </c>
      <c r="U142" s="26" t="s">
        <v>101</v>
      </c>
      <c r="V142" s="38" t="s">
        <v>6188</v>
      </c>
      <c r="W142" s="26" t="s">
        <v>103</v>
      </c>
      <c r="X142" s="26" t="s">
        <v>104</v>
      </c>
      <c r="Y142" s="26" t="s">
        <v>104</v>
      </c>
      <c r="Z142" s="26" t="s">
        <v>172</v>
      </c>
      <c r="AA142" s="26" t="s">
        <v>17</v>
      </c>
      <c r="AB142" s="30" t="s">
        <v>172</v>
      </c>
      <c r="AC142" s="49" t="s">
        <v>5300</v>
      </c>
      <c r="AD142" s="25" t="s">
        <v>174</v>
      </c>
      <c r="AE142" s="26" t="s">
        <v>175</v>
      </c>
      <c r="AF142" s="32">
        <f t="shared" ref="AF142:AF173" si="20">IF(COUNTIF(AY:AY,D142)&gt;0,1,0)</f>
        <v>1</v>
      </c>
      <c r="AG142" s="32">
        <v>1</v>
      </c>
      <c r="AH142" s="32">
        <v>1</v>
      </c>
      <c r="AI142" s="32">
        <v>1</v>
      </c>
      <c r="AJ142" s="32"/>
      <c r="AK142" s="32">
        <v>1</v>
      </c>
      <c r="AL142" s="32">
        <f t="shared" si="19"/>
        <v>1</v>
      </c>
      <c r="AM142" s="32"/>
      <c r="AN142" s="32">
        <v>1</v>
      </c>
      <c r="AO142" s="32">
        <v>1</v>
      </c>
      <c r="AP142" s="32">
        <v>1</v>
      </c>
      <c r="AQ142" s="32">
        <v>1</v>
      </c>
      <c r="AR142" s="32">
        <v>1</v>
      </c>
      <c r="AS142" s="32"/>
      <c r="AT142" s="32">
        <v>1</v>
      </c>
      <c r="AU142" s="32"/>
      <c r="AW142" s="2" t="s">
        <v>6259</v>
      </c>
      <c r="AY142" s="75" t="s">
        <v>5200</v>
      </c>
    </row>
    <row r="143" spans="1:51" ht="16.5">
      <c r="A143" s="49" t="s">
        <v>6260</v>
      </c>
      <c r="B143" s="26" t="s">
        <v>160</v>
      </c>
      <c r="C143" s="26" t="s">
        <v>73</v>
      </c>
      <c r="D143" s="49" t="s">
        <v>6261</v>
      </c>
      <c r="E143" s="49" t="s">
        <v>162</v>
      </c>
      <c r="F143" s="49" t="s">
        <v>6262</v>
      </c>
      <c r="G143" s="49" t="s">
        <v>6263</v>
      </c>
      <c r="H143" s="49" t="s">
        <v>5516</v>
      </c>
      <c r="I143" s="26">
        <v>202606.3</v>
      </c>
      <c r="J143" s="25">
        <v>6.17</v>
      </c>
      <c r="K143" s="25" t="s">
        <v>73</v>
      </c>
      <c r="L143" s="26" t="s">
        <v>6264</v>
      </c>
      <c r="M143" s="49" t="s">
        <v>6265</v>
      </c>
      <c r="N143" s="27" t="s">
        <v>6266</v>
      </c>
      <c r="O143" s="26"/>
      <c r="P143" s="53">
        <v>4</v>
      </c>
      <c r="Q143" s="32">
        <v>16</v>
      </c>
      <c r="R143" s="53">
        <v>269.63</v>
      </c>
      <c r="S143" s="26" t="s">
        <v>99</v>
      </c>
      <c r="T143" s="26" t="s">
        <v>100</v>
      </c>
      <c r="U143" s="26" t="s">
        <v>101</v>
      </c>
      <c r="V143" s="38" t="s">
        <v>6188</v>
      </c>
      <c r="W143" s="26" t="s">
        <v>103</v>
      </c>
      <c r="X143" s="26" t="s">
        <v>104</v>
      </c>
      <c r="Y143" s="26" t="s">
        <v>104</v>
      </c>
      <c r="Z143" s="26" t="s">
        <v>172</v>
      </c>
      <c r="AA143" s="26" t="s">
        <v>17</v>
      </c>
      <c r="AB143" s="30" t="s">
        <v>172</v>
      </c>
      <c r="AC143" s="49" t="s">
        <v>5300</v>
      </c>
      <c r="AD143" s="25" t="s">
        <v>174</v>
      </c>
      <c r="AE143" s="26" t="s">
        <v>175</v>
      </c>
      <c r="AF143" s="32">
        <f t="shared" si="20"/>
        <v>1</v>
      </c>
      <c r="AG143" s="32">
        <v>1</v>
      </c>
      <c r="AH143" s="32">
        <v>1</v>
      </c>
      <c r="AI143" s="32">
        <v>1</v>
      </c>
      <c r="AJ143" s="32"/>
      <c r="AK143" s="32">
        <v>1</v>
      </c>
      <c r="AL143" s="32">
        <f t="shared" ref="AL143:AL163" si="21">IF(COUNTIF(AW:AW,"*"&amp;L143&amp;"*")&gt;0,1,0)</f>
        <v>1</v>
      </c>
      <c r="AM143" s="32"/>
      <c r="AN143" s="32">
        <v>1</v>
      </c>
      <c r="AO143" s="32">
        <v>1</v>
      </c>
      <c r="AP143" s="32">
        <v>1</v>
      </c>
      <c r="AQ143" s="32">
        <v>1</v>
      </c>
      <c r="AR143" s="32">
        <v>1</v>
      </c>
      <c r="AS143" s="32"/>
      <c r="AT143" s="32">
        <v>1</v>
      </c>
      <c r="AU143" s="32"/>
      <c r="AW143" s="2" t="s">
        <v>6267</v>
      </c>
      <c r="AY143" s="75" t="s">
        <v>6268</v>
      </c>
    </row>
    <row r="144" spans="1:51" ht="16.5">
      <c r="A144" s="49" t="s">
        <v>6269</v>
      </c>
      <c r="B144" s="26" t="s">
        <v>160</v>
      </c>
      <c r="C144" s="26" t="s">
        <v>73</v>
      </c>
      <c r="D144" s="49" t="s">
        <v>6270</v>
      </c>
      <c r="E144" s="49" t="s">
        <v>162</v>
      </c>
      <c r="F144" s="49" t="s">
        <v>6271</v>
      </c>
      <c r="G144" s="49" t="s">
        <v>6272</v>
      </c>
      <c r="H144" s="49" t="s">
        <v>5516</v>
      </c>
      <c r="I144" s="26">
        <v>202606.3</v>
      </c>
      <c r="J144" s="25">
        <v>6.17</v>
      </c>
      <c r="K144" s="25" t="s">
        <v>73</v>
      </c>
      <c r="L144" s="26" t="s">
        <v>6273</v>
      </c>
      <c r="M144" s="49" t="s">
        <v>6274</v>
      </c>
      <c r="N144" s="27" t="s">
        <v>6275</v>
      </c>
      <c r="O144" s="26"/>
      <c r="P144" s="53">
        <v>4</v>
      </c>
      <c r="Q144" s="32">
        <v>16</v>
      </c>
      <c r="R144" s="53">
        <v>269.75</v>
      </c>
      <c r="S144" s="26" t="s">
        <v>99</v>
      </c>
      <c r="T144" s="26" t="s">
        <v>100</v>
      </c>
      <c r="U144" s="26" t="s">
        <v>101</v>
      </c>
      <c r="V144" s="38" t="s">
        <v>6188</v>
      </c>
      <c r="W144" s="26" t="s">
        <v>103</v>
      </c>
      <c r="X144" s="26" t="s">
        <v>104</v>
      </c>
      <c r="Y144" s="26" t="s">
        <v>104</v>
      </c>
      <c r="Z144" s="26" t="s">
        <v>172</v>
      </c>
      <c r="AA144" s="26" t="s">
        <v>17</v>
      </c>
      <c r="AB144" s="30" t="s">
        <v>172</v>
      </c>
      <c r="AC144" s="49" t="s">
        <v>5300</v>
      </c>
      <c r="AD144" s="25" t="s">
        <v>174</v>
      </c>
      <c r="AE144" s="26" t="s">
        <v>175</v>
      </c>
      <c r="AF144" s="32">
        <f t="shared" si="20"/>
        <v>1</v>
      </c>
      <c r="AG144" s="32">
        <v>1</v>
      </c>
      <c r="AH144" s="32">
        <v>1</v>
      </c>
      <c r="AI144" s="32">
        <v>1</v>
      </c>
      <c r="AJ144" s="32"/>
      <c r="AK144" s="32">
        <v>1</v>
      </c>
      <c r="AL144" s="32">
        <f t="shared" si="21"/>
        <v>1</v>
      </c>
      <c r="AM144" s="32"/>
      <c r="AN144" s="32">
        <v>1</v>
      </c>
      <c r="AO144" s="32">
        <v>1</v>
      </c>
      <c r="AP144" s="32">
        <v>1</v>
      </c>
      <c r="AQ144" s="32">
        <v>1</v>
      </c>
      <c r="AR144" s="32">
        <v>1</v>
      </c>
      <c r="AS144" s="32"/>
      <c r="AT144" s="32">
        <v>1</v>
      </c>
      <c r="AU144" s="32"/>
      <c r="AW144" s="2" t="s">
        <v>6276</v>
      </c>
      <c r="AY144" s="75" t="s">
        <v>6277</v>
      </c>
    </row>
    <row r="145" spans="1:51" ht="16.5">
      <c r="A145" s="49" t="s">
        <v>6278</v>
      </c>
      <c r="B145" s="26" t="s">
        <v>160</v>
      </c>
      <c r="C145" s="26" t="s">
        <v>73</v>
      </c>
      <c r="D145" s="49" t="s">
        <v>6279</v>
      </c>
      <c r="E145" s="49" t="s">
        <v>162</v>
      </c>
      <c r="F145" s="49" t="s">
        <v>6280</v>
      </c>
      <c r="G145" s="49" t="s">
        <v>6281</v>
      </c>
      <c r="H145" s="49" t="s">
        <v>5516</v>
      </c>
      <c r="I145" s="26">
        <v>202606.3</v>
      </c>
      <c r="J145" s="25">
        <v>6.17</v>
      </c>
      <c r="K145" s="25" t="s">
        <v>73</v>
      </c>
      <c r="L145" s="26" t="s">
        <v>6282</v>
      </c>
      <c r="M145" s="49" t="s">
        <v>6283</v>
      </c>
      <c r="N145" s="27" t="s">
        <v>6284</v>
      </c>
      <c r="O145" s="26"/>
      <c r="P145" s="53">
        <v>4</v>
      </c>
      <c r="Q145" s="32">
        <v>16</v>
      </c>
      <c r="R145" s="53">
        <v>266.58</v>
      </c>
      <c r="S145" s="26" t="s">
        <v>99</v>
      </c>
      <c r="T145" s="26" t="s">
        <v>100</v>
      </c>
      <c r="U145" s="26" t="s">
        <v>101</v>
      </c>
      <c r="V145" s="38" t="s">
        <v>6188</v>
      </c>
      <c r="W145" s="26" t="s">
        <v>103</v>
      </c>
      <c r="X145" s="26" t="s">
        <v>104</v>
      </c>
      <c r="Y145" s="26" t="s">
        <v>104</v>
      </c>
      <c r="Z145" s="26" t="s">
        <v>172</v>
      </c>
      <c r="AA145" s="26" t="s">
        <v>17</v>
      </c>
      <c r="AB145" s="30" t="s">
        <v>172</v>
      </c>
      <c r="AC145" s="49" t="s">
        <v>5300</v>
      </c>
      <c r="AD145" s="25" t="s">
        <v>174</v>
      </c>
      <c r="AE145" s="26" t="s">
        <v>175</v>
      </c>
      <c r="AF145" s="32">
        <f t="shared" si="20"/>
        <v>1</v>
      </c>
      <c r="AG145" s="32">
        <v>1</v>
      </c>
      <c r="AH145" s="32">
        <v>1</v>
      </c>
      <c r="AI145" s="32">
        <v>1</v>
      </c>
      <c r="AJ145" s="32"/>
      <c r="AK145" s="32">
        <v>1</v>
      </c>
      <c r="AL145" s="32">
        <f t="shared" si="21"/>
        <v>1</v>
      </c>
      <c r="AM145" s="32"/>
      <c r="AN145" s="32">
        <v>1</v>
      </c>
      <c r="AO145" s="32">
        <v>1</v>
      </c>
      <c r="AP145" s="32">
        <v>1</v>
      </c>
      <c r="AQ145" s="32">
        <v>1</v>
      </c>
      <c r="AR145" s="32">
        <v>1</v>
      </c>
      <c r="AS145" s="32"/>
      <c r="AT145" s="32">
        <v>1</v>
      </c>
      <c r="AU145" s="32"/>
      <c r="AW145" s="2" t="s">
        <v>6285</v>
      </c>
      <c r="AY145" s="75" t="s">
        <v>6286</v>
      </c>
    </row>
    <row r="146" spans="1:51" ht="16.5">
      <c r="A146" s="49" t="s">
        <v>6287</v>
      </c>
      <c r="B146" s="26" t="s">
        <v>160</v>
      </c>
      <c r="C146" s="26" t="s">
        <v>73</v>
      </c>
      <c r="D146" s="49" t="s">
        <v>6288</v>
      </c>
      <c r="E146" s="49" t="s">
        <v>162</v>
      </c>
      <c r="F146" s="49" t="s">
        <v>6289</v>
      </c>
      <c r="G146" s="49" t="s">
        <v>6290</v>
      </c>
      <c r="H146" s="49" t="s">
        <v>5516</v>
      </c>
      <c r="I146" s="26">
        <v>202606.3</v>
      </c>
      <c r="J146" s="25">
        <v>6.17</v>
      </c>
      <c r="K146" s="25" t="s">
        <v>73</v>
      </c>
      <c r="L146" s="26" t="s">
        <v>6291</v>
      </c>
      <c r="M146" s="49" t="s">
        <v>6292</v>
      </c>
      <c r="N146" s="27" t="s">
        <v>6293</v>
      </c>
      <c r="O146" s="26"/>
      <c r="P146" s="53">
        <v>4</v>
      </c>
      <c r="Q146" s="32">
        <v>16</v>
      </c>
      <c r="R146" s="53">
        <v>266.54000000000002</v>
      </c>
      <c r="S146" s="26" t="s">
        <v>99</v>
      </c>
      <c r="T146" s="26" t="s">
        <v>100</v>
      </c>
      <c r="U146" s="26" t="s">
        <v>101</v>
      </c>
      <c r="V146" s="38" t="s">
        <v>6188</v>
      </c>
      <c r="W146" s="26" t="s">
        <v>103</v>
      </c>
      <c r="X146" s="26" t="s">
        <v>104</v>
      </c>
      <c r="Y146" s="26" t="s">
        <v>104</v>
      </c>
      <c r="Z146" s="26" t="s">
        <v>172</v>
      </c>
      <c r="AA146" s="26" t="s">
        <v>17</v>
      </c>
      <c r="AB146" s="30" t="s">
        <v>172</v>
      </c>
      <c r="AC146" s="49" t="s">
        <v>5300</v>
      </c>
      <c r="AD146" s="25" t="s">
        <v>174</v>
      </c>
      <c r="AE146" s="26" t="s">
        <v>175</v>
      </c>
      <c r="AF146" s="32">
        <f t="shared" si="20"/>
        <v>1</v>
      </c>
      <c r="AG146" s="32">
        <v>1</v>
      </c>
      <c r="AH146" s="32">
        <v>1</v>
      </c>
      <c r="AI146" s="32">
        <v>1</v>
      </c>
      <c r="AJ146" s="32"/>
      <c r="AK146" s="32">
        <v>1</v>
      </c>
      <c r="AL146" s="32">
        <f t="shared" si="21"/>
        <v>1</v>
      </c>
      <c r="AM146" s="32"/>
      <c r="AN146" s="32">
        <v>1</v>
      </c>
      <c r="AO146" s="32">
        <v>1</v>
      </c>
      <c r="AP146" s="32">
        <v>1</v>
      </c>
      <c r="AQ146" s="32">
        <v>1</v>
      </c>
      <c r="AR146" s="32">
        <v>1</v>
      </c>
      <c r="AS146" s="32"/>
      <c r="AT146" s="32">
        <v>1</v>
      </c>
      <c r="AU146" s="32"/>
      <c r="AW146" s="2" t="s">
        <v>6185</v>
      </c>
      <c r="AY146" s="75" t="s">
        <v>6294</v>
      </c>
    </row>
    <row r="147" spans="1:51" ht="16.5">
      <c r="A147" s="49" t="s">
        <v>6295</v>
      </c>
      <c r="B147" s="26" t="s">
        <v>160</v>
      </c>
      <c r="C147" s="26" t="s">
        <v>73</v>
      </c>
      <c r="D147" s="49" t="s">
        <v>6296</v>
      </c>
      <c r="E147" s="49" t="s">
        <v>162</v>
      </c>
      <c r="F147" s="49" t="s">
        <v>6297</v>
      </c>
      <c r="G147" s="49" t="s">
        <v>6298</v>
      </c>
      <c r="H147" s="49" t="s">
        <v>5516</v>
      </c>
      <c r="I147" s="26">
        <v>202606.3</v>
      </c>
      <c r="J147" s="25">
        <v>6.17</v>
      </c>
      <c r="K147" s="25" t="s">
        <v>73</v>
      </c>
      <c r="L147" s="26" t="s">
        <v>6299</v>
      </c>
      <c r="M147" s="49" t="s">
        <v>6300</v>
      </c>
      <c r="N147" s="27" t="s">
        <v>6301</v>
      </c>
      <c r="O147" s="26"/>
      <c r="P147" s="53">
        <v>4</v>
      </c>
      <c r="Q147" s="32">
        <v>16</v>
      </c>
      <c r="R147" s="53">
        <v>266.27999999999997</v>
      </c>
      <c r="S147" s="26" t="s">
        <v>99</v>
      </c>
      <c r="T147" s="26" t="s">
        <v>100</v>
      </c>
      <c r="U147" s="26" t="s">
        <v>101</v>
      </c>
      <c r="V147" s="38" t="s">
        <v>6188</v>
      </c>
      <c r="W147" s="26" t="s">
        <v>103</v>
      </c>
      <c r="X147" s="26" t="s">
        <v>104</v>
      </c>
      <c r="Y147" s="26" t="s">
        <v>104</v>
      </c>
      <c r="Z147" s="26" t="s">
        <v>172</v>
      </c>
      <c r="AA147" s="26" t="s">
        <v>17</v>
      </c>
      <c r="AB147" s="30" t="s">
        <v>172</v>
      </c>
      <c r="AC147" s="49" t="s">
        <v>5300</v>
      </c>
      <c r="AD147" s="25" t="s">
        <v>174</v>
      </c>
      <c r="AE147" s="26" t="s">
        <v>175</v>
      </c>
      <c r="AF147" s="32">
        <f t="shared" si="20"/>
        <v>1</v>
      </c>
      <c r="AG147" s="32">
        <v>1</v>
      </c>
      <c r="AH147" s="32">
        <v>1</v>
      </c>
      <c r="AI147" s="32">
        <v>1</v>
      </c>
      <c r="AJ147" s="32"/>
      <c r="AK147" s="32">
        <v>1</v>
      </c>
      <c r="AL147" s="32">
        <f t="shared" si="21"/>
        <v>1</v>
      </c>
      <c r="AM147" s="32"/>
      <c r="AN147" s="32">
        <v>1</v>
      </c>
      <c r="AO147" s="32">
        <v>1</v>
      </c>
      <c r="AP147" s="32">
        <v>1</v>
      </c>
      <c r="AQ147" s="32">
        <v>1</v>
      </c>
      <c r="AR147" s="32">
        <v>1</v>
      </c>
      <c r="AS147" s="32"/>
      <c r="AT147" s="32">
        <v>1</v>
      </c>
      <c r="AU147" s="32"/>
      <c r="AW147" s="2" t="s">
        <v>6302</v>
      </c>
      <c r="AY147" s="75" t="s">
        <v>6303</v>
      </c>
    </row>
    <row r="148" spans="1:51" ht="16.5">
      <c r="A148" s="49" t="s">
        <v>6304</v>
      </c>
      <c r="B148" s="26" t="s">
        <v>160</v>
      </c>
      <c r="C148" s="26" t="s">
        <v>73</v>
      </c>
      <c r="D148" s="49" t="s">
        <v>6305</v>
      </c>
      <c r="E148" s="49" t="s">
        <v>162</v>
      </c>
      <c r="F148" s="49" t="s">
        <v>6306</v>
      </c>
      <c r="G148" s="49" t="s">
        <v>6307</v>
      </c>
      <c r="H148" s="49" t="s">
        <v>5516</v>
      </c>
      <c r="I148" s="26">
        <v>202606.3</v>
      </c>
      <c r="J148" s="25">
        <v>6.17</v>
      </c>
      <c r="K148" s="25" t="s">
        <v>73</v>
      </c>
      <c r="L148" s="26" t="s">
        <v>6285</v>
      </c>
      <c r="M148" s="49" t="s">
        <v>6308</v>
      </c>
      <c r="N148" s="27" t="s">
        <v>6309</v>
      </c>
      <c r="O148" s="26"/>
      <c r="P148" s="53">
        <v>4</v>
      </c>
      <c r="Q148" s="32">
        <v>16</v>
      </c>
      <c r="R148" s="53">
        <v>268.39</v>
      </c>
      <c r="S148" s="26" t="s">
        <v>99</v>
      </c>
      <c r="T148" s="26" t="s">
        <v>100</v>
      </c>
      <c r="U148" s="26" t="s">
        <v>101</v>
      </c>
      <c r="V148" s="38" t="s">
        <v>6188</v>
      </c>
      <c r="W148" s="26" t="s">
        <v>103</v>
      </c>
      <c r="X148" s="26" t="s">
        <v>104</v>
      </c>
      <c r="Y148" s="26" t="s">
        <v>104</v>
      </c>
      <c r="Z148" s="26" t="s">
        <v>172</v>
      </c>
      <c r="AA148" s="26" t="s">
        <v>17</v>
      </c>
      <c r="AB148" s="30" t="s">
        <v>172</v>
      </c>
      <c r="AC148" s="49" t="s">
        <v>5300</v>
      </c>
      <c r="AD148" s="25" t="s">
        <v>174</v>
      </c>
      <c r="AE148" s="26" t="s">
        <v>175</v>
      </c>
      <c r="AF148" s="32">
        <f t="shared" si="20"/>
        <v>1</v>
      </c>
      <c r="AG148" s="32">
        <v>1</v>
      </c>
      <c r="AH148" s="32">
        <v>1</v>
      </c>
      <c r="AI148" s="32">
        <v>1</v>
      </c>
      <c r="AJ148" s="32"/>
      <c r="AK148" s="32">
        <v>1</v>
      </c>
      <c r="AL148" s="32">
        <f t="shared" si="21"/>
        <v>1</v>
      </c>
      <c r="AM148" s="32"/>
      <c r="AN148" s="32">
        <v>1</v>
      </c>
      <c r="AO148" s="32">
        <v>1</v>
      </c>
      <c r="AP148" s="32">
        <v>1</v>
      </c>
      <c r="AQ148" s="32">
        <v>1</v>
      </c>
      <c r="AR148" s="32">
        <v>1</v>
      </c>
      <c r="AS148" s="32"/>
      <c r="AT148" s="32">
        <v>1</v>
      </c>
      <c r="AU148" s="32"/>
      <c r="AW148" s="2" t="s">
        <v>6310</v>
      </c>
      <c r="AY148" s="75" t="s">
        <v>6311</v>
      </c>
    </row>
    <row r="149" spans="1:51" ht="16.5">
      <c r="A149" s="49" t="s">
        <v>6312</v>
      </c>
      <c r="B149" s="26" t="s">
        <v>160</v>
      </c>
      <c r="C149" s="26" t="s">
        <v>73</v>
      </c>
      <c r="D149" s="49" t="s">
        <v>6313</v>
      </c>
      <c r="E149" s="49" t="s">
        <v>162</v>
      </c>
      <c r="F149" s="49" t="s">
        <v>6314</v>
      </c>
      <c r="G149" s="49" t="s">
        <v>6315</v>
      </c>
      <c r="H149" s="49" t="s">
        <v>5516</v>
      </c>
      <c r="I149" s="26">
        <v>202606.3</v>
      </c>
      <c r="J149" s="25">
        <v>6.17</v>
      </c>
      <c r="K149" s="25" t="s">
        <v>73</v>
      </c>
      <c r="L149" s="26" t="s">
        <v>6316</v>
      </c>
      <c r="M149" s="49" t="s">
        <v>6317</v>
      </c>
      <c r="N149" s="27" t="s">
        <v>6318</v>
      </c>
      <c r="O149" s="26"/>
      <c r="P149" s="53">
        <v>4</v>
      </c>
      <c r="Q149" s="32">
        <v>16</v>
      </c>
      <c r="R149" s="53">
        <v>266.23</v>
      </c>
      <c r="S149" s="26" t="s">
        <v>99</v>
      </c>
      <c r="T149" s="26" t="s">
        <v>100</v>
      </c>
      <c r="U149" s="26" t="s">
        <v>101</v>
      </c>
      <c r="V149" s="38" t="s">
        <v>6188</v>
      </c>
      <c r="W149" s="26" t="s">
        <v>103</v>
      </c>
      <c r="X149" s="26" t="s">
        <v>104</v>
      </c>
      <c r="Y149" s="26" t="s">
        <v>104</v>
      </c>
      <c r="Z149" s="26" t="s">
        <v>172</v>
      </c>
      <c r="AA149" s="26" t="s">
        <v>17</v>
      </c>
      <c r="AB149" s="30" t="s">
        <v>172</v>
      </c>
      <c r="AC149" s="49" t="s">
        <v>5300</v>
      </c>
      <c r="AD149" s="25" t="s">
        <v>174</v>
      </c>
      <c r="AE149" s="26" t="s">
        <v>175</v>
      </c>
      <c r="AF149" s="32">
        <f t="shared" si="20"/>
        <v>1</v>
      </c>
      <c r="AG149" s="32">
        <v>1</v>
      </c>
      <c r="AH149" s="32">
        <v>1</v>
      </c>
      <c r="AI149" s="32">
        <v>1</v>
      </c>
      <c r="AJ149" s="32"/>
      <c r="AK149" s="32">
        <v>1</v>
      </c>
      <c r="AL149" s="32">
        <f t="shared" si="21"/>
        <v>1</v>
      </c>
      <c r="AM149" s="32"/>
      <c r="AN149" s="32">
        <v>1</v>
      </c>
      <c r="AO149" s="32">
        <v>1</v>
      </c>
      <c r="AP149" s="32">
        <v>1</v>
      </c>
      <c r="AQ149" s="32">
        <v>1</v>
      </c>
      <c r="AR149" s="32">
        <v>1</v>
      </c>
      <c r="AS149" s="32"/>
      <c r="AT149" s="32">
        <v>1</v>
      </c>
      <c r="AU149" s="32"/>
      <c r="AW149" s="2" t="s">
        <v>6319</v>
      </c>
      <c r="AY149" s="75" t="s">
        <v>6320</v>
      </c>
    </row>
    <row r="150" spans="1:51" ht="16.5">
      <c r="A150" s="49" t="s">
        <v>6321</v>
      </c>
      <c r="B150" s="26" t="s">
        <v>160</v>
      </c>
      <c r="C150" s="26" t="s">
        <v>73</v>
      </c>
      <c r="D150" s="49" t="s">
        <v>6322</v>
      </c>
      <c r="E150" s="49" t="s">
        <v>162</v>
      </c>
      <c r="F150" s="49" t="s">
        <v>6323</v>
      </c>
      <c r="G150" s="49" t="s">
        <v>6324</v>
      </c>
      <c r="H150" s="49" t="s">
        <v>5516</v>
      </c>
      <c r="I150" s="26">
        <v>202606.3</v>
      </c>
      <c r="J150" s="25">
        <v>6.17</v>
      </c>
      <c r="K150" s="25" t="s">
        <v>73</v>
      </c>
      <c r="L150" s="26" t="s">
        <v>6325</v>
      </c>
      <c r="M150" s="49" t="s">
        <v>6326</v>
      </c>
      <c r="N150" s="27" t="s">
        <v>6327</v>
      </c>
      <c r="O150" s="26"/>
      <c r="P150" s="53">
        <v>4</v>
      </c>
      <c r="Q150" s="32">
        <v>16</v>
      </c>
      <c r="R150" s="53">
        <v>266.55</v>
      </c>
      <c r="S150" s="26" t="s">
        <v>99</v>
      </c>
      <c r="T150" s="26" t="s">
        <v>100</v>
      </c>
      <c r="U150" s="26" t="s">
        <v>101</v>
      </c>
      <c r="V150" s="38" t="s">
        <v>6188</v>
      </c>
      <c r="W150" s="26" t="s">
        <v>103</v>
      </c>
      <c r="X150" s="26" t="s">
        <v>104</v>
      </c>
      <c r="Y150" s="26" t="s">
        <v>104</v>
      </c>
      <c r="Z150" s="26" t="s">
        <v>172</v>
      </c>
      <c r="AA150" s="26" t="s">
        <v>17</v>
      </c>
      <c r="AB150" s="30" t="s">
        <v>172</v>
      </c>
      <c r="AC150" s="49" t="s">
        <v>5300</v>
      </c>
      <c r="AD150" s="25" t="s">
        <v>174</v>
      </c>
      <c r="AE150" s="26" t="s">
        <v>175</v>
      </c>
      <c r="AF150" s="32">
        <f t="shared" si="20"/>
        <v>1</v>
      </c>
      <c r="AG150" s="32">
        <v>1</v>
      </c>
      <c r="AH150" s="32">
        <v>1</v>
      </c>
      <c r="AI150" s="32"/>
      <c r="AJ150" s="32"/>
      <c r="AK150" s="32">
        <v>1</v>
      </c>
      <c r="AL150" s="32">
        <f t="shared" si="21"/>
        <v>1</v>
      </c>
      <c r="AM150" s="32"/>
      <c r="AN150" s="32">
        <v>1</v>
      </c>
      <c r="AO150" s="32">
        <v>1</v>
      </c>
      <c r="AP150" s="32">
        <v>1</v>
      </c>
      <c r="AQ150" s="32">
        <v>1</v>
      </c>
      <c r="AR150" s="32">
        <v>1</v>
      </c>
      <c r="AS150" s="32"/>
      <c r="AT150" s="32">
        <v>1</v>
      </c>
      <c r="AU150" s="32"/>
      <c r="AW150" s="2" t="s">
        <v>6328</v>
      </c>
      <c r="AY150" s="75" t="s">
        <v>6329</v>
      </c>
    </row>
    <row r="151" spans="1:51" ht="16.5">
      <c r="A151" s="49" t="s">
        <v>6330</v>
      </c>
      <c r="B151" s="26" t="s">
        <v>160</v>
      </c>
      <c r="C151" s="26" t="s">
        <v>73</v>
      </c>
      <c r="D151" s="49" t="s">
        <v>6331</v>
      </c>
      <c r="E151" s="49" t="s">
        <v>162</v>
      </c>
      <c r="F151" s="49" t="s">
        <v>6332</v>
      </c>
      <c r="G151" s="49" t="s">
        <v>6333</v>
      </c>
      <c r="H151" s="49" t="s">
        <v>5516</v>
      </c>
      <c r="I151" s="26">
        <v>202606.3</v>
      </c>
      <c r="J151" s="25">
        <v>6.17</v>
      </c>
      <c r="K151" s="25" t="s">
        <v>73</v>
      </c>
      <c r="L151" s="26" t="s">
        <v>6334</v>
      </c>
      <c r="M151" s="49" t="s">
        <v>6335</v>
      </c>
      <c r="N151" s="27" t="s">
        <v>6336</v>
      </c>
      <c r="O151" s="26"/>
      <c r="P151" s="53">
        <v>4</v>
      </c>
      <c r="Q151" s="32">
        <v>16</v>
      </c>
      <c r="R151" s="53">
        <v>266.62</v>
      </c>
      <c r="S151" s="26" t="s">
        <v>99</v>
      </c>
      <c r="T151" s="26" t="s">
        <v>100</v>
      </c>
      <c r="U151" s="26" t="s">
        <v>101</v>
      </c>
      <c r="V151" s="38" t="s">
        <v>6188</v>
      </c>
      <c r="W151" s="26" t="s">
        <v>103</v>
      </c>
      <c r="X151" s="26" t="s">
        <v>104</v>
      </c>
      <c r="Y151" s="26" t="s">
        <v>104</v>
      </c>
      <c r="Z151" s="26" t="s">
        <v>172</v>
      </c>
      <c r="AA151" s="26" t="s">
        <v>17</v>
      </c>
      <c r="AB151" s="30" t="s">
        <v>172</v>
      </c>
      <c r="AC151" s="49" t="s">
        <v>5300</v>
      </c>
      <c r="AD151" s="25" t="s">
        <v>174</v>
      </c>
      <c r="AE151" s="26" t="s">
        <v>175</v>
      </c>
      <c r="AF151" s="32">
        <f t="shared" si="20"/>
        <v>1</v>
      </c>
      <c r="AG151" s="32">
        <v>1</v>
      </c>
      <c r="AH151" s="32">
        <v>1</v>
      </c>
      <c r="AI151" s="32">
        <v>1</v>
      </c>
      <c r="AJ151" s="32"/>
      <c r="AK151" s="32">
        <v>1</v>
      </c>
      <c r="AL151" s="32">
        <f t="shared" si="21"/>
        <v>1</v>
      </c>
      <c r="AM151" s="32"/>
      <c r="AN151" s="32">
        <v>1</v>
      </c>
      <c r="AO151" s="32">
        <v>1</v>
      </c>
      <c r="AP151" s="32">
        <v>1</v>
      </c>
      <c r="AQ151" s="32">
        <v>1</v>
      </c>
      <c r="AR151" s="32">
        <v>1</v>
      </c>
      <c r="AS151" s="32"/>
      <c r="AT151" s="32">
        <v>1</v>
      </c>
      <c r="AU151" s="32"/>
      <c r="AW151" s="2" t="s">
        <v>6337</v>
      </c>
      <c r="AY151" s="75" t="s">
        <v>6338</v>
      </c>
    </row>
    <row r="152" spans="1:51" ht="16.5">
      <c r="A152" s="49" t="s">
        <v>6339</v>
      </c>
      <c r="B152" s="26" t="s">
        <v>160</v>
      </c>
      <c r="C152" s="26" t="s">
        <v>73</v>
      </c>
      <c r="D152" s="49" t="s">
        <v>6340</v>
      </c>
      <c r="E152" s="49" t="s">
        <v>162</v>
      </c>
      <c r="F152" s="49" t="s">
        <v>6341</v>
      </c>
      <c r="G152" s="49" t="s">
        <v>6342</v>
      </c>
      <c r="H152" s="49" t="s">
        <v>5516</v>
      </c>
      <c r="I152" s="26">
        <v>202606.3</v>
      </c>
      <c r="J152" s="25">
        <v>6.17</v>
      </c>
      <c r="K152" s="25" t="s">
        <v>73</v>
      </c>
      <c r="L152" s="26" t="s">
        <v>6343</v>
      </c>
      <c r="M152" s="49" t="s">
        <v>6344</v>
      </c>
      <c r="N152" s="27" t="s">
        <v>6345</v>
      </c>
      <c r="O152" s="26"/>
      <c r="P152" s="53">
        <v>4</v>
      </c>
      <c r="Q152" s="32">
        <v>16</v>
      </c>
      <c r="R152" s="53">
        <v>266.56</v>
      </c>
      <c r="S152" s="26" t="s">
        <v>99</v>
      </c>
      <c r="T152" s="26" t="s">
        <v>100</v>
      </c>
      <c r="U152" s="26" t="s">
        <v>101</v>
      </c>
      <c r="V152" s="38" t="s">
        <v>6188</v>
      </c>
      <c r="W152" s="26" t="s">
        <v>103</v>
      </c>
      <c r="X152" s="26" t="s">
        <v>104</v>
      </c>
      <c r="Y152" s="26" t="s">
        <v>104</v>
      </c>
      <c r="Z152" s="26" t="s">
        <v>172</v>
      </c>
      <c r="AA152" s="26" t="s">
        <v>17</v>
      </c>
      <c r="AB152" s="30" t="s">
        <v>172</v>
      </c>
      <c r="AC152" s="49" t="s">
        <v>5300</v>
      </c>
      <c r="AD152" s="25" t="s">
        <v>174</v>
      </c>
      <c r="AE152" s="26" t="s">
        <v>175</v>
      </c>
      <c r="AF152" s="32">
        <f t="shared" si="20"/>
        <v>1</v>
      </c>
      <c r="AG152" s="32">
        <v>1</v>
      </c>
      <c r="AH152" s="32">
        <v>1</v>
      </c>
      <c r="AI152" s="32">
        <v>1</v>
      </c>
      <c r="AJ152" s="32"/>
      <c r="AK152" s="32">
        <v>1</v>
      </c>
      <c r="AL152" s="32">
        <f t="shared" si="21"/>
        <v>1</v>
      </c>
      <c r="AM152" s="32"/>
      <c r="AN152" s="32">
        <v>1</v>
      </c>
      <c r="AO152" s="32">
        <v>1</v>
      </c>
      <c r="AP152" s="32">
        <v>1</v>
      </c>
      <c r="AQ152" s="32">
        <v>1</v>
      </c>
      <c r="AR152" s="32">
        <v>1</v>
      </c>
      <c r="AS152" s="32"/>
      <c r="AT152" s="32">
        <v>1</v>
      </c>
      <c r="AU152" s="32"/>
      <c r="AW152" s="2" t="s">
        <v>6346</v>
      </c>
      <c r="AY152" s="75" t="s">
        <v>6347</v>
      </c>
    </row>
    <row r="153" spans="1:51" ht="16.5">
      <c r="A153" s="49" t="s">
        <v>6348</v>
      </c>
      <c r="B153" s="26" t="s">
        <v>160</v>
      </c>
      <c r="C153" s="26" t="s">
        <v>73</v>
      </c>
      <c r="D153" s="49" t="s">
        <v>6349</v>
      </c>
      <c r="E153" s="49" t="s">
        <v>162</v>
      </c>
      <c r="F153" s="49" t="s">
        <v>6350</v>
      </c>
      <c r="G153" s="49" t="s">
        <v>6351</v>
      </c>
      <c r="H153" s="49" t="s">
        <v>5516</v>
      </c>
      <c r="I153" s="26">
        <v>202606.3</v>
      </c>
      <c r="J153" s="25">
        <v>6.17</v>
      </c>
      <c r="K153" s="25" t="s">
        <v>73</v>
      </c>
      <c r="L153" s="26" t="s">
        <v>6352</v>
      </c>
      <c r="M153" s="49" t="s">
        <v>6353</v>
      </c>
      <c r="N153" s="27" t="s">
        <v>6354</v>
      </c>
      <c r="O153" s="26"/>
      <c r="P153" s="53">
        <v>4</v>
      </c>
      <c r="Q153" s="32">
        <v>16</v>
      </c>
      <c r="R153" s="53">
        <v>266.66000000000003</v>
      </c>
      <c r="S153" s="26" t="s">
        <v>99</v>
      </c>
      <c r="T153" s="26" t="s">
        <v>100</v>
      </c>
      <c r="U153" s="26" t="s">
        <v>101</v>
      </c>
      <c r="V153" s="38" t="s">
        <v>6188</v>
      </c>
      <c r="W153" s="26" t="s">
        <v>103</v>
      </c>
      <c r="X153" s="26" t="s">
        <v>104</v>
      </c>
      <c r="Y153" s="26" t="s">
        <v>104</v>
      </c>
      <c r="Z153" s="26" t="s">
        <v>172</v>
      </c>
      <c r="AA153" s="26" t="s">
        <v>17</v>
      </c>
      <c r="AB153" s="30" t="s">
        <v>172</v>
      </c>
      <c r="AC153" s="49" t="s">
        <v>5300</v>
      </c>
      <c r="AD153" s="25" t="s">
        <v>174</v>
      </c>
      <c r="AE153" s="26" t="s">
        <v>175</v>
      </c>
      <c r="AF153" s="32">
        <f t="shared" si="20"/>
        <v>1</v>
      </c>
      <c r="AG153" s="32">
        <v>1</v>
      </c>
      <c r="AH153" s="32">
        <v>1</v>
      </c>
      <c r="AI153" s="32">
        <v>1</v>
      </c>
      <c r="AJ153" s="32"/>
      <c r="AK153" s="32">
        <v>1</v>
      </c>
      <c r="AL153" s="32">
        <f t="shared" si="21"/>
        <v>1</v>
      </c>
      <c r="AM153" s="32"/>
      <c r="AN153" s="32">
        <v>1</v>
      </c>
      <c r="AO153" s="32">
        <v>1</v>
      </c>
      <c r="AP153" s="32">
        <v>1</v>
      </c>
      <c r="AQ153" s="32">
        <v>1</v>
      </c>
      <c r="AR153" s="32">
        <v>1</v>
      </c>
      <c r="AS153" s="32"/>
      <c r="AT153" s="32">
        <v>1</v>
      </c>
      <c r="AU153" s="32"/>
      <c r="AW153" s="2" t="s">
        <v>6355</v>
      </c>
      <c r="AY153" s="75" t="s">
        <v>6356</v>
      </c>
    </row>
    <row r="154" spans="1:51" ht="16.5">
      <c r="A154" s="49" t="s">
        <v>6357</v>
      </c>
      <c r="B154" s="26" t="s">
        <v>160</v>
      </c>
      <c r="C154" s="26" t="s">
        <v>73</v>
      </c>
      <c r="D154" s="49" t="s">
        <v>6358</v>
      </c>
      <c r="E154" s="49" t="s">
        <v>162</v>
      </c>
      <c r="F154" s="49" t="s">
        <v>6359</v>
      </c>
      <c r="G154" s="49" t="s">
        <v>6360</v>
      </c>
      <c r="H154" s="49" t="s">
        <v>5516</v>
      </c>
      <c r="I154" s="26">
        <v>202606.3</v>
      </c>
      <c r="J154" s="25">
        <v>6.17</v>
      </c>
      <c r="K154" s="25" t="s">
        <v>73</v>
      </c>
      <c r="L154" s="26" t="s">
        <v>6361</v>
      </c>
      <c r="M154" s="49" t="s">
        <v>6362</v>
      </c>
      <c r="N154" s="27" t="s">
        <v>6363</v>
      </c>
      <c r="O154" s="26"/>
      <c r="P154" s="53">
        <v>4</v>
      </c>
      <c r="Q154" s="32">
        <v>16</v>
      </c>
      <c r="R154" s="53">
        <v>266.64</v>
      </c>
      <c r="S154" s="26" t="s">
        <v>99</v>
      </c>
      <c r="T154" s="26" t="s">
        <v>100</v>
      </c>
      <c r="U154" s="26" t="s">
        <v>101</v>
      </c>
      <c r="V154" s="38" t="s">
        <v>6188</v>
      </c>
      <c r="W154" s="26" t="s">
        <v>103</v>
      </c>
      <c r="X154" s="26" t="s">
        <v>104</v>
      </c>
      <c r="Y154" s="26" t="s">
        <v>104</v>
      </c>
      <c r="Z154" s="26" t="s">
        <v>172</v>
      </c>
      <c r="AA154" s="26" t="s">
        <v>17</v>
      </c>
      <c r="AB154" s="30" t="s">
        <v>172</v>
      </c>
      <c r="AC154" s="49" t="s">
        <v>5300</v>
      </c>
      <c r="AD154" s="25" t="s">
        <v>174</v>
      </c>
      <c r="AE154" s="26" t="s">
        <v>175</v>
      </c>
      <c r="AF154" s="32">
        <f t="shared" si="20"/>
        <v>1</v>
      </c>
      <c r="AG154" s="32">
        <v>1</v>
      </c>
      <c r="AH154" s="32">
        <v>1</v>
      </c>
      <c r="AI154" s="32">
        <v>1</v>
      </c>
      <c r="AJ154" s="32"/>
      <c r="AK154" s="32">
        <v>1</v>
      </c>
      <c r="AL154" s="32">
        <f t="shared" si="21"/>
        <v>1</v>
      </c>
      <c r="AM154" s="32"/>
      <c r="AN154" s="32">
        <v>1</v>
      </c>
      <c r="AO154" s="32">
        <v>1</v>
      </c>
      <c r="AP154" s="32">
        <v>1</v>
      </c>
      <c r="AQ154" s="32">
        <v>1</v>
      </c>
      <c r="AR154" s="32">
        <v>1</v>
      </c>
      <c r="AS154" s="32"/>
      <c r="AT154" s="32">
        <v>1</v>
      </c>
      <c r="AU154" s="32"/>
      <c r="AW154" s="2" t="s">
        <v>6364</v>
      </c>
      <c r="AY154" s="75" t="s">
        <v>6365</v>
      </c>
    </row>
    <row r="155" spans="1:51" ht="16.5">
      <c r="A155" s="49" t="s">
        <v>6366</v>
      </c>
      <c r="B155" s="26" t="s">
        <v>160</v>
      </c>
      <c r="C155" s="26" t="s">
        <v>73</v>
      </c>
      <c r="D155" s="49" t="s">
        <v>6367</v>
      </c>
      <c r="E155" s="49" t="s">
        <v>162</v>
      </c>
      <c r="F155" s="49" t="s">
        <v>6368</v>
      </c>
      <c r="G155" s="49" t="s">
        <v>6369</v>
      </c>
      <c r="H155" s="49" t="s">
        <v>5516</v>
      </c>
      <c r="I155" s="26">
        <v>202606.3</v>
      </c>
      <c r="J155" s="25">
        <v>6.17</v>
      </c>
      <c r="K155" s="25" t="s">
        <v>73</v>
      </c>
      <c r="L155" s="26" t="s">
        <v>6174</v>
      </c>
      <c r="M155" s="49" t="s">
        <v>6370</v>
      </c>
      <c r="N155" s="27" t="s">
        <v>6371</v>
      </c>
      <c r="O155" s="26"/>
      <c r="P155" s="53">
        <v>4</v>
      </c>
      <c r="Q155" s="32">
        <v>16</v>
      </c>
      <c r="R155" s="53">
        <v>269.85000000000002</v>
      </c>
      <c r="S155" s="26" t="s">
        <v>99</v>
      </c>
      <c r="T155" s="26" t="s">
        <v>100</v>
      </c>
      <c r="U155" s="26" t="s">
        <v>101</v>
      </c>
      <c r="V155" s="38" t="s">
        <v>6188</v>
      </c>
      <c r="W155" s="26" t="s">
        <v>103</v>
      </c>
      <c r="X155" s="26" t="s">
        <v>104</v>
      </c>
      <c r="Y155" s="26" t="s">
        <v>104</v>
      </c>
      <c r="Z155" s="26" t="s">
        <v>172</v>
      </c>
      <c r="AA155" s="26" t="s">
        <v>17</v>
      </c>
      <c r="AB155" s="30" t="s">
        <v>172</v>
      </c>
      <c r="AC155" s="49" t="s">
        <v>5300</v>
      </c>
      <c r="AD155" s="25" t="s">
        <v>174</v>
      </c>
      <c r="AE155" s="26" t="s">
        <v>175</v>
      </c>
      <c r="AF155" s="32">
        <f t="shared" si="20"/>
        <v>1</v>
      </c>
      <c r="AG155" s="32">
        <v>1</v>
      </c>
      <c r="AH155" s="32">
        <v>1</v>
      </c>
      <c r="AI155" s="32">
        <v>1</v>
      </c>
      <c r="AJ155" s="32"/>
      <c r="AK155" s="32">
        <v>1</v>
      </c>
      <c r="AL155" s="32">
        <f t="shared" si="21"/>
        <v>1</v>
      </c>
      <c r="AM155" s="32"/>
      <c r="AN155" s="32">
        <v>1</v>
      </c>
      <c r="AO155" s="32">
        <v>1</v>
      </c>
      <c r="AP155" s="32">
        <v>1</v>
      </c>
      <c r="AQ155" s="32">
        <v>1</v>
      </c>
      <c r="AR155" s="32">
        <v>1</v>
      </c>
      <c r="AS155" s="32"/>
      <c r="AT155" s="32">
        <v>1</v>
      </c>
      <c r="AU155" s="32"/>
      <c r="AW155" s="2" t="s">
        <v>6372</v>
      </c>
      <c r="AY155" s="75" t="s">
        <v>6373</v>
      </c>
    </row>
    <row r="156" spans="1:51" ht="16.5">
      <c r="A156" s="49" t="s">
        <v>6374</v>
      </c>
      <c r="B156" s="26" t="s">
        <v>160</v>
      </c>
      <c r="C156" s="26" t="s">
        <v>73</v>
      </c>
      <c r="D156" s="49" t="s">
        <v>6375</v>
      </c>
      <c r="E156" s="49" t="s">
        <v>162</v>
      </c>
      <c r="F156" s="49" t="s">
        <v>6376</v>
      </c>
      <c r="G156" s="49" t="s">
        <v>6377</v>
      </c>
      <c r="H156" s="49" t="s">
        <v>5516</v>
      </c>
      <c r="I156" s="26">
        <v>202606.3</v>
      </c>
      <c r="J156" s="25">
        <v>6.17</v>
      </c>
      <c r="K156" s="25" t="s">
        <v>73</v>
      </c>
      <c r="L156" s="26" t="s">
        <v>6378</v>
      </c>
      <c r="M156" s="49" t="s">
        <v>6379</v>
      </c>
      <c r="N156" s="27" t="s">
        <v>6380</v>
      </c>
      <c r="O156" s="26"/>
      <c r="P156" s="53">
        <v>4</v>
      </c>
      <c r="Q156" s="32">
        <v>16</v>
      </c>
      <c r="R156" s="53">
        <v>266.72000000000003</v>
      </c>
      <c r="S156" s="26" t="s">
        <v>99</v>
      </c>
      <c r="T156" s="26" t="s">
        <v>100</v>
      </c>
      <c r="U156" s="26" t="s">
        <v>101</v>
      </c>
      <c r="V156" s="38" t="s">
        <v>6188</v>
      </c>
      <c r="W156" s="26" t="s">
        <v>103</v>
      </c>
      <c r="X156" s="26" t="s">
        <v>104</v>
      </c>
      <c r="Y156" s="26" t="s">
        <v>104</v>
      </c>
      <c r="Z156" s="26" t="s">
        <v>172</v>
      </c>
      <c r="AA156" s="26" t="s">
        <v>17</v>
      </c>
      <c r="AB156" s="30" t="s">
        <v>172</v>
      </c>
      <c r="AC156" s="49" t="s">
        <v>5300</v>
      </c>
      <c r="AD156" s="25" t="s">
        <v>174</v>
      </c>
      <c r="AE156" s="26" t="s">
        <v>175</v>
      </c>
      <c r="AF156" s="32">
        <f t="shared" si="20"/>
        <v>1</v>
      </c>
      <c r="AG156" s="32">
        <v>1</v>
      </c>
      <c r="AH156" s="32">
        <v>1</v>
      </c>
      <c r="AI156" s="32">
        <v>1</v>
      </c>
      <c r="AJ156" s="32"/>
      <c r="AK156" s="32">
        <v>1</v>
      </c>
      <c r="AL156" s="32">
        <f t="shared" si="21"/>
        <v>1</v>
      </c>
      <c r="AM156" s="32"/>
      <c r="AN156" s="32">
        <v>1</v>
      </c>
      <c r="AO156" s="32">
        <v>1</v>
      </c>
      <c r="AP156" s="32">
        <v>1</v>
      </c>
      <c r="AQ156" s="32">
        <v>1</v>
      </c>
      <c r="AR156" s="32">
        <v>1</v>
      </c>
      <c r="AS156" s="32"/>
      <c r="AT156" s="32">
        <v>1</v>
      </c>
      <c r="AU156" s="32"/>
      <c r="AW156" s="2" t="s">
        <v>6381</v>
      </c>
      <c r="AY156" s="75" t="s">
        <v>6382</v>
      </c>
    </row>
    <row r="157" spans="1:51" ht="16.5">
      <c r="A157" s="49" t="s">
        <v>6383</v>
      </c>
      <c r="B157" s="26" t="s">
        <v>160</v>
      </c>
      <c r="C157" s="26" t="s">
        <v>73</v>
      </c>
      <c r="D157" s="49" t="s">
        <v>6384</v>
      </c>
      <c r="E157" s="49" t="s">
        <v>162</v>
      </c>
      <c r="F157" s="49" t="s">
        <v>6385</v>
      </c>
      <c r="G157" s="49" t="s">
        <v>6386</v>
      </c>
      <c r="H157" s="49" t="s">
        <v>5516</v>
      </c>
      <c r="I157" s="26">
        <v>202606.3</v>
      </c>
      <c r="J157" s="25">
        <v>6.17</v>
      </c>
      <c r="K157" s="25" t="s">
        <v>73</v>
      </c>
      <c r="L157" s="26" t="s">
        <v>6387</v>
      </c>
      <c r="M157" s="49" t="s">
        <v>6388</v>
      </c>
      <c r="N157" s="27" t="s">
        <v>6389</v>
      </c>
      <c r="O157" s="26"/>
      <c r="P157" s="53">
        <v>4</v>
      </c>
      <c r="Q157" s="32">
        <v>16</v>
      </c>
      <c r="R157" s="53">
        <v>270.41000000000003</v>
      </c>
      <c r="S157" s="26" t="s">
        <v>99</v>
      </c>
      <c r="T157" s="26" t="s">
        <v>100</v>
      </c>
      <c r="U157" s="26" t="s">
        <v>101</v>
      </c>
      <c r="V157" s="38" t="s">
        <v>6188</v>
      </c>
      <c r="W157" s="26" t="s">
        <v>103</v>
      </c>
      <c r="X157" s="26" t="s">
        <v>104</v>
      </c>
      <c r="Y157" s="26" t="s">
        <v>104</v>
      </c>
      <c r="Z157" s="26" t="s">
        <v>172</v>
      </c>
      <c r="AA157" s="26" t="s">
        <v>17</v>
      </c>
      <c r="AB157" s="30" t="s">
        <v>172</v>
      </c>
      <c r="AC157" s="49" t="s">
        <v>5300</v>
      </c>
      <c r="AD157" s="25" t="s">
        <v>174</v>
      </c>
      <c r="AE157" s="26" t="s">
        <v>175</v>
      </c>
      <c r="AF157" s="32">
        <f t="shared" si="20"/>
        <v>1</v>
      </c>
      <c r="AG157" s="32">
        <v>1</v>
      </c>
      <c r="AH157" s="32">
        <v>1</v>
      </c>
      <c r="AI157" s="32">
        <v>1</v>
      </c>
      <c r="AJ157" s="32"/>
      <c r="AK157" s="32">
        <v>1</v>
      </c>
      <c r="AL157" s="32">
        <f t="shared" si="21"/>
        <v>1</v>
      </c>
      <c r="AM157" s="32"/>
      <c r="AN157" s="32">
        <v>1</v>
      </c>
      <c r="AO157" s="32">
        <v>1</v>
      </c>
      <c r="AP157" s="32">
        <v>1</v>
      </c>
      <c r="AQ157" s="32">
        <v>1</v>
      </c>
      <c r="AR157" s="32">
        <v>1</v>
      </c>
      <c r="AS157" s="32"/>
      <c r="AT157" s="32">
        <v>1</v>
      </c>
      <c r="AU157" s="32"/>
      <c r="AW157" s="2" t="s">
        <v>6390</v>
      </c>
      <c r="AY157" s="75" t="s">
        <v>6391</v>
      </c>
    </row>
    <row r="158" spans="1:51" ht="16.5">
      <c r="A158" s="49" t="s">
        <v>6392</v>
      </c>
      <c r="B158" s="26" t="s">
        <v>160</v>
      </c>
      <c r="C158" s="26" t="s">
        <v>73</v>
      </c>
      <c r="D158" s="49" t="s">
        <v>6393</v>
      </c>
      <c r="E158" s="49" t="s">
        <v>162</v>
      </c>
      <c r="F158" s="49" t="s">
        <v>6394</v>
      </c>
      <c r="G158" s="49" t="s">
        <v>6395</v>
      </c>
      <c r="H158" s="49" t="s">
        <v>5516</v>
      </c>
      <c r="I158" s="26">
        <v>202606.3</v>
      </c>
      <c r="J158" s="25">
        <v>6.17</v>
      </c>
      <c r="K158" s="25" t="s">
        <v>73</v>
      </c>
      <c r="L158" s="26" t="s">
        <v>6396</v>
      </c>
      <c r="M158" s="49" t="s">
        <v>6397</v>
      </c>
      <c r="N158" s="27" t="s">
        <v>6398</v>
      </c>
      <c r="O158" s="26"/>
      <c r="P158" s="53">
        <v>4</v>
      </c>
      <c r="Q158" s="32">
        <v>16</v>
      </c>
      <c r="R158" s="53">
        <v>266.17</v>
      </c>
      <c r="S158" s="26" t="s">
        <v>99</v>
      </c>
      <c r="T158" s="26" t="s">
        <v>100</v>
      </c>
      <c r="U158" s="26" t="s">
        <v>101</v>
      </c>
      <c r="V158" s="38" t="s">
        <v>6188</v>
      </c>
      <c r="W158" s="26" t="s">
        <v>103</v>
      </c>
      <c r="X158" s="26" t="s">
        <v>104</v>
      </c>
      <c r="Y158" s="26" t="s">
        <v>104</v>
      </c>
      <c r="Z158" s="26" t="s">
        <v>172</v>
      </c>
      <c r="AA158" s="26" t="s">
        <v>17</v>
      </c>
      <c r="AB158" s="30" t="s">
        <v>172</v>
      </c>
      <c r="AC158" s="49" t="s">
        <v>5300</v>
      </c>
      <c r="AD158" s="25" t="s">
        <v>174</v>
      </c>
      <c r="AE158" s="26" t="s">
        <v>175</v>
      </c>
      <c r="AF158" s="32">
        <f t="shared" si="20"/>
        <v>1</v>
      </c>
      <c r="AG158" s="32">
        <v>1</v>
      </c>
      <c r="AH158" s="32">
        <v>1</v>
      </c>
      <c r="AI158" s="32">
        <v>1</v>
      </c>
      <c r="AJ158" s="32"/>
      <c r="AK158" s="32">
        <v>1</v>
      </c>
      <c r="AL158" s="32">
        <f t="shared" si="21"/>
        <v>1</v>
      </c>
      <c r="AM158" s="32"/>
      <c r="AN158" s="32">
        <v>1</v>
      </c>
      <c r="AO158" s="32">
        <v>1</v>
      </c>
      <c r="AP158" s="32">
        <v>1</v>
      </c>
      <c r="AQ158" s="32">
        <v>1</v>
      </c>
      <c r="AR158" s="32">
        <v>1</v>
      </c>
      <c r="AS158" s="32"/>
      <c r="AT158" s="32">
        <v>1</v>
      </c>
      <c r="AU158" s="32"/>
      <c r="AW158" s="2" t="s">
        <v>6399</v>
      </c>
      <c r="AY158" s="75" t="s">
        <v>6400</v>
      </c>
    </row>
    <row r="159" spans="1:51" ht="16.5">
      <c r="A159" s="49" t="s">
        <v>6401</v>
      </c>
      <c r="B159" s="26" t="s">
        <v>160</v>
      </c>
      <c r="C159" s="26" t="s">
        <v>73</v>
      </c>
      <c r="D159" s="49" t="s">
        <v>6402</v>
      </c>
      <c r="E159" s="49" t="s">
        <v>162</v>
      </c>
      <c r="F159" s="49" t="s">
        <v>6403</v>
      </c>
      <c r="G159" s="49" t="s">
        <v>6404</v>
      </c>
      <c r="H159" s="49" t="s">
        <v>5516</v>
      </c>
      <c r="I159" s="26">
        <v>202606.3</v>
      </c>
      <c r="J159" s="25">
        <v>6.17</v>
      </c>
      <c r="K159" s="25" t="s">
        <v>73</v>
      </c>
      <c r="L159" s="26" t="s">
        <v>6405</v>
      </c>
      <c r="M159" s="49" t="s">
        <v>6406</v>
      </c>
      <c r="N159" s="27" t="s">
        <v>6407</v>
      </c>
      <c r="O159" s="26"/>
      <c r="P159" s="53">
        <v>4</v>
      </c>
      <c r="Q159" s="32">
        <v>16</v>
      </c>
      <c r="R159" s="53">
        <v>266.18</v>
      </c>
      <c r="S159" s="26" t="s">
        <v>99</v>
      </c>
      <c r="T159" s="26" t="s">
        <v>100</v>
      </c>
      <c r="U159" s="26" t="s">
        <v>101</v>
      </c>
      <c r="V159" s="38" t="s">
        <v>6188</v>
      </c>
      <c r="W159" s="26" t="s">
        <v>103</v>
      </c>
      <c r="X159" s="26" t="s">
        <v>104</v>
      </c>
      <c r="Y159" s="26" t="s">
        <v>104</v>
      </c>
      <c r="Z159" s="26" t="s">
        <v>172</v>
      </c>
      <c r="AA159" s="26" t="s">
        <v>17</v>
      </c>
      <c r="AB159" s="30" t="s">
        <v>172</v>
      </c>
      <c r="AC159" s="49" t="s">
        <v>5300</v>
      </c>
      <c r="AD159" s="25" t="s">
        <v>174</v>
      </c>
      <c r="AE159" s="26" t="s">
        <v>175</v>
      </c>
      <c r="AF159" s="32">
        <f t="shared" si="20"/>
        <v>1</v>
      </c>
      <c r="AG159" s="32">
        <v>1</v>
      </c>
      <c r="AH159" s="32">
        <v>1</v>
      </c>
      <c r="AI159" s="32">
        <v>1</v>
      </c>
      <c r="AJ159" s="32"/>
      <c r="AK159" s="32">
        <v>1</v>
      </c>
      <c r="AL159" s="32">
        <f t="shared" si="21"/>
        <v>1</v>
      </c>
      <c r="AM159" s="32"/>
      <c r="AN159" s="32">
        <v>1</v>
      </c>
      <c r="AO159" s="32">
        <v>1</v>
      </c>
      <c r="AP159" s="32">
        <v>1</v>
      </c>
      <c r="AQ159" s="32">
        <v>1</v>
      </c>
      <c r="AR159" s="32">
        <v>1</v>
      </c>
      <c r="AS159" s="32"/>
      <c r="AT159" s="32">
        <v>1</v>
      </c>
      <c r="AU159" s="32"/>
      <c r="AW159" s="2" t="s">
        <v>6408</v>
      </c>
      <c r="AY159" s="75" t="s">
        <v>6409</v>
      </c>
    </row>
    <row r="160" spans="1:51" ht="16.5">
      <c r="A160" s="49" t="s">
        <v>6410</v>
      </c>
      <c r="B160" s="26" t="s">
        <v>160</v>
      </c>
      <c r="C160" s="26" t="s">
        <v>73</v>
      </c>
      <c r="D160" s="49" t="s">
        <v>6411</v>
      </c>
      <c r="E160" s="49" t="s">
        <v>162</v>
      </c>
      <c r="F160" s="49" t="s">
        <v>6412</v>
      </c>
      <c r="G160" s="49" t="s">
        <v>6413</v>
      </c>
      <c r="H160" s="49" t="s">
        <v>5516</v>
      </c>
      <c r="I160" s="26">
        <v>202606.3</v>
      </c>
      <c r="J160" s="25">
        <v>6.17</v>
      </c>
      <c r="K160" s="25" t="s">
        <v>73</v>
      </c>
      <c r="L160" s="26" t="s">
        <v>6414</v>
      </c>
      <c r="M160" s="49" t="s">
        <v>6415</v>
      </c>
      <c r="N160" s="27" t="s">
        <v>6416</v>
      </c>
      <c r="O160" s="26"/>
      <c r="P160" s="53">
        <v>4</v>
      </c>
      <c r="Q160" s="32">
        <v>16</v>
      </c>
      <c r="R160" s="53">
        <v>266.17</v>
      </c>
      <c r="S160" s="26" t="s">
        <v>99</v>
      </c>
      <c r="T160" s="26" t="s">
        <v>100</v>
      </c>
      <c r="U160" s="26" t="s">
        <v>101</v>
      </c>
      <c r="V160" s="38" t="s">
        <v>6188</v>
      </c>
      <c r="W160" s="26" t="s">
        <v>103</v>
      </c>
      <c r="X160" s="26" t="s">
        <v>104</v>
      </c>
      <c r="Y160" s="26" t="s">
        <v>104</v>
      </c>
      <c r="Z160" s="26" t="s">
        <v>172</v>
      </c>
      <c r="AA160" s="26" t="s">
        <v>17</v>
      </c>
      <c r="AB160" s="30" t="s">
        <v>172</v>
      </c>
      <c r="AC160" s="49" t="s">
        <v>5300</v>
      </c>
      <c r="AD160" s="25" t="s">
        <v>174</v>
      </c>
      <c r="AE160" s="26" t="s">
        <v>175</v>
      </c>
      <c r="AF160" s="32">
        <f t="shared" si="20"/>
        <v>1</v>
      </c>
      <c r="AG160" s="32">
        <v>1</v>
      </c>
      <c r="AH160" s="32">
        <v>1</v>
      </c>
      <c r="AI160" s="32">
        <v>1</v>
      </c>
      <c r="AJ160" s="32"/>
      <c r="AK160" s="32">
        <v>1</v>
      </c>
      <c r="AL160" s="32">
        <f t="shared" si="21"/>
        <v>1</v>
      </c>
      <c r="AM160" s="32"/>
      <c r="AN160" s="32">
        <v>1</v>
      </c>
      <c r="AO160" s="32">
        <v>1</v>
      </c>
      <c r="AP160" s="32">
        <v>1</v>
      </c>
      <c r="AQ160" s="32">
        <v>1</v>
      </c>
      <c r="AR160" s="32">
        <v>1</v>
      </c>
      <c r="AS160" s="32"/>
      <c r="AT160" s="32">
        <v>1</v>
      </c>
      <c r="AU160" s="32"/>
      <c r="AW160" s="2" t="s">
        <v>6417</v>
      </c>
      <c r="AY160" s="75" t="s">
        <v>6418</v>
      </c>
    </row>
    <row r="161" spans="1:51" ht="16.5">
      <c r="A161" s="49" t="s">
        <v>6419</v>
      </c>
      <c r="B161" s="26" t="s">
        <v>160</v>
      </c>
      <c r="C161" s="26" t="s">
        <v>73</v>
      </c>
      <c r="D161" s="49" t="s">
        <v>6420</v>
      </c>
      <c r="E161" s="49" t="s">
        <v>162</v>
      </c>
      <c r="F161" s="49" t="s">
        <v>6421</v>
      </c>
      <c r="G161" s="49" t="s">
        <v>6422</v>
      </c>
      <c r="H161" s="49" t="s">
        <v>5516</v>
      </c>
      <c r="I161" s="26">
        <v>202606.3</v>
      </c>
      <c r="J161" s="25">
        <v>6.17</v>
      </c>
      <c r="K161" s="25" t="s">
        <v>73</v>
      </c>
      <c r="L161" s="26" t="s">
        <v>6051</v>
      </c>
      <c r="M161" s="49" t="s">
        <v>6423</v>
      </c>
      <c r="N161" s="27" t="s">
        <v>6424</v>
      </c>
      <c r="O161" s="26"/>
      <c r="P161" s="53">
        <v>4</v>
      </c>
      <c r="Q161" s="32">
        <v>16</v>
      </c>
      <c r="R161" s="53">
        <v>266.27</v>
      </c>
      <c r="S161" s="26" t="s">
        <v>99</v>
      </c>
      <c r="T161" s="26" t="s">
        <v>100</v>
      </c>
      <c r="U161" s="26" t="s">
        <v>101</v>
      </c>
      <c r="V161" s="38" t="s">
        <v>6188</v>
      </c>
      <c r="W161" s="26" t="s">
        <v>103</v>
      </c>
      <c r="X161" s="26" t="s">
        <v>104</v>
      </c>
      <c r="Y161" s="26" t="s">
        <v>104</v>
      </c>
      <c r="Z161" s="26" t="s">
        <v>172</v>
      </c>
      <c r="AA161" s="26" t="s">
        <v>17</v>
      </c>
      <c r="AB161" s="30" t="s">
        <v>172</v>
      </c>
      <c r="AC161" s="49" t="s">
        <v>5300</v>
      </c>
      <c r="AD161" s="25" t="s">
        <v>174</v>
      </c>
      <c r="AE161" s="26" t="s">
        <v>175</v>
      </c>
      <c r="AF161" s="32">
        <f t="shared" si="20"/>
        <v>1</v>
      </c>
      <c r="AG161" s="32">
        <v>1</v>
      </c>
      <c r="AH161" s="32">
        <v>1</v>
      </c>
      <c r="AI161" s="32">
        <v>1</v>
      </c>
      <c r="AJ161" s="32"/>
      <c r="AK161" s="32">
        <v>1</v>
      </c>
      <c r="AL161" s="32">
        <f t="shared" si="21"/>
        <v>1</v>
      </c>
      <c r="AM161" s="32"/>
      <c r="AN161" s="32">
        <v>1</v>
      </c>
      <c r="AO161" s="32">
        <v>1</v>
      </c>
      <c r="AP161" s="32">
        <v>1</v>
      </c>
      <c r="AQ161" s="32">
        <v>1</v>
      </c>
      <c r="AR161" s="32">
        <v>1</v>
      </c>
      <c r="AS161" s="32"/>
      <c r="AT161" s="32">
        <v>1</v>
      </c>
      <c r="AU161" s="32"/>
      <c r="AW161" s="2" t="s">
        <v>6425</v>
      </c>
      <c r="AY161" s="75" t="s">
        <v>6426</v>
      </c>
    </row>
    <row r="162" spans="1:51" ht="16.5">
      <c r="A162" s="49" t="s">
        <v>6427</v>
      </c>
      <c r="B162" s="26" t="s">
        <v>160</v>
      </c>
      <c r="C162" s="26" t="s">
        <v>73</v>
      </c>
      <c r="D162" s="49" t="s">
        <v>6428</v>
      </c>
      <c r="E162" s="49" t="s">
        <v>162</v>
      </c>
      <c r="F162" s="49" t="s">
        <v>6429</v>
      </c>
      <c r="G162" s="49" t="s">
        <v>6430</v>
      </c>
      <c r="H162" s="49" t="s">
        <v>5516</v>
      </c>
      <c r="I162" s="26">
        <v>202606.3</v>
      </c>
      <c r="J162" s="25">
        <v>6.17</v>
      </c>
      <c r="K162" s="25" t="s">
        <v>73</v>
      </c>
      <c r="L162" s="26" t="s">
        <v>6180</v>
      </c>
      <c r="M162" s="49" t="s">
        <v>6431</v>
      </c>
      <c r="N162" s="27" t="s">
        <v>6432</v>
      </c>
      <c r="O162" s="26"/>
      <c r="P162" s="53">
        <v>4</v>
      </c>
      <c r="Q162" s="32">
        <v>16</v>
      </c>
      <c r="R162" s="53">
        <v>266.69</v>
      </c>
      <c r="S162" s="26" t="s">
        <v>99</v>
      </c>
      <c r="T162" s="26" t="s">
        <v>100</v>
      </c>
      <c r="U162" s="26" t="s">
        <v>101</v>
      </c>
      <c r="V162" s="38" t="s">
        <v>6188</v>
      </c>
      <c r="W162" s="26" t="s">
        <v>103</v>
      </c>
      <c r="X162" s="26" t="s">
        <v>104</v>
      </c>
      <c r="Y162" s="26" t="s">
        <v>104</v>
      </c>
      <c r="Z162" s="26" t="s">
        <v>172</v>
      </c>
      <c r="AA162" s="26" t="s">
        <v>17</v>
      </c>
      <c r="AB162" s="30" t="s">
        <v>172</v>
      </c>
      <c r="AC162" s="49" t="s">
        <v>5300</v>
      </c>
      <c r="AD162" s="25" t="s">
        <v>174</v>
      </c>
      <c r="AE162" s="26" t="s">
        <v>175</v>
      </c>
      <c r="AF162" s="32">
        <f t="shared" si="20"/>
        <v>1</v>
      </c>
      <c r="AG162" s="32">
        <v>1</v>
      </c>
      <c r="AH162" s="32">
        <v>1</v>
      </c>
      <c r="AI162" s="32">
        <v>1</v>
      </c>
      <c r="AJ162" s="32"/>
      <c r="AK162" s="32">
        <v>1</v>
      </c>
      <c r="AL162" s="32">
        <f t="shared" si="21"/>
        <v>1</v>
      </c>
      <c r="AM162" s="32"/>
      <c r="AN162" s="32">
        <v>1</v>
      </c>
      <c r="AO162" s="32">
        <v>1</v>
      </c>
      <c r="AP162" s="32">
        <v>1</v>
      </c>
      <c r="AQ162" s="32">
        <v>1</v>
      </c>
      <c r="AR162" s="32">
        <v>1</v>
      </c>
      <c r="AS162" s="32"/>
      <c r="AT162" s="32">
        <v>1</v>
      </c>
      <c r="AU162" s="32"/>
      <c r="AW162" s="2" t="s">
        <v>6433</v>
      </c>
      <c r="AY162" s="75" t="s">
        <v>1652</v>
      </c>
    </row>
    <row r="163" spans="1:51" ht="16.5">
      <c r="A163" s="49" t="s">
        <v>6434</v>
      </c>
      <c r="B163" s="26" t="s">
        <v>160</v>
      </c>
      <c r="C163" s="26" t="s">
        <v>73</v>
      </c>
      <c r="D163" s="49" t="s">
        <v>6435</v>
      </c>
      <c r="E163" s="49" t="s">
        <v>162</v>
      </c>
      <c r="F163" s="49" t="s">
        <v>6436</v>
      </c>
      <c r="G163" s="49" t="s">
        <v>6437</v>
      </c>
      <c r="H163" s="49" t="s">
        <v>5516</v>
      </c>
      <c r="I163" s="26">
        <v>202606.3</v>
      </c>
      <c r="J163" s="25">
        <v>6.17</v>
      </c>
      <c r="K163" s="25" t="s">
        <v>73</v>
      </c>
      <c r="L163" s="26" t="s">
        <v>6276</v>
      </c>
      <c r="M163" s="49" t="s">
        <v>6438</v>
      </c>
      <c r="N163" s="27" t="s">
        <v>6439</v>
      </c>
      <c r="O163" s="26"/>
      <c r="P163" s="53">
        <v>4</v>
      </c>
      <c r="Q163" s="32">
        <v>16</v>
      </c>
      <c r="R163" s="53">
        <v>270.31</v>
      </c>
      <c r="S163" s="26" t="s">
        <v>99</v>
      </c>
      <c r="T163" s="26" t="s">
        <v>100</v>
      </c>
      <c r="U163" s="26" t="s">
        <v>101</v>
      </c>
      <c r="V163" s="38" t="s">
        <v>6188</v>
      </c>
      <c r="W163" s="26" t="s">
        <v>103</v>
      </c>
      <c r="X163" s="26" t="s">
        <v>104</v>
      </c>
      <c r="Y163" s="26" t="s">
        <v>104</v>
      </c>
      <c r="Z163" s="26" t="s">
        <v>172</v>
      </c>
      <c r="AA163" s="26" t="s">
        <v>17</v>
      </c>
      <c r="AB163" s="30" t="s">
        <v>172</v>
      </c>
      <c r="AC163" s="49" t="s">
        <v>5300</v>
      </c>
      <c r="AD163" s="25" t="s">
        <v>174</v>
      </c>
      <c r="AE163" s="26" t="s">
        <v>175</v>
      </c>
      <c r="AF163" s="32">
        <f t="shared" si="20"/>
        <v>1</v>
      </c>
      <c r="AG163" s="32">
        <v>1</v>
      </c>
      <c r="AH163" s="32">
        <v>1</v>
      </c>
      <c r="AI163" s="32">
        <v>1</v>
      </c>
      <c r="AJ163" s="32"/>
      <c r="AK163" s="32">
        <v>1</v>
      </c>
      <c r="AL163" s="32">
        <f t="shared" si="21"/>
        <v>1</v>
      </c>
      <c r="AM163" s="32"/>
      <c r="AN163" s="32">
        <v>1</v>
      </c>
      <c r="AO163" s="32">
        <v>1</v>
      </c>
      <c r="AP163" s="32">
        <v>1</v>
      </c>
      <c r="AQ163" s="32">
        <v>1</v>
      </c>
      <c r="AR163" s="32">
        <v>1</v>
      </c>
      <c r="AS163" s="32"/>
      <c r="AT163" s="32">
        <v>1</v>
      </c>
      <c r="AU163" s="32"/>
      <c r="AW163" s="2" t="s">
        <v>6440</v>
      </c>
      <c r="AY163" s="75" t="s">
        <v>6441</v>
      </c>
    </row>
    <row r="164" spans="1:51" ht="16.5" hidden="1">
      <c r="A164" s="49" t="s">
        <v>6442</v>
      </c>
      <c r="B164" s="150" t="s">
        <v>160</v>
      </c>
      <c r="C164" s="150" t="s">
        <v>73</v>
      </c>
      <c r="D164" s="151" t="s">
        <v>6443</v>
      </c>
      <c r="E164" s="151" t="s">
        <v>162</v>
      </c>
      <c r="F164" s="49" t="s">
        <v>6444</v>
      </c>
      <c r="G164" s="151" t="s">
        <v>6445</v>
      </c>
      <c r="H164" s="151" t="s">
        <v>5516</v>
      </c>
      <c r="I164" s="26">
        <v>202606.3</v>
      </c>
      <c r="J164" s="34" t="s">
        <v>3213</v>
      </c>
      <c r="K164" s="152" t="s">
        <v>73</v>
      </c>
      <c r="L164" s="26" t="s">
        <v>6446</v>
      </c>
      <c r="M164" s="151" t="s">
        <v>6447</v>
      </c>
      <c r="N164" s="153" t="s">
        <v>6448</v>
      </c>
      <c r="O164" s="26"/>
      <c r="P164" s="53">
        <v>4</v>
      </c>
      <c r="Q164" s="32">
        <v>16</v>
      </c>
      <c r="R164" s="53">
        <v>266.73</v>
      </c>
      <c r="S164" s="26" t="s">
        <v>99</v>
      </c>
      <c r="T164" s="26" t="s">
        <v>100</v>
      </c>
      <c r="U164" s="26" t="s">
        <v>101</v>
      </c>
      <c r="V164" s="38" t="s">
        <v>6188</v>
      </c>
      <c r="W164" s="26" t="s">
        <v>103</v>
      </c>
      <c r="X164" s="26" t="s">
        <v>104</v>
      </c>
      <c r="Y164" s="26" t="s">
        <v>104</v>
      </c>
      <c r="Z164" s="26" t="s">
        <v>172</v>
      </c>
      <c r="AA164" s="26" t="s">
        <v>17</v>
      </c>
      <c r="AB164" s="30" t="s">
        <v>172</v>
      </c>
      <c r="AC164" s="49" t="s">
        <v>5300</v>
      </c>
      <c r="AD164" s="25" t="s">
        <v>174</v>
      </c>
      <c r="AE164" s="26" t="s">
        <v>175</v>
      </c>
      <c r="AF164" s="32">
        <f t="shared" si="20"/>
        <v>1</v>
      </c>
      <c r="AG164" s="32">
        <v>1</v>
      </c>
      <c r="AH164" s="32">
        <v>1</v>
      </c>
      <c r="AI164" s="32">
        <v>1</v>
      </c>
      <c r="AJ164" s="32"/>
      <c r="AK164" s="32"/>
      <c r="AL164" s="32">
        <f t="shared" ref="AL164" si="22">IF(COUNTIF(AW:AW,"*"&amp;M164&amp;"*")&gt;0,1,0)</f>
        <v>0</v>
      </c>
      <c r="AM164" s="32"/>
      <c r="AN164" s="32"/>
      <c r="AO164" s="32"/>
      <c r="AP164" s="32"/>
      <c r="AQ164" s="32"/>
      <c r="AR164" s="32"/>
      <c r="AS164" s="32"/>
      <c r="AT164" s="32"/>
      <c r="AU164" s="32"/>
      <c r="AW164" s="2" t="s">
        <v>6449</v>
      </c>
      <c r="AY164" s="75" t="s">
        <v>6450</v>
      </c>
    </row>
    <row r="165" spans="1:51" ht="16.5">
      <c r="A165" s="49" t="s">
        <v>6451</v>
      </c>
      <c r="B165" s="26" t="s">
        <v>160</v>
      </c>
      <c r="C165" s="26" t="s">
        <v>73</v>
      </c>
      <c r="D165" s="49" t="s">
        <v>6452</v>
      </c>
      <c r="E165" s="49" t="s">
        <v>162</v>
      </c>
      <c r="F165" s="49" t="s">
        <v>6453</v>
      </c>
      <c r="G165" s="49" t="s">
        <v>6454</v>
      </c>
      <c r="H165" s="49" t="s">
        <v>5516</v>
      </c>
      <c r="I165" s="26">
        <v>202606.3</v>
      </c>
      <c r="J165" s="25">
        <v>6.17</v>
      </c>
      <c r="K165" s="25" t="s">
        <v>73</v>
      </c>
      <c r="L165" s="26" t="s">
        <v>6337</v>
      </c>
      <c r="M165" s="49" t="s">
        <v>6455</v>
      </c>
      <c r="N165" s="27" t="s">
        <v>6456</v>
      </c>
      <c r="O165" s="26"/>
      <c r="P165" s="53">
        <v>4</v>
      </c>
      <c r="Q165" s="32">
        <v>16</v>
      </c>
      <c r="R165" s="53">
        <v>270.25</v>
      </c>
      <c r="S165" s="26" t="s">
        <v>99</v>
      </c>
      <c r="T165" s="26" t="s">
        <v>100</v>
      </c>
      <c r="U165" s="26" t="s">
        <v>101</v>
      </c>
      <c r="V165" s="38" t="s">
        <v>6188</v>
      </c>
      <c r="W165" s="26" t="s">
        <v>103</v>
      </c>
      <c r="X165" s="26" t="s">
        <v>104</v>
      </c>
      <c r="Y165" s="26" t="s">
        <v>104</v>
      </c>
      <c r="Z165" s="26" t="s">
        <v>172</v>
      </c>
      <c r="AA165" s="26" t="s">
        <v>17</v>
      </c>
      <c r="AB165" s="30" t="s">
        <v>172</v>
      </c>
      <c r="AC165" s="49" t="s">
        <v>5300</v>
      </c>
      <c r="AD165" s="25" t="s">
        <v>174</v>
      </c>
      <c r="AE165" s="26" t="s">
        <v>175</v>
      </c>
      <c r="AF165" s="32">
        <f t="shared" si="20"/>
        <v>1</v>
      </c>
      <c r="AG165" s="32">
        <v>1</v>
      </c>
      <c r="AH165" s="32">
        <v>1</v>
      </c>
      <c r="AI165" s="32">
        <v>1</v>
      </c>
      <c r="AJ165" s="32"/>
      <c r="AK165" s="32">
        <v>1</v>
      </c>
      <c r="AL165" s="32">
        <f t="shared" ref="AL165:AL178" si="23">IF(COUNTIF(AW:AW,"*"&amp;L165&amp;"*")&gt;0,1,0)</f>
        <v>1</v>
      </c>
      <c r="AM165" s="32"/>
      <c r="AN165" s="32">
        <v>1</v>
      </c>
      <c r="AO165" s="32">
        <v>1</v>
      </c>
      <c r="AP165" s="32">
        <v>1</v>
      </c>
      <c r="AQ165" s="32">
        <v>1</v>
      </c>
      <c r="AR165" s="32">
        <v>1</v>
      </c>
      <c r="AS165" s="32"/>
      <c r="AT165" s="32">
        <v>1</v>
      </c>
      <c r="AU165" s="32"/>
      <c r="AW165" s="2" t="s">
        <v>6414</v>
      </c>
      <c r="AY165" s="75" t="s">
        <v>6457</v>
      </c>
    </row>
    <row r="166" spans="1:51" ht="16.5">
      <c r="A166" s="49" t="s">
        <v>6458</v>
      </c>
      <c r="B166" s="26" t="s">
        <v>160</v>
      </c>
      <c r="C166" s="26" t="s">
        <v>73</v>
      </c>
      <c r="D166" s="49" t="s">
        <v>6459</v>
      </c>
      <c r="E166" s="49" t="s">
        <v>162</v>
      </c>
      <c r="F166" s="49" t="s">
        <v>6460</v>
      </c>
      <c r="G166" s="49" t="s">
        <v>6461</v>
      </c>
      <c r="H166" s="49" t="s">
        <v>5516</v>
      </c>
      <c r="I166" s="26">
        <v>202606.3</v>
      </c>
      <c r="J166" s="25">
        <v>6.17</v>
      </c>
      <c r="K166" s="25" t="s">
        <v>73</v>
      </c>
      <c r="L166" s="26" t="s">
        <v>6251</v>
      </c>
      <c r="M166" s="49" t="s">
        <v>6462</v>
      </c>
      <c r="N166" s="27" t="s">
        <v>6463</v>
      </c>
      <c r="O166" s="26"/>
      <c r="P166" s="53">
        <v>4</v>
      </c>
      <c r="Q166" s="32">
        <v>16</v>
      </c>
      <c r="R166" s="53">
        <v>266.68</v>
      </c>
      <c r="S166" s="26" t="s">
        <v>99</v>
      </c>
      <c r="T166" s="26" t="s">
        <v>100</v>
      </c>
      <c r="U166" s="26" t="s">
        <v>101</v>
      </c>
      <c r="V166" s="38" t="s">
        <v>6188</v>
      </c>
      <c r="W166" s="26" t="s">
        <v>103</v>
      </c>
      <c r="X166" s="26" t="s">
        <v>104</v>
      </c>
      <c r="Y166" s="26" t="s">
        <v>104</v>
      </c>
      <c r="Z166" s="26" t="s">
        <v>172</v>
      </c>
      <c r="AA166" s="26" t="s">
        <v>17</v>
      </c>
      <c r="AB166" s="30" t="s">
        <v>172</v>
      </c>
      <c r="AC166" s="49" t="s">
        <v>5300</v>
      </c>
      <c r="AD166" s="25" t="s">
        <v>174</v>
      </c>
      <c r="AE166" s="26" t="s">
        <v>175</v>
      </c>
      <c r="AF166" s="32">
        <f t="shared" si="20"/>
        <v>1</v>
      </c>
      <c r="AG166" s="32">
        <v>1</v>
      </c>
      <c r="AH166" s="32">
        <v>1</v>
      </c>
      <c r="AI166" s="32">
        <v>1</v>
      </c>
      <c r="AJ166" s="32"/>
      <c r="AK166" s="32">
        <v>1</v>
      </c>
      <c r="AL166" s="32">
        <f t="shared" si="23"/>
        <v>1</v>
      </c>
      <c r="AM166" s="32"/>
      <c r="AN166" s="32">
        <v>1</v>
      </c>
      <c r="AO166" s="32">
        <v>1</v>
      </c>
      <c r="AP166" s="32">
        <v>1</v>
      </c>
      <c r="AQ166" s="32">
        <v>1</v>
      </c>
      <c r="AR166" s="32">
        <v>1</v>
      </c>
      <c r="AS166" s="32"/>
      <c r="AT166" s="32">
        <v>1</v>
      </c>
      <c r="AU166" s="32"/>
      <c r="AW166" s="2" t="s">
        <v>6405</v>
      </c>
      <c r="AY166" s="75" t="s">
        <v>6464</v>
      </c>
    </row>
    <row r="167" spans="1:51" ht="16.5">
      <c r="A167" s="49" t="s">
        <v>6465</v>
      </c>
      <c r="B167" s="26" t="s">
        <v>160</v>
      </c>
      <c r="C167" s="26" t="s">
        <v>73</v>
      </c>
      <c r="D167" s="49" t="s">
        <v>6466</v>
      </c>
      <c r="E167" s="49" t="s">
        <v>162</v>
      </c>
      <c r="F167" s="49" t="s">
        <v>6467</v>
      </c>
      <c r="G167" s="49" t="s">
        <v>6468</v>
      </c>
      <c r="H167" s="49" t="s">
        <v>5516</v>
      </c>
      <c r="I167" s="26">
        <v>202606.3</v>
      </c>
      <c r="J167" s="25">
        <v>6.17</v>
      </c>
      <c r="K167" s="25" t="s">
        <v>73</v>
      </c>
      <c r="L167" s="26" t="s">
        <v>6219</v>
      </c>
      <c r="M167" s="49" t="s">
        <v>6469</v>
      </c>
      <c r="N167" s="27" t="s">
        <v>6470</v>
      </c>
      <c r="O167" s="26"/>
      <c r="P167" s="53">
        <v>4</v>
      </c>
      <c r="Q167" s="32">
        <v>16</v>
      </c>
      <c r="R167" s="53">
        <v>266.69</v>
      </c>
      <c r="S167" s="26" t="s">
        <v>99</v>
      </c>
      <c r="T167" s="26" t="s">
        <v>100</v>
      </c>
      <c r="U167" s="26" t="s">
        <v>101</v>
      </c>
      <c r="V167" s="38" t="s">
        <v>6188</v>
      </c>
      <c r="W167" s="26" t="s">
        <v>103</v>
      </c>
      <c r="X167" s="26" t="s">
        <v>104</v>
      </c>
      <c r="Y167" s="26" t="s">
        <v>104</v>
      </c>
      <c r="Z167" s="26" t="s">
        <v>172</v>
      </c>
      <c r="AA167" s="26" t="s">
        <v>17</v>
      </c>
      <c r="AB167" s="30" t="s">
        <v>172</v>
      </c>
      <c r="AC167" s="49" t="s">
        <v>5300</v>
      </c>
      <c r="AD167" s="25" t="s">
        <v>174</v>
      </c>
      <c r="AE167" s="26" t="s">
        <v>175</v>
      </c>
      <c r="AF167" s="32">
        <f t="shared" si="20"/>
        <v>1</v>
      </c>
      <c r="AG167" s="32">
        <v>1</v>
      </c>
      <c r="AH167" s="32">
        <v>1</v>
      </c>
      <c r="AI167" s="32">
        <v>1</v>
      </c>
      <c r="AJ167" s="32"/>
      <c r="AK167" s="32">
        <v>1</v>
      </c>
      <c r="AL167" s="32">
        <f t="shared" si="23"/>
        <v>1</v>
      </c>
      <c r="AM167" s="32"/>
      <c r="AN167" s="32">
        <v>1</v>
      </c>
      <c r="AO167" s="32">
        <v>1</v>
      </c>
      <c r="AP167" s="32">
        <v>1</v>
      </c>
      <c r="AQ167" s="32">
        <v>1</v>
      </c>
      <c r="AR167" s="32">
        <v>1</v>
      </c>
      <c r="AS167" s="32"/>
      <c r="AT167" s="32">
        <v>1</v>
      </c>
      <c r="AU167" s="32"/>
      <c r="AW167" s="2" t="s">
        <v>6396</v>
      </c>
      <c r="AY167" s="75" t="s">
        <v>6471</v>
      </c>
    </row>
    <row r="168" spans="1:51" ht="16.5">
      <c r="A168" s="49" t="s">
        <v>6472</v>
      </c>
      <c r="B168" s="26" t="s">
        <v>160</v>
      </c>
      <c r="C168" s="26" t="s">
        <v>73</v>
      </c>
      <c r="D168" s="49" t="s">
        <v>6400</v>
      </c>
      <c r="E168" s="49" t="s">
        <v>162</v>
      </c>
      <c r="F168" s="49" t="s">
        <v>6473</v>
      </c>
      <c r="G168" s="49" t="s">
        <v>6474</v>
      </c>
      <c r="H168" s="49" t="s">
        <v>5516</v>
      </c>
      <c r="I168" s="26">
        <v>202606.3</v>
      </c>
      <c r="J168" s="25">
        <v>6.17</v>
      </c>
      <c r="K168" s="25" t="s">
        <v>73</v>
      </c>
      <c r="L168" s="26" t="s">
        <v>5997</v>
      </c>
      <c r="M168" s="49" t="s">
        <v>6475</v>
      </c>
      <c r="N168" s="27" t="s">
        <v>6476</v>
      </c>
      <c r="O168" s="26"/>
      <c r="P168" s="53">
        <v>4</v>
      </c>
      <c r="Q168" s="32">
        <v>16</v>
      </c>
      <c r="R168" s="53">
        <v>266.69</v>
      </c>
      <c r="S168" s="26" t="s">
        <v>99</v>
      </c>
      <c r="T168" s="26" t="s">
        <v>100</v>
      </c>
      <c r="U168" s="26" t="s">
        <v>101</v>
      </c>
      <c r="V168" s="38" t="s">
        <v>6477</v>
      </c>
      <c r="W168" s="26" t="s">
        <v>103</v>
      </c>
      <c r="X168" s="26" t="s">
        <v>104</v>
      </c>
      <c r="Y168" s="26" t="s">
        <v>104</v>
      </c>
      <c r="Z168" s="26" t="s">
        <v>172</v>
      </c>
      <c r="AA168" s="26" t="s">
        <v>19</v>
      </c>
      <c r="AB168" s="30" t="s">
        <v>172</v>
      </c>
      <c r="AC168" s="49" t="s">
        <v>5300</v>
      </c>
      <c r="AD168" s="25" t="s">
        <v>174</v>
      </c>
      <c r="AE168" s="26" t="s">
        <v>175</v>
      </c>
      <c r="AF168" s="32">
        <f t="shared" si="20"/>
        <v>1</v>
      </c>
      <c r="AG168" s="32">
        <v>1</v>
      </c>
      <c r="AH168" s="32">
        <v>1</v>
      </c>
      <c r="AI168" s="32">
        <v>1</v>
      </c>
      <c r="AJ168" s="32"/>
      <c r="AK168" s="32"/>
      <c r="AL168" s="32">
        <f t="shared" si="23"/>
        <v>1</v>
      </c>
      <c r="AM168" s="32"/>
      <c r="AN168" s="32"/>
      <c r="AO168" s="32"/>
      <c r="AP168" s="32"/>
      <c r="AQ168" s="32"/>
      <c r="AR168" s="32"/>
      <c r="AS168" s="32"/>
      <c r="AT168" s="32">
        <v>1</v>
      </c>
      <c r="AU168" s="32"/>
      <c r="AW168" s="2" t="s">
        <v>6387</v>
      </c>
      <c r="AY168" s="75" t="s">
        <v>6478</v>
      </c>
    </row>
    <row r="169" spans="1:51" ht="16.5">
      <c r="A169" s="49" t="s">
        <v>6479</v>
      </c>
      <c r="B169" s="26" t="s">
        <v>160</v>
      </c>
      <c r="C169" s="26" t="s">
        <v>73</v>
      </c>
      <c r="D169" s="49" t="s">
        <v>6480</v>
      </c>
      <c r="E169" s="49" t="s">
        <v>162</v>
      </c>
      <c r="F169" s="49" t="s">
        <v>6481</v>
      </c>
      <c r="G169" s="49" t="s">
        <v>6482</v>
      </c>
      <c r="H169" s="49" t="s">
        <v>5516</v>
      </c>
      <c r="I169" s="26">
        <v>202606.3</v>
      </c>
      <c r="J169" s="25">
        <v>6.17</v>
      </c>
      <c r="K169" s="25" t="s">
        <v>73</v>
      </c>
      <c r="L169" s="26" t="s">
        <v>6328</v>
      </c>
      <c r="M169" s="49" t="s">
        <v>6483</v>
      </c>
      <c r="N169" s="27" t="s">
        <v>6484</v>
      </c>
      <c r="O169" s="26"/>
      <c r="P169" s="53">
        <v>4</v>
      </c>
      <c r="Q169" s="32">
        <v>16</v>
      </c>
      <c r="R169" s="53">
        <v>266.33</v>
      </c>
      <c r="S169" s="26" t="s">
        <v>99</v>
      </c>
      <c r="T169" s="26" t="s">
        <v>100</v>
      </c>
      <c r="U169" s="26" t="s">
        <v>101</v>
      </c>
      <c r="V169" s="38" t="s">
        <v>6477</v>
      </c>
      <c r="W169" s="26" t="s">
        <v>103</v>
      </c>
      <c r="X169" s="26" t="s">
        <v>104</v>
      </c>
      <c r="Y169" s="26" t="s">
        <v>104</v>
      </c>
      <c r="Z169" s="26" t="s">
        <v>172</v>
      </c>
      <c r="AA169" s="26" t="s">
        <v>19</v>
      </c>
      <c r="AB169" s="30" t="s">
        <v>172</v>
      </c>
      <c r="AC169" s="49" t="s">
        <v>5300</v>
      </c>
      <c r="AD169" s="25" t="s">
        <v>174</v>
      </c>
      <c r="AE169" s="26" t="s">
        <v>175</v>
      </c>
      <c r="AF169" s="32">
        <f t="shared" si="20"/>
        <v>1</v>
      </c>
      <c r="AG169" s="32">
        <v>1</v>
      </c>
      <c r="AH169" s="32">
        <v>1</v>
      </c>
      <c r="AI169" s="32">
        <v>1</v>
      </c>
      <c r="AJ169" s="32"/>
      <c r="AK169" s="32"/>
      <c r="AL169" s="32">
        <f t="shared" si="23"/>
        <v>1</v>
      </c>
      <c r="AM169" s="32"/>
      <c r="AN169" s="32"/>
      <c r="AO169" s="32"/>
      <c r="AP169" s="32"/>
      <c r="AQ169" s="32"/>
      <c r="AR169" s="32"/>
      <c r="AS169" s="32"/>
      <c r="AT169" s="32">
        <v>1</v>
      </c>
      <c r="AU169" s="32"/>
      <c r="AW169" s="2" t="s">
        <v>6378</v>
      </c>
      <c r="AY169" s="75" t="s">
        <v>6480</v>
      </c>
    </row>
    <row r="170" spans="1:51" ht="16.5">
      <c r="A170" s="49" t="s">
        <v>6485</v>
      </c>
      <c r="B170" s="26" t="s">
        <v>160</v>
      </c>
      <c r="C170" s="26" t="s">
        <v>73</v>
      </c>
      <c r="D170" s="49" t="s">
        <v>6486</v>
      </c>
      <c r="E170" s="49" t="s">
        <v>162</v>
      </c>
      <c r="F170" s="49" t="s">
        <v>6487</v>
      </c>
      <c r="G170" s="49" t="s">
        <v>6488</v>
      </c>
      <c r="H170" s="49" t="s">
        <v>5516</v>
      </c>
      <c r="I170" s="26">
        <v>202606.3</v>
      </c>
      <c r="J170" s="25">
        <v>6.17</v>
      </c>
      <c r="K170" s="25" t="s">
        <v>73</v>
      </c>
      <c r="L170" s="26" t="s">
        <v>6408</v>
      </c>
      <c r="M170" s="49" t="s">
        <v>6489</v>
      </c>
      <c r="N170" s="27" t="s">
        <v>6490</v>
      </c>
      <c r="O170" s="26"/>
      <c r="P170" s="53">
        <v>4</v>
      </c>
      <c r="Q170" s="32">
        <v>16</v>
      </c>
      <c r="R170" s="53">
        <v>266.95999999999998</v>
      </c>
      <c r="S170" s="26" t="s">
        <v>99</v>
      </c>
      <c r="T170" s="26" t="s">
        <v>100</v>
      </c>
      <c r="U170" s="26" t="s">
        <v>101</v>
      </c>
      <c r="V170" s="38" t="s">
        <v>6477</v>
      </c>
      <c r="W170" s="26" t="s">
        <v>103</v>
      </c>
      <c r="X170" s="26" t="s">
        <v>104</v>
      </c>
      <c r="Y170" s="26" t="s">
        <v>104</v>
      </c>
      <c r="Z170" s="26" t="s">
        <v>172</v>
      </c>
      <c r="AA170" s="26" t="s">
        <v>19</v>
      </c>
      <c r="AB170" s="30" t="s">
        <v>172</v>
      </c>
      <c r="AC170" s="49" t="s">
        <v>5300</v>
      </c>
      <c r="AD170" s="25" t="s">
        <v>174</v>
      </c>
      <c r="AE170" s="26" t="s">
        <v>175</v>
      </c>
      <c r="AF170" s="32">
        <f t="shared" si="20"/>
        <v>1</v>
      </c>
      <c r="AG170" s="32">
        <v>1</v>
      </c>
      <c r="AH170" s="32">
        <v>1</v>
      </c>
      <c r="AI170" s="32">
        <v>1</v>
      </c>
      <c r="AJ170" s="32"/>
      <c r="AK170" s="32"/>
      <c r="AL170" s="32">
        <f t="shared" si="23"/>
        <v>1</v>
      </c>
      <c r="AM170" s="32"/>
      <c r="AN170" s="32"/>
      <c r="AO170" s="32"/>
      <c r="AP170" s="32"/>
      <c r="AQ170" s="32"/>
      <c r="AR170" s="32"/>
      <c r="AS170" s="32"/>
      <c r="AT170" s="32">
        <v>1</v>
      </c>
      <c r="AU170" s="32"/>
      <c r="AW170" s="2" t="s">
        <v>6352</v>
      </c>
      <c r="AY170" s="75" t="s">
        <v>6491</v>
      </c>
    </row>
    <row r="171" spans="1:51" ht="16.5">
      <c r="A171" s="49" t="s">
        <v>6492</v>
      </c>
      <c r="B171" s="26" t="s">
        <v>160</v>
      </c>
      <c r="C171" s="26" t="s">
        <v>73</v>
      </c>
      <c r="D171" s="49" t="s">
        <v>6303</v>
      </c>
      <c r="E171" s="49" t="s">
        <v>162</v>
      </c>
      <c r="F171" s="49" t="s">
        <v>6493</v>
      </c>
      <c r="G171" s="49" t="s">
        <v>6494</v>
      </c>
      <c r="H171" s="49" t="s">
        <v>5516</v>
      </c>
      <c r="I171" s="26">
        <v>202606.3</v>
      </c>
      <c r="J171" s="25">
        <v>6.17</v>
      </c>
      <c r="K171" s="25" t="s">
        <v>73</v>
      </c>
      <c r="L171" s="26" t="s">
        <v>5846</v>
      </c>
      <c r="M171" s="49" t="s">
        <v>6495</v>
      </c>
      <c r="N171" s="27" t="s">
        <v>6496</v>
      </c>
      <c r="O171" s="26"/>
      <c r="P171" s="53">
        <v>4</v>
      </c>
      <c r="Q171" s="32">
        <v>16</v>
      </c>
      <c r="R171" s="53">
        <v>266.79000000000002</v>
      </c>
      <c r="S171" s="26" t="s">
        <v>99</v>
      </c>
      <c r="T171" s="26" t="s">
        <v>100</v>
      </c>
      <c r="U171" s="26" t="s">
        <v>101</v>
      </c>
      <c r="V171" s="38" t="s">
        <v>6477</v>
      </c>
      <c r="W171" s="26" t="s">
        <v>103</v>
      </c>
      <c r="X171" s="26" t="s">
        <v>104</v>
      </c>
      <c r="Y171" s="26" t="s">
        <v>104</v>
      </c>
      <c r="Z171" s="26" t="s">
        <v>172</v>
      </c>
      <c r="AA171" s="26" t="s">
        <v>19</v>
      </c>
      <c r="AB171" s="30" t="s">
        <v>172</v>
      </c>
      <c r="AC171" s="49" t="s">
        <v>5300</v>
      </c>
      <c r="AD171" s="25" t="s">
        <v>174</v>
      </c>
      <c r="AE171" s="26" t="s">
        <v>175</v>
      </c>
      <c r="AF171" s="32">
        <f t="shared" si="20"/>
        <v>1</v>
      </c>
      <c r="AG171" s="32">
        <v>1</v>
      </c>
      <c r="AH171" s="32">
        <v>1</v>
      </c>
      <c r="AI171" s="32">
        <v>1</v>
      </c>
      <c r="AJ171" s="32"/>
      <c r="AK171" s="32"/>
      <c r="AL171" s="32">
        <f t="shared" si="23"/>
        <v>1</v>
      </c>
      <c r="AM171" s="32"/>
      <c r="AN171" s="32"/>
      <c r="AO171" s="32"/>
      <c r="AP171" s="32"/>
      <c r="AQ171" s="32"/>
      <c r="AR171" s="32"/>
      <c r="AS171" s="32"/>
      <c r="AT171" s="32">
        <v>1</v>
      </c>
      <c r="AU171" s="32"/>
      <c r="AW171" s="2" t="s">
        <v>6343</v>
      </c>
      <c r="AY171" s="75" t="s">
        <v>6497</v>
      </c>
    </row>
    <row r="172" spans="1:51" ht="16.5">
      <c r="A172" s="49" t="s">
        <v>6498</v>
      </c>
      <c r="B172" s="26" t="s">
        <v>160</v>
      </c>
      <c r="C172" s="26" t="s">
        <v>73</v>
      </c>
      <c r="D172" s="49" t="s">
        <v>6329</v>
      </c>
      <c r="E172" s="49" t="s">
        <v>162</v>
      </c>
      <c r="F172" s="49" t="s">
        <v>6499</v>
      </c>
      <c r="G172" s="49" t="s">
        <v>6500</v>
      </c>
      <c r="H172" s="49" t="s">
        <v>5516</v>
      </c>
      <c r="I172" s="26">
        <v>202606.3</v>
      </c>
      <c r="J172" s="25">
        <v>6.17</v>
      </c>
      <c r="K172" s="25" t="s">
        <v>73</v>
      </c>
      <c r="L172" s="26" t="s">
        <v>5867</v>
      </c>
      <c r="M172" s="49" t="s">
        <v>6501</v>
      </c>
      <c r="N172" s="27" t="s">
        <v>6502</v>
      </c>
      <c r="O172" s="26"/>
      <c r="P172" s="53">
        <v>4</v>
      </c>
      <c r="Q172" s="32">
        <v>16</v>
      </c>
      <c r="R172" s="53">
        <v>268.33999999999997</v>
      </c>
      <c r="S172" s="26" t="s">
        <v>99</v>
      </c>
      <c r="T172" s="26" t="s">
        <v>100</v>
      </c>
      <c r="U172" s="26" t="s">
        <v>101</v>
      </c>
      <c r="V172" s="38" t="s">
        <v>6477</v>
      </c>
      <c r="W172" s="26" t="s">
        <v>103</v>
      </c>
      <c r="X172" s="26" t="s">
        <v>104</v>
      </c>
      <c r="Y172" s="26" t="s">
        <v>104</v>
      </c>
      <c r="Z172" s="26" t="s">
        <v>172</v>
      </c>
      <c r="AA172" s="26" t="s">
        <v>19</v>
      </c>
      <c r="AB172" s="30" t="s">
        <v>172</v>
      </c>
      <c r="AC172" s="49" t="s">
        <v>5300</v>
      </c>
      <c r="AD172" s="25" t="s">
        <v>174</v>
      </c>
      <c r="AE172" s="26" t="s">
        <v>175</v>
      </c>
      <c r="AF172" s="32">
        <f t="shared" si="20"/>
        <v>1</v>
      </c>
      <c r="AG172" s="32">
        <v>1</v>
      </c>
      <c r="AH172" s="32">
        <v>1</v>
      </c>
      <c r="AI172" s="32">
        <v>1</v>
      </c>
      <c r="AJ172" s="32"/>
      <c r="AK172" s="32"/>
      <c r="AL172" s="32">
        <f t="shared" si="23"/>
        <v>1</v>
      </c>
      <c r="AM172" s="32"/>
      <c r="AN172" s="32"/>
      <c r="AO172" s="32"/>
      <c r="AP172" s="32"/>
      <c r="AQ172" s="32"/>
      <c r="AR172" s="32"/>
      <c r="AS172" s="32"/>
      <c r="AT172" s="32">
        <v>1</v>
      </c>
      <c r="AU172" s="32"/>
      <c r="AW172" s="2" t="s">
        <v>6334</v>
      </c>
      <c r="AY172" s="75" t="s">
        <v>6503</v>
      </c>
    </row>
    <row r="173" spans="1:51" ht="16.5">
      <c r="A173" s="49" t="s">
        <v>6504</v>
      </c>
      <c r="B173" s="26" t="s">
        <v>160</v>
      </c>
      <c r="C173" s="26" t="s">
        <v>73</v>
      </c>
      <c r="D173" s="49" t="s">
        <v>6294</v>
      </c>
      <c r="E173" s="49" t="s">
        <v>162</v>
      </c>
      <c r="F173" s="49" t="s">
        <v>6505</v>
      </c>
      <c r="G173" s="49" t="s">
        <v>6506</v>
      </c>
      <c r="H173" s="49" t="s">
        <v>5516</v>
      </c>
      <c r="I173" s="26">
        <v>202606.3</v>
      </c>
      <c r="J173" s="25">
        <v>6.17</v>
      </c>
      <c r="K173" s="25" t="s">
        <v>73</v>
      </c>
      <c r="L173" s="26" t="s">
        <v>5839</v>
      </c>
      <c r="M173" s="49" t="s">
        <v>6507</v>
      </c>
      <c r="N173" s="27" t="s">
        <v>6508</v>
      </c>
      <c r="O173" s="26"/>
      <c r="P173" s="53">
        <v>4</v>
      </c>
      <c r="Q173" s="32">
        <v>16</v>
      </c>
      <c r="R173" s="53">
        <v>266.12</v>
      </c>
      <c r="S173" s="26" t="s">
        <v>99</v>
      </c>
      <c r="T173" s="26" t="s">
        <v>100</v>
      </c>
      <c r="U173" s="26" t="s">
        <v>101</v>
      </c>
      <c r="V173" s="38" t="s">
        <v>6477</v>
      </c>
      <c r="W173" s="26" t="s">
        <v>103</v>
      </c>
      <c r="X173" s="26" t="s">
        <v>104</v>
      </c>
      <c r="Y173" s="26" t="s">
        <v>104</v>
      </c>
      <c r="Z173" s="26" t="s">
        <v>172</v>
      </c>
      <c r="AA173" s="26" t="s">
        <v>19</v>
      </c>
      <c r="AB173" s="30" t="s">
        <v>172</v>
      </c>
      <c r="AC173" s="49" t="s">
        <v>5300</v>
      </c>
      <c r="AD173" s="25" t="s">
        <v>174</v>
      </c>
      <c r="AE173" s="26" t="s">
        <v>175</v>
      </c>
      <c r="AF173" s="32">
        <f t="shared" si="20"/>
        <v>1</v>
      </c>
      <c r="AG173" s="32">
        <v>1</v>
      </c>
      <c r="AH173" s="32">
        <v>1</v>
      </c>
      <c r="AI173" s="32">
        <v>1</v>
      </c>
      <c r="AJ173" s="32"/>
      <c r="AK173" s="32"/>
      <c r="AL173" s="32">
        <f t="shared" si="23"/>
        <v>1</v>
      </c>
      <c r="AM173" s="32"/>
      <c r="AN173" s="32"/>
      <c r="AO173" s="32"/>
      <c r="AP173" s="32"/>
      <c r="AQ173" s="32"/>
      <c r="AR173" s="32"/>
      <c r="AS173" s="25" t="s">
        <v>6509</v>
      </c>
      <c r="AT173" s="32">
        <v>1</v>
      </c>
      <c r="AU173" s="32"/>
      <c r="AW173" s="2" t="s">
        <v>6299</v>
      </c>
      <c r="AY173" s="75" t="s">
        <v>6510</v>
      </c>
    </row>
    <row r="174" spans="1:51" ht="16.5">
      <c r="A174" s="49" t="s">
        <v>6511</v>
      </c>
      <c r="B174" s="26" t="s">
        <v>160</v>
      </c>
      <c r="C174" s="26" t="s">
        <v>73</v>
      </c>
      <c r="D174" s="49" t="s">
        <v>6391</v>
      </c>
      <c r="E174" s="49" t="s">
        <v>188</v>
      </c>
      <c r="F174" s="49" t="s">
        <v>6512</v>
      </c>
      <c r="G174" s="49" t="s">
        <v>6513</v>
      </c>
      <c r="H174" s="49" t="s">
        <v>5516</v>
      </c>
      <c r="I174" s="26">
        <v>202606.3</v>
      </c>
      <c r="J174" s="25">
        <v>6.17</v>
      </c>
      <c r="K174" s="25" t="s">
        <v>73</v>
      </c>
      <c r="L174" s="26" t="s">
        <v>5990</v>
      </c>
      <c r="M174" s="49" t="s">
        <v>6514</v>
      </c>
      <c r="N174" s="27" t="s">
        <v>6515</v>
      </c>
      <c r="O174" s="26"/>
      <c r="P174" s="53">
        <v>8</v>
      </c>
      <c r="Q174" s="32">
        <v>32</v>
      </c>
      <c r="R174" s="53">
        <v>282.60000000000002</v>
      </c>
      <c r="S174" s="26" t="s">
        <v>99</v>
      </c>
      <c r="T174" s="26" t="s">
        <v>100</v>
      </c>
      <c r="U174" s="26" t="s">
        <v>101</v>
      </c>
      <c r="V174" s="38" t="s">
        <v>6477</v>
      </c>
      <c r="W174" s="26" t="s">
        <v>103</v>
      </c>
      <c r="X174" s="26" t="s">
        <v>104</v>
      </c>
      <c r="Y174" s="26" t="s">
        <v>104</v>
      </c>
      <c r="Z174" s="26" t="s">
        <v>172</v>
      </c>
      <c r="AA174" s="26" t="s">
        <v>19</v>
      </c>
      <c r="AB174" s="30" t="s">
        <v>172</v>
      </c>
      <c r="AC174" s="49" t="s">
        <v>5300</v>
      </c>
      <c r="AD174" s="25" t="s">
        <v>174</v>
      </c>
      <c r="AE174" s="26" t="s">
        <v>175</v>
      </c>
      <c r="AF174" s="32">
        <f t="shared" ref="AF174:AF203" si="24">IF(COUNTIF(AY:AY,D174)&gt;0,1,0)</f>
        <v>1</v>
      </c>
      <c r="AG174" s="32">
        <v>1</v>
      </c>
      <c r="AH174" s="32">
        <v>1</v>
      </c>
      <c r="AI174" s="32">
        <v>1</v>
      </c>
      <c r="AJ174" s="32"/>
      <c r="AK174" s="32"/>
      <c r="AL174" s="32">
        <f t="shared" si="23"/>
        <v>1</v>
      </c>
      <c r="AM174" s="32"/>
      <c r="AN174" s="32"/>
      <c r="AO174" s="32"/>
      <c r="AP174" s="32"/>
      <c r="AQ174" s="32"/>
      <c r="AR174" s="32"/>
      <c r="AS174" s="32"/>
      <c r="AT174" s="32">
        <v>1</v>
      </c>
      <c r="AU174" s="32"/>
      <c r="AW174" s="2" t="s">
        <v>6291</v>
      </c>
      <c r="AY174" s="75" t="s">
        <v>6516</v>
      </c>
    </row>
    <row r="175" spans="1:51" ht="16.5">
      <c r="A175" s="49" t="s">
        <v>6517</v>
      </c>
      <c r="B175" s="26" t="s">
        <v>160</v>
      </c>
      <c r="C175" s="26" t="s">
        <v>73</v>
      </c>
      <c r="D175" s="49" t="s">
        <v>6457</v>
      </c>
      <c r="E175" s="49" t="s">
        <v>162</v>
      </c>
      <c r="F175" s="49" t="s">
        <v>6518</v>
      </c>
      <c r="G175" s="49" t="s">
        <v>6519</v>
      </c>
      <c r="H175" s="49" t="s">
        <v>5516</v>
      </c>
      <c r="I175" s="26">
        <v>202606.3</v>
      </c>
      <c r="J175" s="25">
        <v>6.17</v>
      </c>
      <c r="K175" s="25" t="s">
        <v>73</v>
      </c>
      <c r="L175" s="26" t="s">
        <v>6267</v>
      </c>
      <c r="M175" s="49" t="s">
        <v>6520</v>
      </c>
      <c r="N175" s="27" t="s">
        <v>6521</v>
      </c>
      <c r="O175" s="26"/>
      <c r="P175" s="53">
        <v>4</v>
      </c>
      <c r="Q175" s="32">
        <v>16</v>
      </c>
      <c r="R175" s="53">
        <v>266.22000000000003</v>
      </c>
      <c r="S175" s="26" t="s">
        <v>99</v>
      </c>
      <c r="T175" s="26" t="s">
        <v>100</v>
      </c>
      <c r="U175" s="26" t="s">
        <v>101</v>
      </c>
      <c r="V175" s="38" t="s">
        <v>6477</v>
      </c>
      <c r="W175" s="26" t="s">
        <v>103</v>
      </c>
      <c r="X175" s="26" t="s">
        <v>104</v>
      </c>
      <c r="Y175" s="26" t="s">
        <v>104</v>
      </c>
      <c r="Z175" s="26" t="s">
        <v>172</v>
      </c>
      <c r="AA175" s="26" t="s">
        <v>19</v>
      </c>
      <c r="AB175" s="30" t="s">
        <v>172</v>
      </c>
      <c r="AC175" s="49" t="s">
        <v>5300</v>
      </c>
      <c r="AD175" s="25" t="s">
        <v>174</v>
      </c>
      <c r="AE175" s="26" t="s">
        <v>175</v>
      </c>
      <c r="AF175" s="32">
        <f t="shared" si="24"/>
        <v>1</v>
      </c>
      <c r="AG175" s="32">
        <v>1</v>
      </c>
      <c r="AH175" s="32">
        <v>1</v>
      </c>
      <c r="AI175" s="32">
        <v>1</v>
      </c>
      <c r="AJ175" s="32"/>
      <c r="AK175" s="32"/>
      <c r="AL175" s="32">
        <f t="shared" si="23"/>
        <v>1</v>
      </c>
      <c r="AM175" s="32"/>
      <c r="AN175" s="32"/>
      <c r="AO175" s="32"/>
      <c r="AP175" s="32"/>
      <c r="AQ175" s="32"/>
      <c r="AR175" s="32"/>
      <c r="AS175" s="25" t="s">
        <v>6522</v>
      </c>
      <c r="AT175" s="32">
        <v>1</v>
      </c>
      <c r="AU175" s="32"/>
      <c r="AW175" s="2" t="s">
        <v>6523</v>
      </c>
      <c r="AY175" s="75" t="s">
        <v>6486</v>
      </c>
    </row>
    <row r="176" spans="1:51" ht="16.5">
      <c r="A176" s="49" t="s">
        <v>6524</v>
      </c>
      <c r="B176" s="26" t="s">
        <v>160</v>
      </c>
      <c r="C176" s="26" t="s">
        <v>73</v>
      </c>
      <c r="D176" s="49" t="s">
        <v>6286</v>
      </c>
      <c r="E176" s="49" t="s">
        <v>162</v>
      </c>
      <c r="F176" s="49" t="s">
        <v>6525</v>
      </c>
      <c r="G176" s="49" t="s">
        <v>6526</v>
      </c>
      <c r="H176" s="49" t="s">
        <v>5516</v>
      </c>
      <c r="I176" s="26">
        <v>202606.3</v>
      </c>
      <c r="J176" s="25">
        <v>6.17</v>
      </c>
      <c r="K176" s="25" t="s">
        <v>73</v>
      </c>
      <c r="L176" s="26" t="s">
        <v>5833</v>
      </c>
      <c r="M176" s="49" t="s">
        <v>6527</v>
      </c>
      <c r="N176" s="27" t="s">
        <v>6528</v>
      </c>
      <c r="O176" s="26"/>
      <c r="P176" s="53">
        <v>4</v>
      </c>
      <c r="Q176" s="32">
        <v>16</v>
      </c>
      <c r="R176" s="53">
        <v>267.36</v>
      </c>
      <c r="S176" s="26" t="s">
        <v>99</v>
      </c>
      <c r="T176" s="26" t="s">
        <v>100</v>
      </c>
      <c r="U176" s="26" t="s">
        <v>101</v>
      </c>
      <c r="V176" s="38" t="s">
        <v>6477</v>
      </c>
      <c r="W176" s="26" t="s">
        <v>103</v>
      </c>
      <c r="X176" s="26" t="s">
        <v>104</v>
      </c>
      <c r="Y176" s="26" t="s">
        <v>104</v>
      </c>
      <c r="Z176" s="26" t="s">
        <v>172</v>
      </c>
      <c r="AA176" s="26" t="s">
        <v>19</v>
      </c>
      <c r="AB176" s="30" t="s">
        <v>172</v>
      </c>
      <c r="AC176" s="49" t="s">
        <v>5300</v>
      </c>
      <c r="AD176" s="25" t="s">
        <v>174</v>
      </c>
      <c r="AE176" s="26" t="s">
        <v>175</v>
      </c>
      <c r="AF176" s="32">
        <f t="shared" si="24"/>
        <v>1</v>
      </c>
      <c r="AG176" s="32">
        <v>1</v>
      </c>
      <c r="AH176" s="32">
        <v>1</v>
      </c>
      <c r="AI176" s="32">
        <v>1</v>
      </c>
      <c r="AJ176" s="32"/>
      <c r="AK176" s="32"/>
      <c r="AL176" s="32">
        <f t="shared" si="23"/>
        <v>1</v>
      </c>
      <c r="AM176" s="32"/>
      <c r="AN176" s="32"/>
      <c r="AO176" s="32"/>
      <c r="AP176" s="32"/>
      <c r="AQ176" s="32"/>
      <c r="AR176" s="32"/>
      <c r="AS176" s="32"/>
      <c r="AT176" s="32">
        <v>1</v>
      </c>
      <c r="AU176" s="32"/>
      <c r="AW176" s="2" t="s">
        <v>6529</v>
      </c>
      <c r="AY176" s="75" t="s">
        <v>6530</v>
      </c>
    </row>
    <row r="177" spans="1:51" ht="16.5">
      <c r="A177" s="49" t="s">
        <v>6531</v>
      </c>
      <c r="B177" s="26" t="s">
        <v>160</v>
      </c>
      <c r="C177" s="26" t="s">
        <v>73</v>
      </c>
      <c r="D177" s="49" t="s">
        <v>6426</v>
      </c>
      <c r="E177" s="49" t="s">
        <v>162</v>
      </c>
      <c r="F177" s="49" t="s">
        <v>6532</v>
      </c>
      <c r="G177" s="49" t="s">
        <v>6533</v>
      </c>
      <c r="H177" s="49" t="s">
        <v>5516</v>
      </c>
      <c r="I177" s="26">
        <v>202606.3</v>
      </c>
      <c r="J177" s="25">
        <v>6.17</v>
      </c>
      <c r="K177" s="25" t="s">
        <v>73</v>
      </c>
      <c r="L177" s="26" t="s">
        <v>6018</v>
      </c>
      <c r="M177" s="49" t="s">
        <v>6534</v>
      </c>
      <c r="N177" s="27" t="s">
        <v>6535</v>
      </c>
      <c r="O177" s="26"/>
      <c r="P177" s="53">
        <v>4</v>
      </c>
      <c r="Q177" s="32">
        <v>16</v>
      </c>
      <c r="R177" s="53">
        <v>268.58999999999997</v>
      </c>
      <c r="S177" s="26" t="s">
        <v>99</v>
      </c>
      <c r="T177" s="26" t="s">
        <v>100</v>
      </c>
      <c r="U177" s="26" t="s">
        <v>101</v>
      </c>
      <c r="V177" s="38" t="s">
        <v>6477</v>
      </c>
      <c r="W177" s="26" t="s">
        <v>103</v>
      </c>
      <c r="X177" s="26" t="s">
        <v>104</v>
      </c>
      <c r="Y177" s="26" t="s">
        <v>104</v>
      </c>
      <c r="Z177" s="26" t="s">
        <v>172</v>
      </c>
      <c r="AA177" s="26" t="s">
        <v>19</v>
      </c>
      <c r="AB177" s="30" t="s">
        <v>172</v>
      </c>
      <c r="AC177" s="49" t="s">
        <v>5300</v>
      </c>
      <c r="AD177" s="25" t="s">
        <v>174</v>
      </c>
      <c r="AE177" s="26" t="s">
        <v>175</v>
      </c>
      <c r="AF177" s="32">
        <f t="shared" si="24"/>
        <v>1</v>
      </c>
      <c r="AG177" s="32">
        <v>1</v>
      </c>
      <c r="AH177" s="32">
        <v>1</v>
      </c>
      <c r="AI177" s="32">
        <v>1</v>
      </c>
      <c r="AJ177" s="32"/>
      <c r="AK177" s="32"/>
      <c r="AL177" s="32">
        <f t="shared" si="23"/>
        <v>1</v>
      </c>
      <c r="AM177" s="32"/>
      <c r="AN177" s="32"/>
      <c r="AO177" s="32"/>
      <c r="AP177" s="32"/>
      <c r="AQ177" s="32"/>
      <c r="AR177" s="32"/>
      <c r="AS177" s="25" t="s">
        <v>6536</v>
      </c>
      <c r="AT177" s="32">
        <v>1</v>
      </c>
      <c r="AU177" s="32"/>
      <c r="AW177" s="2" t="s">
        <v>6537</v>
      </c>
      <c r="AY177" s="75" t="s">
        <v>6538</v>
      </c>
    </row>
    <row r="178" spans="1:51" ht="16.5">
      <c r="A178" s="49" t="s">
        <v>6539</v>
      </c>
      <c r="B178" s="26" t="s">
        <v>160</v>
      </c>
      <c r="C178" s="26" t="s">
        <v>73</v>
      </c>
      <c r="D178" s="49" t="s">
        <v>6382</v>
      </c>
      <c r="E178" s="49" t="s">
        <v>162</v>
      </c>
      <c r="F178" s="49" t="s">
        <v>6540</v>
      </c>
      <c r="G178" s="49" t="s">
        <v>6541</v>
      </c>
      <c r="H178" s="49" t="s">
        <v>5516</v>
      </c>
      <c r="I178" s="26">
        <v>202606.3</v>
      </c>
      <c r="J178" s="25">
        <v>6.17</v>
      </c>
      <c r="K178" s="25" t="s">
        <v>73</v>
      </c>
      <c r="L178" s="26" t="s">
        <v>5907</v>
      </c>
      <c r="M178" s="49" t="s">
        <v>6542</v>
      </c>
      <c r="N178" s="27" t="s">
        <v>6543</v>
      </c>
      <c r="O178" s="26"/>
      <c r="P178" s="53">
        <v>4</v>
      </c>
      <c r="Q178" s="32">
        <v>16</v>
      </c>
      <c r="R178" s="53">
        <v>267.35000000000002</v>
      </c>
      <c r="S178" s="26" t="s">
        <v>99</v>
      </c>
      <c r="T178" s="26" t="s">
        <v>100</v>
      </c>
      <c r="U178" s="26" t="s">
        <v>101</v>
      </c>
      <c r="V178" s="38" t="s">
        <v>6477</v>
      </c>
      <c r="W178" s="26" t="s">
        <v>103</v>
      </c>
      <c r="X178" s="26" t="s">
        <v>104</v>
      </c>
      <c r="Y178" s="26" t="s">
        <v>104</v>
      </c>
      <c r="Z178" s="26" t="s">
        <v>172</v>
      </c>
      <c r="AA178" s="26" t="s">
        <v>19</v>
      </c>
      <c r="AB178" s="30" t="s">
        <v>172</v>
      </c>
      <c r="AC178" s="49" t="s">
        <v>5300</v>
      </c>
      <c r="AD178" s="25" t="s">
        <v>174</v>
      </c>
      <c r="AE178" s="26" t="s">
        <v>175</v>
      </c>
      <c r="AF178" s="32">
        <f t="shared" si="24"/>
        <v>1</v>
      </c>
      <c r="AG178" s="32">
        <v>1</v>
      </c>
      <c r="AH178" s="32">
        <v>1</v>
      </c>
      <c r="AI178" s="32">
        <v>1</v>
      </c>
      <c r="AJ178" s="32"/>
      <c r="AK178" s="32"/>
      <c r="AL178" s="32">
        <f t="shared" si="23"/>
        <v>1</v>
      </c>
      <c r="AM178" s="32"/>
      <c r="AN178" s="32"/>
      <c r="AO178" s="32"/>
      <c r="AP178" s="32"/>
      <c r="AQ178" s="32"/>
      <c r="AR178" s="32"/>
      <c r="AS178" s="32"/>
      <c r="AT178" s="32">
        <v>1</v>
      </c>
      <c r="AU178" s="32"/>
      <c r="AW178" s="2" t="s">
        <v>6544</v>
      </c>
      <c r="AY178" s="75" t="s">
        <v>5118</v>
      </c>
    </row>
    <row r="179" spans="1:51" ht="16.5" hidden="1">
      <c r="A179" s="49" t="s">
        <v>6545</v>
      </c>
      <c r="B179" s="150" t="s">
        <v>160</v>
      </c>
      <c r="C179" s="150" t="s">
        <v>73</v>
      </c>
      <c r="D179" s="151" t="s">
        <v>6450</v>
      </c>
      <c r="E179" s="151" t="s">
        <v>162</v>
      </c>
      <c r="F179" s="49" t="s">
        <v>6546</v>
      </c>
      <c r="G179" s="151" t="s">
        <v>6547</v>
      </c>
      <c r="H179" s="151" t="s">
        <v>5516</v>
      </c>
      <c r="I179" s="26">
        <v>202606.3</v>
      </c>
      <c r="J179" s="34" t="s">
        <v>3213</v>
      </c>
      <c r="K179" s="152" t="s">
        <v>73</v>
      </c>
      <c r="L179" s="26" t="s">
        <v>6548</v>
      </c>
      <c r="M179" s="151" t="s">
        <v>6549</v>
      </c>
      <c r="N179" s="153" t="s">
        <v>6550</v>
      </c>
      <c r="O179" s="26"/>
      <c r="P179" s="53">
        <v>4</v>
      </c>
      <c r="Q179" s="32">
        <v>16</v>
      </c>
      <c r="R179" s="53">
        <v>266.38</v>
      </c>
      <c r="S179" s="26" t="s">
        <v>99</v>
      </c>
      <c r="T179" s="26" t="s">
        <v>100</v>
      </c>
      <c r="U179" s="26" t="s">
        <v>101</v>
      </c>
      <c r="V179" s="38" t="s">
        <v>6477</v>
      </c>
      <c r="W179" s="26" t="s">
        <v>103</v>
      </c>
      <c r="X179" s="26" t="s">
        <v>104</v>
      </c>
      <c r="Y179" s="26" t="s">
        <v>104</v>
      </c>
      <c r="Z179" s="26" t="s">
        <v>172</v>
      </c>
      <c r="AA179" s="26" t="s">
        <v>19</v>
      </c>
      <c r="AB179" s="30" t="s">
        <v>172</v>
      </c>
      <c r="AC179" s="49" t="s">
        <v>5300</v>
      </c>
      <c r="AD179" s="25" t="s">
        <v>174</v>
      </c>
      <c r="AE179" s="26" t="s">
        <v>175</v>
      </c>
      <c r="AF179" s="32">
        <f t="shared" si="24"/>
        <v>1</v>
      </c>
      <c r="AG179" s="32">
        <v>1</v>
      </c>
      <c r="AH179" s="32">
        <v>1</v>
      </c>
      <c r="AI179" s="32">
        <v>1</v>
      </c>
      <c r="AJ179" s="32"/>
      <c r="AK179" s="32"/>
      <c r="AL179" s="32">
        <f t="shared" ref="AL179:AL195" si="25">IF(COUNTIF(AW:AW,"*"&amp;M179&amp;"*")&gt;0,1,0)</f>
        <v>0</v>
      </c>
      <c r="AM179" s="32"/>
      <c r="AN179" s="32"/>
      <c r="AO179" s="32"/>
      <c r="AP179" s="32"/>
      <c r="AQ179" s="32"/>
      <c r="AR179" s="32"/>
      <c r="AS179" s="32"/>
      <c r="AT179" s="32"/>
      <c r="AU179" s="32"/>
      <c r="AW179" s="2" t="s">
        <v>6551</v>
      </c>
      <c r="AY179" s="75" t="s">
        <v>1664</v>
      </c>
    </row>
    <row r="180" spans="1:51" ht="16.5">
      <c r="A180" s="49" t="s">
        <v>6552</v>
      </c>
      <c r="B180" s="26" t="s">
        <v>160</v>
      </c>
      <c r="C180" s="26" t="s">
        <v>73</v>
      </c>
      <c r="D180" s="49" t="s">
        <v>6478</v>
      </c>
      <c r="E180" s="49" t="s">
        <v>162</v>
      </c>
      <c r="F180" s="49" t="s">
        <v>6553</v>
      </c>
      <c r="G180" s="49" t="s">
        <v>6554</v>
      </c>
      <c r="H180" s="49" t="s">
        <v>5516</v>
      </c>
      <c r="I180" s="26">
        <v>202606.3</v>
      </c>
      <c r="J180" s="25">
        <v>6.17</v>
      </c>
      <c r="K180" s="25" t="s">
        <v>73</v>
      </c>
      <c r="L180" s="26" t="s">
        <v>6319</v>
      </c>
      <c r="M180" s="49" t="s">
        <v>6555</v>
      </c>
      <c r="N180" s="27" t="s">
        <v>6556</v>
      </c>
      <c r="O180" s="26"/>
      <c r="P180" s="53">
        <v>4</v>
      </c>
      <c r="Q180" s="32">
        <v>16</v>
      </c>
      <c r="R180" s="53">
        <v>269.39999999999998</v>
      </c>
      <c r="S180" s="26" t="s">
        <v>99</v>
      </c>
      <c r="T180" s="26" t="s">
        <v>100</v>
      </c>
      <c r="U180" s="26" t="s">
        <v>101</v>
      </c>
      <c r="V180" s="38" t="s">
        <v>6477</v>
      </c>
      <c r="W180" s="26" t="s">
        <v>103</v>
      </c>
      <c r="X180" s="26" t="s">
        <v>104</v>
      </c>
      <c r="Y180" s="26" t="s">
        <v>104</v>
      </c>
      <c r="Z180" s="26" t="s">
        <v>172</v>
      </c>
      <c r="AA180" s="26" t="s">
        <v>19</v>
      </c>
      <c r="AB180" s="30" t="s">
        <v>172</v>
      </c>
      <c r="AC180" s="49" t="s">
        <v>5300</v>
      </c>
      <c r="AD180" s="25" t="s">
        <v>174</v>
      </c>
      <c r="AE180" s="26" t="s">
        <v>175</v>
      </c>
      <c r="AF180" s="32">
        <f t="shared" si="24"/>
        <v>1</v>
      </c>
      <c r="AG180" s="32">
        <v>1</v>
      </c>
      <c r="AH180" s="32">
        <v>1</v>
      </c>
      <c r="AI180" s="32">
        <v>1</v>
      </c>
      <c r="AJ180" s="32"/>
      <c r="AK180" s="32"/>
      <c r="AL180" s="32">
        <f t="shared" ref="AL180:AL193" si="26">IF(COUNTIF(AW:AW,"*"&amp;L180&amp;"*")&gt;0,1,0)</f>
        <v>1</v>
      </c>
      <c r="AM180" s="32"/>
      <c r="AN180" s="32"/>
      <c r="AO180" s="32"/>
      <c r="AP180" s="32"/>
      <c r="AQ180" s="32"/>
      <c r="AR180" s="32"/>
      <c r="AS180" s="32"/>
      <c r="AT180" s="32">
        <v>1</v>
      </c>
      <c r="AU180" s="32"/>
      <c r="AW180" s="2" t="s">
        <v>6557</v>
      </c>
      <c r="AY180" s="75" t="s">
        <v>1668</v>
      </c>
    </row>
    <row r="181" spans="1:51" ht="16.5">
      <c r="A181" s="49" t="s">
        <v>6558</v>
      </c>
      <c r="B181" s="26" t="s">
        <v>160</v>
      </c>
      <c r="C181" s="26" t="s">
        <v>73</v>
      </c>
      <c r="D181" s="49" t="s">
        <v>6497</v>
      </c>
      <c r="E181" s="49" t="s">
        <v>499</v>
      </c>
      <c r="F181" s="49" t="s">
        <v>6559</v>
      </c>
      <c r="G181" s="49" t="s">
        <v>6560</v>
      </c>
      <c r="H181" s="49" t="s">
        <v>5516</v>
      </c>
      <c r="I181" s="26">
        <v>202606.3</v>
      </c>
      <c r="J181" s="25">
        <v>6.17</v>
      </c>
      <c r="K181" s="25" t="s">
        <v>73</v>
      </c>
      <c r="L181" s="26" t="s">
        <v>6390</v>
      </c>
      <c r="M181" s="49" t="s">
        <v>6561</v>
      </c>
      <c r="N181" s="27" t="s">
        <v>6562</v>
      </c>
      <c r="O181" s="26"/>
      <c r="P181" s="53">
        <v>2</v>
      </c>
      <c r="Q181" s="32">
        <v>8</v>
      </c>
      <c r="R181" s="53">
        <v>258.11</v>
      </c>
      <c r="S181" s="26" t="s">
        <v>99</v>
      </c>
      <c r="T181" s="26" t="s">
        <v>100</v>
      </c>
      <c r="U181" s="26" t="s">
        <v>101</v>
      </c>
      <c r="V181" s="38" t="s">
        <v>6477</v>
      </c>
      <c r="W181" s="26" t="s">
        <v>103</v>
      </c>
      <c r="X181" s="26" t="s">
        <v>104</v>
      </c>
      <c r="Y181" s="26" t="s">
        <v>104</v>
      </c>
      <c r="Z181" s="26" t="s">
        <v>172</v>
      </c>
      <c r="AA181" s="26" t="s">
        <v>19</v>
      </c>
      <c r="AB181" s="30" t="s">
        <v>172</v>
      </c>
      <c r="AC181" s="49" t="s">
        <v>5300</v>
      </c>
      <c r="AD181" s="25" t="s">
        <v>174</v>
      </c>
      <c r="AE181" s="26" t="s">
        <v>175</v>
      </c>
      <c r="AF181" s="32">
        <f t="shared" si="24"/>
        <v>1</v>
      </c>
      <c r="AG181" s="32">
        <v>1</v>
      </c>
      <c r="AH181" s="32">
        <v>1</v>
      </c>
      <c r="AI181" s="32">
        <v>1</v>
      </c>
      <c r="AJ181" s="32"/>
      <c r="AK181" s="32"/>
      <c r="AL181" s="32">
        <f t="shared" si="26"/>
        <v>1</v>
      </c>
      <c r="AM181" s="32"/>
      <c r="AN181" s="32"/>
      <c r="AO181" s="32"/>
      <c r="AP181" s="32"/>
      <c r="AQ181" s="32"/>
      <c r="AR181" s="32"/>
      <c r="AS181" s="25" t="s">
        <v>6536</v>
      </c>
      <c r="AT181" s="32">
        <v>1</v>
      </c>
      <c r="AU181" s="32"/>
      <c r="AW181" s="2" t="s">
        <v>6563</v>
      </c>
      <c r="AY181" s="75" t="s">
        <v>6564</v>
      </c>
    </row>
    <row r="182" spans="1:51" ht="16.5">
      <c r="A182" s="49" t="s">
        <v>6565</v>
      </c>
      <c r="B182" s="26" t="s">
        <v>160</v>
      </c>
      <c r="C182" s="26" t="s">
        <v>73</v>
      </c>
      <c r="D182" s="49" t="s">
        <v>6491</v>
      </c>
      <c r="E182" s="49" t="s">
        <v>499</v>
      </c>
      <c r="F182" s="49" t="s">
        <v>6566</v>
      </c>
      <c r="G182" s="49" t="s">
        <v>6567</v>
      </c>
      <c r="H182" s="49" t="s">
        <v>5516</v>
      </c>
      <c r="I182" s="26">
        <v>202606.3</v>
      </c>
      <c r="J182" s="25">
        <v>6.17</v>
      </c>
      <c r="K182" s="25" t="s">
        <v>73</v>
      </c>
      <c r="L182" s="26" t="s">
        <v>6381</v>
      </c>
      <c r="M182" s="49" t="s">
        <v>6568</v>
      </c>
      <c r="N182" s="27" t="s">
        <v>6569</v>
      </c>
      <c r="O182" s="26"/>
      <c r="P182" s="53">
        <v>2</v>
      </c>
      <c r="Q182" s="32">
        <v>8</v>
      </c>
      <c r="R182" s="53">
        <v>265.54000000000002</v>
      </c>
      <c r="S182" s="26" t="s">
        <v>99</v>
      </c>
      <c r="T182" s="26" t="s">
        <v>100</v>
      </c>
      <c r="U182" s="26" t="s">
        <v>101</v>
      </c>
      <c r="V182" s="38" t="s">
        <v>6477</v>
      </c>
      <c r="W182" s="26" t="s">
        <v>103</v>
      </c>
      <c r="X182" s="26" t="s">
        <v>104</v>
      </c>
      <c r="Y182" s="26" t="s">
        <v>104</v>
      </c>
      <c r="Z182" s="26" t="s">
        <v>172</v>
      </c>
      <c r="AA182" s="26" t="s">
        <v>19</v>
      </c>
      <c r="AB182" s="30" t="s">
        <v>172</v>
      </c>
      <c r="AC182" s="49" t="s">
        <v>5300</v>
      </c>
      <c r="AD182" s="25" t="s">
        <v>174</v>
      </c>
      <c r="AE182" s="26" t="s">
        <v>175</v>
      </c>
      <c r="AF182" s="32">
        <f t="shared" si="24"/>
        <v>1</v>
      </c>
      <c r="AG182" s="32">
        <v>1</v>
      </c>
      <c r="AH182" s="32">
        <v>1</v>
      </c>
      <c r="AI182" s="32">
        <v>1</v>
      </c>
      <c r="AJ182" s="32"/>
      <c r="AK182" s="32"/>
      <c r="AL182" s="32">
        <f t="shared" si="26"/>
        <v>1</v>
      </c>
      <c r="AM182" s="32"/>
      <c r="AN182" s="32"/>
      <c r="AO182" s="32"/>
      <c r="AP182" s="32"/>
      <c r="AQ182" s="32"/>
      <c r="AR182" s="32"/>
      <c r="AS182" s="25" t="s">
        <v>6536</v>
      </c>
      <c r="AT182" s="32">
        <v>1</v>
      </c>
      <c r="AU182" s="32"/>
      <c r="AW182" s="2" t="s">
        <v>6316</v>
      </c>
      <c r="AY182" s="75" t="s">
        <v>6570</v>
      </c>
    </row>
    <row r="183" spans="1:51" ht="16.5">
      <c r="A183" s="49" t="s">
        <v>6571</v>
      </c>
      <c r="B183" s="26" t="s">
        <v>160</v>
      </c>
      <c r="C183" s="26" t="s">
        <v>73</v>
      </c>
      <c r="D183" s="49" t="s">
        <v>6338</v>
      </c>
      <c r="E183" s="49" t="s">
        <v>162</v>
      </c>
      <c r="F183" s="49" t="s">
        <v>6572</v>
      </c>
      <c r="G183" s="49" t="s">
        <v>6573</v>
      </c>
      <c r="H183" s="49" t="s">
        <v>5516</v>
      </c>
      <c r="I183" s="26">
        <v>202606.3</v>
      </c>
      <c r="J183" s="25">
        <v>6.17</v>
      </c>
      <c r="K183" s="25" t="s">
        <v>73</v>
      </c>
      <c r="L183" s="26" t="s">
        <v>5876</v>
      </c>
      <c r="M183" s="49" t="s">
        <v>6574</v>
      </c>
      <c r="N183" s="27" t="s">
        <v>6575</v>
      </c>
      <c r="O183" s="26"/>
      <c r="P183" s="53">
        <v>4</v>
      </c>
      <c r="Q183" s="32">
        <v>16</v>
      </c>
      <c r="R183" s="53">
        <v>271.74</v>
      </c>
      <c r="S183" s="26" t="s">
        <v>99</v>
      </c>
      <c r="T183" s="26" t="s">
        <v>100</v>
      </c>
      <c r="U183" s="26" t="s">
        <v>101</v>
      </c>
      <c r="V183" s="38" t="s">
        <v>6477</v>
      </c>
      <c r="W183" s="26" t="s">
        <v>103</v>
      </c>
      <c r="X183" s="26" t="s">
        <v>104</v>
      </c>
      <c r="Y183" s="26" t="s">
        <v>104</v>
      </c>
      <c r="Z183" s="26" t="s">
        <v>172</v>
      </c>
      <c r="AA183" s="26" t="s">
        <v>19</v>
      </c>
      <c r="AB183" s="30" t="s">
        <v>172</v>
      </c>
      <c r="AC183" s="49" t="s">
        <v>5300</v>
      </c>
      <c r="AD183" s="25" t="s">
        <v>174</v>
      </c>
      <c r="AE183" s="26" t="s">
        <v>175</v>
      </c>
      <c r="AF183" s="32">
        <f t="shared" si="24"/>
        <v>1</v>
      </c>
      <c r="AG183" s="32">
        <v>1</v>
      </c>
      <c r="AH183" s="32">
        <v>1</v>
      </c>
      <c r="AI183" s="32">
        <v>1</v>
      </c>
      <c r="AJ183" s="32"/>
      <c r="AK183" s="32"/>
      <c r="AL183" s="32">
        <f t="shared" si="26"/>
        <v>1</v>
      </c>
      <c r="AM183" s="32"/>
      <c r="AN183" s="32"/>
      <c r="AO183" s="32"/>
      <c r="AP183" s="32"/>
      <c r="AQ183" s="32"/>
      <c r="AR183" s="32"/>
      <c r="AS183" s="32"/>
      <c r="AT183" s="32">
        <v>1</v>
      </c>
      <c r="AU183" s="32"/>
      <c r="AW183" s="2" t="s">
        <v>6273</v>
      </c>
      <c r="AY183" s="75" t="s">
        <v>6576</v>
      </c>
    </row>
    <row r="184" spans="1:51" ht="16.5">
      <c r="A184" s="49" t="s">
        <v>6577</v>
      </c>
      <c r="B184" s="26" t="s">
        <v>160</v>
      </c>
      <c r="C184" s="26" t="s">
        <v>73</v>
      </c>
      <c r="D184" s="49" t="s">
        <v>6373</v>
      </c>
      <c r="E184" s="49" t="s">
        <v>162</v>
      </c>
      <c r="F184" s="49" t="s">
        <v>6578</v>
      </c>
      <c r="G184" s="49" t="s">
        <v>6579</v>
      </c>
      <c r="H184" s="49" t="s">
        <v>5516</v>
      </c>
      <c r="I184" s="26">
        <v>202606.3</v>
      </c>
      <c r="J184" s="25">
        <v>6.17</v>
      </c>
      <c r="K184" s="25" t="s">
        <v>73</v>
      </c>
      <c r="L184" s="26" t="s">
        <v>5900</v>
      </c>
      <c r="M184" s="49" t="s">
        <v>6580</v>
      </c>
      <c r="N184" s="27" t="s">
        <v>6581</v>
      </c>
      <c r="O184" s="26"/>
      <c r="P184" s="53">
        <v>4</v>
      </c>
      <c r="Q184" s="32">
        <v>16</v>
      </c>
      <c r="R184" s="53">
        <v>267.61</v>
      </c>
      <c r="S184" s="26" t="s">
        <v>99</v>
      </c>
      <c r="T184" s="26" t="s">
        <v>100</v>
      </c>
      <c r="U184" s="26" t="s">
        <v>101</v>
      </c>
      <c r="V184" s="38" t="s">
        <v>6477</v>
      </c>
      <c r="W184" s="26" t="s">
        <v>103</v>
      </c>
      <c r="X184" s="26" t="s">
        <v>104</v>
      </c>
      <c r="Y184" s="26" t="s">
        <v>104</v>
      </c>
      <c r="Z184" s="26" t="s">
        <v>172</v>
      </c>
      <c r="AA184" s="26" t="s">
        <v>19</v>
      </c>
      <c r="AB184" s="30" t="s">
        <v>172</v>
      </c>
      <c r="AC184" s="49" t="s">
        <v>5300</v>
      </c>
      <c r="AD184" s="25" t="s">
        <v>174</v>
      </c>
      <c r="AE184" s="26" t="s">
        <v>175</v>
      </c>
      <c r="AF184" s="32">
        <f t="shared" si="24"/>
        <v>1</v>
      </c>
      <c r="AG184" s="32">
        <v>1</v>
      </c>
      <c r="AH184" s="32">
        <v>1</v>
      </c>
      <c r="AI184" s="32">
        <v>1</v>
      </c>
      <c r="AJ184" s="32"/>
      <c r="AK184" s="32"/>
      <c r="AL184" s="32">
        <f t="shared" si="26"/>
        <v>1</v>
      </c>
      <c r="AM184" s="32"/>
      <c r="AN184" s="32"/>
      <c r="AO184" s="32"/>
      <c r="AP184" s="32"/>
      <c r="AQ184" s="32"/>
      <c r="AR184" s="32"/>
      <c r="AS184" s="32"/>
      <c r="AT184" s="32">
        <v>1</v>
      </c>
      <c r="AU184" s="32"/>
      <c r="AW184" s="2" t="s">
        <v>6256</v>
      </c>
      <c r="AY184" s="75" t="s">
        <v>6582</v>
      </c>
    </row>
    <row r="185" spans="1:51" ht="16.5">
      <c r="A185" s="49" t="s">
        <v>6583</v>
      </c>
      <c r="B185" s="26" t="s">
        <v>160</v>
      </c>
      <c r="C185" s="26" t="s">
        <v>73</v>
      </c>
      <c r="D185" s="49" t="s">
        <v>6365</v>
      </c>
      <c r="E185" s="49" t="s">
        <v>162</v>
      </c>
      <c r="F185" s="49" t="s">
        <v>6584</v>
      </c>
      <c r="G185" s="49" t="s">
        <v>6585</v>
      </c>
      <c r="H185" s="49" t="s">
        <v>5516</v>
      </c>
      <c r="I185" s="26">
        <v>202606.3</v>
      </c>
      <c r="J185" s="25">
        <v>6.17</v>
      </c>
      <c r="K185" s="25" t="s">
        <v>73</v>
      </c>
      <c r="L185" s="26" t="s">
        <v>5895</v>
      </c>
      <c r="M185" s="49" t="s">
        <v>6586</v>
      </c>
      <c r="N185" s="27" t="s">
        <v>6587</v>
      </c>
      <c r="O185" s="26"/>
      <c r="P185" s="53">
        <v>4</v>
      </c>
      <c r="Q185" s="32">
        <v>16</v>
      </c>
      <c r="R185" s="53">
        <v>267.61</v>
      </c>
      <c r="S185" s="26" t="s">
        <v>99</v>
      </c>
      <c r="T185" s="26" t="s">
        <v>100</v>
      </c>
      <c r="U185" s="26" t="s">
        <v>101</v>
      </c>
      <c r="V185" s="38" t="s">
        <v>6477</v>
      </c>
      <c r="W185" s="26" t="s">
        <v>103</v>
      </c>
      <c r="X185" s="26" t="s">
        <v>104</v>
      </c>
      <c r="Y185" s="26" t="s">
        <v>104</v>
      </c>
      <c r="Z185" s="26" t="s">
        <v>172</v>
      </c>
      <c r="AA185" s="26" t="s">
        <v>19</v>
      </c>
      <c r="AB185" s="30" t="s">
        <v>172</v>
      </c>
      <c r="AC185" s="49" t="s">
        <v>5300</v>
      </c>
      <c r="AD185" s="25" t="s">
        <v>174</v>
      </c>
      <c r="AE185" s="26" t="s">
        <v>175</v>
      </c>
      <c r="AF185" s="32">
        <f t="shared" si="24"/>
        <v>1</v>
      </c>
      <c r="AG185" s="32">
        <v>1</v>
      </c>
      <c r="AH185" s="32">
        <v>1</v>
      </c>
      <c r="AI185" s="32">
        <v>1</v>
      </c>
      <c r="AJ185" s="32"/>
      <c r="AK185" s="32"/>
      <c r="AL185" s="32">
        <f t="shared" si="26"/>
        <v>1</v>
      </c>
      <c r="AM185" s="32"/>
      <c r="AN185" s="32"/>
      <c r="AO185" s="32"/>
      <c r="AP185" s="32"/>
      <c r="AQ185" s="32"/>
      <c r="AR185" s="32"/>
      <c r="AS185" s="32"/>
      <c r="AT185" s="32">
        <v>1</v>
      </c>
      <c r="AU185" s="32"/>
      <c r="AW185" s="2" t="s">
        <v>6325</v>
      </c>
      <c r="AY185" s="75" t="s">
        <v>6588</v>
      </c>
    </row>
    <row r="186" spans="1:51" ht="16.5">
      <c r="A186" s="49" t="s">
        <v>6589</v>
      </c>
      <c r="B186" s="26" t="s">
        <v>160</v>
      </c>
      <c r="C186" s="26" t="s">
        <v>73</v>
      </c>
      <c r="D186" s="49" t="s">
        <v>6356</v>
      </c>
      <c r="E186" s="49" t="s">
        <v>162</v>
      </c>
      <c r="F186" s="49" t="s">
        <v>6590</v>
      </c>
      <c r="G186" s="49" t="s">
        <v>6591</v>
      </c>
      <c r="H186" s="49" t="s">
        <v>5516</v>
      </c>
      <c r="I186" s="26">
        <v>202606.3</v>
      </c>
      <c r="J186" s="25">
        <v>6.17</v>
      </c>
      <c r="K186" s="25" t="s">
        <v>73</v>
      </c>
      <c r="L186" s="26" t="s">
        <v>5889</v>
      </c>
      <c r="M186" s="49" t="s">
        <v>6592</v>
      </c>
      <c r="N186" s="27" t="s">
        <v>6593</v>
      </c>
      <c r="O186" s="26"/>
      <c r="P186" s="53">
        <v>4</v>
      </c>
      <c r="Q186" s="32">
        <v>16</v>
      </c>
      <c r="R186" s="53">
        <v>266.3</v>
      </c>
      <c r="S186" s="26" t="s">
        <v>99</v>
      </c>
      <c r="T186" s="26" t="s">
        <v>100</v>
      </c>
      <c r="U186" s="26" t="s">
        <v>101</v>
      </c>
      <c r="V186" s="38" t="s">
        <v>6477</v>
      </c>
      <c r="W186" s="26" t="s">
        <v>103</v>
      </c>
      <c r="X186" s="26" t="s">
        <v>104</v>
      </c>
      <c r="Y186" s="26" t="s">
        <v>104</v>
      </c>
      <c r="Z186" s="26" t="s">
        <v>172</v>
      </c>
      <c r="AA186" s="26" t="s">
        <v>19</v>
      </c>
      <c r="AB186" s="30" t="s">
        <v>172</v>
      </c>
      <c r="AC186" s="49" t="s">
        <v>5300</v>
      </c>
      <c r="AD186" s="25" t="s">
        <v>174</v>
      </c>
      <c r="AE186" s="26" t="s">
        <v>175</v>
      </c>
      <c r="AF186" s="32">
        <f t="shared" si="24"/>
        <v>1</v>
      </c>
      <c r="AG186" s="32">
        <v>1</v>
      </c>
      <c r="AH186" s="32">
        <v>1</v>
      </c>
      <c r="AI186" s="32">
        <v>1</v>
      </c>
      <c r="AJ186" s="32"/>
      <c r="AK186" s="32"/>
      <c r="AL186" s="32">
        <f t="shared" si="26"/>
        <v>1</v>
      </c>
      <c r="AM186" s="32"/>
      <c r="AN186" s="32"/>
      <c r="AO186" s="32"/>
      <c r="AP186" s="32"/>
      <c r="AQ186" s="32"/>
      <c r="AR186" s="32"/>
      <c r="AS186" s="32"/>
      <c r="AT186" s="32">
        <v>1</v>
      </c>
      <c r="AU186" s="32"/>
      <c r="AW186" s="2" t="s">
        <v>6594</v>
      </c>
      <c r="AY186" s="75" t="s">
        <v>6595</v>
      </c>
    </row>
    <row r="187" spans="1:51" ht="16.5">
      <c r="A187" s="49" t="s">
        <v>6596</v>
      </c>
      <c r="B187" s="26" t="s">
        <v>160</v>
      </c>
      <c r="C187" s="26" t="s">
        <v>73</v>
      </c>
      <c r="D187" s="49" t="s">
        <v>6347</v>
      </c>
      <c r="E187" s="49" t="s">
        <v>162</v>
      </c>
      <c r="F187" s="49" t="s">
        <v>6597</v>
      </c>
      <c r="G187" s="49" t="s">
        <v>6598</v>
      </c>
      <c r="H187" s="49" t="s">
        <v>5516</v>
      </c>
      <c r="I187" s="26">
        <v>202606.3</v>
      </c>
      <c r="J187" s="25">
        <v>6.17</v>
      </c>
      <c r="K187" s="25" t="s">
        <v>73</v>
      </c>
      <c r="L187" s="26" t="s">
        <v>5883</v>
      </c>
      <c r="M187" s="49" t="s">
        <v>6599</v>
      </c>
      <c r="N187" s="27" t="s">
        <v>6600</v>
      </c>
      <c r="O187" s="26"/>
      <c r="P187" s="53">
        <v>4</v>
      </c>
      <c r="Q187" s="32">
        <v>16</v>
      </c>
      <c r="R187" s="53">
        <v>267.43</v>
      </c>
      <c r="S187" s="26" t="s">
        <v>99</v>
      </c>
      <c r="T187" s="26" t="s">
        <v>100</v>
      </c>
      <c r="U187" s="26" t="s">
        <v>101</v>
      </c>
      <c r="V187" s="38" t="s">
        <v>6477</v>
      </c>
      <c r="W187" s="26" t="s">
        <v>103</v>
      </c>
      <c r="X187" s="26" t="s">
        <v>104</v>
      </c>
      <c r="Y187" s="26" t="s">
        <v>104</v>
      </c>
      <c r="Z187" s="26" t="s">
        <v>172</v>
      </c>
      <c r="AA187" s="26" t="s">
        <v>19</v>
      </c>
      <c r="AB187" s="30" t="s">
        <v>172</v>
      </c>
      <c r="AC187" s="49" t="s">
        <v>5300</v>
      </c>
      <c r="AD187" s="25" t="s">
        <v>174</v>
      </c>
      <c r="AE187" s="26" t="s">
        <v>175</v>
      </c>
      <c r="AF187" s="32">
        <f t="shared" si="24"/>
        <v>1</v>
      </c>
      <c r="AG187" s="32">
        <v>1</v>
      </c>
      <c r="AH187" s="32">
        <v>1</v>
      </c>
      <c r="AI187" s="32">
        <v>1</v>
      </c>
      <c r="AJ187" s="32"/>
      <c r="AK187" s="32"/>
      <c r="AL187" s="32">
        <f t="shared" si="26"/>
        <v>1</v>
      </c>
      <c r="AM187" s="32"/>
      <c r="AN187" s="32"/>
      <c r="AO187" s="32"/>
      <c r="AP187" s="32"/>
      <c r="AQ187" s="32"/>
      <c r="AR187" s="32"/>
      <c r="AS187" s="32"/>
      <c r="AT187" s="32">
        <v>1</v>
      </c>
      <c r="AU187" s="32"/>
      <c r="AW187" s="2" t="s">
        <v>6601</v>
      </c>
      <c r="AY187" s="75" t="s">
        <v>6602</v>
      </c>
    </row>
    <row r="188" spans="1:51" ht="16.5">
      <c r="A188" s="49" t="s">
        <v>6603</v>
      </c>
      <c r="B188" s="26" t="s">
        <v>160</v>
      </c>
      <c r="C188" s="26" t="s">
        <v>73</v>
      </c>
      <c r="D188" s="49" t="s">
        <v>6409</v>
      </c>
      <c r="E188" s="49" t="s">
        <v>162</v>
      </c>
      <c r="F188" s="49" t="s">
        <v>6604</v>
      </c>
      <c r="G188" s="49" t="s">
        <v>6605</v>
      </c>
      <c r="H188" s="49" t="s">
        <v>5516</v>
      </c>
      <c r="I188" s="26">
        <v>202606.3</v>
      </c>
      <c r="J188" s="25">
        <v>6.17</v>
      </c>
      <c r="K188" s="25" t="s">
        <v>73</v>
      </c>
      <c r="L188" s="26" t="s">
        <v>6004</v>
      </c>
      <c r="M188" s="49" t="s">
        <v>6606</v>
      </c>
      <c r="N188" s="27" t="s">
        <v>6607</v>
      </c>
      <c r="O188" s="26"/>
      <c r="P188" s="53">
        <v>4</v>
      </c>
      <c r="Q188" s="32">
        <v>16</v>
      </c>
      <c r="R188" s="53">
        <v>267.45</v>
      </c>
      <c r="S188" s="26" t="s">
        <v>99</v>
      </c>
      <c r="T188" s="26" t="s">
        <v>100</v>
      </c>
      <c r="U188" s="26" t="s">
        <v>101</v>
      </c>
      <c r="V188" s="38" t="s">
        <v>6477</v>
      </c>
      <c r="W188" s="26" t="s">
        <v>103</v>
      </c>
      <c r="X188" s="26" t="s">
        <v>104</v>
      </c>
      <c r="Y188" s="26" t="s">
        <v>104</v>
      </c>
      <c r="Z188" s="26" t="s">
        <v>172</v>
      </c>
      <c r="AA188" s="26" t="s">
        <v>19</v>
      </c>
      <c r="AB188" s="30" t="s">
        <v>172</v>
      </c>
      <c r="AC188" s="49" t="s">
        <v>5300</v>
      </c>
      <c r="AD188" s="25" t="s">
        <v>174</v>
      </c>
      <c r="AE188" s="26" t="s">
        <v>175</v>
      </c>
      <c r="AF188" s="32">
        <f t="shared" si="24"/>
        <v>1</v>
      </c>
      <c r="AG188" s="32">
        <v>1</v>
      </c>
      <c r="AH188" s="32">
        <v>1</v>
      </c>
      <c r="AI188" s="32">
        <v>1</v>
      </c>
      <c r="AJ188" s="32"/>
      <c r="AK188" s="32"/>
      <c r="AL188" s="32">
        <f t="shared" si="26"/>
        <v>1</v>
      </c>
      <c r="AM188" s="32"/>
      <c r="AN188" s="32"/>
      <c r="AO188" s="32"/>
      <c r="AP188" s="32"/>
      <c r="AQ188" s="32"/>
      <c r="AR188" s="32"/>
      <c r="AS188" s="25" t="s">
        <v>6509</v>
      </c>
      <c r="AT188" s="32">
        <v>1</v>
      </c>
      <c r="AU188" s="32"/>
      <c r="AW188" s="2" t="s">
        <v>5705</v>
      </c>
      <c r="AY188" s="75" t="s">
        <v>6608</v>
      </c>
    </row>
    <row r="189" spans="1:51" ht="16.5">
      <c r="A189" s="49" t="s">
        <v>6609</v>
      </c>
      <c r="B189" s="26" t="s">
        <v>160</v>
      </c>
      <c r="C189" s="26" t="s">
        <v>73</v>
      </c>
      <c r="D189" s="49" t="s">
        <v>6441</v>
      </c>
      <c r="E189" s="49" t="s">
        <v>162</v>
      </c>
      <c r="F189" s="49" t="s">
        <v>6610</v>
      </c>
      <c r="G189" s="49" t="s">
        <v>6611</v>
      </c>
      <c r="H189" s="49" t="s">
        <v>5516</v>
      </c>
      <c r="I189" s="26">
        <v>202606.3</v>
      </c>
      <c r="J189" s="25">
        <v>6.17</v>
      </c>
      <c r="K189" s="25" t="s">
        <v>73</v>
      </c>
      <c r="L189" s="26" t="s">
        <v>6259</v>
      </c>
      <c r="M189" s="49" t="s">
        <v>6612</v>
      </c>
      <c r="N189" s="27" t="s">
        <v>6613</v>
      </c>
      <c r="O189" s="26"/>
      <c r="P189" s="53">
        <v>4</v>
      </c>
      <c r="Q189" s="32">
        <v>16</v>
      </c>
      <c r="R189" s="53">
        <v>272.52999999999997</v>
      </c>
      <c r="S189" s="26" t="s">
        <v>99</v>
      </c>
      <c r="T189" s="26" t="s">
        <v>100</v>
      </c>
      <c r="U189" s="26" t="s">
        <v>101</v>
      </c>
      <c r="V189" s="38" t="s">
        <v>6477</v>
      </c>
      <c r="W189" s="26" t="s">
        <v>103</v>
      </c>
      <c r="X189" s="26" t="s">
        <v>104</v>
      </c>
      <c r="Y189" s="26" t="s">
        <v>104</v>
      </c>
      <c r="Z189" s="26" t="s">
        <v>172</v>
      </c>
      <c r="AA189" s="26" t="s">
        <v>19</v>
      </c>
      <c r="AB189" s="30" t="s">
        <v>172</v>
      </c>
      <c r="AC189" s="49" t="s">
        <v>5300</v>
      </c>
      <c r="AD189" s="25" t="s">
        <v>174</v>
      </c>
      <c r="AE189" s="26" t="s">
        <v>175</v>
      </c>
      <c r="AF189" s="32">
        <f t="shared" si="24"/>
        <v>1</v>
      </c>
      <c r="AG189" s="32">
        <v>1</v>
      </c>
      <c r="AH189" s="32">
        <v>1</v>
      </c>
      <c r="AI189" s="32">
        <v>1</v>
      </c>
      <c r="AJ189" s="32"/>
      <c r="AK189" s="32"/>
      <c r="AL189" s="32">
        <f t="shared" si="26"/>
        <v>1</v>
      </c>
      <c r="AM189" s="32"/>
      <c r="AN189" s="32"/>
      <c r="AO189" s="32"/>
      <c r="AP189" s="32"/>
      <c r="AQ189" s="32"/>
      <c r="AR189" s="32"/>
      <c r="AS189" s="32"/>
      <c r="AT189" s="32">
        <v>1</v>
      </c>
      <c r="AU189" s="32"/>
      <c r="AW189" s="2" t="s">
        <v>5698</v>
      </c>
      <c r="AY189" s="75" t="s">
        <v>6614</v>
      </c>
    </row>
    <row r="190" spans="1:51" ht="16.5">
      <c r="A190" s="49" t="s">
        <v>6615</v>
      </c>
      <c r="B190" s="26" t="s">
        <v>160</v>
      </c>
      <c r="C190" s="26" t="s">
        <v>73</v>
      </c>
      <c r="D190" s="49" t="s">
        <v>6320</v>
      </c>
      <c r="E190" s="49" t="s">
        <v>162</v>
      </c>
      <c r="F190" s="49" t="s">
        <v>6616</v>
      </c>
      <c r="G190" s="49" t="s">
        <v>6617</v>
      </c>
      <c r="H190" s="49" t="s">
        <v>5516</v>
      </c>
      <c r="I190" s="26">
        <v>202606.3</v>
      </c>
      <c r="J190" s="25">
        <v>6.17</v>
      </c>
      <c r="K190" s="25" t="s">
        <v>73</v>
      </c>
      <c r="L190" s="26" t="s">
        <v>5860</v>
      </c>
      <c r="M190" s="49" t="s">
        <v>6618</v>
      </c>
      <c r="N190" s="27" t="s">
        <v>6619</v>
      </c>
      <c r="O190" s="26"/>
      <c r="P190" s="53">
        <v>4</v>
      </c>
      <c r="Q190" s="32">
        <v>16</v>
      </c>
      <c r="R190" s="53">
        <v>268.23</v>
      </c>
      <c r="S190" s="26" t="s">
        <v>99</v>
      </c>
      <c r="T190" s="26" t="s">
        <v>100</v>
      </c>
      <c r="U190" s="26" t="s">
        <v>101</v>
      </c>
      <c r="V190" s="38" t="s">
        <v>6477</v>
      </c>
      <c r="W190" s="26" t="s">
        <v>103</v>
      </c>
      <c r="X190" s="26" t="s">
        <v>104</v>
      </c>
      <c r="Y190" s="26" t="s">
        <v>104</v>
      </c>
      <c r="Z190" s="26" t="s">
        <v>172</v>
      </c>
      <c r="AA190" s="26" t="s">
        <v>19</v>
      </c>
      <c r="AB190" s="30" t="s">
        <v>172</v>
      </c>
      <c r="AC190" s="49" t="s">
        <v>5300</v>
      </c>
      <c r="AD190" s="25" t="s">
        <v>174</v>
      </c>
      <c r="AE190" s="26" t="s">
        <v>175</v>
      </c>
      <c r="AF190" s="32">
        <f t="shared" si="24"/>
        <v>1</v>
      </c>
      <c r="AG190" s="32">
        <v>1</v>
      </c>
      <c r="AH190" s="32">
        <v>1</v>
      </c>
      <c r="AI190" s="32">
        <v>1</v>
      </c>
      <c r="AJ190" s="32"/>
      <c r="AK190" s="32"/>
      <c r="AL190" s="32">
        <f t="shared" si="26"/>
        <v>1</v>
      </c>
      <c r="AM190" s="32"/>
      <c r="AN190" s="32"/>
      <c r="AO190" s="32"/>
      <c r="AP190" s="32"/>
      <c r="AQ190" s="32"/>
      <c r="AR190" s="32"/>
      <c r="AS190" s="32"/>
      <c r="AT190" s="32">
        <v>1</v>
      </c>
      <c r="AU190" s="32"/>
      <c r="AW190" s="2" t="s">
        <v>5682</v>
      </c>
      <c r="AY190" s="75" t="s">
        <v>6620</v>
      </c>
    </row>
    <row r="191" spans="1:51" ht="16.5">
      <c r="A191" s="49" t="s">
        <v>6621</v>
      </c>
      <c r="B191" s="26" t="s">
        <v>160</v>
      </c>
      <c r="C191" s="26" t="s">
        <v>73</v>
      </c>
      <c r="D191" s="49" t="s">
        <v>6464</v>
      </c>
      <c r="E191" s="49" t="s">
        <v>162</v>
      </c>
      <c r="F191" s="49" t="s">
        <v>6622</v>
      </c>
      <c r="G191" s="49" t="s">
        <v>6623</v>
      </c>
      <c r="H191" s="49" t="s">
        <v>5516</v>
      </c>
      <c r="I191" s="26">
        <v>202606.3</v>
      </c>
      <c r="J191" s="25">
        <v>6.17</v>
      </c>
      <c r="K191" s="25" t="s">
        <v>73</v>
      </c>
      <c r="L191" s="26" t="s">
        <v>6302</v>
      </c>
      <c r="M191" s="49" t="s">
        <v>6624</v>
      </c>
      <c r="N191" s="27" t="s">
        <v>6625</v>
      </c>
      <c r="O191" s="26"/>
      <c r="P191" s="53">
        <v>4</v>
      </c>
      <c r="Q191" s="32">
        <v>16</v>
      </c>
      <c r="R191" s="53">
        <v>266.13</v>
      </c>
      <c r="S191" s="26" t="s">
        <v>99</v>
      </c>
      <c r="T191" s="26" t="s">
        <v>100</v>
      </c>
      <c r="U191" s="26" t="s">
        <v>101</v>
      </c>
      <c r="V191" s="38" t="s">
        <v>6477</v>
      </c>
      <c r="W191" s="26" t="s">
        <v>103</v>
      </c>
      <c r="X191" s="26" t="s">
        <v>104</v>
      </c>
      <c r="Y191" s="26" t="s">
        <v>104</v>
      </c>
      <c r="Z191" s="26" t="s">
        <v>172</v>
      </c>
      <c r="AA191" s="26" t="s">
        <v>19</v>
      </c>
      <c r="AB191" s="30" t="s">
        <v>172</v>
      </c>
      <c r="AC191" s="49" t="s">
        <v>5300</v>
      </c>
      <c r="AD191" s="25" t="s">
        <v>174</v>
      </c>
      <c r="AE191" s="26" t="s">
        <v>175</v>
      </c>
      <c r="AF191" s="32">
        <f t="shared" si="24"/>
        <v>1</v>
      </c>
      <c r="AG191" s="32">
        <v>1</v>
      </c>
      <c r="AH191" s="32">
        <v>1</v>
      </c>
      <c r="AI191" s="32">
        <v>1</v>
      </c>
      <c r="AJ191" s="32"/>
      <c r="AK191" s="32"/>
      <c r="AL191" s="32">
        <f t="shared" si="26"/>
        <v>1</v>
      </c>
      <c r="AM191" s="32"/>
      <c r="AN191" s="32"/>
      <c r="AO191" s="32"/>
      <c r="AP191" s="32"/>
      <c r="AQ191" s="32"/>
      <c r="AR191" s="32"/>
      <c r="AS191" s="32"/>
      <c r="AT191" s="32">
        <v>1</v>
      </c>
      <c r="AU191" s="32"/>
      <c r="AW191" s="2" t="s">
        <v>5675</v>
      </c>
      <c r="AY191" s="75" t="s">
        <v>6626</v>
      </c>
    </row>
    <row r="192" spans="1:51" ht="16.5">
      <c r="A192" s="49" t="s">
        <v>6627</v>
      </c>
      <c r="B192" s="26" t="s">
        <v>160</v>
      </c>
      <c r="C192" s="26" t="s">
        <v>73</v>
      </c>
      <c r="D192" s="49" t="s">
        <v>6311</v>
      </c>
      <c r="E192" s="49" t="s">
        <v>499</v>
      </c>
      <c r="F192" s="49" t="s">
        <v>6628</v>
      </c>
      <c r="G192" s="49" t="s">
        <v>6629</v>
      </c>
      <c r="H192" s="49" t="s">
        <v>5516</v>
      </c>
      <c r="I192" s="26">
        <v>202606.3</v>
      </c>
      <c r="J192" s="25">
        <v>6.17</v>
      </c>
      <c r="K192" s="25" t="s">
        <v>73</v>
      </c>
      <c r="L192" s="26" t="s">
        <v>5853</v>
      </c>
      <c r="M192" s="49" t="s">
        <v>6630</v>
      </c>
      <c r="N192" s="27" t="s">
        <v>6631</v>
      </c>
      <c r="O192" s="26"/>
      <c r="P192" s="53">
        <v>2</v>
      </c>
      <c r="Q192" s="32">
        <v>8</v>
      </c>
      <c r="R192" s="53">
        <v>264.58999999999997</v>
      </c>
      <c r="S192" s="26" t="s">
        <v>99</v>
      </c>
      <c r="T192" s="26" t="s">
        <v>100</v>
      </c>
      <c r="U192" s="26" t="s">
        <v>101</v>
      </c>
      <c r="V192" s="38" t="s">
        <v>6477</v>
      </c>
      <c r="W192" s="26" t="s">
        <v>103</v>
      </c>
      <c r="X192" s="26" t="s">
        <v>104</v>
      </c>
      <c r="Y192" s="26" t="s">
        <v>104</v>
      </c>
      <c r="Z192" s="26" t="s">
        <v>172</v>
      </c>
      <c r="AA192" s="26" t="s">
        <v>19</v>
      </c>
      <c r="AB192" s="30" t="s">
        <v>172</v>
      </c>
      <c r="AC192" s="49" t="s">
        <v>5300</v>
      </c>
      <c r="AD192" s="25" t="s">
        <v>174</v>
      </c>
      <c r="AE192" s="26" t="s">
        <v>175</v>
      </c>
      <c r="AF192" s="32">
        <f t="shared" si="24"/>
        <v>1</v>
      </c>
      <c r="AG192" s="32">
        <v>1</v>
      </c>
      <c r="AH192" s="32">
        <v>1</v>
      </c>
      <c r="AI192" s="32">
        <v>1</v>
      </c>
      <c r="AJ192" s="32"/>
      <c r="AK192" s="32"/>
      <c r="AL192" s="32">
        <f t="shared" si="26"/>
        <v>1</v>
      </c>
      <c r="AM192" s="32"/>
      <c r="AN192" s="32"/>
      <c r="AO192" s="32"/>
      <c r="AP192" s="32"/>
      <c r="AQ192" s="32"/>
      <c r="AR192" s="32"/>
      <c r="AS192" s="32"/>
      <c r="AT192" s="32">
        <v>1</v>
      </c>
      <c r="AU192" s="32"/>
      <c r="AW192" s="2" t="s">
        <v>5668</v>
      </c>
      <c r="AY192" s="75" t="s">
        <v>6632</v>
      </c>
    </row>
    <row r="193" spans="1:51" ht="16.5">
      <c r="A193" s="49" t="s">
        <v>6633</v>
      </c>
      <c r="B193" s="26" t="s">
        <v>160</v>
      </c>
      <c r="C193" s="26" t="s">
        <v>73</v>
      </c>
      <c r="D193" s="49" t="s">
        <v>6503</v>
      </c>
      <c r="E193" s="49" t="s">
        <v>162</v>
      </c>
      <c r="F193" s="49" t="s">
        <v>6634</v>
      </c>
      <c r="G193" s="49" t="s">
        <v>6635</v>
      </c>
      <c r="H193" s="49" t="s">
        <v>5516</v>
      </c>
      <c r="I193" s="26">
        <v>202606.3</v>
      </c>
      <c r="J193" s="25">
        <v>6.17</v>
      </c>
      <c r="K193" s="25" t="s">
        <v>73</v>
      </c>
      <c r="L193" s="26" t="s">
        <v>6399</v>
      </c>
      <c r="M193" s="49" t="s">
        <v>6636</v>
      </c>
      <c r="N193" s="27" t="s">
        <v>6637</v>
      </c>
      <c r="O193" s="26"/>
      <c r="P193" s="53">
        <v>4</v>
      </c>
      <c r="Q193" s="32">
        <v>16</v>
      </c>
      <c r="R193" s="53">
        <v>266.51</v>
      </c>
      <c r="S193" s="26" t="s">
        <v>99</v>
      </c>
      <c r="T193" s="26" t="s">
        <v>100</v>
      </c>
      <c r="U193" s="26" t="s">
        <v>101</v>
      </c>
      <c r="V193" s="38" t="s">
        <v>6477</v>
      </c>
      <c r="W193" s="26" t="s">
        <v>103</v>
      </c>
      <c r="X193" s="26" t="s">
        <v>104</v>
      </c>
      <c r="Y193" s="26" t="s">
        <v>104</v>
      </c>
      <c r="Z193" s="26" t="s">
        <v>172</v>
      </c>
      <c r="AA193" s="26" t="s">
        <v>19</v>
      </c>
      <c r="AB193" s="30" t="s">
        <v>172</v>
      </c>
      <c r="AC193" s="49" t="s">
        <v>5300</v>
      </c>
      <c r="AD193" s="25" t="s">
        <v>174</v>
      </c>
      <c r="AE193" s="26" t="s">
        <v>175</v>
      </c>
      <c r="AF193" s="32">
        <f t="shared" si="24"/>
        <v>1</v>
      </c>
      <c r="AG193" s="32">
        <v>1</v>
      </c>
      <c r="AH193" s="32">
        <v>1</v>
      </c>
      <c r="AI193" s="32">
        <v>1</v>
      </c>
      <c r="AJ193" s="32"/>
      <c r="AK193" s="32"/>
      <c r="AL193" s="32">
        <f t="shared" si="26"/>
        <v>1</v>
      </c>
      <c r="AM193" s="32"/>
      <c r="AN193" s="32"/>
      <c r="AO193" s="32"/>
      <c r="AP193" s="32"/>
      <c r="AQ193" s="32"/>
      <c r="AR193" s="32"/>
      <c r="AS193" s="32"/>
      <c r="AT193" s="32">
        <v>1</v>
      </c>
      <c r="AU193" s="32"/>
      <c r="AW193" s="2" t="s">
        <v>5578</v>
      </c>
      <c r="AY193" s="75" t="s">
        <v>6638</v>
      </c>
    </row>
    <row r="194" spans="1:51" ht="16.5" hidden="1">
      <c r="A194" s="49" t="s">
        <v>6639</v>
      </c>
      <c r="B194" s="150" t="s">
        <v>160</v>
      </c>
      <c r="C194" s="150" t="s">
        <v>73</v>
      </c>
      <c r="D194" s="151" t="s">
        <v>6516</v>
      </c>
      <c r="E194" s="151" t="s">
        <v>162</v>
      </c>
      <c r="F194" s="49" t="s">
        <v>6640</v>
      </c>
      <c r="G194" s="151" t="s">
        <v>6641</v>
      </c>
      <c r="H194" s="151" t="s">
        <v>5516</v>
      </c>
      <c r="I194" s="26">
        <v>202606.3</v>
      </c>
      <c r="J194" s="34" t="s">
        <v>3213</v>
      </c>
      <c r="K194" s="152" t="s">
        <v>73</v>
      </c>
      <c r="L194" s="26" t="s">
        <v>6642</v>
      </c>
      <c r="M194" s="151" t="s">
        <v>6643</v>
      </c>
      <c r="N194" s="153" t="s">
        <v>6644</v>
      </c>
      <c r="O194" s="26"/>
      <c r="P194" s="53">
        <v>4</v>
      </c>
      <c r="Q194" s="32">
        <v>16</v>
      </c>
      <c r="R194" s="53">
        <v>266.39</v>
      </c>
      <c r="S194" s="26" t="s">
        <v>99</v>
      </c>
      <c r="T194" s="26" t="s">
        <v>100</v>
      </c>
      <c r="U194" s="26" t="s">
        <v>101</v>
      </c>
      <c r="V194" s="38" t="s">
        <v>6477</v>
      </c>
      <c r="W194" s="26" t="s">
        <v>103</v>
      </c>
      <c r="X194" s="26" t="s">
        <v>104</v>
      </c>
      <c r="Y194" s="26" t="s">
        <v>104</v>
      </c>
      <c r="Z194" s="26" t="s">
        <v>172</v>
      </c>
      <c r="AA194" s="26" t="s">
        <v>19</v>
      </c>
      <c r="AB194" s="30" t="s">
        <v>172</v>
      </c>
      <c r="AC194" s="49" t="s">
        <v>5300</v>
      </c>
      <c r="AD194" s="25" t="s">
        <v>174</v>
      </c>
      <c r="AE194" s="26" t="s">
        <v>175</v>
      </c>
      <c r="AF194" s="32">
        <f t="shared" si="24"/>
        <v>1</v>
      </c>
      <c r="AG194" s="32">
        <v>1</v>
      </c>
      <c r="AH194" s="32">
        <v>1</v>
      </c>
      <c r="AI194" s="32">
        <v>1</v>
      </c>
      <c r="AJ194" s="32"/>
      <c r="AK194" s="32"/>
      <c r="AL194" s="32">
        <f t="shared" si="25"/>
        <v>0</v>
      </c>
      <c r="AM194" s="32"/>
      <c r="AN194" s="32"/>
      <c r="AO194" s="32"/>
      <c r="AP194" s="32"/>
      <c r="AQ194" s="32"/>
      <c r="AR194" s="32"/>
      <c r="AS194" s="32"/>
      <c r="AT194" s="32"/>
      <c r="AU194" s="32"/>
      <c r="AY194" s="75" t="s">
        <v>6645</v>
      </c>
    </row>
    <row r="195" spans="1:51" ht="16.5" hidden="1">
      <c r="A195" s="49" t="s">
        <v>6646</v>
      </c>
      <c r="B195" s="150" t="s">
        <v>160</v>
      </c>
      <c r="C195" s="150" t="s">
        <v>73</v>
      </c>
      <c r="D195" s="151" t="s">
        <v>6510</v>
      </c>
      <c r="E195" s="151" t="s">
        <v>162</v>
      </c>
      <c r="F195" s="49" t="s">
        <v>6647</v>
      </c>
      <c r="G195" s="151" t="s">
        <v>6648</v>
      </c>
      <c r="H195" s="151" t="s">
        <v>5516</v>
      </c>
      <c r="I195" s="26">
        <v>202606.3</v>
      </c>
      <c r="J195" s="34" t="s">
        <v>3213</v>
      </c>
      <c r="K195" s="152" t="s">
        <v>73</v>
      </c>
      <c r="L195" s="26" t="s">
        <v>6649</v>
      </c>
      <c r="M195" s="151" t="s">
        <v>6650</v>
      </c>
      <c r="N195" s="153" t="s">
        <v>6651</v>
      </c>
      <c r="O195" s="26"/>
      <c r="P195" s="53">
        <v>4</v>
      </c>
      <c r="Q195" s="32">
        <v>16</v>
      </c>
      <c r="R195" s="53">
        <v>380.97</v>
      </c>
      <c r="S195" s="26" t="s">
        <v>99</v>
      </c>
      <c r="T195" s="26" t="s">
        <v>100</v>
      </c>
      <c r="U195" s="26" t="s">
        <v>101</v>
      </c>
      <c r="V195" s="38" t="s">
        <v>6477</v>
      </c>
      <c r="W195" s="26" t="s">
        <v>103</v>
      </c>
      <c r="X195" s="26" t="s">
        <v>104</v>
      </c>
      <c r="Y195" s="26" t="s">
        <v>104</v>
      </c>
      <c r="Z195" s="26" t="s">
        <v>172</v>
      </c>
      <c r="AA195" s="26" t="s">
        <v>19</v>
      </c>
      <c r="AB195" s="30" t="s">
        <v>172</v>
      </c>
      <c r="AC195" s="49" t="s">
        <v>5300</v>
      </c>
      <c r="AD195" s="25" t="s">
        <v>174</v>
      </c>
      <c r="AE195" s="26" t="s">
        <v>175</v>
      </c>
      <c r="AF195" s="32">
        <f t="shared" si="24"/>
        <v>1</v>
      </c>
      <c r="AG195" s="32">
        <v>1</v>
      </c>
      <c r="AH195" s="32">
        <v>1</v>
      </c>
      <c r="AI195" s="32">
        <v>1</v>
      </c>
      <c r="AJ195" s="32"/>
      <c r="AK195" s="32"/>
      <c r="AL195" s="32">
        <f t="shared" si="25"/>
        <v>0</v>
      </c>
      <c r="AM195" s="32"/>
      <c r="AN195" s="32"/>
      <c r="AO195" s="32"/>
      <c r="AP195" s="32"/>
      <c r="AQ195" s="32"/>
      <c r="AR195" s="32"/>
      <c r="AS195" s="32"/>
      <c r="AT195" s="32"/>
      <c r="AU195" s="32"/>
      <c r="AY195" s="75" t="s">
        <v>6652</v>
      </c>
    </row>
    <row r="196" spans="1:51" ht="16.5">
      <c r="A196" s="49" t="s">
        <v>6653</v>
      </c>
      <c r="B196" s="26" t="s">
        <v>160</v>
      </c>
      <c r="C196" s="26" t="s">
        <v>73</v>
      </c>
      <c r="D196" s="49" t="s">
        <v>6277</v>
      </c>
      <c r="E196" s="49" t="s">
        <v>162</v>
      </c>
      <c r="F196" s="49" t="s">
        <v>6654</v>
      </c>
      <c r="G196" s="49" t="s">
        <v>6655</v>
      </c>
      <c r="H196" s="49" t="s">
        <v>5516</v>
      </c>
      <c r="I196" s="26">
        <v>202606.3</v>
      </c>
      <c r="J196" s="25">
        <v>6.17</v>
      </c>
      <c r="K196" s="25" t="s">
        <v>73</v>
      </c>
      <c r="L196" s="26" t="s">
        <v>5825</v>
      </c>
      <c r="M196" s="49" t="s">
        <v>6656</v>
      </c>
      <c r="N196" s="27" t="s">
        <v>6657</v>
      </c>
      <c r="O196" s="26"/>
      <c r="P196" s="53">
        <v>4</v>
      </c>
      <c r="Q196" s="32">
        <v>16</v>
      </c>
      <c r="R196" s="53">
        <v>268.33</v>
      </c>
      <c r="S196" s="26" t="s">
        <v>99</v>
      </c>
      <c r="T196" s="26" t="s">
        <v>100</v>
      </c>
      <c r="U196" s="26" t="s">
        <v>101</v>
      </c>
      <c r="V196" s="38" t="s">
        <v>6477</v>
      </c>
      <c r="W196" s="26" t="s">
        <v>103</v>
      </c>
      <c r="X196" s="26" t="s">
        <v>104</v>
      </c>
      <c r="Y196" s="26" t="s">
        <v>104</v>
      </c>
      <c r="Z196" s="26" t="s">
        <v>172</v>
      </c>
      <c r="AA196" s="26" t="s">
        <v>19</v>
      </c>
      <c r="AB196" s="30" t="s">
        <v>172</v>
      </c>
      <c r="AC196" s="49" t="s">
        <v>5300</v>
      </c>
      <c r="AD196" s="25" t="s">
        <v>174</v>
      </c>
      <c r="AE196" s="26" t="s">
        <v>175</v>
      </c>
      <c r="AF196" s="32">
        <f t="shared" si="24"/>
        <v>1</v>
      </c>
      <c r="AG196" s="32">
        <v>1</v>
      </c>
      <c r="AH196" s="32">
        <v>1</v>
      </c>
      <c r="AI196" s="32">
        <v>1</v>
      </c>
      <c r="AJ196" s="32"/>
      <c r="AK196" s="32"/>
      <c r="AL196" s="32">
        <f t="shared" ref="AL196:AL203" si="27">IF(COUNTIF(AW:AW,"*"&amp;L196&amp;"*")&gt;0,1,0)</f>
        <v>1</v>
      </c>
      <c r="AM196" s="32"/>
      <c r="AN196" s="32"/>
      <c r="AO196" s="32"/>
      <c r="AP196" s="32"/>
      <c r="AQ196" s="32"/>
      <c r="AR196" s="32"/>
      <c r="AS196" s="32"/>
      <c r="AT196" s="32">
        <v>1</v>
      </c>
      <c r="AU196" s="32"/>
      <c r="AW196" s="2" t="s">
        <v>5535</v>
      </c>
      <c r="AY196" s="75" t="s">
        <v>6658</v>
      </c>
    </row>
    <row r="197" spans="1:51" ht="16.5">
      <c r="A197" s="49" t="s">
        <v>6659</v>
      </c>
      <c r="B197" s="26" t="s">
        <v>160</v>
      </c>
      <c r="C197" s="26" t="s">
        <v>73</v>
      </c>
      <c r="D197" s="49" t="s">
        <v>6538</v>
      </c>
      <c r="E197" s="49" t="s">
        <v>162</v>
      </c>
      <c r="F197" s="49" t="s">
        <v>6660</v>
      </c>
      <c r="G197" s="49" t="s">
        <v>6661</v>
      </c>
      <c r="H197" s="49" t="s">
        <v>5516</v>
      </c>
      <c r="I197" s="26">
        <v>202606.3</v>
      </c>
      <c r="J197" s="25">
        <v>6.17</v>
      </c>
      <c r="K197" s="25" t="s">
        <v>73</v>
      </c>
      <c r="L197" s="26" t="s">
        <v>5913</v>
      </c>
      <c r="M197" s="49" t="s">
        <v>6662</v>
      </c>
      <c r="N197" s="27" t="s">
        <v>6663</v>
      </c>
      <c r="O197" s="26"/>
      <c r="P197" s="53">
        <v>4</v>
      </c>
      <c r="Q197" s="32">
        <v>16</v>
      </c>
      <c r="R197" s="53">
        <v>266.45</v>
      </c>
      <c r="S197" s="26" t="s">
        <v>99</v>
      </c>
      <c r="T197" s="26" t="s">
        <v>100</v>
      </c>
      <c r="U197" s="26" t="s">
        <v>101</v>
      </c>
      <c r="V197" s="38" t="s">
        <v>6477</v>
      </c>
      <c r="W197" s="26" t="s">
        <v>103</v>
      </c>
      <c r="X197" s="26" t="s">
        <v>104</v>
      </c>
      <c r="Y197" s="26" t="s">
        <v>104</v>
      </c>
      <c r="Z197" s="26" t="s">
        <v>172</v>
      </c>
      <c r="AA197" s="26" t="s">
        <v>19</v>
      </c>
      <c r="AB197" s="30" t="s">
        <v>172</v>
      </c>
      <c r="AC197" s="49" t="s">
        <v>5300</v>
      </c>
      <c r="AD197" s="25" t="s">
        <v>174</v>
      </c>
      <c r="AE197" s="26" t="s">
        <v>175</v>
      </c>
      <c r="AF197" s="32">
        <f t="shared" si="24"/>
        <v>1</v>
      </c>
      <c r="AG197" s="32">
        <v>1</v>
      </c>
      <c r="AH197" s="32">
        <v>1</v>
      </c>
      <c r="AI197" s="32">
        <v>1</v>
      </c>
      <c r="AJ197" s="32"/>
      <c r="AK197" s="32"/>
      <c r="AL197" s="32">
        <f t="shared" si="27"/>
        <v>1</v>
      </c>
      <c r="AM197" s="32"/>
      <c r="AN197" s="32"/>
      <c r="AO197" s="32"/>
      <c r="AP197" s="32"/>
      <c r="AQ197" s="32"/>
      <c r="AR197" s="32"/>
      <c r="AS197" s="25" t="s">
        <v>6522</v>
      </c>
      <c r="AT197" s="32">
        <v>1</v>
      </c>
      <c r="AU197" s="32"/>
      <c r="AW197" s="2" t="s">
        <v>5654</v>
      </c>
      <c r="AY197" s="75" t="s">
        <v>6664</v>
      </c>
    </row>
    <row r="198" spans="1:51" ht="16.5">
      <c r="A198" s="49" t="s">
        <v>6665</v>
      </c>
      <c r="B198" s="26" t="s">
        <v>160</v>
      </c>
      <c r="C198" s="26" t="s">
        <v>73</v>
      </c>
      <c r="D198" s="49" t="s">
        <v>6530</v>
      </c>
      <c r="E198" s="49" t="s">
        <v>162</v>
      </c>
      <c r="F198" s="49" t="s">
        <v>6666</v>
      </c>
      <c r="G198" s="49" t="s">
        <v>6667</v>
      </c>
      <c r="H198" s="49" t="s">
        <v>5516</v>
      </c>
      <c r="I198" s="26">
        <v>202606.3</v>
      </c>
      <c r="J198" s="25">
        <v>6.17</v>
      </c>
      <c r="K198" s="25" t="s">
        <v>73</v>
      </c>
      <c r="L198" s="26" t="s">
        <v>6601</v>
      </c>
      <c r="M198" s="49" t="s">
        <v>6668</v>
      </c>
      <c r="N198" s="27" t="s">
        <v>6669</v>
      </c>
      <c r="O198" s="26"/>
      <c r="P198" s="53">
        <v>4</v>
      </c>
      <c r="Q198" s="32">
        <v>16</v>
      </c>
      <c r="R198" s="53">
        <v>269.68</v>
      </c>
      <c r="S198" s="26" t="s">
        <v>99</v>
      </c>
      <c r="T198" s="26" t="s">
        <v>100</v>
      </c>
      <c r="U198" s="26" t="s">
        <v>101</v>
      </c>
      <c r="V198" s="38" t="s">
        <v>6477</v>
      </c>
      <c r="W198" s="26" t="s">
        <v>103</v>
      </c>
      <c r="X198" s="26" t="s">
        <v>104</v>
      </c>
      <c r="Y198" s="26" t="s">
        <v>104</v>
      </c>
      <c r="Z198" s="26" t="s">
        <v>172</v>
      </c>
      <c r="AA198" s="26" t="s">
        <v>19</v>
      </c>
      <c r="AB198" s="30" t="s">
        <v>172</v>
      </c>
      <c r="AC198" s="49" t="s">
        <v>5300</v>
      </c>
      <c r="AD198" s="25" t="s">
        <v>174</v>
      </c>
      <c r="AE198" s="26" t="s">
        <v>175</v>
      </c>
      <c r="AF198" s="32">
        <f t="shared" si="24"/>
        <v>1</v>
      </c>
      <c r="AG198" s="32">
        <v>1</v>
      </c>
      <c r="AH198" s="32">
        <v>1</v>
      </c>
      <c r="AI198" s="32">
        <v>1</v>
      </c>
      <c r="AJ198" s="32"/>
      <c r="AK198" s="32"/>
      <c r="AL198" s="32">
        <f t="shared" si="27"/>
        <v>1</v>
      </c>
      <c r="AM198" s="32"/>
      <c r="AN198" s="32"/>
      <c r="AO198" s="32"/>
      <c r="AP198" s="32"/>
      <c r="AQ198" s="32"/>
      <c r="AR198" s="32"/>
      <c r="AS198" s="32"/>
      <c r="AT198" s="32">
        <v>1</v>
      </c>
      <c r="AU198" s="32"/>
      <c r="AW198" s="2" t="s">
        <v>5647</v>
      </c>
      <c r="AY198" s="75" t="s">
        <v>6670</v>
      </c>
    </row>
    <row r="199" spans="1:51" ht="16.5">
      <c r="A199" s="49" t="s">
        <v>6671</v>
      </c>
      <c r="B199" s="26" t="s">
        <v>160</v>
      </c>
      <c r="C199" s="26" t="s">
        <v>73</v>
      </c>
      <c r="D199" s="49" t="s">
        <v>6268</v>
      </c>
      <c r="E199" s="49" t="s">
        <v>162</v>
      </c>
      <c r="F199" s="49" t="s">
        <v>6672</v>
      </c>
      <c r="G199" s="49" t="s">
        <v>6673</v>
      </c>
      <c r="H199" s="49" t="s">
        <v>5516</v>
      </c>
      <c r="I199" s="26">
        <v>202606.3</v>
      </c>
      <c r="J199" s="25">
        <v>6.17</v>
      </c>
      <c r="K199" s="25" t="s">
        <v>73</v>
      </c>
      <c r="L199" s="26" t="s">
        <v>5818</v>
      </c>
      <c r="M199" s="49" t="s">
        <v>6674</v>
      </c>
      <c r="N199" s="27" t="s">
        <v>6675</v>
      </c>
      <c r="O199" s="26"/>
      <c r="P199" s="53">
        <v>4</v>
      </c>
      <c r="Q199" s="32">
        <v>16</v>
      </c>
      <c r="R199" s="53">
        <v>266.81</v>
      </c>
      <c r="S199" s="26" t="s">
        <v>99</v>
      </c>
      <c r="T199" s="26" t="s">
        <v>100</v>
      </c>
      <c r="U199" s="26" t="s">
        <v>101</v>
      </c>
      <c r="V199" s="38" t="s">
        <v>6477</v>
      </c>
      <c r="W199" s="26" t="s">
        <v>103</v>
      </c>
      <c r="X199" s="26" t="s">
        <v>104</v>
      </c>
      <c r="Y199" s="26" t="s">
        <v>104</v>
      </c>
      <c r="Z199" s="26" t="s">
        <v>172</v>
      </c>
      <c r="AA199" s="26" t="s">
        <v>19</v>
      </c>
      <c r="AB199" s="30" t="s">
        <v>172</v>
      </c>
      <c r="AC199" s="49" t="s">
        <v>5300</v>
      </c>
      <c r="AD199" s="25" t="s">
        <v>174</v>
      </c>
      <c r="AE199" s="26" t="s">
        <v>175</v>
      </c>
      <c r="AF199" s="32">
        <f t="shared" si="24"/>
        <v>1</v>
      </c>
      <c r="AG199" s="32">
        <v>1</v>
      </c>
      <c r="AH199" s="32">
        <v>1</v>
      </c>
      <c r="AI199" s="32">
        <v>1</v>
      </c>
      <c r="AJ199" s="32"/>
      <c r="AK199" s="32"/>
      <c r="AL199" s="32">
        <f t="shared" si="27"/>
        <v>1</v>
      </c>
      <c r="AM199" s="32"/>
      <c r="AN199" s="32"/>
      <c r="AO199" s="32"/>
      <c r="AP199" s="32"/>
      <c r="AQ199" s="32"/>
      <c r="AR199" s="32"/>
      <c r="AS199" s="32"/>
      <c r="AT199" s="32">
        <v>1</v>
      </c>
      <c r="AU199" s="32"/>
      <c r="AW199" s="2" t="s">
        <v>5639</v>
      </c>
      <c r="AY199" s="75" t="s">
        <v>6676</v>
      </c>
    </row>
    <row r="200" spans="1:51" ht="16.5">
      <c r="A200" s="49" t="s">
        <v>6677</v>
      </c>
      <c r="B200" s="26" t="s">
        <v>160</v>
      </c>
      <c r="C200" s="26" t="s">
        <v>73</v>
      </c>
      <c r="D200" s="49" t="s">
        <v>6418</v>
      </c>
      <c r="E200" s="49" t="s">
        <v>162</v>
      </c>
      <c r="F200" s="49" t="s">
        <v>6678</v>
      </c>
      <c r="G200" s="49" t="s">
        <v>6679</v>
      </c>
      <c r="H200" s="49" t="s">
        <v>5516</v>
      </c>
      <c r="I200" s="26">
        <v>202606.3</v>
      </c>
      <c r="J200" s="25">
        <v>6.17</v>
      </c>
      <c r="K200" s="25" t="s">
        <v>73</v>
      </c>
      <c r="L200" s="26" t="s">
        <v>6011</v>
      </c>
      <c r="M200" s="49" t="s">
        <v>6680</v>
      </c>
      <c r="N200" s="27" t="s">
        <v>6681</v>
      </c>
      <c r="O200" s="26"/>
      <c r="P200" s="53">
        <v>4</v>
      </c>
      <c r="Q200" s="32">
        <v>16</v>
      </c>
      <c r="R200" s="53">
        <v>267.27</v>
      </c>
      <c r="S200" s="26" t="s">
        <v>99</v>
      </c>
      <c r="T200" s="26" t="s">
        <v>100</v>
      </c>
      <c r="U200" s="26" t="s">
        <v>101</v>
      </c>
      <c r="V200" s="38" t="s">
        <v>6477</v>
      </c>
      <c r="W200" s="26" t="s">
        <v>103</v>
      </c>
      <c r="X200" s="26" t="s">
        <v>104</v>
      </c>
      <c r="Y200" s="26" t="s">
        <v>104</v>
      </c>
      <c r="Z200" s="26" t="s">
        <v>172</v>
      </c>
      <c r="AA200" s="26" t="s">
        <v>19</v>
      </c>
      <c r="AB200" s="30" t="s">
        <v>172</v>
      </c>
      <c r="AC200" s="49" t="s">
        <v>5300</v>
      </c>
      <c r="AD200" s="25" t="s">
        <v>174</v>
      </c>
      <c r="AE200" s="26" t="s">
        <v>175</v>
      </c>
      <c r="AF200" s="32">
        <f t="shared" si="24"/>
        <v>1</v>
      </c>
      <c r="AG200" s="32">
        <v>1</v>
      </c>
      <c r="AH200" s="32">
        <v>1</v>
      </c>
      <c r="AI200" s="32">
        <v>1</v>
      </c>
      <c r="AJ200" s="32"/>
      <c r="AK200" s="32"/>
      <c r="AL200" s="32">
        <f t="shared" si="27"/>
        <v>1</v>
      </c>
      <c r="AM200" s="32"/>
      <c r="AN200" s="32"/>
      <c r="AO200" s="32"/>
      <c r="AP200" s="32"/>
      <c r="AQ200" s="32"/>
      <c r="AR200" s="32"/>
      <c r="AS200" s="32"/>
      <c r="AT200" s="32">
        <v>1</v>
      </c>
      <c r="AU200" s="32"/>
      <c r="AW200" s="2" t="s">
        <v>5630</v>
      </c>
      <c r="AY200" s="75" t="s">
        <v>6682</v>
      </c>
    </row>
    <row r="201" spans="1:51" ht="16.5">
      <c r="A201" s="49" t="s">
        <v>6683</v>
      </c>
      <c r="B201" s="26" t="s">
        <v>160</v>
      </c>
      <c r="C201" s="26" t="s">
        <v>73</v>
      </c>
      <c r="D201" s="49" t="s">
        <v>6471</v>
      </c>
      <c r="E201" s="49" t="s">
        <v>162</v>
      </c>
      <c r="F201" s="49" t="s">
        <v>6684</v>
      </c>
      <c r="G201" s="49" t="s">
        <v>6685</v>
      </c>
      <c r="H201" s="49" t="s">
        <v>5516</v>
      </c>
      <c r="I201" s="26">
        <v>202606.3</v>
      </c>
      <c r="J201" s="25">
        <v>6.17</v>
      </c>
      <c r="K201" s="25" t="s">
        <v>73</v>
      </c>
      <c r="L201" s="26" t="s">
        <v>6310</v>
      </c>
      <c r="M201" s="49" t="s">
        <v>6686</v>
      </c>
      <c r="N201" s="27" t="s">
        <v>6687</v>
      </c>
      <c r="O201" s="26"/>
      <c r="P201" s="53">
        <v>4</v>
      </c>
      <c r="Q201" s="32">
        <v>16</v>
      </c>
      <c r="R201" s="53">
        <v>266.56</v>
      </c>
      <c r="S201" s="26" t="s">
        <v>99</v>
      </c>
      <c r="T201" s="26" t="s">
        <v>100</v>
      </c>
      <c r="U201" s="26" t="s">
        <v>101</v>
      </c>
      <c r="V201" s="38" t="s">
        <v>6477</v>
      </c>
      <c r="W201" s="26" t="s">
        <v>103</v>
      </c>
      <c r="X201" s="26" t="s">
        <v>104</v>
      </c>
      <c r="Y201" s="26" t="s">
        <v>104</v>
      </c>
      <c r="Z201" s="26" t="s">
        <v>172</v>
      </c>
      <c r="AA201" s="26" t="s">
        <v>19</v>
      </c>
      <c r="AB201" s="30" t="s">
        <v>172</v>
      </c>
      <c r="AC201" s="49" t="s">
        <v>5300</v>
      </c>
      <c r="AD201" s="25" t="s">
        <v>174</v>
      </c>
      <c r="AE201" s="26" t="s">
        <v>175</v>
      </c>
      <c r="AF201" s="32">
        <f t="shared" si="24"/>
        <v>1</v>
      </c>
      <c r="AG201" s="32">
        <v>1</v>
      </c>
      <c r="AH201" s="32">
        <v>1</v>
      </c>
      <c r="AI201" s="32">
        <v>1</v>
      </c>
      <c r="AJ201" s="32"/>
      <c r="AK201" s="32"/>
      <c r="AL201" s="32">
        <f t="shared" si="27"/>
        <v>1</v>
      </c>
      <c r="AM201" s="32"/>
      <c r="AN201" s="32"/>
      <c r="AO201" s="32"/>
      <c r="AP201" s="32"/>
      <c r="AQ201" s="32"/>
      <c r="AR201" s="32"/>
      <c r="AS201" s="32"/>
      <c r="AT201" s="32">
        <v>1</v>
      </c>
      <c r="AU201" s="32"/>
      <c r="AW201" s="2" t="s">
        <v>5622</v>
      </c>
      <c r="AY201" s="75" t="s">
        <v>6688</v>
      </c>
    </row>
    <row r="202" spans="1:51" ht="16.5">
      <c r="A202" s="49" t="s">
        <v>6689</v>
      </c>
      <c r="B202" s="26" t="s">
        <v>160</v>
      </c>
      <c r="C202" s="26" t="s">
        <v>73</v>
      </c>
      <c r="D202" s="49" t="s">
        <v>6690</v>
      </c>
      <c r="E202" s="49" t="s">
        <v>162</v>
      </c>
      <c r="F202" s="49" t="s">
        <v>6691</v>
      </c>
      <c r="G202" s="49" t="s">
        <v>6692</v>
      </c>
      <c r="H202" s="49" t="s">
        <v>5516</v>
      </c>
      <c r="I202" s="26">
        <v>202606.3</v>
      </c>
      <c r="J202" s="25">
        <v>6.17</v>
      </c>
      <c r="K202" s="25" t="s">
        <v>73</v>
      </c>
      <c r="L202" s="26" t="s">
        <v>6563</v>
      </c>
      <c r="M202" s="49" t="s">
        <v>6693</v>
      </c>
      <c r="N202" s="27" t="s">
        <v>6694</v>
      </c>
      <c r="O202" s="26"/>
      <c r="P202" s="53">
        <v>4</v>
      </c>
      <c r="Q202" s="32">
        <v>16</v>
      </c>
      <c r="R202" s="53">
        <v>266.19</v>
      </c>
      <c r="S202" s="26" t="s">
        <v>99</v>
      </c>
      <c r="T202" s="26" t="s">
        <v>100</v>
      </c>
      <c r="U202" s="26" t="s">
        <v>101</v>
      </c>
      <c r="V202" s="38" t="s">
        <v>6695</v>
      </c>
      <c r="W202" s="26" t="s">
        <v>103</v>
      </c>
      <c r="X202" s="26" t="s">
        <v>104</v>
      </c>
      <c r="Y202" s="26" t="s">
        <v>104</v>
      </c>
      <c r="Z202" s="26" t="s">
        <v>172</v>
      </c>
      <c r="AA202" s="26" t="s">
        <v>21</v>
      </c>
      <c r="AB202" s="30" t="s">
        <v>172</v>
      </c>
      <c r="AC202" s="49" t="s">
        <v>5300</v>
      </c>
      <c r="AD202" s="25" t="s">
        <v>174</v>
      </c>
      <c r="AE202" s="26" t="s">
        <v>175</v>
      </c>
      <c r="AF202" s="32">
        <f t="shared" si="24"/>
        <v>1</v>
      </c>
      <c r="AG202" s="32">
        <v>1</v>
      </c>
      <c r="AH202" s="32">
        <v>1</v>
      </c>
      <c r="AI202" s="32">
        <v>1</v>
      </c>
      <c r="AJ202" s="32"/>
      <c r="AK202" s="32"/>
      <c r="AL202" s="32">
        <f t="shared" si="27"/>
        <v>1</v>
      </c>
      <c r="AM202" s="32"/>
      <c r="AN202" s="32"/>
      <c r="AO202" s="32"/>
      <c r="AP202" s="32"/>
      <c r="AQ202" s="32"/>
      <c r="AR202" s="32"/>
      <c r="AS202" s="32"/>
      <c r="AT202" s="32">
        <v>1</v>
      </c>
      <c r="AU202" s="32"/>
      <c r="AW202" s="2" t="s">
        <v>5614</v>
      </c>
      <c r="AY202" s="75" t="s">
        <v>6696</v>
      </c>
    </row>
    <row r="203" spans="1:51" ht="16.5">
      <c r="A203" s="49" t="s">
        <v>6697</v>
      </c>
      <c r="B203" s="26" t="s">
        <v>160</v>
      </c>
      <c r="C203" s="26" t="s">
        <v>73</v>
      </c>
      <c r="D203" s="49" t="s">
        <v>6698</v>
      </c>
      <c r="E203" s="49" t="s">
        <v>162</v>
      </c>
      <c r="F203" s="49" t="s">
        <v>6699</v>
      </c>
      <c r="G203" s="49" t="s">
        <v>6700</v>
      </c>
      <c r="H203" s="49" t="s">
        <v>5516</v>
      </c>
      <c r="I203" s="26">
        <v>202606.3</v>
      </c>
      <c r="J203" s="25">
        <v>6.17</v>
      </c>
      <c r="K203" s="25" t="s">
        <v>73</v>
      </c>
      <c r="L203" s="26" t="s">
        <v>6557</v>
      </c>
      <c r="M203" s="49" t="s">
        <v>6701</v>
      </c>
      <c r="N203" s="27" t="s">
        <v>6702</v>
      </c>
      <c r="O203" s="26"/>
      <c r="P203" s="53">
        <v>4</v>
      </c>
      <c r="Q203" s="32">
        <v>16</v>
      </c>
      <c r="R203" s="53">
        <v>266.51</v>
      </c>
      <c r="S203" s="26" t="s">
        <v>99</v>
      </c>
      <c r="T203" s="26" t="s">
        <v>100</v>
      </c>
      <c r="U203" s="26" t="s">
        <v>101</v>
      </c>
      <c r="V203" s="38" t="s">
        <v>6695</v>
      </c>
      <c r="W203" s="26" t="s">
        <v>103</v>
      </c>
      <c r="X203" s="26" t="s">
        <v>104</v>
      </c>
      <c r="Y203" s="26" t="s">
        <v>104</v>
      </c>
      <c r="Z203" s="26" t="s">
        <v>172</v>
      </c>
      <c r="AA203" s="26" t="s">
        <v>21</v>
      </c>
      <c r="AB203" s="30" t="s">
        <v>172</v>
      </c>
      <c r="AC203" s="49" t="s">
        <v>5300</v>
      </c>
      <c r="AD203" s="25" t="s">
        <v>174</v>
      </c>
      <c r="AE203" s="26" t="s">
        <v>175</v>
      </c>
      <c r="AF203" s="32">
        <f t="shared" si="24"/>
        <v>1</v>
      </c>
      <c r="AG203" s="32">
        <v>1</v>
      </c>
      <c r="AH203" s="32">
        <v>1</v>
      </c>
      <c r="AI203" s="32">
        <v>1</v>
      </c>
      <c r="AJ203" s="32"/>
      <c r="AK203" s="32"/>
      <c r="AL203" s="32">
        <f t="shared" si="27"/>
        <v>1</v>
      </c>
      <c r="AM203" s="32"/>
      <c r="AN203" s="32"/>
      <c r="AO203" s="32"/>
      <c r="AP203" s="32"/>
      <c r="AQ203" s="32"/>
      <c r="AR203" s="32"/>
      <c r="AS203" s="32"/>
      <c r="AT203" s="32">
        <v>1</v>
      </c>
      <c r="AU203" s="32"/>
      <c r="AW203" s="2" t="s">
        <v>5605</v>
      </c>
      <c r="AY203" s="75" t="s">
        <v>6703</v>
      </c>
    </row>
    <row r="204" spans="1:51" hidden="1">
      <c r="A204" s="49" t="s">
        <v>6704</v>
      </c>
      <c r="B204" s="26" t="s">
        <v>160</v>
      </c>
      <c r="C204" s="26" t="s">
        <v>73</v>
      </c>
      <c r="D204" s="49" t="s">
        <v>6705</v>
      </c>
      <c r="E204" s="49" t="s">
        <v>162</v>
      </c>
      <c r="F204" s="49" t="s">
        <v>6706</v>
      </c>
      <c r="G204" s="49" t="s">
        <v>6707</v>
      </c>
      <c r="H204" s="49" t="s">
        <v>5516</v>
      </c>
      <c r="I204" s="26">
        <v>202606.3</v>
      </c>
      <c r="J204" s="34" t="s">
        <v>166</v>
      </c>
      <c r="K204" s="25" t="s">
        <v>73</v>
      </c>
      <c r="L204" s="26" t="s">
        <v>6708</v>
      </c>
      <c r="M204" s="49" t="s">
        <v>6709</v>
      </c>
      <c r="N204" s="27" t="s">
        <v>6710</v>
      </c>
      <c r="O204" s="26"/>
      <c r="P204" s="30"/>
      <c r="Q204" s="30"/>
      <c r="R204" s="30"/>
      <c r="S204" s="26" t="s">
        <v>99</v>
      </c>
      <c r="T204" s="26" t="s">
        <v>100</v>
      </c>
      <c r="U204" s="26" t="s">
        <v>101</v>
      </c>
      <c r="V204" s="38" t="s">
        <v>6695</v>
      </c>
      <c r="W204" s="26" t="s">
        <v>103</v>
      </c>
      <c r="X204" s="26" t="s">
        <v>104</v>
      </c>
      <c r="Y204" s="26" t="s">
        <v>104</v>
      </c>
      <c r="Z204" s="26" t="s">
        <v>172</v>
      </c>
      <c r="AA204" s="26" t="s">
        <v>21</v>
      </c>
      <c r="AB204" s="30" t="s">
        <v>172</v>
      </c>
      <c r="AC204" s="30"/>
      <c r="AD204" s="25" t="s">
        <v>174</v>
      </c>
      <c r="AE204" s="26" t="s">
        <v>175</v>
      </c>
      <c r="AF204" s="30"/>
      <c r="AG204" s="30"/>
      <c r="AH204" s="30"/>
      <c r="AI204" s="30"/>
      <c r="AJ204" s="30"/>
      <c r="AK204" s="30"/>
      <c r="AL204" s="30"/>
      <c r="AM204" s="30"/>
      <c r="AN204" s="30"/>
      <c r="AO204" s="30"/>
      <c r="AP204" s="30"/>
      <c r="AQ204" s="30"/>
      <c r="AR204" s="30"/>
      <c r="AS204" s="30"/>
      <c r="AT204" s="30"/>
      <c r="AU204" s="30"/>
    </row>
    <row r="205" spans="1:51" ht="16.5">
      <c r="A205" s="49" t="s">
        <v>6711</v>
      </c>
      <c r="B205" s="26" t="s">
        <v>160</v>
      </c>
      <c r="C205" s="26" t="s">
        <v>73</v>
      </c>
      <c r="D205" s="49" t="s">
        <v>6688</v>
      </c>
      <c r="E205" s="49" t="s">
        <v>162</v>
      </c>
      <c r="F205" s="49" t="s">
        <v>6712</v>
      </c>
      <c r="G205" s="49" t="s">
        <v>6713</v>
      </c>
      <c r="H205" s="49" t="s">
        <v>5516</v>
      </c>
      <c r="I205" s="26">
        <v>202606.3</v>
      </c>
      <c r="J205" s="25">
        <v>6.17</v>
      </c>
      <c r="K205" s="25" t="s">
        <v>73</v>
      </c>
      <c r="L205" s="26" t="s">
        <v>6425</v>
      </c>
      <c r="M205" s="49" t="s">
        <v>6714</v>
      </c>
      <c r="N205" s="27" t="s">
        <v>6715</v>
      </c>
      <c r="O205" s="26"/>
      <c r="P205" s="53">
        <v>4</v>
      </c>
      <c r="Q205" s="32">
        <v>16</v>
      </c>
      <c r="R205" s="53">
        <v>266.69</v>
      </c>
      <c r="S205" s="26" t="s">
        <v>99</v>
      </c>
      <c r="T205" s="26" t="s">
        <v>100</v>
      </c>
      <c r="U205" s="26" t="s">
        <v>101</v>
      </c>
      <c r="V205" s="38" t="s">
        <v>6695</v>
      </c>
      <c r="W205" s="26" t="s">
        <v>103</v>
      </c>
      <c r="X205" s="26" t="s">
        <v>104</v>
      </c>
      <c r="Y205" s="26" t="s">
        <v>104</v>
      </c>
      <c r="Z205" s="26" t="s">
        <v>172</v>
      </c>
      <c r="AA205" s="26" t="s">
        <v>21</v>
      </c>
      <c r="AB205" s="30" t="s">
        <v>172</v>
      </c>
      <c r="AC205" s="49" t="s">
        <v>5300</v>
      </c>
      <c r="AD205" s="25" t="s">
        <v>174</v>
      </c>
      <c r="AE205" s="26" t="s">
        <v>175</v>
      </c>
      <c r="AF205" s="32">
        <f t="shared" ref="AF205:AF237" si="28">IF(COUNTIF(AY:AY,D205)&gt;0,1,0)</f>
        <v>1</v>
      </c>
      <c r="AG205" s="32">
        <v>1</v>
      </c>
      <c r="AH205" s="32">
        <v>1</v>
      </c>
      <c r="AI205" s="32">
        <v>1</v>
      </c>
      <c r="AJ205" s="32"/>
      <c r="AK205" s="32"/>
      <c r="AL205" s="32">
        <f t="shared" ref="AL205:AL211" si="29">IF(COUNTIF(AW:AW,"*"&amp;L205&amp;"*")&gt;0,1,0)</f>
        <v>1</v>
      </c>
      <c r="AM205" s="32"/>
      <c r="AN205" s="32"/>
      <c r="AO205" s="32"/>
      <c r="AP205" s="32"/>
      <c r="AQ205" s="32"/>
      <c r="AR205" s="32"/>
      <c r="AS205" s="32"/>
      <c r="AT205" s="32">
        <v>1</v>
      </c>
      <c r="AU205" s="32"/>
      <c r="AW205" s="2" t="s">
        <v>5596</v>
      </c>
      <c r="AY205" s="75" t="s">
        <v>6716</v>
      </c>
    </row>
    <row r="206" spans="1:51" ht="16.5">
      <c r="A206" s="49" t="s">
        <v>6717</v>
      </c>
      <c r="B206" s="26" t="s">
        <v>160</v>
      </c>
      <c r="C206" s="26" t="s">
        <v>73</v>
      </c>
      <c r="D206" s="49" t="s">
        <v>6718</v>
      </c>
      <c r="E206" s="49" t="s">
        <v>162</v>
      </c>
      <c r="F206" s="49" t="s">
        <v>6719</v>
      </c>
      <c r="G206" s="49" t="s">
        <v>6720</v>
      </c>
      <c r="H206" s="49" t="s">
        <v>5516</v>
      </c>
      <c r="I206" s="26">
        <v>202606.3</v>
      </c>
      <c r="J206" s="25">
        <v>6.17</v>
      </c>
      <c r="K206" s="25" t="s">
        <v>73</v>
      </c>
      <c r="L206" s="26" t="s">
        <v>6523</v>
      </c>
      <c r="M206" s="49" t="s">
        <v>6721</v>
      </c>
      <c r="N206" s="27" t="s">
        <v>6722</v>
      </c>
      <c r="O206" s="26"/>
      <c r="P206" s="53">
        <v>4</v>
      </c>
      <c r="Q206" s="32">
        <v>16</v>
      </c>
      <c r="R206" s="53">
        <v>268.76</v>
      </c>
      <c r="S206" s="26" t="s">
        <v>99</v>
      </c>
      <c r="T206" s="26" t="s">
        <v>100</v>
      </c>
      <c r="U206" s="26" t="s">
        <v>101</v>
      </c>
      <c r="V206" s="38" t="s">
        <v>6695</v>
      </c>
      <c r="W206" s="26" t="s">
        <v>103</v>
      </c>
      <c r="X206" s="26" t="s">
        <v>104</v>
      </c>
      <c r="Y206" s="26" t="s">
        <v>104</v>
      </c>
      <c r="Z206" s="26" t="s">
        <v>172</v>
      </c>
      <c r="AA206" s="26" t="s">
        <v>21</v>
      </c>
      <c r="AB206" s="30" t="s">
        <v>172</v>
      </c>
      <c r="AC206" s="49" t="s">
        <v>5300</v>
      </c>
      <c r="AD206" s="25" t="s">
        <v>174</v>
      </c>
      <c r="AE206" s="26" t="s">
        <v>175</v>
      </c>
      <c r="AF206" s="32">
        <f t="shared" si="28"/>
        <v>1</v>
      </c>
      <c r="AG206" s="32">
        <v>1</v>
      </c>
      <c r="AH206" s="32">
        <v>1</v>
      </c>
      <c r="AI206" s="32">
        <v>1</v>
      </c>
      <c r="AJ206" s="32"/>
      <c r="AK206" s="32"/>
      <c r="AL206" s="32">
        <f t="shared" si="29"/>
        <v>1</v>
      </c>
      <c r="AM206" s="32"/>
      <c r="AN206" s="32"/>
      <c r="AO206" s="32"/>
      <c r="AP206" s="32"/>
      <c r="AQ206" s="32"/>
      <c r="AR206" s="32"/>
      <c r="AS206" s="32"/>
      <c r="AT206" s="32">
        <v>1</v>
      </c>
      <c r="AU206" s="32"/>
      <c r="AW206" s="2" t="s">
        <v>5587</v>
      </c>
      <c r="AY206" s="75" t="s">
        <v>6723</v>
      </c>
    </row>
    <row r="207" spans="1:51" ht="16.5">
      <c r="A207" s="49" t="s">
        <v>6724</v>
      </c>
      <c r="B207" s="26" t="s">
        <v>160</v>
      </c>
      <c r="C207" s="26" t="s">
        <v>73</v>
      </c>
      <c r="D207" s="49" t="s">
        <v>6582</v>
      </c>
      <c r="E207" s="49" t="s">
        <v>162</v>
      </c>
      <c r="F207" s="49" t="s">
        <v>6725</v>
      </c>
      <c r="G207" s="49" t="s">
        <v>6726</v>
      </c>
      <c r="H207" s="49" t="s">
        <v>5516</v>
      </c>
      <c r="I207" s="26">
        <v>202606.3</v>
      </c>
      <c r="J207" s="25">
        <v>6.17</v>
      </c>
      <c r="K207" s="25" t="s">
        <v>73</v>
      </c>
      <c r="L207" s="26" t="s">
        <v>5937</v>
      </c>
      <c r="M207" s="49" t="s">
        <v>6727</v>
      </c>
      <c r="N207" s="27" t="s">
        <v>6728</v>
      </c>
      <c r="O207" s="26"/>
      <c r="P207" s="53">
        <v>4</v>
      </c>
      <c r="Q207" s="32">
        <v>16</v>
      </c>
      <c r="R207" s="53">
        <v>267.18</v>
      </c>
      <c r="S207" s="26" t="s">
        <v>99</v>
      </c>
      <c r="T207" s="26" t="s">
        <v>100</v>
      </c>
      <c r="U207" s="26" t="s">
        <v>101</v>
      </c>
      <c r="V207" s="38" t="s">
        <v>6695</v>
      </c>
      <c r="W207" s="26" t="s">
        <v>103</v>
      </c>
      <c r="X207" s="26" t="s">
        <v>104</v>
      </c>
      <c r="Y207" s="26" t="s">
        <v>104</v>
      </c>
      <c r="Z207" s="26" t="s">
        <v>172</v>
      </c>
      <c r="AA207" s="26" t="s">
        <v>21</v>
      </c>
      <c r="AB207" s="30" t="s">
        <v>172</v>
      </c>
      <c r="AC207" s="49" t="s">
        <v>5300</v>
      </c>
      <c r="AD207" s="25" t="s">
        <v>174</v>
      </c>
      <c r="AE207" s="26" t="s">
        <v>175</v>
      </c>
      <c r="AF207" s="32">
        <f t="shared" si="28"/>
        <v>1</v>
      </c>
      <c r="AG207" s="32">
        <v>1</v>
      </c>
      <c r="AH207" s="32">
        <v>1</v>
      </c>
      <c r="AI207" s="32">
        <v>1</v>
      </c>
      <c r="AJ207" s="32"/>
      <c r="AK207" s="32"/>
      <c r="AL207" s="32">
        <f t="shared" si="29"/>
        <v>1</v>
      </c>
      <c r="AM207" s="32"/>
      <c r="AN207" s="32"/>
      <c r="AO207" s="32"/>
      <c r="AP207" s="32"/>
      <c r="AQ207" s="32"/>
      <c r="AR207" s="32"/>
      <c r="AS207" s="32"/>
      <c r="AT207" s="32">
        <v>1</v>
      </c>
      <c r="AU207" s="32"/>
      <c r="AW207" s="2" t="s">
        <v>5569</v>
      </c>
      <c r="AY207" s="75" t="s">
        <v>6718</v>
      </c>
    </row>
    <row r="208" spans="1:51" ht="16.5">
      <c r="A208" s="49" t="s">
        <v>6729</v>
      </c>
      <c r="B208" s="26" t="s">
        <v>160</v>
      </c>
      <c r="C208" s="26" t="s">
        <v>73</v>
      </c>
      <c r="D208" s="49" t="s">
        <v>6626</v>
      </c>
      <c r="E208" s="49" t="s">
        <v>162</v>
      </c>
      <c r="F208" s="49" t="s">
        <v>6730</v>
      </c>
      <c r="G208" s="49" t="s">
        <v>6731</v>
      </c>
      <c r="H208" s="49" t="s">
        <v>5516</v>
      </c>
      <c r="I208" s="26">
        <v>202606.3</v>
      </c>
      <c r="J208" s="25">
        <v>6.17</v>
      </c>
      <c r="K208" s="25" t="s">
        <v>73</v>
      </c>
      <c r="L208" s="26" t="s">
        <v>6211</v>
      </c>
      <c r="M208" s="49" t="s">
        <v>6732</v>
      </c>
      <c r="N208" s="27" t="s">
        <v>6733</v>
      </c>
      <c r="O208" s="26"/>
      <c r="P208" s="53">
        <v>4</v>
      </c>
      <c r="Q208" s="32">
        <v>16</v>
      </c>
      <c r="R208" s="53">
        <v>276.29000000000002</v>
      </c>
      <c r="S208" s="26" t="s">
        <v>99</v>
      </c>
      <c r="T208" s="26" t="s">
        <v>100</v>
      </c>
      <c r="U208" s="26" t="s">
        <v>101</v>
      </c>
      <c r="V208" s="38" t="s">
        <v>6695</v>
      </c>
      <c r="W208" s="26" t="s">
        <v>103</v>
      </c>
      <c r="X208" s="26" t="s">
        <v>104</v>
      </c>
      <c r="Y208" s="26" t="s">
        <v>104</v>
      </c>
      <c r="Z208" s="26" t="s">
        <v>172</v>
      </c>
      <c r="AA208" s="26" t="s">
        <v>21</v>
      </c>
      <c r="AB208" s="30" t="s">
        <v>172</v>
      </c>
      <c r="AC208" s="49" t="s">
        <v>5300</v>
      </c>
      <c r="AD208" s="25" t="s">
        <v>174</v>
      </c>
      <c r="AE208" s="26" t="s">
        <v>175</v>
      </c>
      <c r="AF208" s="32">
        <f t="shared" si="28"/>
        <v>1</v>
      </c>
      <c r="AG208" s="32">
        <v>1</v>
      </c>
      <c r="AH208" s="32">
        <v>1</v>
      </c>
      <c r="AI208" s="32">
        <v>1</v>
      </c>
      <c r="AJ208" s="32"/>
      <c r="AK208" s="32"/>
      <c r="AL208" s="32">
        <f t="shared" si="29"/>
        <v>1</v>
      </c>
      <c r="AM208" s="32"/>
      <c r="AN208" s="32"/>
      <c r="AO208" s="32"/>
      <c r="AP208" s="32"/>
      <c r="AQ208" s="32"/>
      <c r="AR208" s="32"/>
      <c r="AS208" s="32"/>
      <c r="AT208" s="32">
        <v>1</v>
      </c>
      <c r="AU208" s="32"/>
      <c r="AW208" s="2" t="s">
        <v>6264</v>
      </c>
      <c r="AY208" s="75" t="s">
        <v>6734</v>
      </c>
    </row>
    <row r="209" spans="1:51" ht="16.5">
      <c r="A209" s="49" t="s">
        <v>6735</v>
      </c>
      <c r="B209" s="26" t="s">
        <v>160</v>
      </c>
      <c r="C209" s="26" t="s">
        <v>73</v>
      </c>
      <c r="D209" s="49" t="s">
        <v>6645</v>
      </c>
      <c r="E209" s="49" t="s">
        <v>162</v>
      </c>
      <c r="F209" s="49" t="s">
        <v>6736</v>
      </c>
      <c r="G209" s="49" t="s">
        <v>6737</v>
      </c>
      <c r="H209" s="49" t="s">
        <v>5516</v>
      </c>
      <c r="I209" s="26">
        <v>202606.3</v>
      </c>
      <c r="J209" s="25">
        <v>6.17</v>
      </c>
      <c r="K209" s="25" t="s">
        <v>73</v>
      </c>
      <c r="L209" s="26" t="s">
        <v>6243</v>
      </c>
      <c r="M209" s="49" t="s">
        <v>6738</v>
      </c>
      <c r="N209" s="27" t="s">
        <v>6739</v>
      </c>
      <c r="O209" s="26"/>
      <c r="P209" s="53">
        <v>4</v>
      </c>
      <c r="Q209" s="32">
        <v>16</v>
      </c>
      <c r="R209" s="53">
        <v>266.5</v>
      </c>
      <c r="S209" s="26" t="s">
        <v>99</v>
      </c>
      <c r="T209" s="26" t="s">
        <v>100</v>
      </c>
      <c r="U209" s="26" t="s">
        <v>101</v>
      </c>
      <c r="V209" s="38" t="s">
        <v>6695</v>
      </c>
      <c r="W209" s="26" t="s">
        <v>103</v>
      </c>
      <c r="X209" s="26" t="s">
        <v>104</v>
      </c>
      <c r="Y209" s="26" t="s">
        <v>104</v>
      </c>
      <c r="Z209" s="26" t="s">
        <v>172</v>
      </c>
      <c r="AA209" s="26" t="s">
        <v>21</v>
      </c>
      <c r="AB209" s="30" t="s">
        <v>172</v>
      </c>
      <c r="AC209" s="49" t="s">
        <v>5300</v>
      </c>
      <c r="AD209" s="25" t="s">
        <v>174</v>
      </c>
      <c r="AE209" s="26" t="s">
        <v>175</v>
      </c>
      <c r="AF209" s="32">
        <f t="shared" si="28"/>
        <v>1</v>
      </c>
      <c r="AG209" s="32">
        <v>1</v>
      </c>
      <c r="AH209" s="32">
        <v>1</v>
      </c>
      <c r="AI209" s="32">
        <v>1</v>
      </c>
      <c r="AJ209" s="32"/>
      <c r="AK209" s="32"/>
      <c r="AL209" s="32">
        <f t="shared" si="29"/>
        <v>1</v>
      </c>
      <c r="AM209" s="32"/>
      <c r="AN209" s="32"/>
      <c r="AO209" s="32"/>
      <c r="AP209" s="32"/>
      <c r="AQ209" s="32"/>
      <c r="AR209" s="32"/>
      <c r="AS209" s="32"/>
      <c r="AT209" s="32">
        <v>1</v>
      </c>
      <c r="AU209" s="32"/>
      <c r="AW209" s="2" t="s">
        <v>6224</v>
      </c>
      <c r="AY209" s="75" t="s">
        <v>6740</v>
      </c>
    </row>
    <row r="210" spans="1:51" ht="16.5">
      <c r="A210" s="49" t="s">
        <v>6741</v>
      </c>
      <c r="B210" s="26" t="s">
        <v>160</v>
      </c>
      <c r="C210" s="26" t="s">
        <v>73</v>
      </c>
      <c r="D210" s="49" t="s">
        <v>6632</v>
      </c>
      <c r="E210" s="49" t="s">
        <v>162</v>
      </c>
      <c r="F210" s="49" t="s">
        <v>6742</v>
      </c>
      <c r="G210" s="49" t="s">
        <v>6743</v>
      </c>
      <c r="H210" s="49" t="s">
        <v>5516</v>
      </c>
      <c r="I210" s="26">
        <v>202606.3</v>
      </c>
      <c r="J210" s="25">
        <v>6.17</v>
      </c>
      <c r="K210" s="25" t="s">
        <v>73</v>
      </c>
      <c r="L210" s="26" t="s">
        <v>6227</v>
      </c>
      <c r="M210" s="49" t="s">
        <v>6744</v>
      </c>
      <c r="N210" s="27" t="s">
        <v>6745</v>
      </c>
      <c r="O210" s="26"/>
      <c r="P210" s="53">
        <v>4</v>
      </c>
      <c r="Q210" s="32">
        <v>16</v>
      </c>
      <c r="R210" s="53">
        <v>266.12</v>
      </c>
      <c r="S210" s="26" t="s">
        <v>99</v>
      </c>
      <c r="T210" s="26" t="s">
        <v>100</v>
      </c>
      <c r="U210" s="26" t="s">
        <v>101</v>
      </c>
      <c r="V210" s="38" t="s">
        <v>6695</v>
      </c>
      <c r="W210" s="26" t="s">
        <v>103</v>
      </c>
      <c r="X210" s="26" t="s">
        <v>104</v>
      </c>
      <c r="Y210" s="26" t="s">
        <v>104</v>
      </c>
      <c r="Z210" s="26" t="s">
        <v>172</v>
      </c>
      <c r="AA210" s="26" t="s">
        <v>21</v>
      </c>
      <c r="AB210" s="30" t="s">
        <v>172</v>
      </c>
      <c r="AC210" s="49" t="s">
        <v>5300</v>
      </c>
      <c r="AD210" s="25" t="s">
        <v>174</v>
      </c>
      <c r="AE210" s="26" t="s">
        <v>175</v>
      </c>
      <c r="AF210" s="32">
        <f t="shared" si="28"/>
        <v>1</v>
      </c>
      <c r="AG210" s="32">
        <v>1</v>
      </c>
      <c r="AH210" s="32">
        <v>1</v>
      </c>
      <c r="AI210" s="32">
        <v>1</v>
      </c>
      <c r="AJ210" s="32"/>
      <c r="AK210" s="32"/>
      <c r="AL210" s="32">
        <f t="shared" si="29"/>
        <v>1</v>
      </c>
      <c r="AM210" s="32"/>
      <c r="AN210" s="32"/>
      <c r="AO210" s="32"/>
      <c r="AP210" s="32"/>
      <c r="AQ210" s="32"/>
      <c r="AR210" s="32"/>
      <c r="AS210" s="32"/>
      <c r="AT210" s="32">
        <v>1</v>
      </c>
      <c r="AU210" s="32"/>
      <c r="AW210" s="2" t="s">
        <v>5801</v>
      </c>
      <c r="AY210" s="75" t="s">
        <v>6746</v>
      </c>
    </row>
    <row r="211" spans="1:51" ht="16.5">
      <c r="A211" s="49" t="s">
        <v>6747</v>
      </c>
      <c r="B211" s="26" t="s">
        <v>160</v>
      </c>
      <c r="C211" s="26" t="s">
        <v>73</v>
      </c>
      <c r="D211" s="49" t="s">
        <v>6682</v>
      </c>
      <c r="E211" s="49" t="s">
        <v>162</v>
      </c>
      <c r="F211" s="49" t="s">
        <v>6748</v>
      </c>
      <c r="G211" s="49" t="s">
        <v>6749</v>
      </c>
      <c r="H211" s="49" t="s">
        <v>5516</v>
      </c>
      <c r="I211" s="26">
        <v>202606.3</v>
      </c>
      <c r="J211" s="25">
        <v>6.17</v>
      </c>
      <c r="K211" s="25" t="s">
        <v>73</v>
      </c>
      <c r="L211" s="26" t="s">
        <v>6417</v>
      </c>
      <c r="M211" s="49" t="s">
        <v>6750</v>
      </c>
      <c r="N211" s="27" t="s">
        <v>6751</v>
      </c>
      <c r="O211" s="26"/>
      <c r="P211" s="53">
        <v>4</v>
      </c>
      <c r="Q211" s="32">
        <v>16</v>
      </c>
      <c r="R211" s="53">
        <v>269.62</v>
      </c>
      <c r="S211" s="26" t="s">
        <v>99</v>
      </c>
      <c r="T211" s="26" t="s">
        <v>100</v>
      </c>
      <c r="U211" s="26" t="s">
        <v>101</v>
      </c>
      <c r="V211" s="38" t="s">
        <v>6695</v>
      </c>
      <c r="W211" s="26" t="s">
        <v>103</v>
      </c>
      <c r="X211" s="26" t="s">
        <v>104</v>
      </c>
      <c r="Y211" s="26" t="s">
        <v>104</v>
      </c>
      <c r="Z211" s="26" t="s">
        <v>172</v>
      </c>
      <c r="AA211" s="26" t="s">
        <v>21</v>
      </c>
      <c r="AB211" s="30" t="s">
        <v>172</v>
      </c>
      <c r="AC211" s="49" t="s">
        <v>5300</v>
      </c>
      <c r="AD211" s="25" t="s">
        <v>174</v>
      </c>
      <c r="AE211" s="26" t="s">
        <v>175</v>
      </c>
      <c r="AF211" s="32">
        <f t="shared" si="28"/>
        <v>1</v>
      </c>
      <c r="AG211" s="32">
        <v>1</v>
      </c>
      <c r="AH211" s="32">
        <v>1</v>
      </c>
      <c r="AI211" s="32">
        <v>1</v>
      </c>
      <c r="AJ211" s="32"/>
      <c r="AK211" s="32"/>
      <c r="AL211" s="32">
        <f t="shared" si="29"/>
        <v>1</v>
      </c>
      <c r="AM211" s="32"/>
      <c r="AN211" s="32"/>
      <c r="AO211" s="32"/>
      <c r="AP211" s="32"/>
      <c r="AQ211" s="32"/>
      <c r="AR211" s="32"/>
      <c r="AS211" s="32"/>
      <c r="AT211" s="32">
        <v>1</v>
      </c>
      <c r="AU211" s="32"/>
      <c r="AW211" s="2" t="s">
        <v>6282</v>
      </c>
      <c r="AY211" s="75" t="s">
        <v>6752</v>
      </c>
    </row>
    <row r="212" spans="1:51" ht="16.5" hidden="1">
      <c r="A212" s="49" t="s">
        <v>6753</v>
      </c>
      <c r="B212" s="150" t="s">
        <v>160</v>
      </c>
      <c r="C212" s="150" t="s">
        <v>73</v>
      </c>
      <c r="D212" s="151" t="s">
        <v>6620</v>
      </c>
      <c r="E212" s="151" t="s">
        <v>162</v>
      </c>
      <c r="F212" s="49" t="s">
        <v>6754</v>
      </c>
      <c r="G212" s="151" t="s">
        <v>6755</v>
      </c>
      <c r="H212" s="151" t="s">
        <v>5516</v>
      </c>
      <c r="I212" s="26">
        <v>202606.3</v>
      </c>
      <c r="J212" s="34" t="s">
        <v>3213</v>
      </c>
      <c r="K212" s="152" t="s">
        <v>73</v>
      </c>
      <c r="L212" s="26" t="s">
        <v>6756</v>
      </c>
      <c r="M212" s="151" t="s">
        <v>6757</v>
      </c>
      <c r="N212" s="153" t="s">
        <v>6758</v>
      </c>
      <c r="O212" s="26"/>
      <c r="P212" s="53">
        <v>4</v>
      </c>
      <c r="Q212" s="32">
        <v>16</v>
      </c>
      <c r="R212" s="53">
        <v>266.12</v>
      </c>
      <c r="S212" s="26" t="s">
        <v>99</v>
      </c>
      <c r="T212" s="26" t="s">
        <v>100</v>
      </c>
      <c r="U212" s="26" t="s">
        <v>101</v>
      </c>
      <c r="V212" s="38" t="s">
        <v>6695</v>
      </c>
      <c r="W212" s="26" t="s">
        <v>103</v>
      </c>
      <c r="X212" s="26" t="s">
        <v>104</v>
      </c>
      <c r="Y212" s="26" t="s">
        <v>104</v>
      </c>
      <c r="Z212" s="26" t="s">
        <v>172</v>
      </c>
      <c r="AA212" s="26" t="s">
        <v>21</v>
      </c>
      <c r="AB212" s="30" t="s">
        <v>172</v>
      </c>
      <c r="AC212" s="49" t="s">
        <v>5300</v>
      </c>
      <c r="AD212" s="25" t="s">
        <v>174</v>
      </c>
      <c r="AE212" s="26" t="s">
        <v>175</v>
      </c>
      <c r="AF212" s="32">
        <f t="shared" si="28"/>
        <v>1</v>
      </c>
      <c r="AG212" s="32">
        <v>1</v>
      </c>
      <c r="AH212" s="32">
        <v>1</v>
      </c>
      <c r="AI212" s="32">
        <v>1</v>
      </c>
      <c r="AJ212" s="32"/>
      <c r="AK212" s="32"/>
      <c r="AL212" s="32">
        <f t="shared" ref="AL212:AL217" si="30">IF(COUNTIF(AW:AW,"*"&amp;M212&amp;"*")&gt;0,1,0)</f>
        <v>0</v>
      </c>
      <c r="AM212" s="32"/>
      <c r="AN212" s="32"/>
      <c r="AO212" s="32"/>
      <c r="AP212" s="32"/>
      <c r="AQ212" s="32"/>
      <c r="AR212" s="32"/>
      <c r="AS212" s="32"/>
      <c r="AT212" s="32"/>
      <c r="AU212" s="32"/>
      <c r="AY212" s="75" t="s">
        <v>6698</v>
      </c>
    </row>
    <row r="213" spans="1:51" ht="16.5">
      <c r="A213" s="49" t="s">
        <v>6759</v>
      </c>
      <c r="B213" s="26" t="s">
        <v>160</v>
      </c>
      <c r="C213" s="26" t="s">
        <v>73</v>
      </c>
      <c r="D213" s="49" t="s">
        <v>6760</v>
      </c>
      <c r="E213" s="49" t="s">
        <v>162</v>
      </c>
      <c r="F213" s="49" t="s">
        <v>6761</v>
      </c>
      <c r="G213" s="49" t="s">
        <v>6762</v>
      </c>
      <c r="H213" s="49" t="s">
        <v>5516</v>
      </c>
      <c r="I213" s="26">
        <v>202606.3</v>
      </c>
      <c r="J213" s="25">
        <v>6.17</v>
      </c>
      <c r="K213" s="25" t="s">
        <v>73</v>
      </c>
      <c r="L213" s="26" t="s">
        <v>5975</v>
      </c>
      <c r="M213" s="49" t="s">
        <v>6763</v>
      </c>
      <c r="N213" s="27" t="s">
        <v>6764</v>
      </c>
      <c r="O213" s="26"/>
      <c r="P213" s="53">
        <v>4</v>
      </c>
      <c r="Q213" s="32">
        <v>16</v>
      </c>
      <c r="R213" s="53">
        <v>270.08999999999997</v>
      </c>
      <c r="S213" s="26" t="s">
        <v>99</v>
      </c>
      <c r="T213" s="26" t="s">
        <v>100</v>
      </c>
      <c r="U213" s="26" t="s">
        <v>101</v>
      </c>
      <c r="V213" s="38" t="s">
        <v>6695</v>
      </c>
      <c r="W213" s="26" t="s">
        <v>103</v>
      </c>
      <c r="X213" s="26" t="s">
        <v>104</v>
      </c>
      <c r="Y213" s="26" t="s">
        <v>104</v>
      </c>
      <c r="Z213" s="26" t="s">
        <v>172</v>
      </c>
      <c r="AA213" s="26" t="s">
        <v>21</v>
      </c>
      <c r="AB213" s="30" t="s">
        <v>172</v>
      </c>
      <c r="AC213" s="49" t="s">
        <v>5300</v>
      </c>
      <c r="AD213" s="25" t="s">
        <v>174</v>
      </c>
      <c r="AE213" s="26" t="s">
        <v>175</v>
      </c>
      <c r="AF213" s="32">
        <f t="shared" si="28"/>
        <v>1</v>
      </c>
      <c r="AG213" s="32">
        <v>1</v>
      </c>
      <c r="AH213" s="32">
        <v>1</v>
      </c>
      <c r="AI213" s="32">
        <v>1</v>
      </c>
      <c r="AJ213" s="32"/>
      <c r="AK213" s="32"/>
      <c r="AL213" s="32">
        <f>IF(COUNTIF(AW:AW,"*"&amp;L213&amp;"*")&gt;0,1,0)</f>
        <v>1</v>
      </c>
      <c r="AM213" s="32"/>
      <c r="AN213" s="32"/>
      <c r="AO213" s="32"/>
      <c r="AP213" s="32"/>
      <c r="AQ213" s="32"/>
      <c r="AR213" s="32"/>
      <c r="AS213" s="32"/>
      <c r="AT213" s="32">
        <v>1</v>
      </c>
      <c r="AU213" s="32"/>
      <c r="AW213" s="2" t="s">
        <v>6248</v>
      </c>
      <c r="AY213" s="75" t="s">
        <v>6690</v>
      </c>
    </row>
    <row r="214" spans="1:51" ht="16.5">
      <c r="A214" s="49" t="s">
        <v>6765</v>
      </c>
      <c r="B214" s="26" t="s">
        <v>160</v>
      </c>
      <c r="C214" s="26" t="s">
        <v>73</v>
      </c>
      <c r="D214" s="49" t="s">
        <v>6588</v>
      </c>
      <c r="E214" s="49" t="s">
        <v>162</v>
      </c>
      <c r="F214" s="49" t="s">
        <v>6766</v>
      </c>
      <c r="G214" s="49" t="s">
        <v>6767</v>
      </c>
      <c r="H214" s="49" t="s">
        <v>5516</v>
      </c>
      <c r="I214" s="26">
        <v>202606.3</v>
      </c>
      <c r="J214" s="25">
        <v>6.17</v>
      </c>
      <c r="K214" s="25" t="s">
        <v>73</v>
      </c>
      <c r="L214" s="26" t="s">
        <v>5943</v>
      </c>
      <c r="M214" s="49" t="s">
        <v>6768</v>
      </c>
      <c r="N214" s="27" t="s">
        <v>6769</v>
      </c>
      <c r="O214" s="26"/>
      <c r="P214" s="53">
        <v>4</v>
      </c>
      <c r="Q214" s="32">
        <v>16</v>
      </c>
      <c r="R214" s="53">
        <v>266.38</v>
      </c>
      <c r="S214" s="26" t="s">
        <v>99</v>
      </c>
      <c r="T214" s="26" t="s">
        <v>100</v>
      </c>
      <c r="U214" s="26" t="s">
        <v>101</v>
      </c>
      <c r="V214" s="38" t="s">
        <v>6695</v>
      </c>
      <c r="W214" s="26" t="s">
        <v>103</v>
      </c>
      <c r="X214" s="26" t="s">
        <v>104</v>
      </c>
      <c r="Y214" s="26" t="s">
        <v>104</v>
      </c>
      <c r="Z214" s="26" t="s">
        <v>172</v>
      </c>
      <c r="AA214" s="26" t="s">
        <v>21</v>
      </c>
      <c r="AB214" s="30" t="s">
        <v>172</v>
      </c>
      <c r="AC214" s="49" t="s">
        <v>5300</v>
      </c>
      <c r="AD214" s="25" t="s">
        <v>174</v>
      </c>
      <c r="AE214" s="26" t="s">
        <v>175</v>
      </c>
      <c r="AF214" s="32">
        <f t="shared" si="28"/>
        <v>1</v>
      </c>
      <c r="AG214" s="32">
        <v>1</v>
      </c>
      <c r="AH214" s="32">
        <v>1</v>
      </c>
      <c r="AI214" s="32">
        <v>1</v>
      </c>
      <c r="AJ214" s="32"/>
      <c r="AK214" s="32"/>
      <c r="AL214" s="32">
        <f>IF(COUNTIF(AW:AW,"*"&amp;L214&amp;"*")&gt;0,1,0)</f>
        <v>1</v>
      </c>
      <c r="AM214" s="32"/>
      <c r="AN214" s="32"/>
      <c r="AO214" s="32"/>
      <c r="AP214" s="32"/>
      <c r="AQ214" s="32"/>
      <c r="AR214" s="32"/>
      <c r="AS214" s="32"/>
      <c r="AT214" s="32">
        <v>1</v>
      </c>
      <c r="AU214" s="32"/>
      <c r="AW214" s="2" t="s">
        <v>6240</v>
      </c>
      <c r="AY214" s="75" t="s">
        <v>6770</v>
      </c>
    </row>
    <row r="215" spans="1:51" ht="16.5">
      <c r="A215" s="49" t="s">
        <v>6771</v>
      </c>
      <c r="B215" s="26" t="s">
        <v>160</v>
      </c>
      <c r="C215" s="26" t="s">
        <v>73</v>
      </c>
      <c r="D215" s="49" t="s">
        <v>6602</v>
      </c>
      <c r="E215" s="49" t="s">
        <v>162</v>
      </c>
      <c r="F215" s="49" t="s">
        <v>6772</v>
      </c>
      <c r="G215" s="49" t="s">
        <v>6773</v>
      </c>
      <c r="H215" s="49" t="s">
        <v>5516</v>
      </c>
      <c r="I215" s="26">
        <v>202606.3</v>
      </c>
      <c r="J215" s="25">
        <v>6.17</v>
      </c>
      <c r="K215" s="25" t="s">
        <v>73</v>
      </c>
      <c r="L215" s="26" t="s">
        <v>5960</v>
      </c>
      <c r="M215" s="49" t="s">
        <v>6774</v>
      </c>
      <c r="N215" s="27" t="s">
        <v>6775</v>
      </c>
      <c r="O215" s="26"/>
      <c r="P215" s="53">
        <v>4</v>
      </c>
      <c r="Q215" s="32">
        <v>16</v>
      </c>
      <c r="R215" s="53">
        <v>267.8</v>
      </c>
      <c r="S215" s="26" t="s">
        <v>99</v>
      </c>
      <c r="T215" s="26" t="s">
        <v>100</v>
      </c>
      <c r="U215" s="26" t="s">
        <v>101</v>
      </c>
      <c r="V215" s="38" t="s">
        <v>6695</v>
      </c>
      <c r="W215" s="26" t="s">
        <v>103</v>
      </c>
      <c r="X215" s="26" t="s">
        <v>104</v>
      </c>
      <c r="Y215" s="26" t="s">
        <v>104</v>
      </c>
      <c r="Z215" s="26" t="s">
        <v>172</v>
      </c>
      <c r="AA215" s="26" t="s">
        <v>21</v>
      </c>
      <c r="AB215" s="30" t="s">
        <v>172</v>
      </c>
      <c r="AC215" s="49" t="s">
        <v>5300</v>
      </c>
      <c r="AD215" s="25" t="s">
        <v>174</v>
      </c>
      <c r="AE215" s="26" t="s">
        <v>175</v>
      </c>
      <c r="AF215" s="32">
        <f t="shared" si="28"/>
        <v>1</v>
      </c>
      <c r="AG215" s="32">
        <v>1</v>
      </c>
      <c r="AH215" s="32">
        <v>1</v>
      </c>
      <c r="AI215" s="32">
        <v>1</v>
      </c>
      <c r="AJ215" s="32"/>
      <c r="AK215" s="32"/>
      <c r="AL215" s="32">
        <f>IF(COUNTIF(AW:AW,"*"&amp;L215&amp;"*")&gt;0,1,0)</f>
        <v>1</v>
      </c>
      <c r="AM215" s="32"/>
      <c r="AN215" s="32"/>
      <c r="AO215" s="32"/>
      <c r="AP215" s="32"/>
      <c r="AQ215" s="32"/>
      <c r="AR215" s="32"/>
      <c r="AS215" s="32"/>
      <c r="AT215" s="32">
        <v>1</v>
      </c>
      <c r="AU215" s="32"/>
      <c r="AW215" s="2" t="s">
        <v>6232</v>
      </c>
      <c r="AY215" s="75" t="s">
        <v>6760</v>
      </c>
    </row>
    <row r="216" spans="1:51" ht="16.5">
      <c r="A216" s="49" t="s">
        <v>6776</v>
      </c>
      <c r="B216" s="26" t="s">
        <v>160</v>
      </c>
      <c r="C216" s="26" t="s">
        <v>73</v>
      </c>
      <c r="D216" s="49" t="s">
        <v>6658</v>
      </c>
      <c r="E216" s="49" t="s">
        <v>162</v>
      </c>
      <c r="F216" s="49" t="s">
        <v>6777</v>
      </c>
      <c r="G216" s="49" t="s">
        <v>6778</v>
      </c>
      <c r="H216" s="49" t="s">
        <v>5516</v>
      </c>
      <c r="I216" s="26">
        <v>202606.3</v>
      </c>
      <c r="J216" s="25">
        <v>6.17</v>
      </c>
      <c r="K216" s="25" t="s">
        <v>73</v>
      </c>
      <c r="L216" s="26" t="s">
        <v>6355</v>
      </c>
      <c r="M216" s="49" t="s">
        <v>6779</v>
      </c>
      <c r="N216" s="27" t="s">
        <v>6780</v>
      </c>
      <c r="O216" s="26"/>
      <c r="P216" s="53">
        <v>4</v>
      </c>
      <c r="Q216" s="32">
        <v>16</v>
      </c>
      <c r="R216" s="53">
        <v>266.8</v>
      </c>
      <c r="S216" s="26" t="s">
        <v>99</v>
      </c>
      <c r="T216" s="26" t="s">
        <v>100</v>
      </c>
      <c r="U216" s="26" t="s">
        <v>101</v>
      </c>
      <c r="V216" s="38" t="s">
        <v>6695</v>
      </c>
      <c r="W216" s="26" t="s">
        <v>103</v>
      </c>
      <c r="X216" s="26" t="s">
        <v>104</v>
      </c>
      <c r="Y216" s="26" t="s">
        <v>104</v>
      </c>
      <c r="Z216" s="26" t="s">
        <v>172</v>
      </c>
      <c r="AA216" s="26" t="s">
        <v>21</v>
      </c>
      <c r="AB216" s="30" t="s">
        <v>172</v>
      </c>
      <c r="AC216" s="49" t="s">
        <v>5300</v>
      </c>
      <c r="AD216" s="25" t="s">
        <v>174</v>
      </c>
      <c r="AE216" s="26" t="s">
        <v>175</v>
      </c>
      <c r="AF216" s="32">
        <f t="shared" si="28"/>
        <v>1</v>
      </c>
      <c r="AG216" s="32">
        <v>1</v>
      </c>
      <c r="AH216" s="32">
        <v>1</v>
      </c>
      <c r="AI216" s="32">
        <v>1</v>
      </c>
      <c r="AJ216" s="32"/>
      <c r="AK216" s="32"/>
      <c r="AL216" s="32">
        <f>IF(COUNTIF(AW:AW,"*"&amp;L216&amp;"*")&gt;0,1,0)</f>
        <v>1</v>
      </c>
      <c r="AM216" s="32"/>
      <c r="AN216" s="32"/>
      <c r="AO216" s="32"/>
      <c r="AP216" s="32"/>
      <c r="AQ216" s="32"/>
      <c r="AR216" s="32"/>
      <c r="AS216" s="32"/>
      <c r="AT216" s="32">
        <v>1</v>
      </c>
      <c r="AU216" s="32"/>
      <c r="AW216" s="2" t="s">
        <v>6216</v>
      </c>
      <c r="AY216" s="75" t="s">
        <v>6781</v>
      </c>
    </row>
    <row r="217" spans="1:51" ht="16.5" hidden="1">
      <c r="A217" s="49" t="s">
        <v>6782</v>
      </c>
      <c r="B217" s="150" t="s">
        <v>160</v>
      </c>
      <c r="C217" s="150" t="s">
        <v>73</v>
      </c>
      <c r="D217" s="151" t="s">
        <v>6723</v>
      </c>
      <c r="E217" s="151" t="s">
        <v>162</v>
      </c>
      <c r="F217" s="49" t="s">
        <v>6783</v>
      </c>
      <c r="G217" s="151" t="s">
        <v>6784</v>
      </c>
      <c r="H217" s="151" t="s">
        <v>5516</v>
      </c>
      <c r="I217" s="26">
        <v>202606.3</v>
      </c>
      <c r="J217" s="34" t="s">
        <v>3213</v>
      </c>
      <c r="K217" s="152" t="s">
        <v>73</v>
      </c>
      <c r="L217" s="26" t="s">
        <v>6785</v>
      </c>
      <c r="M217" s="151" t="s">
        <v>6786</v>
      </c>
      <c r="N217" s="153" t="s">
        <v>6787</v>
      </c>
      <c r="O217" s="26"/>
      <c r="P217" s="53">
        <v>4</v>
      </c>
      <c r="Q217" s="32">
        <v>16</v>
      </c>
      <c r="R217" s="53">
        <v>266.12</v>
      </c>
      <c r="S217" s="26" t="s">
        <v>99</v>
      </c>
      <c r="T217" s="26" t="s">
        <v>100</v>
      </c>
      <c r="U217" s="26" t="s">
        <v>101</v>
      </c>
      <c r="V217" s="38" t="s">
        <v>6695</v>
      </c>
      <c r="W217" s="26" t="s">
        <v>103</v>
      </c>
      <c r="X217" s="26" t="s">
        <v>104</v>
      </c>
      <c r="Y217" s="26" t="s">
        <v>104</v>
      </c>
      <c r="Z217" s="26" t="s">
        <v>172</v>
      </c>
      <c r="AA217" s="26" t="s">
        <v>21</v>
      </c>
      <c r="AB217" s="30" t="s">
        <v>172</v>
      </c>
      <c r="AC217" s="49" t="s">
        <v>5300</v>
      </c>
      <c r="AD217" s="25" t="s">
        <v>174</v>
      </c>
      <c r="AE217" s="26" t="s">
        <v>175</v>
      </c>
      <c r="AF217" s="32">
        <f t="shared" si="28"/>
        <v>1</v>
      </c>
      <c r="AG217" s="32">
        <v>1</v>
      </c>
      <c r="AH217" s="32">
        <v>1</v>
      </c>
      <c r="AI217" s="32">
        <v>1</v>
      </c>
      <c r="AJ217" s="32"/>
      <c r="AK217" s="32"/>
      <c r="AL217" s="32">
        <f t="shared" si="30"/>
        <v>0</v>
      </c>
      <c r="AM217" s="32"/>
      <c r="AN217" s="32"/>
      <c r="AO217" s="32"/>
      <c r="AP217" s="32"/>
      <c r="AQ217" s="32"/>
      <c r="AR217" s="32"/>
      <c r="AS217" s="32"/>
      <c r="AT217" s="32"/>
      <c r="AU217" s="32"/>
      <c r="AY217" s="75" t="s">
        <v>6206</v>
      </c>
    </row>
    <row r="218" spans="1:51" ht="16.5">
      <c r="A218" s="49" t="s">
        <v>6788</v>
      </c>
      <c r="B218" s="26" t="s">
        <v>160</v>
      </c>
      <c r="C218" s="26" t="s">
        <v>73</v>
      </c>
      <c r="D218" s="49" t="s">
        <v>6614</v>
      </c>
      <c r="E218" s="49" t="s">
        <v>162</v>
      </c>
      <c r="F218" s="49" t="s">
        <v>6789</v>
      </c>
      <c r="G218" s="49" t="s">
        <v>6790</v>
      </c>
      <c r="H218" s="49" t="s">
        <v>5516</v>
      </c>
      <c r="I218" s="26">
        <v>202606.3</v>
      </c>
      <c r="J218" s="25">
        <v>6.17</v>
      </c>
      <c r="K218" s="25" t="s">
        <v>73</v>
      </c>
      <c r="L218" s="26" t="s">
        <v>6204</v>
      </c>
      <c r="M218" s="49" t="s">
        <v>6791</v>
      </c>
      <c r="N218" s="27" t="s">
        <v>6792</v>
      </c>
      <c r="O218" s="26"/>
      <c r="P218" s="53">
        <v>4</v>
      </c>
      <c r="Q218" s="32">
        <v>16</v>
      </c>
      <c r="R218" s="53">
        <v>269.33</v>
      </c>
      <c r="S218" s="26" t="s">
        <v>99</v>
      </c>
      <c r="T218" s="26" t="s">
        <v>100</v>
      </c>
      <c r="U218" s="26" t="s">
        <v>101</v>
      </c>
      <c r="V218" s="38" t="s">
        <v>6695</v>
      </c>
      <c r="W218" s="26" t="s">
        <v>103</v>
      </c>
      <c r="X218" s="26" t="s">
        <v>104</v>
      </c>
      <c r="Y218" s="26" t="s">
        <v>104</v>
      </c>
      <c r="Z218" s="26" t="s">
        <v>172</v>
      </c>
      <c r="AA218" s="26" t="s">
        <v>21</v>
      </c>
      <c r="AB218" s="30" t="s">
        <v>172</v>
      </c>
      <c r="AC218" s="49" t="s">
        <v>5300</v>
      </c>
      <c r="AD218" s="25" t="s">
        <v>174</v>
      </c>
      <c r="AE218" s="26" t="s">
        <v>175</v>
      </c>
      <c r="AF218" s="32">
        <f t="shared" si="28"/>
        <v>1</v>
      </c>
      <c r="AG218" s="32">
        <v>1</v>
      </c>
      <c r="AH218" s="32">
        <v>1</v>
      </c>
      <c r="AI218" s="32">
        <v>1</v>
      </c>
      <c r="AJ218" s="32"/>
      <c r="AK218" s="32"/>
      <c r="AL218" s="32">
        <f t="shared" ref="AL218:AL237" si="31">IF(COUNTIF(AW:AW,"*"&amp;L218&amp;"*")&gt;0,1,0)</f>
        <v>1</v>
      </c>
      <c r="AM218" s="32"/>
      <c r="AN218" s="32"/>
      <c r="AO218" s="32"/>
      <c r="AP218" s="32"/>
      <c r="AQ218" s="32"/>
      <c r="AR218" s="32"/>
      <c r="AS218" s="32"/>
      <c r="AT218" s="32">
        <v>1</v>
      </c>
      <c r="AU218" s="32"/>
      <c r="AW218" s="2" t="s">
        <v>6194</v>
      </c>
      <c r="AY218" s="75" t="s">
        <v>6367</v>
      </c>
    </row>
    <row r="219" spans="1:51" ht="16.5">
      <c r="A219" s="49" t="s">
        <v>6793</v>
      </c>
      <c r="B219" s="26" t="s">
        <v>160</v>
      </c>
      <c r="C219" s="26" t="s">
        <v>73</v>
      </c>
      <c r="D219" s="49" t="s">
        <v>6576</v>
      </c>
      <c r="E219" s="49" t="s">
        <v>162</v>
      </c>
      <c r="F219" s="49" t="s">
        <v>6794</v>
      </c>
      <c r="G219" s="49" t="s">
        <v>6795</v>
      </c>
      <c r="H219" s="49" t="s">
        <v>5516</v>
      </c>
      <c r="I219" s="26">
        <v>202606.3</v>
      </c>
      <c r="J219" s="25">
        <v>6.17</v>
      </c>
      <c r="K219" s="25" t="s">
        <v>73</v>
      </c>
      <c r="L219" s="26" t="s">
        <v>5931</v>
      </c>
      <c r="M219" s="49" t="s">
        <v>6796</v>
      </c>
      <c r="N219" s="27" t="s">
        <v>6797</v>
      </c>
      <c r="O219" s="26"/>
      <c r="P219" s="53">
        <v>4</v>
      </c>
      <c r="Q219" s="32">
        <v>16</v>
      </c>
      <c r="R219" s="53">
        <v>274.70999999999998</v>
      </c>
      <c r="S219" s="26" t="s">
        <v>99</v>
      </c>
      <c r="T219" s="26" t="s">
        <v>100</v>
      </c>
      <c r="U219" s="26" t="s">
        <v>101</v>
      </c>
      <c r="V219" s="38" t="s">
        <v>6695</v>
      </c>
      <c r="W219" s="26" t="s">
        <v>103</v>
      </c>
      <c r="X219" s="26" t="s">
        <v>104</v>
      </c>
      <c r="Y219" s="26" t="s">
        <v>104</v>
      </c>
      <c r="Z219" s="26" t="s">
        <v>172</v>
      </c>
      <c r="AA219" s="26" t="s">
        <v>21</v>
      </c>
      <c r="AB219" s="30" t="s">
        <v>172</v>
      </c>
      <c r="AC219" s="49" t="s">
        <v>5300</v>
      </c>
      <c r="AD219" s="25" t="s">
        <v>174</v>
      </c>
      <c r="AE219" s="26" t="s">
        <v>175</v>
      </c>
      <c r="AF219" s="32">
        <f t="shared" si="28"/>
        <v>1</v>
      </c>
      <c r="AG219" s="32">
        <v>1</v>
      </c>
      <c r="AH219" s="32">
        <v>1</v>
      </c>
      <c r="AI219" s="32">
        <v>1</v>
      </c>
      <c r="AJ219" s="32"/>
      <c r="AK219" s="32"/>
      <c r="AL219" s="32">
        <f t="shared" si="31"/>
        <v>1</v>
      </c>
      <c r="AM219" s="32"/>
      <c r="AN219" s="32"/>
      <c r="AO219" s="32"/>
      <c r="AP219" s="32"/>
      <c r="AQ219" s="32"/>
      <c r="AR219" s="32"/>
      <c r="AS219" s="32"/>
      <c r="AT219" s="32">
        <v>1</v>
      </c>
      <c r="AU219" s="32"/>
      <c r="AW219" s="2" t="s">
        <v>6361</v>
      </c>
      <c r="AY219" s="75" t="s">
        <v>6428</v>
      </c>
    </row>
    <row r="220" spans="1:51" ht="16.5">
      <c r="A220" s="49" t="s">
        <v>6798</v>
      </c>
      <c r="B220" s="26" t="s">
        <v>160</v>
      </c>
      <c r="C220" s="26" t="s">
        <v>73</v>
      </c>
      <c r="D220" s="49" t="s">
        <v>6664</v>
      </c>
      <c r="E220" s="49" t="s">
        <v>162</v>
      </c>
      <c r="F220" s="49" t="s">
        <v>6799</v>
      </c>
      <c r="G220" s="49" t="s">
        <v>6800</v>
      </c>
      <c r="H220" s="49" t="s">
        <v>5516</v>
      </c>
      <c r="I220" s="26">
        <v>202606.3</v>
      </c>
      <c r="J220" s="25">
        <v>6.17</v>
      </c>
      <c r="K220" s="25" t="s">
        <v>73</v>
      </c>
      <c r="L220" s="26" t="s">
        <v>6364</v>
      </c>
      <c r="M220" s="49" t="s">
        <v>6801</v>
      </c>
      <c r="N220" s="27" t="s">
        <v>6802</v>
      </c>
      <c r="O220" s="26"/>
      <c r="P220" s="53">
        <v>4</v>
      </c>
      <c r="Q220" s="32">
        <v>16</v>
      </c>
      <c r="R220" s="53">
        <v>412.08</v>
      </c>
      <c r="S220" s="26" t="s">
        <v>99</v>
      </c>
      <c r="T220" s="26" t="s">
        <v>100</v>
      </c>
      <c r="U220" s="26" t="s">
        <v>101</v>
      </c>
      <c r="V220" s="38" t="s">
        <v>6695</v>
      </c>
      <c r="W220" s="26" t="s">
        <v>103</v>
      </c>
      <c r="X220" s="26" t="s">
        <v>104</v>
      </c>
      <c r="Y220" s="26" t="s">
        <v>104</v>
      </c>
      <c r="Z220" s="26" t="s">
        <v>172</v>
      </c>
      <c r="AA220" s="26" t="s">
        <v>21</v>
      </c>
      <c r="AB220" s="30" t="s">
        <v>172</v>
      </c>
      <c r="AC220" s="49" t="s">
        <v>5300</v>
      </c>
      <c r="AD220" s="25" t="s">
        <v>174</v>
      </c>
      <c r="AE220" s="26" t="s">
        <v>175</v>
      </c>
      <c r="AF220" s="32">
        <f t="shared" si="28"/>
        <v>1</v>
      </c>
      <c r="AG220" s="32">
        <v>1</v>
      </c>
      <c r="AH220" s="32">
        <v>1</v>
      </c>
      <c r="AI220" s="32">
        <v>1</v>
      </c>
      <c r="AJ220" s="32"/>
      <c r="AK220" s="32"/>
      <c r="AL220" s="32">
        <f t="shared" si="31"/>
        <v>1</v>
      </c>
      <c r="AM220" s="32"/>
      <c r="AN220" s="32"/>
      <c r="AO220" s="32"/>
      <c r="AP220" s="32"/>
      <c r="AQ220" s="32"/>
      <c r="AR220" s="32"/>
      <c r="AS220" s="32"/>
      <c r="AT220" s="32">
        <v>1</v>
      </c>
      <c r="AU220" s="32"/>
      <c r="AW220" s="2" t="s">
        <v>5792</v>
      </c>
      <c r="AY220" s="75" t="s">
        <v>6199</v>
      </c>
    </row>
    <row r="221" spans="1:51" ht="16.5">
      <c r="A221" s="49" t="s">
        <v>6803</v>
      </c>
      <c r="B221" s="26" t="s">
        <v>160</v>
      </c>
      <c r="C221" s="26" t="s">
        <v>73</v>
      </c>
      <c r="D221" s="49" t="s">
        <v>6770</v>
      </c>
      <c r="E221" s="49" t="s">
        <v>162</v>
      </c>
      <c r="F221" s="49" t="s">
        <v>6804</v>
      </c>
      <c r="G221" s="49" t="s">
        <v>6805</v>
      </c>
      <c r="H221" s="49" t="s">
        <v>5516</v>
      </c>
      <c r="I221" s="26">
        <v>202606.3</v>
      </c>
      <c r="J221" s="25">
        <v>6.17</v>
      </c>
      <c r="K221" s="25" t="s">
        <v>73</v>
      </c>
      <c r="L221" s="26" t="s">
        <v>5968</v>
      </c>
      <c r="M221" s="49" t="s">
        <v>6806</v>
      </c>
      <c r="N221" s="27" t="s">
        <v>6807</v>
      </c>
      <c r="O221" s="26"/>
      <c r="P221" s="53">
        <v>4</v>
      </c>
      <c r="Q221" s="32">
        <v>16</v>
      </c>
      <c r="R221" s="53">
        <v>275.93</v>
      </c>
      <c r="S221" s="26" t="s">
        <v>99</v>
      </c>
      <c r="T221" s="26" t="s">
        <v>100</v>
      </c>
      <c r="U221" s="26" t="s">
        <v>101</v>
      </c>
      <c r="V221" s="38" t="s">
        <v>6695</v>
      </c>
      <c r="W221" s="26" t="s">
        <v>103</v>
      </c>
      <c r="X221" s="26" t="s">
        <v>104</v>
      </c>
      <c r="Y221" s="26" t="s">
        <v>104</v>
      </c>
      <c r="Z221" s="26" t="s">
        <v>172</v>
      </c>
      <c r="AA221" s="26" t="s">
        <v>21</v>
      </c>
      <c r="AB221" s="30" t="s">
        <v>172</v>
      </c>
      <c r="AC221" s="49" t="s">
        <v>5300</v>
      </c>
      <c r="AD221" s="25" t="s">
        <v>174</v>
      </c>
      <c r="AE221" s="26" t="s">
        <v>175</v>
      </c>
      <c r="AF221" s="32">
        <f t="shared" si="28"/>
        <v>1</v>
      </c>
      <c r="AG221" s="32">
        <v>1</v>
      </c>
      <c r="AH221" s="32">
        <v>1</v>
      </c>
      <c r="AI221" s="32">
        <v>1</v>
      </c>
      <c r="AJ221" s="32"/>
      <c r="AK221" s="32"/>
      <c r="AL221" s="32">
        <f t="shared" si="31"/>
        <v>1</v>
      </c>
      <c r="AM221" s="32"/>
      <c r="AN221" s="32"/>
      <c r="AO221" s="32"/>
      <c r="AP221" s="32"/>
      <c r="AQ221" s="32"/>
      <c r="AR221" s="32"/>
      <c r="AS221" s="32"/>
      <c r="AT221" s="32">
        <v>1</v>
      </c>
      <c r="AU221" s="32"/>
      <c r="AW221" s="2" t="s">
        <v>5783</v>
      </c>
      <c r="AY221" s="75" t="s">
        <v>6466</v>
      </c>
    </row>
    <row r="222" spans="1:51" ht="16.5">
      <c r="A222" s="49" t="s">
        <v>6808</v>
      </c>
      <c r="B222" s="26" t="s">
        <v>160</v>
      </c>
      <c r="C222" s="26" t="s">
        <v>73</v>
      </c>
      <c r="D222" s="49" t="s">
        <v>6570</v>
      </c>
      <c r="E222" s="49" t="s">
        <v>162</v>
      </c>
      <c r="F222" s="49" t="s">
        <v>6809</v>
      </c>
      <c r="G222" s="49" t="s">
        <v>6810</v>
      </c>
      <c r="H222" s="49" t="s">
        <v>5516</v>
      </c>
      <c r="I222" s="26">
        <v>202606.3</v>
      </c>
      <c r="J222" s="25">
        <v>6.17</v>
      </c>
      <c r="K222" s="25" t="s">
        <v>73</v>
      </c>
      <c r="L222" s="26" t="s">
        <v>5925</v>
      </c>
      <c r="M222" s="49" t="s">
        <v>6811</v>
      </c>
      <c r="N222" s="27" t="s">
        <v>6812</v>
      </c>
      <c r="O222" s="26"/>
      <c r="P222" s="53">
        <v>4</v>
      </c>
      <c r="Q222" s="32">
        <v>16</v>
      </c>
      <c r="R222" s="53">
        <v>267.36</v>
      </c>
      <c r="S222" s="26" t="s">
        <v>99</v>
      </c>
      <c r="T222" s="26" t="s">
        <v>100</v>
      </c>
      <c r="U222" s="26" t="s">
        <v>101</v>
      </c>
      <c r="V222" s="38" t="s">
        <v>6695</v>
      </c>
      <c r="W222" s="26" t="s">
        <v>103</v>
      </c>
      <c r="X222" s="26" t="s">
        <v>104</v>
      </c>
      <c r="Y222" s="26" t="s">
        <v>104</v>
      </c>
      <c r="Z222" s="26" t="s">
        <v>172</v>
      </c>
      <c r="AA222" s="26" t="s">
        <v>21</v>
      </c>
      <c r="AB222" s="30" t="s">
        <v>172</v>
      </c>
      <c r="AC222" s="49" t="s">
        <v>5300</v>
      </c>
      <c r="AD222" s="25" t="s">
        <v>174</v>
      </c>
      <c r="AE222" s="26" t="s">
        <v>175</v>
      </c>
      <c r="AF222" s="32">
        <f t="shared" si="28"/>
        <v>1</v>
      </c>
      <c r="AG222" s="32">
        <v>1</v>
      </c>
      <c r="AH222" s="32">
        <v>1</v>
      </c>
      <c r="AI222" s="32">
        <v>1</v>
      </c>
      <c r="AJ222" s="32"/>
      <c r="AK222" s="32"/>
      <c r="AL222" s="32">
        <f t="shared" si="31"/>
        <v>1</v>
      </c>
      <c r="AM222" s="32"/>
      <c r="AN222" s="32"/>
      <c r="AO222" s="32"/>
      <c r="AP222" s="32"/>
      <c r="AQ222" s="32"/>
      <c r="AR222" s="32"/>
      <c r="AS222" s="32"/>
      <c r="AT222" s="32">
        <v>1</v>
      </c>
      <c r="AU222" s="32"/>
      <c r="AW222" s="2" t="s">
        <v>5774</v>
      </c>
      <c r="AY222" s="75" t="s">
        <v>6459</v>
      </c>
    </row>
    <row r="223" spans="1:51" ht="16.5">
      <c r="A223" s="49" t="s">
        <v>6813</v>
      </c>
      <c r="B223" s="26" t="s">
        <v>160</v>
      </c>
      <c r="C223" s="26" t="s">
        <v>73</v>
      </c>
      <c r="D223" s="49" t="s">
        <v>6670</v>
      </c>
      <c r="E223" s="49" t="s">
        <v>162</v>
      </c>
      <c r="F223" s="49" t="s">
        <v>6814</v>
      </c>
      <c r="G223" s="49" t="s">
        <v>6815</v>
      </c>
      <c r="H223" s="49" t="s">
        <v>5516</v>
      </c>
      <c r="I223" s="26">
        <v>202606.3</v>
      </c>
      <c r="J223" s="25">
        <v>6.17</v>
      </c>
      <c r="K223" s="25" t="s">
        <v>73</v>
      </c>
      <c r="L223" s="26" t="s">
        <v>6594</v>
      </c>
      <c r="M223" s="49" t="s">
        <v>6816</v>
      </c>
      <c r="N223" s="27" t="s">
        <v>6817</v>
      </c>
      <c r="O223" s="26"/>
      <c r="P223" s="53">
        <v>4</v>
      </c>
      <c r="Q223" s="32">
        <v>16</v>
      </c>
      <c r="R223" s="53">
        <v>266.61</v>
      </c>
      <c r="S223" s="26" t="s">
        <v>99</v>
      </c>
      <c r="T223" s="26" t="s">
        <v>100</v>
      </c>
      <c r="U223" s="26" t="s">
        <v>101</v>
      </c>
      <c r="V223" s="38" t="s">
        <v>6695</v>
      </c>
      <c r="W223" s="26" t="s">
        <v>103</v>
      </c>
      <c r="X223" s="26" t="s">
        <v>104</v>
      </c>
      <c r="Y223" s="26" t="s">
        <v>104</v>
      </c>
      <c r="Z223" s="26" t="s">
        <v>172</v>
      </c>
      <c r="AA223" s="26" t="s">
        <v>21</v>
      </c>
      <c r="AB223" s="30" t="s">
        <v>172</v>
      </c>
      <c r="AC223" s="49" t="s">
        <v>5300</v>
      </c>
      <c r="AD223" s="25" t="s">
        <v>174</v>
      </c>
      <c r="AE223" s="26" t="s">
        <v>175</v>
      </c>
      <c r="AF223" s="32">
        <f t="shared" si="28"/>
        <v>1</v>
      </c>
      <c r="AG223" s="32">
        <v>1</v>
      </c>
      <c r="AH223" s="32">
        <v>1</v>
      </c>
      <c r="AI223" s="32">
        <v>1</v>
      </c>
      <c r="AJ223" s="32"/>
      <c r="AK223" s="32"/>
      <c r="AL223" s="32">
        <f t="shared" si="31"/>
        <v>1</v>
      </c>
      <c r="AM223" s="32"/>
      <c r="AN223" s="32"/>
      <c r="AO223" s="32"/>
      <c r="AP223" s="32"/>
      <c r="AQ223" s="32"/>
      <c r="AR223" s="32"/>
      <c r="AS223" s="32"/>
      <c r="AT223" s="32">
        <v>1</v>
      </c>
      <c r="AU223" s="32"/>
      <c r="AW223" s="2" t="s">
        <v>5766</v>
      </c>
      <c r="AY223" s="75" t="s">
        <v>6443</v>
      </c>
    </row>
    <row r="224" spans="1:51" ht="16.5">
      <c r="A224" s="49" t="s">
        <v>6818</v>
      </c>
      <c r="B224" s="26" t="s">
        <v>160</v>
      </c>
      <c r="C224" s="26" t="s">
        <v>73</v>
      </c>
      <c r="D224" s="49" t="s">
        <v>6676</v>
      </c>
      <c r="E224" s="49" t="s">
        <v>162</v>
      </c>
      <c r="F224" s="49" t="s">
        <v>6819</v>
      </c>
      <c r="G224" s="49" t="s">
        <v>6820</v>
      </c>
      <c r="H224" s="49" t="s">
        <v>5516</v>
      </c>
      <c r="I224" s="26">
        <v>202606.3</v>
      </c>
      <c r="J224" s="25">
        <v>6.17</v>
      </c>
      <c r="K224" s="25" t="s">
        <v>73</v>
      </c>
      <c r="L224" s="26" t="s">
        <v>6372</v>
      </c>
      <c r="M224" s="49" t="s">
        <v>6821</v>
      </c>
      <c r="N224" s="27" t="s">
        <v>6822</v>
      </c>
      <c r="O224" s="26"/>
      <c r="P224" s="53">
        <v>4</v>
      </c>
      <c r="Q224" s="32">
        <v>16</v>
      </c>
      <c r="R224" s="53">
        <v>266.62</v>
      </c>
      <c r="S224" s="26" t="s">
        <v>99</v>
      </c>
      <c r="T224" s="26" t="s">
        <v>100</v>
      </c>
      <c r="U224" s="26" t="s">
        <v>101</v>
      </c>
      <c r="V224" s="38" t="s">
        <v>6695</v>
      </c>
      <c r="W224" s="26" t="s">
        <v>103</v>
      </c>
      <c r="X224" s="26" t="s">
        <v>104</v>
      </c>
      <c r="Y224" s="26" t="s">
        <v>104</v>
      </c>
      <c r="Z224" s="26" t="s">
        <v>172</v>
      </c>
      <c r="AA224" s="26" t="s">
        <v>21</v>
      </c>
      <c r="AB224" s="30" t="s">
        <v>172</v>
      </c>
      <c r="AC224" s="49" t="s">
        <v>5300</v>
      </c>
      <c r="AD224" s="25" t="s">
        <v>174</v>
      </c>
      <c r="AE224" s="26" t="s">
        <v>175</v>
      </c>
      <c r="AF224" s="32">
        <f t="shared" si="28"/>
        <v>1</v>
      </c>
      <c r="AG224" s="32">
        <v>1</v>
      </c>
      <c r="AH224" s="32">
        <v>1</v>
      </c>
      <c r="AI224" s="32">
        <v>1</v>
      </c>
      <c r="AJ224" s="32"/>
      <c r="AK224" s="32"/>
      <c r="AL224" s="32">
        <f t="shared" si="31"/>
        <v>1</v>
      </c>
      <c r="AM224" s="32"/>
      <c r="AN224" s="32"/>
      <c r="AO224" s="32"/>
      <c r="AP224" s="32"/>
      <c r="AQ224" s="32"/>
      <c r="AR224" s="32"/>
      <c r="AS224" s="32"/>
      <c r="AT224" s="32">
        <v>1</v>
      </c>
      <c r="AU224" s="32"/>
      <c r="AW224" s="2" t="s">
        <v>5757</v>
      </c>
      <c r="AY224" s="75" t="s">
        <v>6435</v>
      </c>
    </row>
    <row r="225" spans="1:51" ht="16.5">
      <c r="A225" s="49" t="s">
        <v>6823</v>
      </c>
      <c r="B225" s="26" t="s">
        <v>160</v>
      </c>
      <c r="C225" s="26" t="s">
        <v>73</v>
      </c>
      <c r="D225" s="49" t="s">
        <v>6595</v>
      </c>
      <c r="E225" s="49" t="s">
        <v>162</v>
      </c>
      <c r="F225" s="49" t="s">
        <v>6824</v>
      </c>
      <c r="G225" s="49" t="s">
        <v>6825</v>
      </c>
      <c r="H225" s="49" t="s">
        <v>5516</v>
      </c>
      <c r="I225" s="26">
        <v>202606.3</v>
      </c>
      <c r="J225" s="25">
        <v>6.17</v>
      </c>
      <c r="K225" s="25" t="s">
        <v>73</v>
      </c>
      <c r="L225" s="26" t="s">
        <v>5952</v>
      </c>
      <c r="M225" s="49" t="s">
        <v>6826</v>
      </c>
      <c r="N225" s="27" t="s">
        <v>6827</v>
      </c>
      <c r="O225" s="26"/>
      <c r="P225" s="53">
        <v>4</v>
      </c>
      <c r="Q225" s="32">
        <v>16</v>
      </c>
      <c r="R225" s="53">
        <v>266.69</v>
      </c>
      <c r="S225" s="26" t="s">
        <v>99</v>
      </c>
      <c r="T225" s="26" t="s">
        <v>100</v>
      </c>
      <c r="U225" s="26" t="s">
        <v>101</v>
      </c>
      <c r="V225" s="38" t="s">
        <v>6695</v>
      </c>
      <c r="W225" s="26" t="s">
        <v>103</v>
      </c>
      <c r="X225" s="26" t="s">
        <v>104</v>
      </c>
      <c r="Y225" s="26" t="s">
        <v>104</v>
      </c>
      <c r="Z225" s="26" t="s">
        <v>172</v>
      </c>
      <c r="AA225" s="26" t="s">
        <v>21</v>
      </c>
      <c r="AB225" s="30" t="s">
        <v>172</v>
      </c>
      <c r="AC225" s="49" t="s">
        <v>5300</v>
      </c>
      <c r="AD225" s="25" t="s">
        <v>174</v>
      </c>
      <c r="AE225" s="26" t="s">
        <v>175</v>
      </c>
      <c r="AF225" s="32">
        <f t="shared" si="28"/>
        <v>1</v>
      </c>
      <c r="AG225" s="32">
        <v>1</v>
      </c>
      <c r="AH225" s="32">
        <v>1</v>
      </c>
      <c r="AI225" s="32">
        <v>1</v>
      </c>
      <c r="AJ225" s="32"/>
      <c r="AK225" s="32"/>
      <c r="AL225" s="32">
        <f t="shared" si="31"/>
        <v>1</v>
      </c>
      <c r="AM225" s="32"/>
      <c r="AN225" s="32"/>
      <c r="AO225" s="32"/>
      <c r="AP225" s="32"/>
      <c r="AQ225" s="32"/>
      <c r="AR225" s="32"/>
      <c r="AS225" s="32"/>
      <c r="AT225" s="32">
        <v>1</v>
      </c>
      <c r="AU225" s="32"/>
      <c r="AW225" s="2" t="s">
        <v>5748</v>
      </c>
      <c r="AY225" s="75" t="s">
        <v>3953</v>
      </c>
    </row>
    <row r="226" spans="1:51" ht="16.5">
      <c r="A226" s="49" t="s">
        <v>6828</v>
      </c>
      <c r="B226" s="26" t="s">
        <v>160</v>
      </c>
      <c r="C226" s="26" t="s">
        <v>73</v>
      </c>
      <c r="D226" s="49" t="s">
        <v>6564</v>
      </c>
      <c r="E226" s="49" t="s">
        <v>162</v>
      </c>
      <c r="F226" s="49" t="s">
        <v>6829</v>
      </c>
      <c r="G226" s="49" t="s">
        <v>6830</v>
      </c>
      <c r="H226" s="49" t="s">
        <v>5516</v>
      </c>
      <c r="I226" s="26">
        <v>202606.3</v>
      </c>
      <c r="J226" s="25">
        <v>6.17</v>
      </c>
      <c r="K226" s="25" t="s">
        <v>73</v>
      </c>
      <c r="L226" s="26" t="s">
        <v>5919</v>
      </c>
      <c r="M226" s="49" t="s">
        <v>6831</v>
      </c>
      <c r="N226" s="27" t="s">
        <v>6832</v>
      </c>
      <c r="O226" s="26"/>
      <c r="P226" s="53">
        <v>4</v>
      </c>
      <c r="Q226" s="32">
        <v>16</v>
      </c>
      <c r="R226" s="53">
        <v>266.25</v>
      </c>
      <c r="S226" s="26" t="s">
        <v>99</v>
      </c>
      <c r="T226" s="26" t="s">
        <v>100</v>
      </c>
      <c r="U226" s="26" t="s">
        <v>101</v>
      </c>
      <c r="V226" s="38" t="s">
        <v>6695</v>
      </c>
      <c r="W226" s="26" t="s">
        <v>103</v>
      </c>
      <c r="X226" s="26" t="s">
        <v>104</v>
      </c>
      <c r="Y226" s="26" t="s">
        <v>104</v>
      </c>
      <c r="Z226" s="26" t="s">
        <v>172</v>
      </c>
      <c r="AA226" s="26" t="s">
        <v>21</v>
      </c>
      <c r="AB226" s="30" t="s">
        <v>172</v>
      </c>
      <c r="AC226" s="49" t="s">
        <v>5300</v>
      </c>
      <c r="AD226" s="25" t="s">
        <v>174</v>
      </c>
      <c r="AE226" s="26" t="s">
        <v>175</v>
      </c>
      <c r="AF226" s="32">
        <f t="shared" si="28"/>
        <v>1</v>
      </c>
      <c r="AG226" s="32">
        <v>1</v>
      </c>
      <c r="AH226" s="32">
        <v>1</v>
      </c>
      <c r="AI226" s="32">
        <v>1</v>
      </c>
      <c r="AJ226" s="32"/>
      <c r="AK226" s="32"/>
      <c r="AL226" s="32">
        <f t="shared" si="31"/>
        <v>1</v>
      </c>
      <c r="AM226" s="32"/>
      <c r="AN226" s="32"/>
      <c r="AO226" s="32"/>
      <c r="AP226" s="32"/>
      <c r="AQ226" s="32"/>
      <c r="AR226" s="32"/>
      <c r="AS226" s="32"/>
      <c r="AT226" s="32">
        <v>1</v>
      </c>
      <c r="AU226" s="32"/>
      <c r="AW226" s="2" t="s">
        <v>5731</v>
      </c>
      <c r="AY226" s="75" t="s">
        <v>6305</v>
      </c>
    </row>
    <row r="227" spans="1:51" ht="16.5">
      <c r="A227" s="49" t="s">
        <v>6833</v>
      </c>
      <c r="B227" s="26" t="s">
        <v>160</v>
      </c>
      <c r="C227" s="26" t="s">
        <v>73</v>
      </c>
      <c r="D227" s="49" t="s">
        <v>6652</v>
      </c>
      <c r="E227" s="49" t="s">
        <v>162</v>
      </c>
      <c r="F227" s="49" t="s">
        <v>6834</v>
      </c>
      <c r="G227" s="49" t="s">
        <v>6835</v>
      </c>
      <c r="H227" s="49" t="s">
        <v>5516</v>
      </c>
      <c r="I227" s="26">
        <v>202606.3</v>
      </c>
      <c r="J227" s="25">
        <v>6.17</v>
      </c>
      <c r="K227" s="25" t="s">
        <v>73</v>
      </c>
      <c r="L227" s="26" t="s">
        <v>6346</v>
      </c>
      <c r="M227" s="49" t="s">
        <v>6836</v>
      </c>
      <c r="N227" s="27" t="s">
        <v>6837</v>
      </c>
      <c r="O227" s="26"/>
      <c r="P227" s="53">
        <v>4</v>
      </c>
      <c r="Q227" s="32">
        <v>16</v>
      </c>
      <c r="R227" s="53">
        <v>268.98</v>
      </c>
      <c r="S227" s="26" t="s">
        <v>99</v>
      </c>
      <c r="T227" s="26" t="s">
        <v>100</v>
      </c>
      <c r="U227" s="26" t="s">
        <v>101</v>
      </c>
      <c r="V227" s="38" t="s">
        <v>6695</v>
      </c>
      <c r="W227" s="26" t="s">
        <v>103</v>
      </c>
      <c r="X227" s="26" t="s">
        <v>104</v>
      </c>
      <c r="Y227" s="26" t="s">
        <v>104</v>
      </c>
      <c r="Z227" s="26" t="s">
        <v>172</v>
      </c>
      <c r="AA227" s="26" t="s">
        <v>21</v>
      </c>
      <c r="AB227" s="30" t="s">
        <v>172</v>
      </c>
      <c r="AC227" s="49" t="s">
        <v>5300</v>
      </c>
      <c r="AD227" s="25" t="s">
        <v>174</v>
      </c>
      <c r="AE227" s="26" t="s">
        <v>175</v>
      </c>
      <c r="AF227" s="32">
        <f t="shared" si="28"/>
        <v>1</v>
      </c>
      <c r="AG227" s="32">
        <v>1</v>
      </c>
      <c r="AH227" s="32">
        <v>1</v>
      </c>
      <c r="AI227" s="32">
        <v>1</v>
      </c>
      <c r="AJ227" s="32"/>
      <c r="AK227" s="32"/>
      <c r="AL227" s="32">
        <f t="shared" si="31"/>
        <v>1</v>
      </c>
      <c r="AM227" s="32"/>
      <c r="AN227" s="32"/>
      <c r="AO227" s="32"/>
      <c r="AP227" s="32"/>
      <c r="AQ227" s="32"/>
      <c r="AR227" s="32"/>
      <c r="AS227" s="32"/>
      <c r="AT227" s="32">
        <v>1</v>
      </c>
      <c r="AU227" s="32"/>
      <c r="AY227" s="75" t="s">
        <v>6182</v>
      </c>
    </row>
    <row r="228" spans="1:51" ht="16.5">
      <c r="A228" s="49" t="s">
        <v>6838</v>
      </c>
      <c r="B228" s="26" t="s">
        <v>160</v>
      </c>
      <c r="C228" s="26" t="s">
        <v>73</v>
      </c>
      <c r="D228" s="49" t="s">
        <v>6638</v>
      </c>
      <c r="E228" s="49" t="s">
        <v>162</v>
      </c>
      <c r="F228" s="49" t="s">
        <v>6839</v>
      </c>
      <c r="G228" s="49" t="s">
        <v>6840</v>
      </c>
      <c r="H228" s="49" t="s">
        <v>5516</v>
      </c>
      <c r="I228" s="26">
        <v>202606.3</v>
      </c>
      <c r="J228" s="25">
        <v>6.17</v>
      </c>
      <c r="K228" s="25" t="s">
        <v>73</v>
      </c>
      <c r="L228" s="26" t="s">
        <v>6235</v>
      </c>
      <c r="M228" s="49" t="s">
        <v>6841</v>
      </c>
      <c r="N228" s="27" t="s">
        <v>6842</v>
      </c>
      <c r="O228" s="26"/>
      <c r="P228" s="53">
        <v>4</v>
      </c>
      <c r="Q228" s="32">
        <v>16</v>
      </c>
      <c r="R228" s="53">
        <v>267.76</v>
      </c>
      <c r="S228" s="26" t="s">
        <v>99</v>
      </c>
      <c r="T228" s="26" t="s">
        <v>100</v>
      </c>
      <c r="U228" s="26" t="s">
        <v>101</v>
      </c>
      <c r="V228" s="38" t="s">
        <v>6695</v>
      </c>
      <c r="W228" s="26" t="s">
        <v>103</v>
      </c>
      <c r="X228" s="26" t="s">
        <v>104</v>
      </c>
      <c r="Y228" s="26" t="s">
        <v>104</v>
      </c>
      <c r="Z228" s="26" t="s">
        <v>172</v>
      </c>
      <c r="AA228" s="26" t="s">
        <v>21</v>
      </c>
      <c r="AB228" s="30" t="s">
        <v>172</v>
      </c>
      <c r="AC228" s="49" t="s">
        <v>5300</v>
      </c>
      <c r="AD228" s="25" t="s">
        <v>174</v>
      </c>
      <c r="AE228" s="26" t="s">
        <v>175</v>
      </c>
      <c r="AF228" s="32">
        <f t="shared" si="28"/>
        <v>1</v>
      </c>
      <c r="AG228" s="32">
        <v>1</v>
      </c>
      <c r="AH228" s="32">
        <v>1</v>
      </c>
      <c r="AI228" s="32">
        <v>1</v>
      </c>
      <c r="AJ228" s="32"/>
      <c r="AK228" s="32"/>
      <c r="AL228" s="32">
        <f t="shared" si="31"/>
        <v>1</v>
      </c>
      <c r="AM228" s="32"/>
      <c r="AN228" s="32"/>
      <c r="AO228" s="32"/>
      <c r="AP228" s="32"/>
      <c r="AQ228" s="32"/>
      <c r="AR228" s="32"/>
      <c r="AS228" s="32"/>
      <c r="AT228" s="32">
        <v>1</v>
      </c>
      <c r="AU228" s="32"/>
      <c r="AY228" s="75" t="s">
        <v>6452</v>
      </c>
    </row>
    <row r="229" spans="1:51" ht="16.5">
      <c r="A229" s="49" t="s">
        <v>6843</v>
      </c>
      <c r="B229" s="26" t="s">
        <v>160</v>
      </c>
      <c r="C229" s="26" t="s">
        <v>73</v>
      </c>
      <c r="D229" s="49" t="s">
        <v>6734</v>
      </c>
      <c r="E229" s="49" t="s">
        <v>162</v>
      </c>
      <c r="F229" s="49" t="s">
        <v>6844</v>
      </c>
      <c r="G229" s="49" t="s">
        <v>6845</v>
      </c>
      <c r="H229" s="49" t="s">
        <v>5516</v>
      </c>
      <c r="I229" s="26">
        <v>202606.3</v>
      </c>
      <c r="J229" s="25">
        <v>6.17</v>
      </c>
      <c r="K229" s="25" t="s">
        <v>73</v>
      </c>
      <c r="L229" s="26" t="s">
        <v>6529</v>
      </c>
      <c r="M229" s="49" t="s">
        <v>6846</v>
      </c>
      <c r="N229" s="27" t="s">
        <v>6847</v>
      </c>
      <c r="O229" s="26"/>
      <c r="P229" s="53">
        <v>4</v>
      </c>
      <c r="Q229" s="32">
        <v>16</v>
      </c>
      <c r="R229" s="53">
        <v>271.5</v>
      </c>
      <c r="S229" s="26" t="s">
        <v>99</v>
      </c>
      <c r="T229" s="26" t="s">
        <v>100</v>
      </c>
      <c r="U229" s="26" t="s">
        <v>101</v>
      </c>
      <c r="V229" s="38" t="s">
        <v>6695</v>
      </c>
      <c r="W229" s="26" t="s">
        <v>103</v>
      </c>
      <c r="X229" s="26" t="s">
        <v>104</v>
      </c>
      <c r="Y229" s="26" t="s">
        <v>104</v>
      </c>
      <c r="Z229" s="26" t="s">
        <v>172</v>
      </c>
      <c r="AA229" s="26" t="s">
        <v>21</v>
      </c>
      <c r="AB229" s="30" t="s">
        <v>172</v>
      </c>
      <c r="AC229" s="49" t="s">
        <v>5300</v>
      </c>
      <c r="AD229" s="25" t="s">
        <v>174</v>
      </c>
      <c r="AE229" s="26" t="s">
        <v>175</v>
      </c>
      <c r="AF229" s="32">
        <f t="shared" si="28"/>
        <v>1</v>
      </c>
      <c r="AG229" s="32">
        <v>1</v>
      </c>
      <c r="AH229" s="32">
        <v>1</v>
      </c>
      <c r="AI229" s="32">
        <v>1</v>
      </c>
      <c r="AJ229" s="32"/>
      <c r="AK229" s="32"/>
      <c r="AL229" s="32">
        <f t="shared" si="31"/>
        <v>1</v>
      </c>
      <c r="AM229" s="32"/>
      <c r="AN229" s="32"/>
      <c r="AO229" s="32"/>
      <c r="AP229" s="32"/>
      <c r="AQ229" s="32"/>
      <c r="AR229" s="32"/>
      <c r="AS229" s="25" t="s">
        <v>6509</v>
      </c>
      <c r="AT229" s="32">
        <v>1</v>
      </c>
      <c r="AU229" s="32"/>
      <c r="AY229" s="75" t="s">
        <v>6420</v>
      </c>
    </row>
    <row r="230" spans="1:51" ht="16.5">
      <c r="A230" s="49" t="s">
        <v>6848</v>
      </c>
      <c r="B230" s="26" t="s">
        <v>160</v>
      </c>
      <c r="C230" s="26" t="s">
        <v>73</v>
      </c>
      <c r="D230" s="49" t="s">
        <v>6608</v>
      </c>
      <c r="E230" s="49" t="s">
        <v>162</v>
      </c>
      <c r="F230" s="49" t="s">
        <v>6849</v>
      </c>
      <c r="G230" s="49" t="s">
        <v>6850</v>
      </c>
      <c r="H230" s="49" t="s">
        <v>5516</v>
      </c>
      <c r="I230" s="26">
        <v>202606.3</v>
      </c>
      <c r="J230" s="25">
        <v>6.17</v>
      </c>
      <c r="K230" s="25" t="s">
        <v>73</v>
      </c>
      <c r="L230" s="26" t="s">
        <v>6189</v>
      </c>
      <c r="M230" s="49" t="s">
        <v>6851</v>
      </c>
      <c r="N230" s="27" t="s">
        <v>6852</v>
      </c>
      <c r="O230" s="26"/>
      <c r="P230" s="53">
        <v>4</v>
      </c>
      <c r="Q230" s="32">
        <v>16</v>
      </c>
      <c r="R230" s="53">
        <v>268.87</v>
      </c>
      <c r="S230" s="26" t="s">
        <v>99</v>
      </c>
      <c r="T230" s="26" t="s">
        <v>100</v>
      </c>
      <c r="U230" s="26" t="s">
        <v>101</v>
      </c>
      <c r="V230" s="38" t="s">
        <v>6695</v>
      </c>
      <c r="W230" s="26" t="s">
        <v>103</v>
      </c>
      <c r="X230" s="26" t="s">
        <v>104</v>
      </c>
      <c r="Y230" s="26" t="s">
        <v>104</v>
      </c>
      <c r="Z230" s="26" t="s">
        <v>172</v>
      </c>
      <c r="AA230" s="26" t="s">
        <v>21</v>
      </c>
      <c r="AB230" s="30" t="s">
        <v>172</v>
      </c>
      <c r="AC230" s="49" t="s">
        <v>5300</v>
      </c>
      <c r="AD230" s="25" t="s">
        <v>174</v>
      </c>
      <c r="AE230" s="26" t="s">
        <v>175</v>
      </c>
      <c r="AF230" s="32">
        <f t="shared" si="28"/>
        <v>1</v>
      </c>
      <c r="AG230" s="32">
        <v>1</v>
      </c>
      <c r="AH230" s="32">
        <v>1</v>
      </c>
      <c r="AI230" s="32">
        <v>1</v>
      </c>
      <c r="AJ230" s="32"/>
      <c r="AK230" s="32"/>
      <c r="AL230" s="32">
        <f t="shared" si="31"/>
        <v>1</v>
      </c>
      <c r="AM230" s="32"/>
      <c r="AN230" s="32"/>
      <c r="AO230" s="32"/>
      <c r="AP230" s="32"/>
      <c r="AQ230" s="32"/>
      <c r="AR230" s="32"/>
      <c r="AS230" s="25" t="s">
        <v>6522</v>
      </c>
      <c r="AT230" s="32">
        <v>1</v>
      </c>
      <c r="AU230" s="32"/>
      <c r="AY230" s="75" t="s">
        <v>6411</v>
      </c>
    </row>
    <row r="231" spans="1:51" ht="16.5">
      <c r="A231" s="49" t="s">
        <v>6853</v>
      </c>
      <c r="B231" s="26" t="s">
        <v>160</v>
      </c>
      <c r="C231" s="26" t="s">
        <v>73</v>
      </c>
      <c r="D231" s="49" t="s">
        <v>6781</v>
      </c>
      <c r="E231" s="49" t="s">
        <v>162</v>
      </c>
      <c r="F231" s="49" t="s">
        <v>6854</v>
      </c>
      <c r="G231" s="49" t="s">
        <v>6855</v>
      </c>
      <c r="H231" s="49" t="s">
        <v>5516</v>
      </c>
      <c r="I231" s="26">
        <v>202606.3</v>
      </c>
      <c r="J231" s="25">
        <v>6.17</v>
      </c>
      <c r="K231" s="25" t="s">
        <v>73</v>
      </c>
      <c r="L231" s="26" t="s">
        <v>5983</v>
      </c>
      <c r="M231" s="49" t="s">
        <v>6856</v>
      </c>
      <c r="N231" s="27" t="s">
        <v>6857</v>
      </c>
      <c r="O231" s="26"/>
      <c r="P231" s="53">
        <v>4</v>
      </c>
      <c r="Q231" s="32">
        <v>16</v>
      </c>
      <c r="R231" s="53">
        <v>266.33999999999997</v>
      </c>
      <c r="S231" s="26" t="s">
        <v>99</v>
      </c>
      <c r="T231" s="26" t="s">
        <v>100</v>
      </c>
      <c r="U231" s="26" t="s">
        <v>101</v>
      </c>
      <c r="V231" s="38" t="s">
        <v>6695</v>
      </c>
      <c r="W231" s="26" t="s">
        <v>103</v>
      </c>
      <c r="X231" s="26" t="s">
        <v>104</v>
      </c>
      <c r="Y231" s="26" t="s">
        <v>104</v>
      </c>
      <c r="Z231" s="26" t="s">
        <v>172</v>
      </c>
      <c r="AA231" s="26" t="s">
        <v>21</v>
      </c>
      <c r="AB231" s="30" t="s">
        <v>172</v>
      </c>
      <c r="AC231" s="49" t="s">
        <v>5300</v>
      </c>
      <c r="AD231" s="25" t="s">
        <v>174</v>
      </c>
      <c r="AE231" s="26" t="s">
        <v>175</v>
      </c>
      <c r="AF231" s="32">
        <f t="shared" si="28"/>
        <v>1</v>
      </c>
      <c r="AG231" s="32">
        <v>1</v>
      </c>
      <c r="AH231" s="32">
        <v>1</v>
      </c>
      <c r="AI231" s="32">
        <v>1</v>
      </c>
      <c r="AJ231" s="32"/>
      <c r="AK231" s="32"/>
      <c r="AL231" s="32">
        <f t="shared" si="31"/>
        <v>1</v>
      </c>
      <c r="AM231" s="32"/>
      <c r="AN231" s="32"/>
      <c r="AO231" s="32"/>
      <c r="AP231" s="32"/>
      <c r="AQ231" s="32"/>
      <c r="AR231" s="32"/>
      <c r="AS231" s="32"/>
      <c r="AT231" s="32">
        <v>1</v>
      </c>
      <c r="AU231" s="32"/>
      <c r="AY231" s="75" t="s">
        <v>6402</v>
      </c>
    </row>
    <row r="232" spans="1:51" ht="16.5">
      <c r="A232" s="49" t="s">
        <v>6858</v>
      </c>
      <c r="B232" s="26" t="s">
        <v>160</v>
      </c>
      <c r="C232" s="26" t="s">
        <v>73</v>
      </c>
      <c r="D232" s="49" t="s">
        <v>6752</v>
      </c>
      <c r="E232" s="49" t="s">
        <v>162</v>
      </c>
      <c r="F232" s="49" t="s">
        <v>6859</v>
      </c>
      <c r="G232" s="49" t="s">
        <v>6860</v>
      </c>
      <c r="H232" s="49" t="s">
        <v>5516</v>
      </c>
      <c r="I232" s="26">
        <v>202606.3</v>
      </c>
      <c r="J232" s="25">
        <v>6.17</v>
      </c>
      <c r="K232" s="25" t="s">
        <v>73</v>
      </c>
      <c r="L232" s="26" t="s">
        <v>6551</v>
      </c>
      <c r="M232" s="49" t="s">
        <v>6861</v>
      </c>
      <c r="N232" s="27" t="s">
        <v>6862</v>
      </c>
      <c r="O232" s="26"/>
      <c r="P232" s="53">
        <v>4</v>
      </c>
      <c r="Q232" s="32">
        <v>16</v>
      </c>
      <c r="R232" s="53">
        <v>266.67</v>
      </c>
      <c r="S232" s="26" t="s">
        <v>99</v>
      </c>
      <c r="T232" s="26" t="s">
        <v>100</v>
      </c>
      <c r="U232" s="26" t="s">
        <v>101</v>
      </c>
      <c r="V232" s="38" t="s">
        <v>6695</v>
      </c>
      <c r="W232" s="26" t="s">
        <v>103</v>
      </c>
      <c r="X232" s="26" t="s">
        <v>104</v>
      </c>
      <c r="Y232" s="26" t="s">
        <v>104</v>
      </c>
      <c r="Z232" s="26" t="s">
        <v>172</v>
      </c>
      <c r="AA232" s="26" t="s">
        <v>21</v>
      </c>
      <c r="AB232" s="30" t="s">
        <v>172</v>
      </c>
      <c r="AC232" s="49" t="s">
        <v>5300</v>
      </c>
      <c r="AD232" s="25" t="s">
        <v>174</v>
      </c>
      <c r="AE232" s="26" t="s">
        <v>175</v>
      </c>
      <c r="AF232" s="32">
        <f t="shared" si="28"/>
        <v>1</v>
      </c>
      <c r="AG232" s="32">
        <v>1</v>
      </c>
      <c r="AH232" s="32">
        <v>1</v>
      </c>
      <c r="AI232" s="32">
        <v>1</v>
      </c>
      <c r="AJ232" s="32"/>
      <c r="AK232" s="32"/>
      <c r="AL232" s="32">
        <f t="shared" si="31"/>
        <v>1</v>
      </c>
      <c r="AM232" s="32"/>
      <c r="AN232" s="32"/>
      <c r="AO232" s="32"/>
      <c r="AP232" s="32"/>
      <c r="AQ232" s="32"/>
      <c r="AR232" s="32"/>
      <c r="AS232" s="32"/>
      <c r="AT232" s="32">
        <v>1</v>
      </c>
      <c r="AU232" s="32"/>
      <c r="AY232" s="75" t="s">
        <v>6393</v>
      </c>
    </row>
    <row r="233" spans="1:51" ht="16.5">
      <c r="A233" s="49" t="s">
        <v>6863</v>
      </c>
      <c r="B233" s="26" t="s">
        <v>160</v>
      </c>
      <c r="C233" s="26" t="s">
        <v>73</v>
      </c>
      <c r="D233" s="49" t="s">
        <v>6740</v>
      </c>
      <c r="E233" s="49" t="s">
        <v>162</v>
      </c>
      <c r="F233" s="49" t="s">
        <v>6864</v>
      </c>
      <c r="G233" s="49" t="s">
        <v>6865</v>
      </c>
      <c r="H233" s="49" t="s">
        <v>5516</v>
      </c>
      <c r="I233" s="26">
        <v>202606.3</v>
      </c>
      <c r="J233" s="25">
        <v>6.17</v>
      </c>
      <c r="K233" s="25" t="s">
        <v>73</v>
      </c>
      <c r="L233" s="26" t="s">
        <v>6537</v>
      </c>
      <c r="M233" s="49" t="s">
        <v>6866</v>
      </c>
      <c r="N233" s="27" t="s">
        <v>6867</v>
      </c>
      <c r="O233" s="26"/>
      <c r="P233" s="53">
        <v>4</v>
      </c>
      <c r="Q233" s="32">
        <v>16</v>
      </c>
      <c r="R233" s="53">
        <v>266.38</v>
      </c>
      <c r="S233" s="26" t="s">
        <v>99</v>
      </c>
      <c r="T233" s="26" t="s">
        <v>100</v>
      </c>
      <c r="U233" s="26" t="s">
        <v>101</v>
      </c>
      <c r="V233" s="38" t="s">
        <v>6695</v>
      </c>
      <c r="W233" s="26" t="s">
        <v>103</v>
      </c>
      <c r="X233" s="26" t="s">
        <v>104</v>
      </c>
      <c r="Y233" s="26" t="s">
        <v>104</v>
      </c>
      <c r="Z233" s="26" t="s">
        <v>172</v>
      </c>
      <c r="AA233" s="26" t="s">
        <v>21</v>
      </c>
      <c r="AB233" s="30" t="s">
        <v>172</v>
      </c>
      <c r="AC233" s="49" t="s">
        <v>5300</v>
      </c>
      <c r="AD233" s="25" t="s">
        <v>174</v>
      </c>
      <c r="AE233" s="26" t="s">
        <v>175</v>
      </c>
      <c r="AF233" s="32">
        <f t="shared" si="28"/>
        <v>1</v>
      </c>
      <c r="AG233" s="32">
        <v>1</v>
      </c>
      <c r="AH233" s="32">
        <v>1</v>
      </c>
      <c r="AI233" s="32">
        <v>1</v>
      </c>
      <c r="AJ233" s="32"/>
      <c r="AK233" s="32"/>
      <c r="AL233" s="32">
        <f t="shared" si="31"/>
        <v>1</v>
      </c>
      <c r="AM233" s="32"/>
      <c r="AN233" s="32"/>
      <c r="AO233" s="32"/>
      <c r="AP233" s="32"/>
      <c r="AQ233" s="32"/>
      <c r="AR233" s="32"/>
      <c r="AS233" s="32"/>
      <c r="AT233" s="32">
        <v>1</v>
      </c>
      <c r="AU233" s="32"/>
      <c r="AY233" s="75" t="s">
        <v>6384</v>
      </c>
    </row>
    <row r="234" spans="1:51" ht="16.5">
      <c r="A234" s="49" t="s">
        <v>6868</v>
      </c>
      <c r="B234" s="26" t="s">
        <v>160</v>
      </c>
      <c r="C234" s="26" t="s">
        <v>73</v>
      </c>
      <c r="D234" s="49" t="s">
        <v>6703</v>
      </c>
      <c r="E234" s="49" t="s">
        <v>162</v>
      </c>
      <c r="F234" s="49" t="s">
        <v>6869</v>
      </c>
      <c r="G234" s="49" t="s">
        <v>6870</v>
      </c>
      <c r="H234" s="49" t="s">
        <v>5516</v>
      </c>
      <c r="I234" s="26">
        <v>202606.3</v>
      </c>
      <c r="J234" s="25">
        <v>6.17</v>
      </c>
      <c r="K234" s="25" t="s">
        <v>73</v>
      </c>
      <c r="L234" s="26" t="s">
        <v>6440</v>
      </c>
      <c r="M234" s="49" t="s">
        <v>6871</v>
      </c>
      <c r="N234" s="27" t="s">
        <v>6872</v>
      </c>
      <c r="O234" s="26"/>
      <c r="P234" s="53">
        <v>4</v>
      </c>
      <c r="Q234" s="32">
        <v>16</v>
      </c>
      <c r="R234" s="53">
        <v>266.16000000000003</v>
      </c>
      <c r="S234" s="26" t="s">
        <v>99</v>
      </c>
      <c r="T234" s="26" t="s">
        <v>100</v>
      </c>
      <c r="U234" s="26" t="s">
        <v>101</v>
      </c>
      <c r="V234" s="38" t="s">
        <v>6695</v>
      </c>
      <c r="W234" s="26" t="s">
        <v>103</v>
      </c>
      <c r="X234" s="26" t="s">
        <v>104</v>
      </c>
      <c r="Y234" s="26" t="s">
        <v>104</v>
      </c>
      <c r="Z234" s="26" t="s">
        <v>172</v>
      </c>
      <c r="AA234" s="26" t="s">
        <v>21</v>
      </c>
      <c r="AB234" s="30" t="s">
        <v>172</v>
      </c>
      <c r="AC234" s="49" t="s">
        <v>5300</v>
      </c>
      <c r="AD234" s="25" t="s">
        <v>174</v>
      </c>
      <c r="AE234" s="26" t="s">
        <v>175</v>
      </c>
      <c r="AF234" s="32">
        <f t="shared" si="28"/>
        <v>1</v>
      </c>
      <c r="AG234" s="32">
        <v>1</v>
      </c>
      <c r="AH234" s="32">
        <v>1</v>
      </c>
      <c r="AI234" s="32">
        <v>1</v>
      </c>
      <c r="AJ234" s="32"/>
      <c r="AK234" s="32"/>
      <c r="AL234" s="32">
        <f t="shared" si="31"/>
        <v>1</v>
      </c>
      <c r="AM234" s="32"/>
      <c r="AN234" s="32"/>
      <c r="AO234" s="32"/>
      <c r="AP234" s="32"/>
      <c r="AQ234" s="32"/>
      <c r="AR234" s="32"/>
      <c r="AS234" s="32"/>
      <c r="AT234" s="32">
        <v>1</v>
      </c>
      <c r="AU234" s="32"/>
      <c r="AY234" s="75" t="s">
        <v>6375</v>
      </c>
    </row>
    <row r="235" spans="1:51" ht="16.5">
      <c r="A235" s="49" t="s">
        <v>6873</v>
      </c>
      <c r="B235" s="26" t="s">
        <v>160</v>
      </c>
      <c r="C235" s="26" t="s">
        <v>73</v>
      </c>
      <c r="D235" s="49" t="s">
        <v>6716</v>
      </c>
      <c r="E235" s="49" t="s">
        <v>162</v>
      </c>
      <c r="F235" s="49" t="s">
        <v>6874</v>
      </c>
      <c r="G235" s="49" t="s">
        <v>6875</v>
      </c>
      <c r="H235" s="49" t="s">
        <v>5516</v>
      </c>
      <c r="I235" s="26">
        <v>202606.3</v>
      </c>
      <c r="J235" s="25">
        <v>6.17</v>
      </c>
      <c r="K235" s="25" t="s">
        <v>73</v>
      </c>
      <c r="L235" s="26" t="s">
        <v>6449</v>
      </c>
      <c r="M235" s="49" t="s">
        <v>6876</v>
      </c>
      <c r="N235" s="27" t="s">
        <v>6877</v>
      </c>
      <c r="O235" s="26"/>
      <c r="P235" s="53">
        <v>4</v>
      </c>
      <c r="Q235" s="32">
        <v>16</v>
      </c>
      <c r="R235" s="53">
        <v>266.79000000000002</v>
      </c>
      <c r="S235" s="26" t="s">
        <v>99</v>
      </c>
      <c r="T235" s="26" t="s">
        <v>100</v>
      </c>
      <c r="U235" s="26" t="s">
        <v>101</v>
      </c>
      <c r="V235" s="38" t="s">
        <v>6695</v>
      </c>
      <c r="W235" s="26" t="s">
        <v>103</v>
      </c>
      <c r="X235" s="26" t="s">
        <v>104</v>
      </c>
      <c r="Y235" s="26" t="s">
        <v>104</v>
      </c>
      <c r="Z235" s="26" t="s">
        <v>172</v>
      </c>
      <c r="AA235" s="26" t="s">
        <v>21</v>
      </c>
      <c r="AB235" s="30" t="s">
        <v>172</v>
      </c>
      <c r="AC235" s="49" t="s">
        <v>5300</v>
      </c>
      <c r="AD235" s="25" t="s">
        <v>174</v>
      </c>
      <c r="AE235" s="26" t="s">
        <v>175</v>
      </c>
      <c r="AF235" s="32">
        <f t="shared" si="28"/>
        <v>1</v>
      </c>
      <c r="AG235" s="32">
        <v>1</v>
      </c>
      <c r="AH235" s="32">
        <v>1</v>
      </c>
      <c r="AI235" s="32">
        <v>1</v>
      </c>
      <c r="AJ235" s="32"/>
      <c r="AK235" s="32"/>
      <c r="AL235" s="32">
        <f t="shared" si="31"/>
        <v>1</v>
      </c>
      <c r="AM235" s="32"/>
      <c r="AN235" s="32"/>
      <c r="AO235" s="32"/>
      <c r="AP235" s="32"/>
      <c r="AQ235" s="32"/>
      <c r="AR235" s="32"/>
      <c r="AS235" s="32"/>
      <c r="AT235" s="32">
        <v>1</v>
      </c>
      <c r="AU235" s="32"/>
      <c r="AY235" s="75" t="s">
        <v>6349</v>
      </c>
    </row>
    <row r="236" spans="1:51" ht="16.5">
      <c r="A236" s="49" t="s">
        <v>6878</v>
      </c>
      <c r="B236" s="26" t="s">
        <v>160</v>
      </c>
      <c r="C236" s="26" t="s">
        <v>73</v>
      </c>
      <c r="D236" s="49" t="s">
        <v>6746</v>
      </c>
      <c r="E236" s="49" t="s">
        <v>162</v>
      </c>
      <c r="F236" s="49" t="s">
        <v>6879</v>
      </c>
      <c r="G236" s="49" t="s">
        <v>6880</v>
      </c>
      <c r="H236" s="49" t="s">
        <v>5516</v>
      </c>
      <c r="I236" s="26">
        <v>202606.3</v>
      </c>
      <c r="J236" s="25">
        <v>6.17</v>
      </c>
      <c r="K236" s="25" t="s">
        <v>73</v>
      </c>
      <c r="L236" s="26" t="s">
        <v>6544</v>
      </c>
      <c r="M236" s="49" t="s">
        <v>6881</v>
      </c>
      <c r="N236" s="27" t="s">
        <v>6882</v>
      </c>
      <c r="O236" s="26"/>
      <c r="P236" s="53">
        <v>4</v>
      </c>
      <c r="Q236" s="32">
        <v>16</v>
      </c>
      <c r="R236" s="53">
        <v>266.31</v>
      </c>
      <c r="S236" s="26" t="s">
        <v>99</v>
      </c>
      <c r="T236" s="26" t="s">
        <v>100</v>
      </c>
      <c r="U236" s="26" t="s">
        <v>101</v>
      </c>
      <c r="V236" s="38" t="s">
        <v>6695</v>
      </c>
      <c r="W236" s="26" t="s">
        <v>103</v>
      </c>
      <c r="X236" s="26" t="s">
        <v>104</v>
      </c>
      <c r="Y236" s="26" t="s">
        <v>104</v>
      </c>
      <c r="Z236" s="26" t="s">
        <v>172</v>
      </c>
      <c r="AA236" s="26" t="s">
        <v>21</v>
      </c>
      <c r="AB236" s="30" t="s">
        <v>172</v>
      </c>
      <c r="AC236" s="49" t="s">
        <v>5300</v>
      </c>
      <c r="AD236" s="25" t="s">
        <v>174</v>
      </c>
      <c r="AE236" s="26" t="s">
        <v>175</v>
      </c>
      <c r="AF236" s="32">
        <f t="shared" si="28"/>
        <v>1</v>
      </c>
      <c r="AG236" s="32">
        <v>1</v>
      </c>
      <c r="AH236" s="32">
        <v>1</v>
      </c>
      <c r="AI236" s="32">
        <v>1</v>
      </c>
      <c r="AJ236" s="32"/>
      <c r="AK236" s="32"/>
      <c r="AL236" s="32">
        <f t="shared" si="31"/>
        <v>1</v>
      </c>
      <c r="AM236" s="32"/>
      <c r="AN236" s="32"/>
      <c r="AO236" s="32"/>
      <c r="AP236" s="32"/>
      <c r="AQ236" s="32"/>
      <c r="AR236" s="32"/>
      <c r="AS236" s="32"/>
      <c r="AT236" s="32">
        <v>1</v>
      </c>
      <c r="AU236" s="32"/>
      <c r="AY236" s="75" t="s">
        <v>6340</v>
      </c>
    </row>
    <row r="237" spans="1:51" ht="16.5">
      <c r="A237" s="49" t="s">
        <v>6883</v>
      </c>
      <c r="B237" s="26" t="s">
        <v>160</v>
      </c>
      <c r="C237" s="26" t="s">
        <v>73</v>
      </c>
      <c r="D237" s="49" t="s">
        <v>6696</v>
      </c>
      <c r="E237" s="49" t="s">
        <v>162</v>
      </c>
      <c r="F237" s="49" t="s">
        <v>6884</v>
      </c>
      <c r="G237" s="49" t="s">
        <v>6885</v>
      </c>
      <c r="H237" s="49" t="s">
        <v>5516</v>
      </c>
      <c r="I237" s="26">
        <v>202606.3</v>
      </c>
      <c r="J237" s="25">
        <v>6.17</v>
      </c>
      <c r="K237" s="25" t="s">
        <v>73</v>
      </c>
      <c r="L237" s="26" t="s">
        <v>6433</v>
      </c>
      <c r="M237" s="49" t="s">
        <v>6886</v>
      </c>
      <c r="N237" s="27" t="s">
        <v>6887</v>
      </c>
      <c r="O237" s="26"/>
      <c r="P237" s="53">
        <v>4</v>
      </c>
      <c r="Q237" s="32">
        <v>16</v>
      </c>
      <c r="R237" s="53">
        <v>266.47000000000003</v>
      </c>
      <c r="S237" s="26" t="s">
        <v>99</v>
      </c>
      <c r="T237" s="26" t="s">
        <v>100</v>
      </c>
      <c r="U237" s="26" t="s">
        <v>101</v>
      </c>
      <c r="V237" s="38" t="s">
        <v>6695</v>
      </c>
      <c r="W237" s="26" t="s">
        <v>103</v>
      </c>
      <c r="X237" s="26" t="s">
        <v>104</v>
      </c>
      <c r="Y237" s="26" t="s">
        <v>104</v>
      </c>
      <c r="Z237" s="26" t="s">
        <v>172</v>
      </c>
      <c r="AA237" s="26" t="s">
        <v>21</v>
      </c>
      <c r="AB237" s="30" t="s">
        <v>172</v>
      </c>
      <c r="AC237" s="49" t="s">
        <v>5300</v>
      </c>
      <c r="AD237" s="25" t="s">
        <v>174</v>
      </c>
      <c r="AE237" s="26" t="s">
        <v>175</v>
      </c>
      <c r="AF237" s="32">
        <f t="shared" si="28"/>
        <v>1</v>
      </c>
      <c r="AG237" s="32">
        <v>1</v>
      </c>
      <c r="AH237" s="32">
        <v>1</v>
      </c>
      <c r="AI237" s="32">
        <v>1</v>
      </c>
      <c r="AJ237" s="32"/>
      <c r="AK237" s="32"/>
      <c r="AL237" s="32">
        <f t="shared" si="31"/>
        <v>1</v>
      </c>
      <c r="AM237" s="32"/>
      <c r="AN237" s="32"/>
      <c r="AO237" s="32"/>
      <c r="AP237" s="32"/>
      <c r="AQ237" s="32"/>
      <c r="AR237" s="32"/>
      <c r="AS237" s="25" t="s">
        <v>6522</v>
      </c>
      <c r="AT237" s="32">
        <v>1</v>
      </c>
      <c r="AU237" s="32"/>
      <c r="AY237" s="75" t="s">
        <v>6331</v>
      </c>
    </row>
    <row r="238" spans="1:51" ht="16.5">
      <c r="AY238" s="75" t="s">
        <v>6296</v>
      </c>
    </row>
    <row r="239" spans="1:51" ht="16.5">
      <c r="AY239" s="75" t="s">
        <v>6288</v>
      </c>
    </row>
    <row r="240" spans="1:51" ht="16.5">
      <c r="AY240" s="75" t="s">
        <v>6279</v>
      </c>
    </row>
    <row r="241" spans="51:51" ht="16.5">
      <c r="AY241" s="75" t="s">
        <v>6261</v>
      </c>
    </row>
    <row r="242" spans="51:51" ht="16.5">
      <c r="AY242" s="75" t="s">
        <v>6245</v>
      </c>
    </row>
    <row r="243" spans="51:51" ht="16.5">
      <c r="AY243" s="75" t="s">
        <v>6237</v>
      </c>
    </row>
    <row r="244" spans="51:51" ht="16.5">
      <c r="AY244" s="75" t="s">
        <v>6229</v>
      </c>
    </row>
    <row r="245" spans="51:51" ht="16.5">
      <c r="AY245" s="75" t="s">
        <v>6221</v>
      </c>
    </row>
    <row r="246" spans="51:51" ht="16.5">
      <c r="AY246" s="75" t="s">
        <v>6213</v>
      </c>
    </row>
    <row r="247" spans="51:51" ht="16.5">
      <c r="AY247" s="75" t="s">
        <v>6191</v>
      </c>
    </row>
    <row r="248" spans="51:51" ht="16.5">
      <c r="AY248" s="75" t="s">
        <v>6358</v>
      </c>
    </row>
    <row r="249" spans="51:51" ht="16.5">
      <c r="AY249" s="75" t="s">
        <v>6313</v>
      </c>
    </row>
    <row r="250" spans="51:51" ht="16.5">
      <c r="AY250" s="75" t="s">
        <v>6270</v>
      </c>
    </row>
    <row r="251" spans="51:51" ht="16.5">
      <c r="AY251" s="75" t="s">
        <v>6253</v>
      </c>
    </row>
    <row r="252" spans="51:51" ht="16.5">
      <c r="AY252" s="75" t="s">
        <v>1355</v>
      </c>
    </row>
    <row r="253" spans="51:51" ht="16.5">
      <c r="AY253" s="75" t="s">
        <v>6322</v>
      </c>
    </row>
    <row r="254" spans="51:51" ht="16.5">
      <c r="AY254" s="75" t="s">
        <v>5200</v>
      </c>
    </row>
    <row r="255" spans="51:51">
      <c r="AY255" s="59" t="s">
        <v>5737</v>
      </c>
    </row>
    <row r="256" spans="51:51">
      <c r="AY256" s="2" t="s">
        <v>5687</v>
      </c>
    </row>
    <row r="257" spans="51:51">
      <c r="AY257" s="59" t="s">
        <v>5545</v>
      </c>
    </row>
  </sheetData>
  <sheetProtection sheet="1" formatCells="0" formatColumns="0" formatRows="0" insertColumns="0" insertRows="0" insertHyperlinks="0" deleteColumns="0" deleteRows="0" sort="0" autoFilter="0" pivotTables="0"/>
  <protectedRanges>
    <protectedRange sqref="A1:O1048576" name="Range1"/>
  </protectedRanges>
  <autoFilter ref="A1:AU237" xr:uid="{00000000-0009-0000-0000-000006000000}">
    <filterColumn colId="9">
      <filters>
        <filter val="6.17"/>
      </filters>
    </filterColumn>
  </autoFilter>
  <phoneticPr fontId="67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AY130"/>
  <sheetViews>
    <sheetView workbookViewId="0">
      <pane xSplit="13" ySplit="1" topLeftCell="AQ76" activePane="bottomRight" state="frozen"/>
      <selection pane="topRight"/>
      <selection pane="bottomLeft"/>
      <selection pane="bottomRight" activeCell="C1" sqref="C1:C1048576"/>
    </sheetView>
  </sheetViews>
  <sheetFormatPr defaultColWidth="9" defaultRowHeight="14.5"/>
  <cols>
    <col min="1" max="1" width="12.6328125" style="2" customWidth="1"/>
    <col min="2" max="2" width="13.54296875" style="2" customWidth="1"/>
    <col min="3" max="3" width="4.6328125" style="2" customWidth="1"/>
    <col min="4" max="4" width="12.7265625" style="2" customWidth="1"/>
    <col min="5" max="5" width="13.6328125" style="2" customWidth="1"/>
    <col min="6" max="6" width="10" style="2" customWidth="1"/>
    <col min="7" max="7" width="8.26953125" style="2" customWidth="1"/>
    <col min="8" max="8" width="11.90625" style="2" customWidth="1"/>
    <col min="9" max="10" width="8.54296875" style="4" customWidth="1"/>
    <col min="11" max="11" width="4.54296875" style="2" customWidth="1"/>
    <col min="12" max="12" width="13" style="2" customWidth="1"/>
    <col min="13" max="13" width="12.54296875" style="2" customWidth="1"/>
    <col min="14" max="14" width="18.81640625" style="2" customWidth="1"/>
    <col min="15" max="15" width="12.7265625" style="2" customWidth="1"/>
    <col min="16" max="18" width="9" style="2" customWidth="1"/>
    <col min="19" max="20" width="12.7265625" style="2" customWidth="1"/>
    <col min="21" max="21" width="19.453125" style="2" customWidth="1"/>
    <col min="22" max="22" width="19.6328125" style="2" customWidth="1"/>
    <col min="23" max="23" width="10.36328125" style="2" customWidth="1"/>
    <col min="24" max="25" width="22.6328125" style="2" customWidth="1"/>
    <col min="26" max="26" width="9" style="2"/>
    <col min="27" max="27" width="14.26953125" style="2" customWidth="1"/>
    <col min="28" max="28" width="9" style="2"/>
    <col min="29" max="29" width="9" style="4"/>
    <col min="30" max="31" width="9" style="2"/>
    <col min="32" max="37" width="9" style="4"/>
    <col min="38" max="38" width="9" style="2"/>
    <col min="39" max="39" width="12.08984375" style="4" customWidth="1"/>
    <col min="40" max="45" width="9" style="4"/>
    <col min="46" max="46" width="20.08984375" style="2" customWidth="1"/>
    <col min="47" max="48" width="9" style="2"/>
    <col min="49" max="49" width="14.08984375" style="2" customWidth="1"/>
    <col min="50" max="50" width="9" style="2"/>
    <col min="51" max="51" width="40.26953125" style="2" customWidth="1"/>
    <col min="52" max="16384" width="9" style="2"/>
  </cols>
  <sheetData>
    <row r="1" spans="1:51" s="135" customFormat="1" ht="82.5">
      <c r="A1" s="136" t="s">
        <v>25</v>
      </c>
      <c r="B1" s="5" t="s">
        <v>26</v>
      </c>
      <c r="C1" s="5" t="s">
        <v>27</v>
      </c>
      <c r="D1" s="136" t="s">
        <v>28</v>
      </c>
      <c r="E1" s="5" t="s">
        <v>5289</v>
      </c>
      <c r="F1" s="136" t="s">
        <v>29</v>
      </c>
      <c r="G1" s="136" t="s">
        <v>30</v>
      </c>
      <c r="H1" s="136" t="s">
        <v>4391</v>
      </c>
      <c r="I1" s="5" t="s">
        <v>32</v>
      </c>
      <c r="J1" s="5" t="s">
        <v>33</v>
      </c>
      <c r="K1" s="136" t="s">
        <v>34</v>
      </c>
      <c r="L1" s="5" t="s">
        <v>35</v>
      </c>
      <c r="M1" s="136" t="s">
        <v>36</v>
      </c>
      <c r="N1" s="8" t="s">
        <v>37</v>
      </c>
      <c r="O1" s="5" t="s">
        <v>38</v>
      </c>
      <c r="P1" s="80" t="s">
        <v>4392</v>
      </c>
      <c r="Q1" s="80" t="s">
        <v>5290</v>
      </c>
      <c r="R1" s="80" t="s">
        <v>5291</v>
      </c>
      <c r="S1" s="81" t="s">
        <v>39</v>
      </c>
      <c r="T1" s="81" t="s">
        <v>40</v>
      </c>
      <c r="U1" s="81" t="s">
        <v>41</v>
      </c>
      <c r="V1" s="81" t="s">
        <v>42</v>
      </c>
      <c r="W1" s="81" t="s">
        <v>43</v>
      </c>
      <c r="X1" s="81" t="s">
        <v>44</v>
      </c>
      <c r="Y1" s="81" t="s">
        <v>45</v>
      </c>
      <c r="Z1" s="82" t="s">
        <v>6888</v>
      </c>
      <c r="AA1" s="83" t="s">
        <v>46</v>
      </c>
      <c r="AB1" s="84" t="s">
        <v>47</v>
      </c>
      <c r="AC1" s="84" t="s">
        <v>48</v>
      </c>
      <c r="AD1" s="84" t="s">
        <v>49</v>
      </c>
      <c r="AE1" s="84" t="s">
        <v>50</v>
      </c>
      <c r="AF1" s="85" t="s">
        <v>51</v>
      </c>
      <c r="AG1" s="85" t="s">
        <v>52</v>
      </c>
      <c r="AH1" s="85" t="s">
        <v>4395</v>
      </c>
      <c r="AI1" s="86" t="s">
        <v>54</v>
      </c>
      <c r="AJ1" s="85" t="s">
        <v>4396</v>
      </c>
      <c r="AK1" s="87" t="s">
        <v>57</v>
      </c>
      <c r="AL1" s="88" t="s">
        <v>58</v>
      </c>
      <c r="AM1" s="88" t="s">
        <v>59</v>
      </c>
      <c r="AN1" s="89" t="s">
        <v>60</v>
      </c>
      <c r="AO1" s="89" t="s">
        <v>61</v>
      </c>
      <c r="AP1" s="86" t="s">
        <v>62</v>
      </c>
      <c r="AQ1" s="86" t="s">
        <v>63</v>
      </c>
      <c r="AR1" s="86" t="s">
        <v>155</v>
      </c>
      <c r="AS1" s="86" t="s">
        <v>65</v>
      </c>
      <c r="AT1" s="90" t="s">
        <v>6889</v>
      </c>
      <c r="AU1" s="86" t="s">
        <v>66</v>
      </c>
      <c r="AV1" s="22"/>
      <c r="AW1" s="101" t="s">
        <v>1680</v>
      </c>
      <c r="AX1" s="102" t="s">
        <v>3133</v>
      </c>
      <c r="AY1" s="103" t="s">
        <v>158</v>
      </c>
    </row>
    <row r="2" spans="1:51">
      <c r="A2" s="49" t="s">
        <v>399</v>
      </c>
      <c r="B2" s="26" t="s">
        <v>160</v>
      </c>
      <c r="C2" s="26" t="s">
        <v>73</v>
      </c>
      <c r="D2" s="49" t="s">
        <v>378</v>
      </c>
      <c r="E2" s="124" t="s">
        <v>162</v>
      </c>
      <c r="F2" s="49" t="s">
        <v>400</v>
      </c>
      <c r="G2" s="137" t="s">
        <v>401</v>
      </c>
      <c r="H2" s="124" t="s">
        <v>165</v>
      </c>
      <c r="I2" s="138">
        <v>202606.4</v>
      </c>
      <c r="J2" s="25">
        <v>6.24</v>
      </c>
      <c r="K2" s="49" t="s">
        <v>73</v>
      </c>
      <c r="L2" s="26" t="s">
        <v>402</v>
      </c>
      <c r="M2" s="49" t="s">
        <v>403</v>
      </c>
      <c r="N2" s="139" t="s">
        <v>404</v>
      </c>
      <c r="O2" s="26" t="s">
        <v>6890</v>
      </c>
      <c r="P2" s="32">
        <v>4</v>
      </c>
      <c r="Q2" s="32">
        <v>16</v>
      </c>
      <c r="R2" s="32">
        <v>374.17</v>
      </c>
      <c r="S2" s="26" t="s">
        <v>99</v>
      </c>
      <c r="T2" s="30" t="s">
        <v>100</v>
      </c>
      <c r="U2" s="26" t="s">
        <v>101</v>
      </c>
      <c r="V2" s="26" t="s">
        <v>102</v>
      </c>
      <c r="W2" s="26" t="s">
        <v>103</v>
      </c>
      <c r="X2" s="30" t="s">
        <v>123</v>
      </c>
      <c r="Y2" s="30" t="s">
        <v>123</v>
      </c>
      <c r="Z2" s="26" t="s">
        <v>172</v>
      </c>
      <c r="AA2" s="26" t="s">
        <v>7</v>
      </c>
      <c r="AB2" s="30" t="s">
        <v>172</v>
      </c>
      <c r="AC2" s="25" t="s">
        <v>173</v>
      </c>
      <c r="AD2" s="30" t="s">
        <v>174</v>
      </c>
      <c r="AE2" s="26" t="s">
        <v>175</v>
      </c>
      <c r="AF2" s="32">
        <f>IF(COUNTIF(AY:AY,D2)&gt;0,1,0)</f>
        <v>1</v>
      </c>
      <c r="AG2" s="32">
        <v>1</v>
      </c>
      <c r="AH2" s="32">
        <v>1</v>
      </c>
      <c r="AI2" s="32">
        <v>1</v>
      </c>
      <c r="AJ2" s="32">
        <v>1</v>
      </c>
      <c r="AK2" s="32">
        <f>IF(COUNTIF(AW:AW,"*"&amp;L2&amp;"*")&gt;0,1,0)</f>
        <v>1</v>
      </c>
      <c r="AL2" s="30"/>
      <c r="AM2" s="32">
        <v>1</v>
      </c>
      <c r="AN2" s="32"/>
      <c r="AO2" s="32"/>
      <c r="AP2" s="32">
        <v>1</v>
      </c>
      <c r="AQ2" s="32">
        <v>1</v>
      </c>
      <c r="AR2" s="32"/>
      <c r="AS2" s="32">
        <v>1</v>
      </c>
      <c r="AT2" s="30"/>
      <c r="AU2" s="30"/>
      <c r="AW2" s="2" t="s">
        <v>6891</v>
      </c>
      <c r="AY2" s="2" t="s">
        <v>1204</v>
      </c>
    </row>
    <row r="3" spans="1:51">
      <c r="A3" s="49" t="s">
        <v>525</v>
      </c>
      <c r="B3" s="26" t="s">
        <v>160</v>
      </c>
      <c r="C3" s="26" t="s">
        <v>73</v>
      </c>
      <c r="D3" s="49" t="s">
        <v>526</v>
      </c>
      <c r="E3" s="124" t="s">
        <v>162</v>
      </c>
      <c r="F3" s="49" t="s">
        <v>527</v>
      </c>
      <c r="G3" s="137" t="s">
        <v>528</v>
      </c>
      <c r="H3" s="124" t="s">
        <v>165</v>
      </c>
      <c r="I3" s="138">
        <v>202606.4</v>
      </c>
      <c r="J3" s="25">
        <v>6.24</v>
      </c>
      <c r="K3" s="49" t="s">
        <v>73</v>
      </c>
      <c r="L3" s="26" t="s">
        <v>237</v>
      </c>
      <c r="M3" s="49" t="s">
        <v>529</v>
      </c>
      <c r="N3" s="139" t="s">
        <v>530</v>
      </c>
      <c r="O3" s="26" t="s">
        <v>6890</v>
      </c>
      <c r="P3" s="32">
        <v>4</v>
      </c>
      <c r="Q3" s="32">
        <v>16</v>
      </c>
      <c r="R3" s="32">
        <v>340.7</v>
      </c>
      <c r="S3" s="26" t="s">
        <v>99</v>
      </c>
      <c r="T3" s="30" t="s">
        <v>100</v>
      </c>
      <c r="U3" s="26" t="s">
        <v>101</v>
      </c>
      <c r="V3" s="26" t="s">
        <v>102</v>
      </c>
      <c r="W3" s="26" t="s">
        <v>103</v>
      </c>
      <c r="X3" s="30" t="s">
        <v>123</v>
      </c>
      <c r="Y3" s="30" t="s">
        <v>123</v>
      </c>
      <c r="Z3" s="26" t="s">
        <v>172</v>
      </c>
      <c r="AA3" s="26" t="s">
        <v>7</v>
      </c>
      <c r="AB3" s="30" t="s">
        <v>172</v>
      </c>
      <c r="AC3" s="25" t="s">
        <v>173</v>
      </c>
      <c r="AD3" s="30" t="s">
        <v>174</v>
      </c>
      <c r="AE3" s="26" t="s">
        <v>175</v>
      </c>
      <c r="AF3" s="32">
        <f t="shared" ref="AF3:AF34" si="0">IF(COUNTIF(AY:AY,D3)&gt;0,1,0)</f>
        <v>1</v>
      </c>
      <c r="AG3" s="32">
        <v>1</v>
      </c>
      <c r="AH3" s="32">
        <v>1</v>
      </c>
      <c r="AI3" s="32">
        <v>1</v>
      </c>
      <c r="AJ3" s="32">
        <v>1</v>
      </c>
      <c r="AK3" s="32">
        <f t="shared" ref="AK3:AK34" si="1">IF(COUNTIF(AW:AW,"*"&amp;L3&amp;"*")&gt;0,1,0)</f>
        <v>1</v>
      </c>
      <c r="AL3" s="30"/>
      <c r="AM3" s="32">
        <v>1</v>
      </c>
      <c r="AN3" s="32"/>
      <c r="AO3" s="32"/>
      <c r="AP3" s="32">
        <v>1</v>
      </c>
      <c r="AQ3" s="32">
        <v>1</v>
      </c>
      <c r="AR3" s="32"/>
      <c r="AS3" s="32">
        <v>1</v>
      </c>
      <c r="AT3" s="30" t="s">
        <v>6892</v>
      </c>
      <c r="AU3" s="30"/>
      <c r="AW3" s="2" t="s">
        <v>6893</v>
      </c>
      <c r="AY3" s="2" t="s">
        <v>526</v>
      </c>
    </row>
    <row r="4" spans="1:51">
      <c r="A4" s="49" t="s">
        <v>543</v>
      </c>
      <c r="B4" s="26" t="s">
        <v>160</v>
      </c>
      <c r="C4" s="26" t="s">
        <v>73</v>
      </c>
      <c r="D4" s="49" t="s">
        <v>544</v>
      </c>
      <c r="E4" s="124" t="s">
        <v>162</v>
      </c>
      <c r="F4" s="49" t="s">
        <v>545</v>
      </c>
      <c r="G4" s="49" t="s">
        <v>546</v>
      </c>
      <c r="H4" s="124" t="s">
        <v>165</v>
      </c>
      <c r="I4" s="138">
        <v>202606.4</v>
      </c>
      <c r="J4" s="25">
        <v>6.24</v>
      </c>
      <c r="K4" s="49" t="s">
        <v>73</v>
      </c>
      <c r="L4" s="26" t="s">
        <v>547</v>
      </c>
      <c r="M4" s="49" t="s">
        <v>548</v>
      </c>
      <c r="N4" s="139" t="s">
        <v>549</v>
      </c>
      <c r="O4" s="26" t="s">
        <v>6890</v>
      </c>
      <c r="P4" s="32">
        <v>4</v>
      </c>
      <c r="Q4" s="32">
        <v>16</v>
      </c>
      <c r="R4" s="32">
        <v>332.56</v>
      </c>
      <c r="S4" s="26" t="s">
        <v>99</v>
      </c>
      <c r="T4" s="30" t="s">
        <v>100</v>
      </c>
      <c r="U4" s="26" t="s">
        <v>101</v>
      </c>
      <c r="V4" s="26" t="s">
        <v>102</v>
      </c>
      <c r="W4" s="26" t="s">
        <v>103</v>
      </c>
      <c r="X4" s="30" t="s">
        <v>123</v>
      </c>
      <c r="Y4" s="30" t="s">
        <v>123</v>
      </c>
      <c r="Z4" s="26" t="s">
        <v>172</v>
      </c>
      <c r="AA4" s="26" t="s">
        <v>7</v>
      </c>
      <c r="AB4" s="30" t="s">
        <v>172</v>
      </c>
      <c r="AC4" s="25" t="s">
        <v>173</v>
      </c>
      <c r="AD4" s="26" t="s">
        <v>174</v>
      </c>
      <c r="AE4" s="26" t="s">
        <v>175</v>
      </c>
      <c r="AF4" s="32">
        <f t="shared" si="0"/>
        <v>1</v>
      </c>
      <c r="AG4" s="32">
        <v>1</v>
      </c>
      <c r="AH4" s="32">
        <v>1</v>
      </c>
      <c r="AI4" s="32">
        <v>1</v>
      </c>
      <c r="AJ4" s="32">
        <v>1</v>
      </c>
      <c r="AK4" s="32">
        <f t="shared" si="1"/>
        <v>1</v>
      </c>
      <c r="AL4" s="30"/>
      <c r="AM4" s="32">
        <v>1</v>
      </c>
      <c r="AN4" s="32"/>
      <c r="AO4" s="32"/>
      <c r="AP4" s="32">
        <v>1</v>
      </c>
      <c r="AQ4" s="32"/>
      <c r="AR4" s="32"/>
      <c r="AS4" s="32">
        <v>1</v>
      </c>
      <c r="AT4" s="30"/>
      <c r="AU4" s="30"/>
      <c r="AW4" s="2" t="s">
        <v>6894</v>
      </c>
      <c r="AY4" s="2" t="s">
        <v>3107</v>
      </c>
    </row>
    <row r="5" spans="1:51">
      <c r="A5" s="49" t="s">
        <v>1203</v>
      </c>
      <c r="B5" s="26" t="s">
        <v>160</v>
      </c>
      <c r="C5" s="26" t="s">
        <v>73</v>
      </c>
      <c r="D5" s="49" t="s">
        <v>1204</v>
      </c>
      <c r="E5" s="124" t="s">
        <v>499</v>
      </c>
      <c r="F5" s="49" t="s">
        <v>1205</v>
      </c>
      <c r="G5" s="49" t="s">
        <v>1206</v>
      </c>
      <c r="H5" s="124" t="s">
        <v>165</v>
      </c>
      <c r="I5" s="138">
        <v>202606.4</v>
      </c>
      <c r="J5" s="25">
        <v>6.24</v>
      </c>
      <c r="K5" s="49" t="s">
        <v>73</v>
      </c>
      <c r="L5" s="26" t="s">
        <v>1207</v>
      </c>
      <c r="M5" s="49" t="s">
        <v>1208</v>
      </c>
      <c r="N5" s="139" t="s">
        <v>1209</v>
      </c>
      <c r="O5" s="26" t="s">
        <v>6890</v>
      </c>
      <c r="P5" s="32">
        <v>2</v>
      </c>
      <c r="Q5" s="32">
        <v>8</v>
      </c>
      <c r="R5" s="32">
        <v>266.29000000000002</v>
      </c>
      <c r="S5" s="26" t="s">
        <v>99</v>
      </c>
      <c r="T5" s="30" t="s">
        <v>100</v>
      </c>
      <c r="U5" s="26" t="s">
        <v>101</v>
      </c>
      <c r="V5" s="26" t="s">
        <v>102</v>
      </c>
      <c r="W5" s="26" t="s">
        <v>103</v>
      </c>
      <c r="X5" s="30" t="s">
        <v>123</v>
      </c>
      <c r="Y5" s="30" t="s">
        <v>123</v>
      </c>
      <c r="Z5" s="26" t="s">
        <v>172</v>
      </c>
      <c r="AA5" s="26" t="s">
        <v>7</v>
      </c>
      <c r="AB5" s="30" t="s">
        <v>172</v>
      </c>
      <c r="AC5" s="25" t="s">
        <v>173</v>
      </c>
      <c r="AD5" s="26" t="s">
        <v>174</v>
      </c>
      <c r="AE5" s="26" t="s">
        <v>175</v>
      </c>
      <c r="AF5" s="32">
        <f t="shared" si="0"/>
        <v>1</v>
      </c>
      <c r="AG5" s="32">
        <v>1</v>
      </c>
      <c r="AH5" s="32">
        <v>1</v>
      </c>
      <c r="AI5" s="32">
        <v>1</v>
      </c>
      <c r="AJ5" s="32">
        <v>1</v>
      </c>
      <c r="AK5" s="32">
        <f t="shared" si="1"/>
        <v>1</v>
      </c>
      <c r="AL5" s="30"/>
      <c r="AM5" s="25" t="s">
        <v>6895</v>
      </c>
      <c r="AN5" s="32"/>
      <c r="AO5" s="32"/>
      <c r="AP5" s="32">
        <v>1</v>
      </c>
      <c r="AQ5" s="32">
        <v>1</v>
      </c>
      <c r="AR5" s="32"/>
      <c r="AS5" s="32">
        <v>1</v>
      </c>
      <c r="AT5" s="30"/>
      <c r="AU5" s="30"/>
      <c r="AW5" s="2" t="s">
        <v>108</v>
      </c>
      <c r="AY5" s="2" t="s">
        <v>1276</v>
      </c>
    </row>
    <row r="6" spans="1:51">
      <c r="A6" s="49" t="s">
        <v>1275</v>
      </c>
      <c r="B6" s="26" t="s">
        <v>160</v>
      </c>
      <c r="C6" s="26" t="s">
        <v>73</v>
      </c>
      <c r="D6" s="49" t="s">
        <v>1276</v>
      </c>
      <c r="E6" s="124" t="s">
        <v>162</v>
      </c>
      <c r="F6" s="49" t="s">
        <v>1277</v>
      </c>
      <c r="G6" s="49" t="s">
        <v>1278</v>
      </c>
      <c r="H6" s="124" t="s">
        <v>165</v>
      </c>
      <c r="I6" s="138">
        <v>202606.4</v>
      </c>
      <c r="J6" s="25">
        <v>6.24</v>
      </c>
      <c r="K6" s="49" t="s">
        <v>73</v>
      </c>
      <c r="L6" s="26" t="s">
        <v>1279</v>
      </c>
      <c r="M6" s="49" t="s">
        <v>1280</v>
      </c>
      <c r="N6" s="139" t="s">
        <v>1281</v>
      </c>
      <c r="O6" s="26" t="s">
        <v>6890</v>
      </c>
      <c r="P6" s="32">
        <v>4</v>
      </c>
      <c r="Q6" s="32">
        <v>16</v>
      </c>
      <c r="R6" s="32">
        <v>268.02</v>
      </c>
      <c r="S6" s="26" t="s">
        <v>99</v>
      </c>
      <c r="T6" s="30" t="s">
        <v>100</v>
      </c>
      <c r="U6" s="26" t="s">
        <v>101</v>
      </c>
      <c r="V6" s="26" t="s">
        <v>102</v>
      </c>
      <c r="W6" s="26" t="s">
        <v>103</v>
      </c>
      <c r="X6" s="30" t="s">
        <v>123</v>
      </c>
      <c r="Y6" s="30" t="s">
        <v>123</v>
      </c>
      <c r="Z6" s="26" t="s">
        <v>172</v>
      </c>
      <c r="AA6" s="26" t="s">
        <v>7</v>
      </c>
      <c r="AB6" s="30" t="s">
        <v>172</v>
      </c>
      <c r="AC6" s="25" t="s">
        <v>173</v>
      </c>
      <c r="AD6" s="26" t="s">
        <v>174</v>
      </c>
      <c r="AE6" s="26" t="s">
        <v>175</v>
      </c>
      <c r="AF6" s="32">
        <f t="shared" si="0"/>
        <v>1</v>
      </c>
      <c r="AG6" s="32">
        <v>1</v>
      </c>
      <c r="AH6" s="32">
        <v>1</v>
      </c>
      <c r="AI6" s="32">
        <v>1</v>
      </c>
      <c r="AJ6" s="32">
        <v>1</v>
      </c>
      <c r="AK6" s="32">
        <f t="shared" si="1"/>
        <v>1</v>
      </c>
      <c r="AL6" s="30"/>
      <c r="AM6" s="32">
        <v>1</v>
      </c>
      <c r="AN6" s="32"/>
      <c r="AO6" s="32"/>
      <c r="AP6" s="32">
        <v>1</v>
      </c>
      <c r="AQ6" s="32"/>
      <c r="AR6" s="32"/>
      <c r="AS6" s="32">
        <v>1</v>
      </c>
      <c r="AT6" s="30"/>
      <c r="AU6" s="30"/>
      <c r="AW6" s="2" t="s">
        <v>1207</v>
      </c>
      <c r="AY6" s="2" t="s">
        <v>378</v>
      </c>
    </row>
    <row r="7" spans="1:51">
      <c r="A7" s="49" t="s">
        <v>1645</v>
      </c>
      <c r="B7" s="26" t="s">
        <v>160</v>
      </c>
      <c r="C7" s="26" t="s">
        <v>73</v>
      </c>
      <c r="D7" s="49" t="s">
        <v>1646</v>
      </c>
      <c r="E7" s="124" t="s">
        <v>499</v>
      </c>
      <c r="F7" s="49" t="s">
        <v>1647</v>
      </c>
      <c r="G7" s="49" t="s">
        <v>1648</v>
      </c>
      <c r="H7" s="124" t="s">
        <v>165</v>
      </c>
      <c r="I7" s="138">
        <v>202606.4</v>
      </c>
      <c r="J7" s="25">
        <v>6.24</v>
      </c>
      <c r="K7" s="49" t="s">
        <v>73</v>
      </c>
      <c r="L7" s="26" t="s">
        <v>1649</v>
      </c>
      <c r="M7" s="49" t="s">
        <v>1650</v>
      </c>
      <c r="N7" s="139" t="s">
        <v>1651</v>
      </c>
      <c r="O7" s="26" t="s">
        <v>6890</v>
      </c>
      <c r="P7" s="32">
        <v>2</v>
      </c>
      <c r="Q7" s="32">
        <v>8</v>
      </c>
      <c r="R7" s="32">
        <v>350</v>
      </c>
      <c r="S7" s="26" t="s">
        <v>99</v>
      </c>
      <c r="T7" s="30" t="s">
        <v>100</v>
      </c>
      <c r="U7" s="26" t="s">
        <v>101</v>
      </c>
      <c r="V7" s="26" t="s">
        <v>102</v>
      </c>
      <c r="W7" s="26" t="s">
        <v>103</v>
      </c>
      <c r="X7" s="30" t="s">
        <v>123</v>
      </c>
      <c r="Y7" s="30" t="s">
        <v>123</v>
      </c>
      <c r="Z7" s="26" t="s">
        <v>172</v>
      </c>
      <c r="AA7" s="26" t="s">
        <v>7</v>
      </c>
      <c r="AB7" s="30" t="s">
        <v>172</v>
      </c>
      <c r="AC7" s="25" t="s">
        <v>173</v>
      </c>
      <c r="AD7" s="26" t="s">
        <v>174</v>
      </c>
      <c r="AE7" s="26" t="s">
        <v>175</v>
      </c>
      <c r="AF7" s="32">
        <f t="shared" si="0"/>
        <v>1</v>
      </c>
      <c r="AG7" s="32">
        <v>1</v>
      </c>
      <c r="AH7" s="32">
        <v>1</v>
      </c>
      <c r="AI7" s="32">
        <v>1</v>
      </c>
      <c r="AJ7" s="32">
        <v>1</v>
      </c>
      <c r="AK7" s="32">
        <f t="shared" si="1"/>
        <v>1</v>
      </c>
      <c r="AL7" s="30"/>
      <c r="AM7" s="32">
        <v>1</v>
      </c>
      <c r="AN7" s="32"/>
      <c r="AO7" s="32"/>
      <c r="AP7" s="32">
        <v>1</v>
      </c>
      <c r="AQ7" s="32"/>
      <c r="AR7" s="32"/>
      <c r="AS7" s="32">
        <v>1</v>
      </c>
      <c r="AT7" s="30"/>
      <c r="AU7" s="30"/>
      <c r="AW7" s="2" t="s">
        <v>237</v>
      </c>
      <c r="AY7" s="2" t="s">
        <v>2712</v>
      </c>
    </row>
    <row r="8" spans="1:51">
      <c r="A8" s="49" t="s">
        <v>2357</v>
      </c>
      <c r="B8" s="26" t="s">
        <v>160</v>
      </c>
      <c r="C8" s="26" t="s">
        <v>73</v>
      </c>
      <c r="D8" s="49" t="s">
        <v>2358</v>
      </c>
      <c r="E8" s="124" t="s">
        <v>162</v>
      </c>
      <c r="F8" s="49" t="s">
        <v>2359</v>
      </c>
      <c r="G8" s="49" t="s">
        <v>2360</v>
      </c>
      <c r="H8" s="124" t="s">
        <v>165</v>
      </c>
      <c r="I8" s="138">
        <v>202606.4</v>
      </c>
      <c r="J8" s="25">
        <v>6.24</v>
      </c>
      <c r="K8" s="49" t="s">
        <v>73</v>
      </c>
      <c r="L8" s="26" t="s">
        <v>2313</v>
      </c>
      <c r="M8" s="49" t="s">
        <v>2361</v>
      </c>
      <c r="N8" s="139" t="s">
        <v>2362</v>
      </c>
      <c r="O8" s="26" t="s">
        <v>6896</v>
      </c>
      <c r="P8" s="32">
        <v>4</v>
      </c>
      <c r="Q8" s="32">
        <v>16</v>
      </c>
      <c r="R8" s="32">
        <v>343.94</v>
      </c>
      <c r="S8" s="26" t="s">
        <v>99</v>
      </c>
      <c r="T8" s="30" t="s">
        <v>100</v>
      </c>
      <c r="U8" s="26" t="s">
        <v>101</v>
      </c>
      <c r="V8" s="26" t="s">
        <v>102</v>
      </c>
      <c r="W8" s="26" t="s">
        <v>103</v>
      </c>
      <c r="X8" s="30" t="s">
        <v>123</v>
      </c>
      <c r="Y8" s="30" t="s">
        <v>123</v>
      </c>
      <c r="Z8" s="26" t="s">
        <v>172</v>
      </c>
      <c r="AA8" s="26" t="s">
        <v>7</v>
      </c>
      <c r="AB8" s="30" t="s">
        <v>172</v>
      </c>
      <c r="AC8" s="25" t="s">
        <v>173</v>
      </c>
      <c r="AD8" s="26" t="s">
        <v>174</v>
      </c>
      <c r="AE8" s="26" t="s">
        <v>175</v>
      </c>
      <c r="AF8" s="32">
        <f t="shared" si="0"/>
        <v>1</v>
      </c>
      <c r="AG8" s="32">
        <v>1</v>
      </c>
      <c r="AH8" s="32">
        <v>1</v>
      </c>
      <c r="AI8" s="32">
        <v>1</v>
      </c>
      <c r="AJ8" s="32">
        <v>1</v>
      </c>
      <c r="AK8" s="32">
        <f t="shared" si="1"/>
        <v>1</v>
      </c>
      <c r="AL8" s="30"/>
      <c r="AM8" s="32">
        <v>1</v>
      </c>
      <c r="AN8" s="32"/>
      <c r="AO8" s="32"/>
      <c r="AP8" s="32">
        <v>1</v>
      </c>
      <c r="AQ8" s="32"/>
      <c r="AR8" s="32"/>
      <c r="AS8" s="32">
        <v>1</v>
      </c>
      <c r="AT8" s="30"/>
      <c r="AU8" s="30"/>
      <c r="AW8" s="2" t="s">
        <v>2960</v>
      </c>
      <c r="AY8" s="2" t="s">
        <v>1646</v>
      </c>
    </row>
    <row r="9" spans="1:51">
      <c r="A9" s="49" t="s">
        <v>2711</v>
      </c>
      <c r="B9" s="26" t="s">
        <v>160</v>
      </c>
      <c r="C9" s="26" t="s">
        <v>73</v>
      </c>
      <c r="D9" s="49" t="s">
        <v>2712</v>
      </c>
      <c r="E9" s="124" t="s">
        <v>162</v>
      </c>
      <c r="F9" s="49" t="s">
        <v>2713</v>
      </c>
      <c r="G9" s="49" t="s">
        <v>2714</v>
      </c>
      <c r="H9" s="124" t="s">
        <v>165</v>
      </c>
      <c r="I9" s="138">
        <v>202606.4</v>
      </c>
      <c r="J9" s="25">
        <v>6.24</v>
      </c>
      <c r="K9" s="49" t="s">
        <v>73</v>
      </c>
      <c r="L9" s="26" t="s">
        <v>2715</v>
      </c>
      <c r="M9" s="49" t="s">
        <v>2716</v>
      </c>
      <c r="N9" s="139" t="s">
        <v>2717</v>
      </c>
      <c r="O9" s="26" t="s">
        <v>6896</v>
      </c>
      <c r="P9" s="32">
        <v>4</v>
      </c>
      <c r="Q9" s="32">
        <v>16</v>
      </c>
      <c r="R9" s="32">
        <v>395.74</v>
      </c>
      <c r="S9" s="26" t="s">
        <v>99</v>
      </c>
      <c r="T9" s="30" t="s">
        <v>100</v>
      </c>
      <c r="U9" s="26" t="s">
        <v>101</v>
      </c>
      <c r="V9" s="26" t="s">
        <v>102</v>
      </c>
      <c r="W9" s="26" t="s">
        <v>103</v>
      </c>
      <c r="X9" s="30" t="s">
        <v>123</v>
      </c>
      <c r="Y9" s="30" t="s">
        <v>123</v>
      </c>
      <c r="Z9" s="26" t="s">
        <v>172</v>
      </c>
      <c r="AA9" s="26" t="s">
        <v>7</v>
      </c>
      <c r="AB9" s="30" t="s">
        <v>172</v>
      </c>
      <c r="AC9" s="25" t="s">
        <v>173</v>
      </c>
      <c r="AD9" s="26" t="s">
        <v>174</v>
      </c>
      <c r="AE9" s="26" t="s">
        <v>175</v>
      </c>
      <c r="AF9" s="32">
        <f t="shared" si="0"/>
        <v>1</v>
      </c>
      <c r="AG9" s="32">
        <v>1</v>
      </c>
      <c r="AH9" s="32">
        <v>1</v>
      </c>
      <c r="AI9" s="32">
        <v>1</v>
      </c>
      <c r="AJ9" s="32">
        <v>1</v>
      </c>
      <c r="AK9" s="32">
        <f t="shared" si="1"/>
        <v>1</v>
      </c>
      <c r="AL9" s="30"/>
      <c r="AM9" s="32">
        <v>1</v>
      </c>
      <c r="AN9" s="32"/>
      <c r="AO9" s="32"/>
      <c r="AP9" s="32">
        <v>1</v>
      </c>
      <c r="AQ9" s="32"/>
      <c r="AR9" s="32"/>
      <c r="AS9" s="32">
        <v>1</v>
      </c>
      <c r="AT9" s="30"/>
      <c r="AU9" s="30"/>
      <c r="AW9" s="2" t="s">
        <v>1279</v>
      </c>
      <c r="AY9" s="2" t="s">
        <v>544</v>
      </c>
    </row>
    <row r="10" spans="1:51">
      <c r="A10" s="49" t="s">
        <v>3106</v>
      </c>
      <c r="B10" s="26" t="s">
        <v>160</v>
      </c>
      <c r="C10" s="26" t="s">
        <v>73</v>
      </c>
      <c r="D10" s="49" t="s">
        <v>3107</v>
      </c>
      <c r="E10" s="124" t="s">
        <v>499</v>
      </c>
      <c r="F10" s="49" t="s">
        <v>3108</v>
      </c>
      <c r="G10" s="49" t="s">
        <v>3109</v>
      </c>
      <c r="H10" s="124" t="s">
        <v>2915</v>
      </c>
      <c r="I10" s="138">
        <v>202606.4</v>
      </c>
      <c r="J10" s="25">
        <v>6.24</v>
      </c>
      <c r="K10" s="49" t="s">
        <v>73</v>
      </c>
      <c r="L10" s="26" t="s">
        <v>2960</v>
      </c>
      <c r="M10" s="49" t="s">
        <v>3110</v>
      </c>
      <c r="N10" s="139" t="s">
        <v>3111</v>
      </c>
      <c r="O10" s="26" t="s">
        <v>6896</v>
      </c>
      <c r="P10" s="32">
        <v>2</v>
      </c>
      <c r="Q10" s="32">
        <v>8</v>
      </c>
      <c r="R10" s="32">
        <v>258.11</v>
      </c>
      <c r="S10" s="26" t="s">
        <v>99</v>
      </c>
      <c r="T10" s="30" t="s">
        <v>100</v>
      </c>
      <c r="U10" s="26" t="s">
        <v>101</v>
      </c>
      <c r="V10" s="26" t="s">
        <v>102</v>
      </c>
      <c r="W10" s="26" t="s">
        <v>103</v>
      </c>
      <c r="X10" s="30" t="s">
        <v>123</v>
      </c>
      <c r="Y10" s="30" t="s">
        <v>123</v>
      </c>
      <c r="Z10" s="26" t="s">
        <v>172</v>
      </c>
      <c r="AA10" s="26" t="s">
        <v>7</v>
      </c>
      <c r="AB10" s="30" t="s">
        <v>172</v>
      </c>
      <c r="AC10" s="25" t="s">
        <v>173</v>
      </c>
      <c r="AD10" s="26" t="s">
        <v>174</v>
      </c>
      <c r="AE10" s="26" t="s">
        <v>175</v>
      </c>
      <c r="AF10" s="32">
        <f t="shared" si="0"/>
        <v>1</v>
      </c>
      <c r="AG10" s="32">
        <v>1</v>
      </c>
      <c r="AH10" s="32">
        <v>1</v>
      </c>
      <c r="AI10" s="32">
        <v>1</v>
      </c>
      <c r="AJ10" s="32">
        <v>1</v>
      </c>
      <c r="AK10" s="32">
        <f t="shared" si="1"/>
        <v>1</v>
      </c>
      <c r="AL10" s="30"/>
      <c r="AM10" s="32">
        <v>1</v>
      </c>
      <c r="AN10" s="32"/>
      <c r="AO10" s="32"/>
      <c r="AP10" s="32">
        <v>1</v>
      </c>
      <c r="AQ10" s="32"/>
      <c r="AR10" s="32"/>
      <c r="AS10" s="32">
        <v>1</v>
      </c>
      <c r="AT10" s="30"/>
      <c r="AU10" s="30"/>
      <c r="AW10" s="2" t="s">
        <v>402</v>
      </c>
      <c r="AY10" s="2" t="s">
        <v>2358</v>
      </c>
    </row>
    <row r="11" spans="1:51">
      <c r="A11" s="49" t="s">
        <v>4265</v>
      </c>
      <c r="B11" s="26" t="s">
        <v>160</v>
      </c>
      <c r="C11" s="26" t="s">
        <v>73</v>
      </c>
      <c r="D11" s="49" t="s">
        <v>4266</v>
      </c>
      <c r="E11" s="124" t="s">
        <v>162</v>
      </c>
      <c r="F11" s="49" t="s">
        <v>4267</v>
      </c>
      <c r="G11" s="49" t="s">
        <v>4268</v>
      </c>
      <c r="H11" s="124" t="s">
        <v>165</v>
      </c>
      <c r="I11" s="138">
        <v>202606.4</v>
      </c>
      <c r="J11" s="25">
        <v>6.24</v>
      </c>
      <c r="K11" s="49" t="s">
        <v>73</v>
      </c>
      <c r="L11" s="26" t="s">
        <v>4174</v>
      </c>
      <c r="M11" s="49" t="s">
        <v>4269</v>
      </c>
      <c r="N11" s="139" t="s">
        <v>4270</v>
      </c>
      <c r="O11" s="26" t="s">
        <v>6897</v>
      </c>
      <c r="P11" s="32">
        <v>4</v>
      </c>
      <c r="Q11" s="32">
        <v>16</v>
      </c>
      <c r="R11" s="32">
        <v>411.4</v>
      </c>
      <c r="S11" s="26" t="s">
        <v>99</v>
      </c>
      <c r="T11" s="30" t="s">
        <v>100</v>
      </c>
      <c r="U11" s="26" t="s">
        <v>101</v>
      </c>
      <c r="V11" s="38" t="s">
        <v>5479</v>
      </c>
      <c r="W11" s="26" t="s">
        <v>103</v>
      </c>
      <c r="X11" s="30" t="s">
        <v>123</v>
      </c>
      <c r="Y11" s="30" t="s">
        <v>123</v>
      </c>
      <c r="Z11" s="26" t="s">
        <v>172</v>
      </c>
      <c r="AA11" s="26" t="s">
        <v>9</v>
      </c>
      <c r="AB11" s="30" t="s">
        <v>172</v>
      </c>
      <c r="AC11" s="25" t="s">
        <v>173</v>
      </c>
      <c r="AD11" s="26" t="s">
        <v>174</v>
      </c>
      <c r="AE11" s="26" t="s">
        <v>175</v>
      </c>
      <c r="AF11" s="32">
        <f t="shared" si="0"/>
        <v>1</v>
      </c>
      <c r="AG11" s="32">
        <v>1</v>
      </c>
      <c r="AH11" s="32">
        <v>1</v>
      </c>
      <c r="AI11" s="32">
        <v>1</v>
      </c>
      <c r="AJ11" s="32">
        <v>1</v>
      </c>
      <c r="AK11" s="32">
        <f t="shared" si="1"/>
        <v>1</v>
      </c>
      <c r="AL11" s="30"/>
      <c r="AM11" s="25" t="s">
        <v>6895</v>
      </c>
      <c r="AN11" s="30"/>
      <c r="AO11" s="32"/>
      <c r="AP11" s="32">
        <v>1</v>
      </c>
      <c r="AQ11" s="32">
        <v>1</v>
      </c>
      <c r="AR11" s="32"/>
      <c r="AS11" s="32">
        <v>1</v>
      </c>
      <c r="AT11" s="30"/>
      <c r="AU11" s="30"/>
      <c r="AW11" s="2" t="s">
        <v>2715</v>
      </c>
      <c r="AY11" s="2" t="s">
        <v>106</v>
      </c>
    </row>
    <row r="12" spans="1:51" ht="16.5">
      <c r="A12" s="49" t="s">
        <v>5487</v>
      </c>
      <c r="B12" s="26" t="s">
        <v>160</v>
      </c>
      <c r="C12" s="26" t="s">
        <v>73</v>
      </c>
      <c r="D12" s="49" t="s">
        <v>5488</v>
      </c>
      <c r="E12" s="124" t="s">
        <v>162</v>
      </c>
      <c r="F12" s="49" t="s">
        <v>5489</v>
      </c>
      <c r="G12" s="49" t="s">
        <v>5490</v>
      </c>
      <c r="H12" s="124" t="s">
        <v>2915</v>
      </c>
      <c r="I12" s="138">
        <v>202606.4</v>
      </c>
      <c r="J12" s="25">
        <v>6.24</v>
      </c>
      <c r="K12" s="49" t="s">
        <v>73</v>
      </c>
      <c r="L12" s="26" t="s">
        <v>5390</v>
      </c>
      <c r="M12" s="49" t="s">
        <v>97</v>
      </c>
      <c r="N12" s="139" t="s">
        <v>5491</v>
      </c>
      <c r="O12" s="26" t="s">
        <v>6898</v>
      </c>
      <c r="P12" s="32">
        <v>4</v>
      </c>
      <c r="Q12" s="32">
        <v>16</v>
      </c>
      <c r="R12" s="32">
        <v>469.71</v>
      </c>
      <c r="S12" s="26" t="s">
        <v>99</v>
      </c>
      <c r="T12" s="30" t="s">
        <v>100</v>
      </c>
      <c r="U12" s="26" t="s">
        <v>101</v>
      </c>
      <c r="V12" s="38" t="s">
        <v>5479</v>
      </c>
      <c r="W12" s="26" t="s">
        <v>103</v>
      </c>
      <c r="X12" s="30" t="s">
        <v>123</v>
      </c>
      <c r="Y12" s="30" t="s">
        <v>123</v>
      </c>
      <c r="Z12" s="26" t="s">
        <v>172</v>
      </c>
      <c r="AA12" s="26" t="s">
        <v>9</v>
      </c>
      <c r="AB12" s="30" t="s">
        <v>172</v>
      </c>
      <c r="AC12" s="25" t="s">
        <v>173</v>
      </c>
      <c r="AD12" s="26" t="s">
        <v>174</v>
      </c>
      <c r="AE12" s="26" t="s">
        <v>175</v>
      </c>
      <c r="AF12" s="32">
        <f t="shared" si="0"/>
        <v>1</v>
      </c>
      <c r="AG12" s="32">
        <v>1</v>
      </c>
      <c r="AH12" s="32">
        <v>1</v>
      </c>
      <c r="AI12" s="32">
        <v>1</v>
      </c>
      <c r="AJ12" s="32">
        <v>1</v>
      </c>
      <c r="AK12" s="32">
        <f t="shared" si="1"/>
        <v>1</v>
      </c>
      <c r="AL12" s="30"/>
      <c r="AM12" s="25" t="s">
        <v>6895</v>
      </c>
      <c r="AN12" s="30"/>
      <c r="AO12" s="32"/>
      <c r="AP12" s="32">
        <v>1</v>
      </c>
      <c r="AQ12" s="32">
        <v>1</v>
      </c>
      <c r="AR12" s="32"/>
      <c r="AS12" s="32">
        <v>1</v>
      </c>
      <c r="AT12" s="30"/>
      <c r="AU12" s="30"/>
      <c r="AW12" s="2" t="s">
        <v>1649</v>
      </c>
      <c r="AY12" s="75" t="s">
        <v>526</v>
      </c>
    </row>
    <row r="13" spans="1:51" ht="16.5">
      <c r="A13" s="49" t="s">
        <v>5618</v>
      </c>
      <c r="B13" s="26" t="s">
        <v>160</v>
      </c>
      <c r="C13" s="26" t="s">
        <v>73</v>
      </c>
      <c r="D13" s="49" t="s">
        <v>5619</v>
      </c>
      <c r="E13" s="124" t="s">
        <v>162</v>
      </c>
      <c r="F13" s="49" t="s">
        <v>5620</v>
      </c>
      <c r="G13" s="49" t="s">
        <v>5621</v>
      </c>
      <c r="H13" s="124" t="s">
        <v>5516</v>
      </c>
      <c r="I13" s="138">
        <v>202606.4</v>
      </c>
      <c r="J13" s="25">
        <v>6.24</v>
      </c>
      <c r="K13" s="49" t="s">
        <v>73</v>
      </c>
      <c r="L13" s="26" t="s">
        <v>5622</v>
      </c>
      <c r="M13" s="49" t="s">
        <v>5623</v>
      </c>
      <c r="N13" s="139" t="s">
        <v>5624</v>
      </c>
      <c r="O13" s="26" t="s">
        <v>6898</v>
      </c>
      <c r="P13" s="32">
        <v>4</v>
      </c>
      <c r="Q13" s="32">
        <v>16</v>
      </c>
      <c r="R13" s="32">
        <v>319.55</v>
      </c>
      <c r="S13" s="26" t="s">
        <v>99</v>
      </c>
      <c r="T13" s="30" t="s">
        <v>100</v>
      </c>
      <c r="U13" s="26" t="s">
        <v>101</v>
      </c>
      <c r="V13" s="38" t="s">
        <v>5479</v>
      </c>
      <c r="W13" s="26" t="s">
        <v>103</v>
      </c>
      <c r="X13" s="30" t="s">
        <v>123</v>
      </c>
      <c r="Y13" s="30" t="s">
        <v>123</v>
      </c>
      <c r="Z13" s="26" t="s">
        <v>172</v>
      </c>
      <c r="AA13" s="26" t="s">
        <v>9</v>
      </c>
      <c r="AB13" s="30" t="s">
        <v>172</v>
      </c>
      <c r="AC13" s="25" t="s">
        <v>173</v>
      </c>
      <c r="AD13" s="26" t="s">
        <v>174</v>
      </c>
      <c r="AE13" s="26" t="s">
        <v>175</v>
      </c>
      <c r="AF13" s="32">
        <f t="shared" si="0"/>
        <v>1</v>
      </c>
      <c r="AG13" s="32">
        <v>1</v>
      </c>
      <c r="AH13" s="32">
        <v>1</v>
      </c>
      <c r="AI13" s="32">
        <v>1</v>
      </c>
      <c r="AJ13" s="32">
        <v>1</v>
      </c>
      <c r="AK13" s="32">
        <f t="shared" si="1"/>
        <v>1</v>
      </c>
      <c r="AL13" s="30"/>
      <c r="AM13" s="25" t="s">
        <v>6895</v>
      </c>
      <c r="AN13" s="30"/>
      <c r="AO13" s="32"/>
      <c r="AP13" s="32">
        <v>1</v>
      </c>
      <c r="AQ13" s="32">
        <v>1</v>
      </c>
      <c r="AR13" s="32"/>
      <c r="AS13" s="32">
        <v>1</v>
      </c>
      <c r="AT13" s="30"/>
      <c r="AU13" s="30"/>
      <c r="AW13" s="2" t="s">
        <v>547</v>
      </c>
      <c r="AY13" s="94" t="s">
        <v>6899</v>
      </c>
    </row>
    <row r="14" spans="1:51" ht="16.5">
      <c r="A14" s="26" t="s">
        <v>6900</v>
      </c>
      <c r="B14" s="26" t="s">
        <v>4398</v>
      </c>
      <c r="C14" s="26" t="s">
        <v>73</v>
      </c>
      <c r="D14" s="26" t="s">
        <v>6901</v>
      </c>
      <c r="E14" s="124" t="s">
        <v>162</v>
      </c>
      <c r="F14" s="26" t="s">
        <v>6902</v>
      </c>
      <c r="G14" s="26" t="s">
        <v>6903</v>
      </c>
      <c r="H14" s="140" t="s">
        <v>165</v>
      </c>
      <c r="I14" s="138">
        <v>202606.4</v>
      </c>
      <c r="J14" s="25">
        <v>6.24</v>
      </c>
      <c r="K14" s="26" t="s">
        <v>73</v>
      </c>
      <c r="L14" s="26" t="s">
        <v>6904</v>
      </c>
      <c r="M14" s="26" t="s">
        <v>6905</v>
      </c>
      <c r="N14" s="27" t="s">
        <v>6906</v>
      </c>
      <c r="O14" s="26"/>
      <c r="P14" s="32">
        <v>2</v>
      </c>
      <c r="Q14" s="32">
        <v>8</v>
      </c>
      <c r="R14" s="32">
        <v>265.92</v>
      </c>
      <c r="S14" s="26" t="s">
        <v>99</v>
      </c>
      <c r="T14" s="30" t="s">
        <v>100</v>
      </c>
      <c r="U14" s="26" t="s">
        <v>101</v>
      </c>
      <c r="V14" s="38" t="s">
        <v>5479</v>
      </c>
      <c r="W14" s="26" t="s">
        <v>103</v>
      </c>
      <c r="X14" s="30" t="s">
        <v>123</v>
      </c>
      <c r="Y14" s="30" t="s">
        <v>123</v>
      </c>
      <c r="Z14" s="26" t="s">
        <v>172</v>
      </c>
      <c r="AA14" s="26" t="s">
        <v>9</v>
      </c>
      <c r="AB14" s="30" t="s">
        <v>172</v>
      </c>
      <c r="AC14" s="25" t="s">
        <v>173</v>
      </c>
      <c r="AD14" s="26" t="s">
        <v>174</v>
      </c>
      <c r="AE14" s="26" t="s">
        <v>175</v>
      </c>
      <c r="AF14" s="32">
        <f t="shared" si="0"/>
        <v>1</v>
      </c>
      <c r="AG14" s="32">
        <v>1</v>
      </c>
      <c r="AH14" s="32">
        <v>1</v>
      </c>
      <c r="AI14" s="32">
        <v>1</v>
      </c>
      <c r="AJ14" s="32">
        <v>1</v>
      </c>
      <c r="AK14" s="32">
        <f t="shared" si="1"/>
        <v>1</v>
      </c>
      <c r="AL14" s="30"/>
      <c r="AM14" s="32">
        <v>1</v>
      </c>
      <c r="AN14" s="30"/>
      <c r="AO14" s="32">
        <v>1</v>
      </c>
      <c r="AP14" s="32">
        <v>1</v>
      </c>
      <c r="AQ14" s="32"/>
      <c r="AR14" s="25" t="s">
        <v>6907</v>
      </c>
      <c r="AS14" s="32">
        <v>1</v>
      </c>
      <c r="AT14" s="30"/>
      <c r="AU14" s="30"/>
      <c r="AW14" s="2" t="s">
        <v>2313</v>
      </c>
      <c r="AY14" s="94" t="s">
        <v>4266</v>
      </c>
    </row>
    <row r="15" spans="1:51" ht="16.5">
      <c r="A15" s="26" t="s">
        <v>6908</v>
      </c>
      <c r="B15" s="26" t="s">
        <v>160</v>
      </c>
      <c r="C15" s="26" t="s">
        <v>73</v>
      </c>
      <c r="D15" s="26" t="s">
        <v>6899</v>
      </c>
      <c r="E15" s="124" t="s">
        <v>162</v>
      </c>
      <c r="F15" s="26" t="s">
        <v>6909</v>
      </c>
      <c r="G15" s="26" t="s">
        <v>6910</v>
      </c>
      <c r="H15" s="140" t="s">
        <v>165</v>
      </c>
      <c r="I15" s="141">
        <v>202606.4</v>
      </c>
      <c r="J15" s="121">
        <v>6.24</v>
      </c>
      <c r="K15" s="26" t="s">
        <v>73</v>
      </c>
      <c r="L15" s="26" t="s">
        <v>6911</v>
      </c>
      <c r="M15" s="38" t="s">
        <v>6912</v>
      </c>
      <c r="N15" s="27" t="s">
        <v>6913</v>
      </c>
      <c r="O15" s="26"/>
      <c r="P15" s="32">
        <v>4</v>
      </c>
      <c r="Q15" s="32">
        <v>16</v>
      </c>
      <c r="R15" s="32">
        <v>266.81</v>
      </c>
      <c r="S15" s="26" t="s">
        <v>99</v>
      </c>
      <c r="T15" s="30" t="s">
        <v>100</v>
      </c>
      <c r="U15" s="26" t="s">
        <v>101</v>
      </c>
      <c r="V15" s="38" t="s">
        <v>5479</v>
      </c>
      <c r="W15" s="26" t="s">
        <v>103</v>
      </c>
      <c r="X15" s="30" t="s">
        <v>123</v>
      </c>
      <c r="Y15" s="30" t="s">
        <v>123</v>
      </c>
      <c r="Z15" s="26" t="s">
        <v>172</v>
      </c>
      <c r="AA15" s="26" t="s">
        <v>9</v>
      </c>
      <c r="AB15" s="30" t="s">
        <v>172</v>
      </c>
      <c r="AC15" s="25" t="s">
        <v>173</v>
      </c>
      <c r="AD15" s="26" t="s">
        <v>174</v>
      </c>
      <c r="AE15" s="26" t="s">
        <v>175</v>
      </c>
      <c r="AF15" s="32">
        <f t="shared" si="0"/>
        <v>1</v>
      </c>
      <c r="AG15" s="32">
        <v>1</v>
      </c>
      <c r="AH15" s="32">
        <v>1</v>
      </c>
      <c r="AI15" s="32">
        <v>1</v>
      </c>
      <c r="AJ15" s="32">
        <v>1</v>
      </c>
      <c r="AK15" s="32">
        <f t="shared" si="1"/>
        <v>1</v>
      </c>
      <c r="AL15" s="30"/>
      <c r="AM15" s="32">
        <v>1</v>
      </c>
      <c r="AN15" s="30"/>
      <c r="AO15" s="32"/>
      <c r="AP15" s="32">
        <v>1</v>
      </c>
      <c r="AQ15" s="32"/>
      <c r="AR15" s="32"/>
      <c r="AS15" s="32">
        <v>1</v>
      </c>
      <c r="AT15" s="30"/>
      <c r="AU15" s="30"/>
      <c r="AW15" s="2" t="s">
        <v>119</v>
      </c>
      <c r="AY15" s="94" t="s">
        <v>6901</v>
      </c>
    </row>
    <row r="16" spans="1:51" ht="16.5">
      <c r="A16" s="26" t="s">
        <v>6914</v>
      </c>
      <c r="B16" s="26" t="s">
        <v>160</v>
      </c>
      <c r="C16" s="26" t="s">
        <v>73</v>
      </c>
      <c r="D16" s="26" t="s">
        <v>6915</v>
      </c>
      <c r="E16" s="124" t="s">
        <v>162</v>
      </c>
      <c r="F16" s="26" t="s">
        <v>6916</v>
      </c>
      <c r="G16" s="26" t="s">
        <v>6917</v>
      </c>
      <c r="H16" s="140" t="s">
        <v>165</v>
      </c>
      <c r="I16" s="141">
        <v>202606.4</v>
      </c>
      <c r="J16" s="121">
        <v>6.24</v>
      </c>
      <c r="K16" s="26" t="s">
        <v>73</v>
      </c>
      <c r="L16" s="26" t="s">
        <v>6918</v>
      </c>
      <c r="M16" s="38" t="s">
        <v>6919</v>
      </c>
      <c r="N16" s="27" t="s">
        <v>6920</v>
      </c>
      <c r="O16" s="26"/>
      <c r="P16" s="32">
        <v>4</v>
      </c>
      <c r="Q16" s="32">
        <v>16</v>
      </c>
      <c r="R16" s="32">
        <v>266.22000000000003</v>
      </c>
      <c r="S16" s="26" t="s">
        <v>99</v>
      </c>
      <c r="T16" s="30" t="s">
        <v>100</v>
      </c>
      <c r="U16" s="26" t="s">
        <v>101</v>
      </c>
      <c r="V16" s="38" t="s">
        <v>5479</v>
      </c>
      <c r="W16" s="26" t="s">
        <v>103</v>
      </c>
      <c r="X16" s="30" t="s">
        <v>123</v>
      </c>
      <c r="Y16" s="30" t="s">
        <v>123</v>
      </c>
      <c r="Z16" s="26" t="s">
        <v>172</v>
      </c>
      <c r="AA16" s="26" t="s">
        <v>9</v>
      </c>
      <c r="AB16" s="30" t="s">
        <v>172</v>
      </c>
      <c r="AC16" s="25" t="s">
        <v>173</v>
      </c>
      <c r="AD16" s="26" t="s">
        <v>174</v>
      </c>
      <c r="AE16" s="26" t="s">
        <v>175</v>
      </c>
      <c r="AF16" s="32">
        <f t="shared" si="0"/>
        <v>1</v>
      </c>
      <c r="AG16" s="32">
        <v>1</v>
      </c>
      <c r="AH16" s="32">
        <v>1</v>
      </c>
      <c r="AI16" s="32">
        <v>1</v>
      </c>
      <c r="AJ16" s="32">
        <v>1</v>
      </c>
      <c r="AK16" s="32">
        <f t="shared" si="1"/>
        <v>1</v>
      </c>
      <c r="AL16" s="30"/>
      <c r="AM16" s="32">
        <v>1</v>
      </c>
      <c r="AN16" s="30"/>
      <c r="AO16" s="32"/>
      <c r="AP16" s="32">
        <v>1</v>
      </c>
      <c r="AQ16" s="32"/>
      <c r="AR16" s="32"/>
      <c r="AS16" s="32">
        <v>1</v>
      </c>
      <c r="AT16" s="30"/>
      <c r="AU16" s="30"/>
      <c r="AW16" s="2" t="s">
        <v>5387</v>
      </c>
      <c r="AY16" s="94" t="s">
        <v>6915</v>
      </c>
    </row>
    <row r="17" spans="1:51" ht="16.5">
      <c r="A17" s="26" t="s">
        <v>6921</v>
      </c>
      <c r="B17" s="26" t="s">
        <v>160</v>
      </c>
      <c r="C17" s="26" t="s">
        <v>73</v>
      </c>
      <c r="D17" s="26" t="s">
        <v>6922</v>
      </c>
      <c r="E17" s="124" t="s">
        <v>162</v>
      </c>
      <c r="F17" s="26" t="s">
        <v>6923</v>
      </c>
      <c r="G17" s="26" t="s">
        <v>6924</v>
      </c>
      <c r="H17" s="140" t="s">
        <v>165</v>
      </c>
      <c r="I17" s="141">
        <v>202606.4</v>
      </c>
      <c r="J17" s="121">
        <v>6.24</v>
      </c>
      <c r="K17" s="26" t="s">
        <v>73</v>
      </c>
      <c r="L17" s="26" t="s">
        <v>6925</v>
      </c>
      <c r="M17" s="38" t="s">
        <v>6926</v>
      </c>
      <c r="N17" s="27" t="s">
        <v>6927</v>
      </c>
      <c r="O17" s="26"/>
      <c r="P17" s="32">
        <v>4</v>
      </c>
      <c r="Q17" s="32">
        <v>16</v>
      </c>
      <c r="R17" s="32">
        <v>266.58</v>
      </c>
      <c r="S17" s="26" t="s">
        <v>99</v>
      </c>
      <c r="T17" s="30" t="s">
        <v>100</v>
      </c>
      <c r="U17" s="26" t="s">
        <v>101</v>
      </c>
      <c r="V17" s="38" t="s">
        <v>5479</v>
      </c>
      <c r="W17" s="26" t="s">
        <v>103</v>
      </c>
      <c r="X17" s="30" t="s">
        <v>123</v>
      </c>
      <c r="Y17" s="30" t="s">
        <v>123</v>
      </c>
      <c r="Z17" s="26" t="s">
        <v>172</v>
      </c>
      <c r="AA17" s="26" t="s">
        <v>9</v>
      </c>
      <c r="AB17" s="30" t="s">
        <v>172</v>
      </c>
      <c r="AC17" s="25" t="s">
        <v>173</v>
      </c>
      <c r="AD17" s="26" t="s">
        <v>174</v>
      </c>
      <c r="AE17" s="26" t="s">
        <v>175</v>
      </c>
      <c r="AF17" s="32">
        <f t="shared" si="0"/>
        <v>1</v>
      </c>
      <c r="AG17" s="32">
        <v>1</v>
      </c>
      <c r="AH17" s="32">
        <v>1</v>
      </c>
      <c r="AI17" s="32">
        <v>1</v>
      </c>
      <c r="AJ17" s="32">
        <v>1</v>
      </c>
      <c r="AK17" s="32">
        <f t="shared" si="1"/>
        <v>1</v>
      </c>
      <c r="AL17" s="30"/>
      <c r="AM17" s="25" t="s">
        <v>6928</v>
      </c>
      <c r="AN17" s="30"/>
      <c r="AO17" s="32">
        <v>1</v>
      </c>
      <c r="AP17" s="32">
        <v>1</v>
      </c>
      <c r="AQ17" s="32">
        <v>1</v>
      </c>
      <c r="AR17" s="25" t="s">
        <v>6907</v>
      </c>
      <c r="AS17" s="25">
        <v>1</v>
      </c>
      <c r="AT17" s="30"/>
      <c r="AU17" s="30"/>
      <c r="AW17" s="2" t="s">
        <v>5972</v>
      </c>
      <c r="AY17" s="94" t="s">
        <v>6929</v>
      </c>
    </row>
    <row r="18" spans="1:51" ht="16.5">
      <c r="A18" s="26" t="s">
        <v>6930</v>
      </c>
      <c r="B18" s="26" t="s">
        <v>160</v>
      </c>
      <c r="C18" s="26" t="s">
        <v>73</v>
      </c>
      <c r="D18" s="26" t="s">
        <v>6931</v>
      </c>
      <c r="E18" s="124" t="s">
        <v>499</v>
      </c>
      <c r="F18" s="26" t="s">
        <v>6932</v>
      </c>
      <c r="G18" s="26" t="s">
        <v>6933</v>
      </c>
      <c r="H18" s="140" t="s">
        <v>165</v>
      </c>
      <c r="I18" s="141">
        <v>202606.4</v>
      </c>
      <c r="J18" s="121">
        <v>6.24</v>
      </c>
      <c r="K18" s="26" t="s">
        <v>73</v>
      </c>
      <c r="L18" s="26" t="s">
        <v>6934</v>
      </c>
      <c r="M18" s="38" t="s">
        <v>6935</v>
      </c>
      <c r="N18" s="27" t="s">
        <v>6936</v>
      </c>
      <c r="O18" s="26"/>
      <c r="P18" s="32">
        <v>2</v>
      </c>
      <c r="Q18" s="32">
        <v>8</v>
      </c>
      <c r="R18" s="32">
        <v>258.77</v>
      </c>
      <c r="S18" s="26" t="s">
        <v>99</v>
      </c>
      <c r="T18" s="30" t="s">
        <v>100</v>
      </c>
      <c r="U18" s="26" t="s">
        <v>101</v>
      </c>
      <c r="V18" s="38" t="s">
        <v>5479</v>
      </c>
      <c r="W18" s="26" t="s">
        <v>103</v>
      </c>
      <c r="X18" s="30" t="s">
        <v>123</v>
      </c>
      <c r="Y18" s="30" t="s">
        <v>123</v>
      </c>
      <c r="Z18" s="26" t="s">
        <v>172</v>
      </c>
      <c r="AA18" s="26" t="s">
        <v>9</v>
      </c>
      <c r="AB18" s="30" t="s">
        <v>172</v>
      </c>
      <c r="AC18" s="25" t="s">
        <v>173</v>
      </c>
      <c r="AD18" s="26" t="s">
        <v>174</v>
      </c>
      <c r="AE18" s="26" t="s">
        <v>175</v>
      </c>
      <c r="AF18" s="32">
        <f t="shared" si="0"/>
        <v>1</v>
      </c>
      <c r="AG18" s="32">
        <v>1</v>
      </c>
      <c r="AH18" s="32">
        <v>1</v>
      </c>
      <c r="AI18" s="32">
        <v>1</v>
      </c>
      <c r="AJ18" s="32">
        <v>1</v>
      </c>
      <c r="AK18" s="32">
        <f t="shared" si="1"/>
        <v>1</v>
      </c>
      <c r="AL18" s="30"/>
      <c r="AM18" s="32">
        <v>1</v>
      </c>
      <c r="AN18" s="30"/>
      <c r="AO18" s="32"/>
      <c r="AP18" s="32">
        <v>1</v>
      </c>
      <c r="AQ18" s="32"/>
      <c r="AR18" s="32"/>
      <c r="AS18" s="32">
        <v>1</v>
      </c>
      <c r="AT18" s="30"/>
      <c r="AU18" s="30"/>
      <c r="AW18" s="2" t="s">
        <v>6446</v>
      </c>
      <c r="AY18" s="94" t="s">
        <v>6937</v>
      </c>
    </row>
    <row r="19" spans="1:51" ht="16.5">
      <c r="A19" s="26" t="s">
        <v>6938</v>
      </c>
      <c r="B19" s="26" t="s">
        <v>160</v>
      </c>
      <c r="C19" s="26" t="s">
        <v>73</v>
      </c>
      <c r="D19" s="26" t="s">
        <v>6939</v>
      </c>
      <c r="E19" s="124" t="s">
        <v>499</v>
      </c>
      <c r="F19" s="26" t="s">
        <v>6940</v>
      </c>
      <c r="G19" s="26" t="s">
        <v>6941</v>
      </c>
      <c r="H19" s="140" t="s">
        <v>165</v>
      </c>
      <c r="I19" s="141">
        <v>202606.4</v>
      </c>
      <c r="J19" s="121">
        <v>6.24</v>
      </c>
      <c r="K19" s="26" t="s">
        <v>73</v>
      </c>
      <c r="L19" s="26" t="s">
        <v>6942</v>
      </c>
      <c r="M19" s="38" t="s">
        <v>6943</v>
      </c>
      <c r="N19" s="27" t="s">
        <v>6944</v>
      </c>
      <c r="O19" s="26"/>
      <c r="P19" s="32">
        <v>2</v>
      </c>
      <c r="Q19" s="32">
        <v>8</v>
      </c>
      <c r="R19" s="32">
        <v>258.58</v>
      </c>
      <c r="S19" s="26" t="s">
        <v>99</v>
      </c>
      <c r="T19" s="30" t="s">
        <v>100</v>
      </c>
      <c r="U19" s="26" t="s">
        <v>101</v>
      </c>
      <c r="V19" s="38" t="s">
        <v>5479</v>
      </c>
      <c r="W19" s="26" t="s">
        <v>103</v>
      </c>
      <c r="X19" s="30" t="s">
        <v>123</v>
      </c>
      <c r="Y19" s="30" t="s">
        <v>123</v>
      </c>
      <c r="Z19" s="26" t="s">
        <v>172</v>
      </c>
      <c r="AA19" s="26" t="s">
        <v>9</v>
      </c>
      <c r="AB19" s="30" t="s">
        <v>172</v>
      </c>
      <c r="AC19" s="25" t="s">
        <v>173</v>
      </c>
      <c r="AD19" s="26" t="s">
        <v>174</v>
      </c>
      <c r="AE19" s="26" t="s">
        <v>175</v>
      </c>
      <c r="AF19" s="32">
        <f t="shared" si="0"/>
        <v>1</v>
      </c>
      <c r="AG19" s="32">
        <v>1</v>
      </c>
      <c r="AH19" s="32">
        <v>1</v>
      </c>
      <c r="AI19" s="32">
        <v>1</v>
      </c>
      <c r="AJ19" s="32">
        <v>1</v>
      </c>
      <c r="AK19" s="32">
        <f t="shared" si="1"/>
        <v>1</v>
      </c>
      <c r="AL19" s="30"/>
      <c r="AM19" s="32">
        <v>1</v>
      </c>
      <c r="AN19" s="30"/>
      <c r="AO19" s="32"/>
      <c r="AP19" s="32">
        <v>1</v>
      </c>
      <c r="AQ19" s="32"/>
      <c r="AR19" s="32"/>
      <c r="AS19" s="32">
        <v>1</v>
      </c>
      <c r="AT19" s="30"/>
      <c r="AU19" s="30"/>
      <c r="AW19" s="2" t="s">
        <v>6785</v>
      </c>
      <c r="AY19" s="94" t="s">
        <v>6945</v>
      </c>
    </row>
    <row r="20" spans="1:51" ht="16.5">
      <c r="A20" s="26" t="s">
        <v>6946</v>
      </c>
      <c r="B20" s="26" t="s">
        <v>160</v>
      </c>
      <c r="C20" s="26" t="s">
        <v>73</v>
      </c>
      <c r="D20" s="26" t="s">
        <v>6937</v>
      </c>
      <c r="E20" s="124" t="s">
        <v>162</v>
      </c>
      <c r="F20" s="26" t="s">
        <v>6947</v>
      </c>
      <c r="G20" s="26" t="s">
        <v>6948</v>
      </c>
      <c r="H20" s="140" t="s">
        <v>165</v>
      </c>
      <c r="I20" s="141">
        <v>202606.4</v>
      </c>
      <c r="J20" s="121">
        <v>6.24</v>
      </c>
      <c r="K20" s="26" t="s">
        <v>73</v>
      </c>
      <c r="L20" s="26" t="s">
        <v>6949</v>
      </c>
      <c r="M20" s="38" t="s">
        <v>6950</v>
      </c>
      <c r="N20" s="27" t="s">
        <v>6951</v>
      </c>
      <c r="O20" s="26"/>
      <c r="P20" s="32">
        <v>4</v>
      </c>
      <c r="Q20" s="32">
        <v>16</v>
      </c>
      <c r="R20" s="32">
        <v>267.47000000000003</v>
      </c>
      <c r="S20" s="26" t="s">
        <v>99</v>
      </c>
      <c r="T20" s="30" t="s">
        <v>100</v>
      </c>
      <c r="U20" s="26" t="s">
        <v>101</v>
      </c>
      <c r="V20" s="38" t="s">
        <v>5479</v>
      </c>
      <c r="W20" s="26" t="s">
        <v>103</v>
      </c>
      <c r="X20" s="30" t="s">
        <v>123</v>
      </c>
      <c r="Y20" s="30" t="s">
        <v>123</v>
      </c>
      <c r="Z20" s="26" t="s">
        <v>172</v>
      </c>
      <c r="AA20" s="26" t="s">
        <v>9</v>
      </c>
      <c r="AB20" s="30" t="s">
        <v>172</v>
      </c>
      <c r="AC20" s="25" t="s">
        <v>173</v>
      </c>
      <c r="AD20" s="26" t="s">
        <v>174</v>
      </c>
      <c r="AE20" s="26" t="s">
        <v>175</v>
      </c>
      <c r="AF20" s="32">
        <f t="shared" si="0"/>
        <v>1</v>
      </c>
      <c r="AG20" s="32">
        <v>1</v>
      </c>
      <c r="AH20" s="32">
        <v>1</v>
      </c>
      <c r="AI20" s="32">
        <v>1</v>
      </c>
      <c r="AJ20" s="32">
        <v>1</v>
      </c>
      <c r="AK20" s="32">
        <f t="shared" si="1"/>
        <v>1</v>
      </c>
      <c r="AL20" s="30"/>
      <c r="AM20" s="32">
        <v>1</v>
      </c>
      <c r="AN20" s="30"/>
      <c r="AO20" s="32"/>
      <c r="AP20" s="32">
        <v>1</v>
      </c>
      <c r="AQ20" s="32"/>
      <c r="AR20" s="32"/>
      <c r="AS20" s="32">
        <v>1</v>
      </c>
      <c r="AT20" s="30"/>
      <c r="AU20" s="30"/>
      <c r="AW20" s="2" t="s">
        <v>6548</v>
      </c>
      <c r="AY20" s="94" t="s">
        <v>6939</v>
      </c>
    </row>
    <row r="21" spans="1:51" ht="16.5">
      <c r="A21" s="26" t="s">
        <v>6952</v>
      </c>
      <c r="B21" s="26" t="s">
        <v>160</v>
      </c>
      <c r="C21" s="26" t="s">
        <v>73</v>
      </c>
      <c r="D21" s="26" t="s">
        <v>6929</v>
      </c>
      <c r="E21" s="124" t="s">
        <v>499</v>
      </c>
      <c r="F21" s="26" t="s">
        <v>6953</v>
      </c>
      <c r="G21" s="26" t="s">
        <v>6954</v>
      </c>
      <c r="H21" s="140" t="s">
        <v>165</v>
      </c>
      <c r="I21" s="141">
        <v>202606.4</v>
      </c>
      <c r="J21" s="121">
        <v>6.24</v>
      </c>
      <c r="K21" s="26" t="s">
        <v>73</v>
      </c>
      <c r="L21" s="26" t="s">
        <v>6955</v>
      </c>
      <c r="M21" s="38" t="s">
        <v>6956</v>
      </c>
      <c r="N21" s="27" t="s">
        <v>6957</v>
      </c>
      <c r="O21" s="26"/>
      <c r="P21" s="32">
        <v>2</v>
      </c>
      <c r="Q21" s="32">
        <v>8</v>
      </c>
      <c r="R21" s="32">
        <v>262.86</v>
      </c>
      <c r="S21" s="26" t="s">
        <v>99</v>
      </c>
      <c r="T21" s="30" t="s">
        <v>100</v>
      </c>
      <c r="U21" s="26" t="s">
        <v>101</v>
      </c>
      <c r="V21" s="38" t="s">
        <v>5479</v>
      </c>
      <c r="W21" s="26" t="s">
        <v>103</v>
      </c>
      <c r="X21" s="30" t="s">
        <v>123</v>
      </c>
      <c r="Y21" s="30" t="s">
        <v>123</v>
      </c>
      <c r="Z21" s="26" t="s">
        <v>172</v>
      </c>
      <c r="AA21" s="26" t="s">
        <v>9</v>
      </c>
      <c r="AB21" s="30" t="s">
        <v>172</v>
      </c>
      <c r="AC21" s="25" t="s">
        <v>173</v>
      </c>
      <c r="AD21" s="26" t="s">
        <v>174</v>
      </c>
      <c r="AE21" s="26" t="s">
        <v>175</v>
      </c>
      <c r="AF21" s="32">
        <f t="shared" si="0"/>
        <v>1</v>
      </c>
      <c r="AG21" s="32">
        <v>1</v>
      </c>
      <c r="AH21" s="32">
        <v>1</v>
      </c>
      <c r="AI21" s="32">
        <v>1</v>
      </c>
      <c r="AJ21" s="32">
        <v>1</v>
      </c>
      <c r="AK21" s="32">
        <f t="shared" si="1"/>
        <v>1</v>
      </c>
      <c r="AL21" s="30"/>
      <c r="AM21" s="32">
        <v>1</v>
      </c>
      <c r="AN21" s="30"/>
      <c r="AO21" s="32"/>
      <c r="AP21" s="32">
        <v>1</v>
      </c>
      <c r="AQ21" s="32"/>
      <c r="AR21" s="32"/>
      <c r="AS21" s="32">
        <v>1</v>
      </c>
      <c r="AT21" s="30"/>
      <c r="AU21" s="30"/>
      <c r="AW21" s="2" t="s">
        <v>6145</v>
      </c>
      <c r="AY21" s="94" t="s">
        <v>5488</v>
      </c>
    </row>
    <row r="22" spans="1:51" ht="16.5">
      <c r="A22" s="26" t="s">
        <v>6958</v>
      </c>
      <c r="B22" s="26" t="s">
        <v>160</v>
      </c>
      <c r="C22" s="26" t="s">
        <v>73</v>
      </c>
      <c r="D22" s="26" t="s">
        <v>6945</v>
      </c>
      <c r="E22" s="124" t="s">
        <v>499</v>
      </c>
      <c r="F22" s="26" t="s">
        <v>6959</v>
      </c>
      <c r="G22" s="26" t="s">
        <v>6960</v>
      </c>
      <c r="H22" s="140" t="s">
        <v>2050</v>
      </c>
      <c r="I22" s="141">
        <v>202606.4</v>
      </c>
      <c r="J22" s="121">
        <v>6.24</v>
      </c>
      <c r="K22" s="26" t="s">
        <v>73</v>
      </c>
      <c r="L22" s="26" t="s">
        <v>6961</v>
      </c>
      <c r="M22" s="38" t="s">
        <v>6962</v>
      </c>
      <c r="N22" s="27" t="s">
        <v>6963</v>
      </c>
      <c r="O22" s="26"/>
      <c r="P22" s="32">
        <v>2</v>
      </c>
      <c r="Q22" s="32">
        <v>8</v>
      </c>
      <c r="R22" s="32">
        <v>260.93</v>
      </c>
      <c r="S22" s="26" t="s">
        <v>99</v>
      </c>
      <c r="T22" s="30" t="s">
        <v>100</v>
      </c>
      <c r="U22" s="26" t="s">
        <v>101</v>
      </c>
      <c r="V22" s="38" t="s">
        <v>5479</v>
      </c>
      <c r="W22" s="26" t="s">
        <v>103</v>
      </c>
      <c r="X22" s="30" t="s">
        <v>123</v>
      </c>
      <c r="Y22" s="30" t="s">
        <v>123</v>
      </c>
      <c r="Z22" s="26" t="s">
        <v>172</v>
      </c>
      <c r="AA22" s="26" t="s">
        <v>9</v>
      </c>
      <c r="AB22" s="30" t="s">
        <v>172</v>
      </c>
      <c r="AC22" s="25" t="s">
        <v>173</v>
      </c>
      <c r="AD22" s="26" t="s">
        <v>174</v>
      </c>
      <c r="AE22" s="26" t="s">
        <v>175</v>
      </c>
      <c r="AF22" s="32">
        <f t="shared" si="0"/>
        <v>1</v>
      </c>
      <c r="AG22" s="32">
        <v>1</v>
      </c>
      <c r="AH22" s="32">
        <v>1</v>
      </c>
      <c r="AI22" s="32">
        <v>1</v>
      </c>
      <c r="AJ22" s="32">
        <v>1</v>
      </c>
      <c r="AK22" s="32">
        <f t="shared" si="1"/>
        <v>1</v>
      </c>
      <c r="AL22" s="30"/>
      <c r="AM22" s="32">
        <v>1</v>
      </c>
      <c r="AN22" s="30"/>
      <c r="AO22" s="32"/>
      <c r="AP22" s="32">
        <v>1</v>
      </c>
      <c r="AQ22" s="32"/>
      <c r="AR22" s="32"/>
      <c r="AS22" s="32">
        <v>1</v>
      </c>
      <c r="AT22" s="30"/>
      <c r="AU22" s="30"/>
      <c r="AW22" s="2" t="s">
        <v>6649</v>
      </c>
      <c r="AY22" s="94" t="s">
        <v>6931</v>
      </c>
    </row>
    <row r="23" spans="1:51" ht="16.5">
      <c r="A23" s="26" t="s">
        <v>6964</v>
      </c>
      <c r="B23" s="26" t="s">
        <v>160</v>
      </c>
      <c r="C23" s="26" t="s">
        <v>73</v>
      </c>
      <c r="D23" s="26" t="s">
        <v>6965</v>
      </c>
      <c r="E23" s="124" t="s">
        <v>499</v>
      </c>
      <c r="F23" s="26" t="s">
        <v>6966</v>
      </c>
      <c r="G23" s="26" t="s">
        <v>6967</v>
      </c>
      <c r="H23" s="140" t="s">
        <v>2050</v>
      </c>
      <c r="I23" s="141">
        <v>202606.4</v>
      </c>
      <c r="J23" s="121">
        <v>6.24</v>
      </c>
      <c r="K23" s="26" t="s">
        <v>73</v>
      </c>
      <c r="L23" s="26" t="s">
        <v>6968</v>
      </c>
      <c r="M23" s="38" t="s">
        <v>6969</v>
      </c>
      <c r="N23" s="27" t="s">
        <v>6970</v>
      </c>
      <c r="O23" s="26"/>
      <c r="P23" s="32">
        <v>2</v>
      </c>
      <c r="Q23" s="32">
        <v>8</v>
      </c>
      <c r="R23" s="32">
        <v>263.55</v>
      </c>
      <c r="S23" s="26" t="s">
        <v>99</v>
      </c>
      <c r="T23" s="30" t="s">
        <v>100</v>
      </c>
      <c r="U23" s="26" t="s">
        <v>101</v>
      </c>
      <c r="V23" s="38" t="s">
        <v>5716</v>
      </c>
      <c r="W23" s="26" t="s">
        <v>103</v>
      </c>
      <c r="X23" s="30" t="s">
        <v>123</v>
      </c>
      <c r="Y23" s="30" t="s">
        <v>123</v>
      </c>
      <c r="Z23" s="26" t="s">
        <v>172</v>
      </c>
      <c r="AA23" s="26" t="s">
        <v>11</v>
      </c>
      <c r="AB23" s="30" t="s">
        <v>172</v>
      </c>
      <c r="AC23" s="25" t="s">
        <v>173</v>
      </c>
      <c r="AD23" s="26" t="s">
        <v>174</v>
      </c>
      <c r="AE23" s="26" t="s">
        <v>175</v>
      </c>
      <c r="AF23" s="32">
        <f t="shared" si="0"/>
        <v>1</v>
      </c>
      <c r="AG23" s="32">
        <v>1</v>
      </c>
      <c r="AH23" s="32">
        <v>1</v>
      </c>
      <c r="AI23" s="32">
        <v>1</v>
      </c>
      <c r="AJ23" s="32">
        <v>1</v>
      </c>
      <c r="AK23" s="32">
        <f t="shared" si="1"/>
        <v>1</v>
      </c>
      <c r="AL23" s="30"/>
      <c r="AM23" s="32">
        <v>1</v>
      </c>
      <c r="AN23" s="30"/>
      <c r="AO23" s="30"/>
      <c r="AP23" s="32">
        <v>1</v>
      </c>
      <c r="AQ23" s="32">
        <v>1</v>
      </c>
      <c r="AR23" s="32"/>
      <c r="AS23" s="32">
        <v>1</v>
      </c>
      <c r="AT23" s="30"/>
      <c r="AU23" s="30"/>
      <c r="AW23" s="2" t="s">
        <v>6642</v>
      </c>
      <c r="AY23" s="94" t="s">
        <v>6922</v>
      </c>
    </row>
    <row r="24" spans="1:51" ht="16.5">
      <c r="A24" s="26" t="s">
        <v>6971</v>
      </c>
      <c r="B24" s="26" t="s">
        <v>160</v>
      </c>
      <c r="C24" s="26" t="s">
        <v>73</v>
      </c>
      <c r="D24" s="26" t="s">
        <v>6972</v>
      </c>
      <c r="E24" s="124" t="s">
        <v>162</v>
      </c>
      <c r="F24" s="26" t="s">
        <v>6973</v>
      </c>
      <c r="G24" s="26" t="s">
        <v>6974</v>
      </c>
      <c r="H24" s="140" t="s">
        <v>165</v>
      </c>
      <c r="I24" s="141">
        <v>202606.4</v>
      </c>
      <c r="J24" s="121">
        <v>6.24</v>
      </c>
      <c r="K24" s="26" t="s">
        <v>73</v>
      </c>
      <c r="L24" s="26" t="s">
        <v>6975</v>
      </c>
      <c r="M24" s="38" t="s">
        <v>6976</v>
      </c>
      <c r="N24" s="27" t="s">
        <v>6977</v>
      </c>
      <c r="O24" s="26"/>
      <c r="P24" s="32">
        <v>4</v>
      </c>
      <c r="Q24" s="32">
        <v>16</v>
      </c>
      <c r="R24" s="32">
        <v>268.97000000000003</v>
      </c>
      <c r="S24" s="26" t="s">
        <v>99</v>
      </c>
      <c r="T24" s="30" t="s">
        <v>100</v>
      </c>
      <c r="U24" s="26" t="s">
        <v>101</v>
      </c>
      <c r="V24" s="38" t="s">
        <v>5716</v>
      </c>
      <c r="W24" s="26" t="s">
        <v>103</v>
      </c>
      <c r="X24" s="30" t="s">
        <v>123</v>
      </c>
      <c r="Y24" s="30" t="s">
        <v>123</v>
      </c>
      <c r="Z24" s="26" t="s">
        <v>172</v>
      </c>
      <c r="AA24" s="26" t="s">
        <v>11</v>
      </c>
      <c r="AB24" s="30" t="s">
        <v>172</v>
      </c>
      <c r="AC24" s="25" t="s">
        <v>173</v>
      </c>
      <c r="AD24" s="26" t="s">
        <v>174</v>
      </c>
      <c r="AE24" s="26" t="s">
        <v>175</v>
      </c>
      <c r="AF24" s="32">
        <f t="shared" si="0"/>
        <v>1</v>
      </c>
      <c r="AG24" s="32">
        <v>1</v>
      </c>
      <c r="AH24" s="32">
        <v>1</v>
      </c>
      <c r="AI24" s="32">
        <v>1</v>
      </c>
      <c r="AJ24" s="32">
        <v>1</v>
      </c>
      <c r="AK24" s="32">
        <f t="shared" si="1"/>
        <v>1</v>
      </c>
      <c r="AL24" s="30"/>
      <c r="AM24" s="32">
        <v>1</v>
      </c>
      <c r="AN24" s="30"/>
      <c r="AO24" s="30"/>
      <c r="AP24" s="32">
        <v>1</v>
      </c>
      <c r="AQ24" s="32">
        <v>1</v>
      </c>
      <c r="AR24" s="32"/>
      <c r="AS24" s="32">
        <v>1</v>
      </c>
      <c r="AT24" s="30"/>
      <c r="AU24" s="30"/>
      <c r="AW24" s="2" t="s">
        <v>5904</v>
      </c>
      <c r="AY24" s="94" t="s">
        <v>544</v>
      </c>
    </row>
    <row r="25" spans="1:51" ht="16.5">
      <c r="A25" s="26" t="s">
        <v>6978</v>
      </c>
      <c r="B25" s="26" t="s">
        <v>160</v>
      </c>
      <c r="C25" s="26" t="s">
        <v>73</v>
      </c>
      <c r="D25" s="26" t="s">
        <v>6979</v>
      </c>
      <c r="E25" s="124" t="s">
        <v>162</v>
      </c>
      <c r="F25" s="26" t="s">
        <v>6980</v>
      </c>
      <c r="G25" s="26" t="s">
        <v>6981</v>
      </c>
      <c r="H25" s="140" t="s">
        <v>165</v>
      </c>
      <c r="I25" s="141">
        <v>202606.4</v>
      </c>
      <c r="J25" s="121">
        <v>6.24</v>
      </c>
      <c r="K25" s="26" t="s">
        <v>73</v>
      </c>
      <c r="L25" s="26" t="s">
        <v>6982</v>
      </c>
      <c r="M25" s="38" t="s">
        <v>6983</v>
      </c>
      <c r="N25" s="27" t="s">
        <v>6984</v>
      </c>
      <c r="O25" s="26"/>
      <c r="P25" s="32">
        <v>4</v>
      </c>
      <c r="Q25" s="32">
        <v>16</v>
      </c>
      <c r="R25" s="32">
        <v>271.43</v>
      </c>
      <c r="S25" s="26" t="s">
        <v>99</v>
      </c>
      <c r="T25" s="30" t="s">
        <v>100</v>
      </c>
      <c r="U25" s="26" t="s">
        <v>101</v>
      </c>
      <c r="V25" s="38" t="s">
        <v>5716</v>
      </c>
      <c r="W25" s="26" t="s">
        <v>103</v>
      </c>
      <c r="X25" s="30" t="s">
        <v>123</v>
      </c>
      <c r="Y25" s="30" t="s">
        <v>123</v>
      </c>
      <c r="Z25" s="26" t="s">
        <v>172</v>
      </c>
      <c r="AA25" s="26" t="s">
        <v>11</v>
      </c>
      <c r="AB25" s="30" t="s">
        <v>172</v>
      </c>
      <c r="AC25" s="25" t="s">
        <v>173</v>
      </c>
      <c r="AD25" s="26" t="s">
        <v>174</v>
      </c>
      <c r="AE25" s="26" t="s">
        <v>175</v>
      </c>
      <c r="AF25" s="32">
        <f t="shared" si="0"/>
        <v>1</v>
      </c>
      <c r="AG25" s="32">
        <v>1</v>
      </c>
      <c r="AH25" s="32">
        <v>1</v>
      </c>
      <c r="AI25" s="32">
        <v>1</v>
      </c>
      <c r="AJ25" s="32">
        <v>1</v>
      </c>
      <c r="AK25" s="32">
        <f t="shared" si="1"/>
        <v>1</v>
      </c>
      <c r="AL25" s="30"/>
      <c r="AM25" s="32">
        <v>1</v>
      </c>
      <c r="AN25" s="30"/>
      <c r="AO25" s="30"/>
      <c r="AP25" s="32">
        <v>1</v>
      </c>
      <c r="AQ25" s="32">
        <v>1</v>
      </c>
      <c r="AR25" s="25" t="s">
        <v>6985</v>
      </c>
      <c r="AS25" s="32">
        <v>1</v>
      </c>
      <c r="AT25" s="30"/>
      <c r="AU25" s="30"/>
      <c r="AW25" s="2" t="s">
        <v>5713</v>
      </c>
      <c r="AY25" s="94" t="s">
        <v>5619</v>
      </c>
    </row>
    <row r="26" spans="1:51" ht="16.5">
      <c r="A26" s="26" t="s">
        <v>6986</v>
      </c>
      <c r="B26" s="26" t="s">
        <v>160</v>
      </c>
      <c r="C26" s="26" t="s">
        <v>73</v>
      </c>
      <c r="D26" s="26" t="s">
        <v>6987</v>
      </c>
      <c r="E26" s="124" t="s">
        <v>162</v>
      </c>
      <c r="F26" s="26" t="s">
        <v>6988</v>
      </c>
      <c r="G26" s="26" t="s">
        <v>6989</v>
      </c>
      <c r="H26" s="140" t="s">
        <v>2050</v>
      </c>
      <c r="I26" s="141">
        <v>202606.4</v>
      </c>
      <c r="J26" s="121">
        <v>6.24</v>
      </c>
      <c r="K26" s="26" t="s">
        <v>73</v>
      </c>
      <c r="L26" s="26" t="s">
        <v>6990</v>
      </c>
      <c r="M26" s="38" t="s">
        <v>6991</v>
      </c>
      <c r="N26" s="27" t="s">
        <v>6992</v>
      </c>
      <c r="O26" s="26"/>
      <c r="P26" s="32">
        <v>4</v>
      </c>
      <c r="Q26" s="32">
        <v>16</v>
      </c>
      <c r="R26" s="32">
        <v>267.54000000000002</v>
      </c>
      <c r="S26" s="26" t="s">
        <v>99</v>
      </c>
      <c r="T26" s="30" t="s">
        <v>100</v>
      </c>
      <c r="U26" s="26" t="s">
        <v>101</v>
      </c>
      <c r="V26" s="38" t="s">
        <v>5716</v>
      </c>
      <c r="W26" s="26" t="s">
        <v>103</v>
      </c>
      <c r="X26" s="30" t="s">
        <v>123</v>
      </c>
      <c r="Y26" s="30" t="s">
        <v>123</v>
      </c>
      <c r="Z26" s="26" t="s">
        <v>172</v>
      </c>
      <c r="AA26" s="26" t="s">
        <v>11</v>
      </c>
      <c r="AB26" s="30" t="s">
        <v>172</v>
      </c>
      <c r="AC26" s="25" t="s">
        <v>173</v>
      </c>
      <c r="AD26" s="26" t="s">
        <v>174</v>
      </c>
      <c r="AE26" s="26" t="s">
        <v>175</v>
      </c>
      <c r="AF26" s="32">
        <f t="shared" si="0"/>
        <v>1</v>
      </c>
      <c r="AG26" s="32">
        <v>1</v>
      </c>
      <c r="AH26" s="32">
        <v>1</v>
      </c>
      <c r="AI26" s="32">
        <v>1</v>
      </c>
      <c r="AJ26" s="32">
        <v>1</v>
      </c>
      <c r="AK26" s="32">
        <f t="shared" si="1"/>
        <v>1</v>
      </c>
      <c r="AL26" s="30"/>
      <c r="AM26" s="32">
        <v>1</v>
      </c>
      <c r="AN26" s="30"/>
      <c r="AO26" s="30"/>
      <c r="AP26" s="32">
        <v>1</v>
      </c>
      <c r="AQ26" s="32">
        <v>1</v>
      </c>
      <c r="AR26" s="32"/>
      <c r="AS26" s="32">
        <v>1</v>
      </c>
      <c r="AT26" s="30"/>
      <c r="AU26" s="30"/>
      <c r="AW26" s="2" t="s">
        <v>5691</v>
      </c>
      <c r="AY26" s="75" t="s">
        <v>6993</v>
      </c>
    </row>
    <row r="27" spans="1:51" ht="16.5">
      <c r="A27" s="26" t="s">
        <v>6994</v>
      </c>
      <c r="B27" s="26" t="s">
        <v>160</v>
      </c>
      <c r="C27" s="26" t="s">
        <v>73</v>
      </c>
      <c r="D27" s="26" t="s">
        <v>6993</v>
      </c>
      <c r="E27" s="124" t="s">
        <v>162</v>
      </c>
      <c r="F27" s="26" t="s">
        <v>6995</v>
      </c>
      <c r="G27" s="26" t="s">
        <v>6996</v>
      </c>
      <c r="H27" s="140" t="s">
        <v>165</v>
      </c>
      <c r="I27" s="141">
        <v>202606.4</v>
      </c>
      <c r="J27" s="121">
        <v>6.24</v>
      </c>
      <c r="K27" s="26" t="s">
        <v>73</v>
      </c>
      <c r="L27" s="26" t="s">
        <v>6997</v>
      </c>
      <c r="M27" s="38" t="s">
        <v>6998</v>
      </c>
      <c r="N27" s="27" t="s">
        <v>6999</v>
      </c>
      <c r="O27" s="26"/>
      <c r="P27" s="32">
        <v>4</v>
      </c>
      <c r="Q27" s="32">
        <v>16</v>
      </c>
      <c r="R27" s="32">
        <v>266.57</v>
      </c>
      <c r="S27" s="26" t="s">
        <v>99</v>
      </c>
      <c r="T27" s="30" t="s">
        <v>100</v>
      </c>
      <c r="U27" s="26" t="s">
        <v>101</v>
      </c>
      <c r="V27" s="38" t="s">
        <v>5716</v>
      </c>
      <c r="W27" s="26" t="s">
        <v>103</v>
      </c>
      <c r="X27" s="30" t="s">
        <v>123</v>
      </c>
      <c r="Y27" s="30" t="s">
        <v>123</v>
      </c>
      <c r="Z27" s="26" t="s">
        <v>172</v>
      </c>
      <c r="AA27" s="26" t="s">
        <v>11</v>
      </c>
      <c r="AB27" s="30" t="s">
        <v>172</v>
      </c>
      <c r="AC27" s="25" t="s">
        <v>173</v>
      </c>
      <c r="AD27" s="26" t="s">
        <v>174</v>
      </c>
      <c r="AE27" s="26" t="s">
        <v>175</v>
      </c>
      <c r="AF27" s="32">
        <f t="shared" si="0"/>
        <v>1</v>
      </c>
      <c r="AG27" s="32">
        <v>1</v>
      </c>
      <c r="AH27" s="32">
        <v>1</v>
      </c>
      <c r="AI27" s="32">
        <v>1</v>
      </c>
      <c r="AJ27" s="32">
        <v>1</v>
      </c>
      <c r="AK27" s="32">
        <f t="shared" si="1"/>
        <v>1</v>
      </c>
      <c r="AL27" s="30"/>
      <c r="AM27" s="32">
        <v>1</v>
      </c>
      <c r="AN27" s="30"/>
      <c r="AO27" s="30"/>
      <c r="AP27" s="32">
        <v>1</v>
      </c>
      <c r="AQ27" s="32">
        <v>1</v>
      </c>
      <c r="AR27" s="32"/>
      <c r="AS27" s="32">
        <v>1</v>
      </c>
      <c r="AT27" s="30"/>
      <c r="AU27" s="30"/>
      <c r="AW27" s="2" t="s">
        <v>5661</v>
      </c>
      <c r="AY27" s="94" t="s">
        <v>7000</v>
      </c>
    </row>
    <row r="28" spans="1:51" ht="16.5">
      <c r="A28" s="26" t="s">
        <v>7001</v>
      </c>
      <c r="B28" s="26" t="s">
        <v>160</v>
      </c>
      <c r="C28" s="26" t="s">
        <v>73</v>
      </c>
      <c r="D28" s="26" t="s">
        <v>7002</v>
      </c>
      <c r="E28" s="124" t="s">
        <v>162</v>
      </c>
      <c r="F28" s="26" t="s">
        <v>7003</v>
      </c>
      <c r="G28" s="26" t="s">
        <v>7004</v>
      </c>
      <c r="H28" s="140" t="s">
        <v>2050</v>
      </c>
      <c r="I28" s="141">
        <v>202606.4</v>
      </c>
      <c r="J28" s="121">
        <v>6.24</v>
      </c>
      <c r="K28" s="26" t="s">
        <v>73</v>
      </c>
      <c r="L28" s="26" t="s">
        <v>7005</v>
      </c>
      <c r="M28" s="38" t="s">
        <v>7006</v>
      </c>
      <c r="N28" s="27" t="s">
        <v>7007</v>
      </c>
      <c r="O28" s="26"/>
      <c r="P28" s="32">
        <v>4</v>
      </c>
      <c r="Q28" s="32">
        <v>16</v>
      </c>
      <c r="R28" s="32">
        <v>267.73</v>
      </c>
      <c r="S28" s="26" t="s">
        <v>99</v>
      </c>
      <c r="T28" s="30" t="s">
        <v>100</v>
      </c>
      <c r="U28" s="26" t="s">
        <v>101</v>
      </c>
      <c r="V28" s="38" t="s">
        <v>5716</v>
      </c>
      <c r="W28" s="26" t="s">
        <v>103</v>
      </c>
      <c r="X28" s="30" t="s">
        <v>123</v>
      </c>
      <c r="Y28" s="30" t="s">
        <v>123</v>
      </c>
      <c r="Z28" s="26" t="s">
        <v>172</v>
      </c>
      <c r="AA28" s="26" t="s">
        <v>11</v>
      </c>
      <c r="AB28" s="30" t="s">
        <v>172</v>
      </c>
      <c r="AC28" s="25" t="s">
        <v>173</v>
      </c>
      <c r="AD28" s="26" t="s">
        <v>174</v>
      </c>
      <c r="AE28" s="26" t="s">
        <v>175</v>
      </c>
      <c r="AF28" s="32">
        <f t="shared" si="0"/>
        <v>1</v>
      </c>
      <c r="AG28" s="32">
        <v>1</v>
      </c>
      <c r="AH28" s="32">
        <v>1</v>
      </c>
      <c r="AI28" s="32">
        <v>1</v>
      </c>
      <c r="AJ28" s="32">
        <v>1</v>
      </c>
      <c r="AK28" s="32">
        <f t="shared" si="1"/>
        <v>1</v>
      </c>
      <c r="AL28" s="30"/>
      <c r="AM28" s="32">
        <v>1</v>
      </c>
      <c r="AN28" s="30"/>
      <c r="AO28" s="30"/>
      <c r="AP28" s="32">
        <v>1</v>
      </c>
      <c r="AQ28" s="32">
        <v>1</v>
      </c>
      <c r="AR28" s="32"/>
      <c r="AS28" s="32">
        <v>1</v>
      </c>
      <c r="AT28" s="30"/>
      <c r="AU28" s="30"/>
      <c r="AW28" s="2" t="s">
        <v>6997</v>
      </c>
      <c r="AY28" s="94" t="s">
        <v>7008</v>
      </c>
    </row>
    <row r="29" spans="1:51" ht="16.5">
      <c r="A29" s="26" t="s">
        <v>7009</v>
      </c>
      <c r="B29" s="26" t="s">
        <v>160</v>
      </c>
      <c r="C29" s="26" t="s">
        <v>73</v>
      </c>
      <c r="D29" s="26" t="s">
        <v>7010</v>
      </c>
      <c r="E29" s="124" t="s">
        <v>162</v>
      </c>
      <c r="F29" s="26" t="s">
        <v>7011</v>
      </c>
      <c r="G29" s="26" t="s">
        <v>7012</v>
      </c>
      <c r="H29" s="140" t="s">
        <v>2050</v>
      </c>
      <c r="I29" s="141">
        <v>202606.4</v>
      </c>
      <c r="J29" s="121">
        <v>6.24</v>
      </c>
      <c r="K29" s="26" t="s">
        <v>73</v>
      </c>
      <c r="L29" s="26" t="s">
        <v>7013</v>
      </c>
      <c r="M29" s="38" t="s">
        <v>7014</v>
      </c>
      <c r="N29" s="27" t="s">
        <v>7015</v>
      </c>
      <c r="O29" s="26"/>
      <c r="P29" s="32">
        <v>4</v>
      </c>
      <c r="Q29" s="32">
        <v>16</v>
      </c>
      <c r="R29" s="32">
        <v>267.2</v>
      </c>
      <c r="S29" s="26" t="s">
        <v>99</v>
      </c>
      <c r="T29" s="30" t="s">
        <v>100</v>
      </c>
      <c r="U29" s="26" t="s">
        <v>101</v>
      </c>
      <c r="V29" s="38" t="s">
        <v>5716</v>
      </c>
      <c r="W29" s="26" t="s">
        <v>103</v>
      </c>
      <c r="X29" s="30" t="s">
        <v>123</v>
      </c>
      <c r="Y29" s="30" t="s">
        <v>123</v>
      </c>
      <c r="Z29" s="26" t="s">
        <v>172</v>
      </c>
      <c r="AA29" s="26" t="s">
        <v>11</v>
      </c>
      <c r="AB29" s="30" t="s">
        <v>172</v>
      </c>
      <c r="AC29" s="25" t="s">
        <v>173</v>
      </c>
      <c r="AD29" s="26" t="s">
        <v>174</v>
      </c>
      <c r="AE29" s="26" t="s">
        <v>175</v>
      </c>
      <c r="AF29" s="32">
        <f t="shared" si="0"/>
        <v>1</v>
      </c>
      <c r="AG29" s="32">
        <v>1</v>
      </c>
      <c r="AH29" s="32">
        <v>1</v>
      </c>
      <c r="AI29" s="32">
        <v>1</v>
      </c>
      <c r="AJ29" s="32">
        <v>1</v>
      </c>
      <c r="AK29" s="32">
        <f t="shared" si="1"/>
        <v>1</v>
      </c>
      <c r="AL29" s="30"/>
      <c r="AM29" s="32">
        <v>1</v>
      </c>
      <c r="AN29" s="30"/>
      <c r="AO29" s="30"/>
      <c r="AP29" s="32">
        <v>1</v>
      </c>
      <c r="AQ29" s="32">
        <v>1</v>
      </c>
      <c r="AR29" s="32"/>
      <c r="AS29" s="32">
        <v>1</v>
      </c>
      <c r="AT29" s="30"/>
      <c r="AU29" s="30"/>
      <c r="AW29" s="2" t="s">
        <v>7016</v>
      </c>
      <c r="AY29" s="94" t="s">
        <v>6979</v>
      </c>
    </row>
    <row r="30" spans="1:51" ht="16.5">
      <c r="A30" s="26" t="s">
        <v>7017</v>
      </c>
      <c r="B30" s="26" t="s">
        <v>160</v>
      </c>
      <c r="C30" s="26" t="s">
        <v>73</v>
      </c>
      <c r="D30" s="26" t="s">
        <v>7018</v>
      </c>
      <c r="E30" s="124" t="s">
        <v>162</v>
      </c>
      <c r="F30" s="26" t="s">
        <v>7019</v>
      </c>
      <c r="G30" s="26" t="s">
        <v>7020</v>
      </c>
      <c r="H30" s="140" t="s">
        <v>1685</v>
      </c>
      <c r="I30" s="141">
        <v>202606.4</v>
      </c>
      <c r="J30" s="121">
        <v>6.24</v>
      </c>
      <c r="K30" s="26" t="s">
        <v>73</v>
      </c>
      <c r="L30" s="26" t="s">
        <v>7021</v>
      </c>
      <c r="M30" s="38" t="s">
        <v>7022</v>
      </c>
      <c r="N30" s="27" t="s">
        <v>7023</v>
      </c>
      <c r="O30" s="26"/>
      <c r="P30" s="32">
        <v>4</v>
      </c>
      <c r="Q30" s="32">
        <v>16</v>
      </c>
      <c r="R30" s="32">
        <v>267.31</v>
      </c>
      <c r="S30" s="26" t="s">
        <v>99</v>
      </c>
      <c r="T30" s="30" t="s">
        <v>100</v>
      </c>
      <c r="U30" s="26" t="s">
        <v>101</v>
      </c>
      <c r="V30" s="38" t="s">
        <v>5716</v>
      </c>
      <c r="W30" s="26" t="s">
        <v>103</v>
      </c>
      <c r="X30" s="30" t="s">
        <v>123</v>
      </c>
      <c r="Y30" s="30" t="s">
        <v>123</v>
      </c>
      <c r="Z30" s="26" t="s">
        <v>172</v>
      </c>
      <c r="AA30" s="26" t="s">
        <v>11</v>
      </c>
      <c r="AB30" s="30" t="s">
        <v>172</v>
      </c>
      <c r="AC30" s="25" t="s">
        <v>173</v>
      </c>
      <c r="AD30" s="26" t="s">
        <v>174</v>
      </c>
      <c r="AE30" s="26" t="s">
        <v>175</v>
      </c>
      <c r="AF30" s="32">
        <f t="shared" si="0"/>
        <v>1</v>
      </c>
      <c r="AG30" s="32">
        <v>1</v>
      </c>
      <c r="AH30" s="32">
        <v>1</v>
      </c>
      <c r="AI30" s="32">
        <v>1</v>
      </c>
      <c r="AJ30" s="32">
        <v>1</v>
      </c>
      <c r="AK30" s="32">
        <f t="shared" si="1"/>
        <v>1</v>
      </c>
      <c r="AL30" s="30"/>
      <c r="AM30" s="32">
        <v>1</v>
      </c>
      <c r="AN30" s="30"/>
      <c r="AO30" s="30"/>
      <c r="AP30" s="32">
        <v>1</v>
      </c>
      <c r="AQ30" s="32">
        <v>1</v>
      </c>
      <c r="AR30" s="32"/>
      <c r="AS30" s="32">
        <v>1</v>
      </c>
      <c r="AT30" s="30"/>
      <c r="AU30" s="30"/>
      <c r="AW30" s="2" t="s">
        <v>7024</v>
      </c>
      <c r="AY30" s="94" t="s">
        <v>6972</v>
      </c>
    </row>
    <row r="31" spans="1:51" ht="16.5">
      <c r="A31" s="26" t="s">
        <v>7025</v>
      </c>
      <c r="B31" s="26" t="s">
        <v>160</v>
      </c>
      <c r="C31" s="26" t="s">
        <v>73</v>
      </c>
      <c r="D31" s="26" t="s">
        <v>7026</v>
      </c>
      <c r="E31" s="124" t="s">
        <v>499</v>
      </c>
      <c r="F31" s="26" t="s">
        <v>7027</v>
      </c>
      <c r="G31" s="26" t="s">
        <v>7028</v>
      </c>
      <c r="H31" s="140" t="s">
        <v>165</v>
      </c>
      <c r="I31" s="141">
        <v>202606.4</v>
      </c>
      <c r="J31" s="121">
        <v>6.24</v>
      </c>
      <c r="K31" s="26" t="s">
        <v>73</v>
      </c>
      <c r="L31" s="26" t="s">
        <v>7029</v>
      </c>
      <c r="M31" s="38" t="s">
        <v>7030</v>
      </c>
      <c r="N31" s="27" t="s">
        <v>7031</v>
      </c>
      <c r="O31" s="26"/>
      <c r="P31" s="32">
        <v>2</v>
      </c>
      <c r="Q31" s="32">
        <v>8</v>
      </c>
      <c r="R31" s="32">
        <v>261.24</v>
      </c>
      <c r="S31" s="26" t="s">
        <v>99</v>
      </c>
      <c r="T31" s="30" t="s">
        <v>100</v>
      </c>
      <c r="U31" s="26" t="s">
        <v>101</v>
      </c>
      <c r="V31" s="38" t="s">
        <v>5716</v>
      </c>
      <c r="W31" s="26" t="s">
        <v>103</v>
      </c>
      <c r="X31" s="30" t="s">
        <v>123</v>
      </c>
      <c r="Y31" s="30" t="s">
        <v>123</v>
      </c>
      <c r="Z31" s="26" t="s">
        <v>172</v>
      </c>
      <c r="AA31" s="26" t="s">
        <v>11</v>
      </c>
      <c r="AB31" s="30" t="s">
        <v>172</v>
      </c>
      <c r="AC31" s="25" t="s">
        <v>173</v>
      </c>
      <c r="AD31" s="26" t="s">
        <v>174</v>
      </c>
      <c r="AE31" s="26" t="s">
        <v>175</v>
      </c>
      <c r="AF31" s="32">
        <f t="shared" si="0"/>
        <v>1</v>
      </c>
      <c r="AG31" s="32">
        <v>1</v>
      </c>
      <c r="AH31" s="32">
        <v>1</v>
      </c>
      <c r="AI31" s="32">
        <v>1</v>
      </c>
      <c r="AJ31" s="32">
        <v>1</v>
      </c>
      <c r="AK31" s="32">
        <f t="shared" si="1"/>
        <v>1</v>
      </c>
      <c r="AL31" s="30"/>
      <c r="AM31" s="32">
        <v>1</v>
      </c>
      <c r="AN31" s="30"/>
      <c r="AO31" s="30"/>
      <c r="AP31" s="32">
        <v>1</v>
      </c>
      <c r="AQ31" s="32">
        <v>1</v>
      </c>
      <c r="AR31" s="32"/>
      <c r="AS31" s="32">
        <v>1</v>
      </c>
      <c r="AT31" s="30"/>
      <c r="AU31" s="30"/>
      <c r="AW31" s="2" t="s">
        <v>6982</v>
      </c>
      <c r="AY31" s="94" t="s">
        <v>7018</v>
      </c>
    </row>
    <row r="32" spans="1:51" ht="16.5">
      <c r="A32" s="26" t="s">
        <v>7032</v>
      </c>
      <c r="B32" s="26" t="s">
        <v>160</v>
      </c>
      <c r="C32" s="26" t="s">
        <v>73</v>
      </c>
      <c r="D32" s="26" t="s">
        <v>7033</v>
      </c>
      <c r="E32" s="124" t="s">
        <v>162</v>
      </c>
      <c r="F32" s="26" t="s">
        <v>7034</v>
      </c>
      <c r="G32" s="26" t="s">
        <v>7035</v>
      </c>
      <c r="H32" s="140" t="s">
        <v>165</v>
      </c>
      <c r="I32" s="141">
        <v>202606.4</v>
      </c>
      <c r="J32" s="121">
        <v>6.24</v>
      </c>
      <c r="K32" s="26" t="s">
        <v>73</v>
      </c>
      <c r="L32" s="26" t="s">
        <v>7036</v>
      </c>
      <c r="M32" s="38" t="s">
        <v>7037</v>
      </c>
      <c r="N32" s="27" t="s">
        <v>7038</v>
      </c>
      <c r="O32" s="26"/>
      <c r="P32" s="32">
        <v>4</v>
      </c>
      <c r="Q32" s="32">
        <v>16</v>
      </c>
      <c r="R32" s="32">
        <v>267.29000000000002</v>
      </c>
      <c r="S32" s="26" t="s">
        <v>99</v>
      </c>
      <c r="T32" s="30" t="s">
        <v>100</v>
      </c>
      <c r="U32" s="26" t="s">
        <v>101</v>
      </c>
      <c r="V32" s="38" t="s">
        <v>5716</v>
      </c>
      <c r="W32" s="26" t="s">
        <v>103</v>
      </c>
      <c r="X32" s="30" t="s">
        <v>123</v>
      </c>
      <c r="Y32" s="30" t="s">
        <v>123</v>
      </c>
      <c r="Z32" s="26" t="s">
        <v>172</v>
      </c>
      <c r="AA32" s="26" t="s">
        <v>11</v>
      </c>
      <c r="AB32" s="30" t="s">
        <v>172</v>
      </c>
      <c r="AC32" s="25" t="s">
        <v>173</v>
      </c>
      <c r="AD32" s="26" t="s">
        <v>174</v>
      </c>
      <c r="AE32" s="26" t="s">
        <v>175</v>
      </c>
      <c r="AF32" s="32">
        <f t="shared" si="0"/>
        <v>1</v>
      </c>
      <c r="AG32" s="32">
        <v>1</v>
      </c>
      <c r="AH32" s="32">
        <v>1</v>
      </c>
      <c r="AI32" s="32">
        <v>1</v>
      </c>
      <c r="AJ32" s="32">
        <v>1</v>
      </c>
      <c r="AK32" s="32">
        <f t="shared" si="1"/>
        <v>1</v>
      </c>
      <c r="AL32" s="30"/>
      <c r="AM32" s="32">
        <v>1</v>
      </c>
      <c r="AN32" s="30"/>
      <c r="AO32" s="30"/>
      <c r="AP32" s="32">
        <v>1</v>
      </c>
      <c r="AQ32" s="32">
        <v>1</v>
      </c>
      <c r="AR32" s="32"/>
      <c r="AS32" s="32">
        <v>1</v>
      </c>
      <c r="AT32" s="30"/>
      <c r="AU32" s="30"/>
      <c r="AW32" s="2" t="s">
        <v>6975</v>
      </c>
      <c r="AY32" s="94" t="s">
        <v>7039</v>
      </c>
    </row>
    <row r="33" spans="1:51" ht="16.5">
      <c r="A33" s="26" t="s">
        <v>7040</v>
      </c>
      <c r="B33" s="26" t="s">
        <v>160</v>
      </c>
      <c r="C33" s="26" t="s">
        <v>73</v>
      </c>
      <c r="D33" s="26" t="s">
        <v>7039</v>
      </c>
      <c r="E33" s="124" t="s">
        <v>162</v>
      </c>
      <c r="F33" s="26" t="s">
        <v>7041</v>
      </c>
      <c r="G33" s="26" t="s">
        <v>7042</v>
      </c>
      <c r="H33" s="140" t="s">
        <v>165</v>
      </c>
      <c r="I33" s="141">
        <v>202606.4</v>
      </c>
      <c r="J33" s="121">
        <v>6.24</v>
      </c>
      <c r="K33" s="26" t="s">
        <v>73</v>
      </c>
      <c r="L33" s="26" t="s">
        <v>7043</v>
      </c>
      <c r="M33" s="38" t="s">
        <v>7044</v>
      </c>
      <c r="N33" s="27" t="s">
        <v>7045</v>
      </c>
      <c r="O33" s="26"/>
      <c r="P33" s="32">
        <v>4</v>
      </c>
      <c r="Q33" s="32">
        <v>16</v>
      </c>
      <c r="R33" s="32">
        <v>267.11</v>
      </c>
      <c r="S33" s="26" t="s">
        <v>99</v>
      </c>
      <c r="T33" s="30" t="s">
        <v>100</v>
      </c>
      <c r="U33" s="26" t="s">
        <v>101</v>
      </c>
      <c r="V33" s="38" t="s">
        <v>5716</v>
      </c>
      <c r="W33" s="26" t="s">
        <v>103</v>
      </c>
      <c r="X33" s="30" t="s">
        <v>123</v>
      </c>
      <c r="Y33" s="30" t="s">
        <v>123</v>
      </c>
      <c r="Z33" s="26" t="s">
        <v>172</v>
      </c>
      <c r="AA33" s="26" t="s">
        <v>11</v>
      </c>
      <c r="AB33" s="30" t="s">
        <v>172</v>
      </c>
      <c r="AC33" s="25" t="s">
        <v>173</v>
      </c>
      <c r="AD33" s="26" t="s">
        <v>174</v>
      </c>
      <c r="AE33" s="26" t="s">
        <v>175</v>
      </c>
      <c r="AF33" s="32">
        <f t="shared" si="0"/>
        <v>1</v>
      </c>
      <c r="AG33" s="32">
        <v>1</v>
      </c>
      <c r="AH33" s="32">
        <v>1</v>
      </c>
      <c r="AI33" s="32">
        <v>1</v>
      </c>
      <c r="AJ33" s="32">
        <v>1</v>
      </c>
      <c r="AK33" s="32">
        <f t="shared" si="1"/>
        <v>1</v>
      </c>
      <c r="AL33" s="30"/>
      <c r="AM33" s="32">
        <v>1</v>
      </c>
      <c r="AN33" s="30"/>
      <c r="AO33" s="30"/>
      <c r="AP33" s="32">
        <v>1</v>
      </c>
      <c r="AQ33" s="32">
        <v>1</v>
      </c>
      <c r="AR33" s="32"/>
      <c r="AS33" s="32">
        <v>1</v>
      </c>
      <c r="AT33" s="30"/>
      <c r="AU33" s="30"/>
      <c r="AW33" s="2" t="s">
        <v>7021</v>
      </c>
      <c r="AY33" s="94" t="s">
        <v>7033</v>
      </c>
    </row>
    <row r="34" spans="1:51" ht="16.5">
      <c r="A34" s="26" t="s">
        <v>7046</v>
      </c>
      <c r="B34" s="26" t="s">
        <v>160</v>
      </c>
      <c r="C34" s="26" t="s">
        <v>73</v>
      </c>
      <c r="D34" s="26" t="s">
        <v>7008</v>
      </c>
      <c r="E34" s="124" t="s">
        <v>499</v>
      </c>
      <c r="F34" s="26" t="s">
        <v>7047</v>
      </c>
      <c r="G34" s="26" t="s">
        <v>7048</v>
      </c>
      <c r="H34" s="140" t="s">
        <v>165</v>
      </c>
      <c r="I34" s="141">
        <v>202606.4</v>
      </c>
      <c r="J34" s="121">
        <v>6.24</v>
      </c>
      <c r="K34" s="26" t="s">
        <v>73</v>
      </c>
      <c r="L34" s="26" t="s">
        <v>7024</v>
      </c>
      <c r="M34" s="38" t="s">
        <v>7049</v>
      </c>
      <c r="N34" s="27" t="s">
        <v>7050</v>
      </c>
      <c r="O34" s="26"/>
      <c r="P34" s="32">
        <v>2</v>
      </c>
      <c r="Q34" s="32">
        <v>8</v>
      </c>
      <c r="R34" s="32">
        <v>258.11</v>
      </c>
      <c r="S34" s="26" t="s">
        <v>99</v>
      </c>
      <c r="T34" s="30" t="s">
        <v>100</v>
      </c>
      <c r="U34" s="26" t="s">
        <v>101</v>
      </c>
      <c r="V34" s="38" t="s">
        <v>5716</v>
      </c>
      <c r="W34" s="26" t="s">
        <v>103</v>
      </c>
      <c r="X34" s="30" t="s">
        <v>123</v>
      </c>
      <c r="Y34" s="30" t="s">
        <v>123</v>
      </c>
      <c r="Z34" s="26" t="s">
        <v>172</v>
      </c>
      <c r="AA34" s="26" t="s">
        <v>11</v>
      </c>
      <c r="AB34" s="30" t="s">
        <v>172</v>
      </c>
      <c r="AC34" s="25" t="s">
        <v>173</v>
      </c>
      <c r="AD34" s="26" t="s">
        <v>174</v>
      </c>
      <c r="AE34" s="26" t="s">
        <v>175</v>
      </c>
      <c r="AF34" s="32">
        <f t="shared" si="0"/>
        <v>1</v>
      </c>
      <c r="AG34" s="32">
        <v>1</v>
      </c>
      <c r="AH34" s="32">
        <v>1</v>
      </c>
      <c r="AI34" s="32">
        <v>1</v>
      </c>
      <c r="AJ34" s="32">
        <v>1</v>
      </c>
      <c r="AK34" s="32">
        <f t="shared" si="1"/>
        <v>1</v>
      </c>
      <c r="AL34" s="30"/>
      <c r="AM34" s="32">
        <v>1</v>
      </c>
      <c r="AN34" s="30"/>
      <c r="AO34" s="30"/>
      <c r="AP34" s="32">
        <v>1</v>
      </c>
      <c r="AQ34" s="32">
        <v>1</v>
      </c>
      <c r="AR34" s="25" t="s">
        <v>6985</v>
      </c>
      <c r="AS34" s="32">
        <v>1</v>
      </c>
      <c r="AT34" s="30"/>
      <c r="AU34" s="30"/>
      <c r="AW34" s="2" t="s">
        <v>7043</v>
      </c>
      <c r="AY34" s="94" t="s">
        <v>7026</v>
      </c>
    </row>
    <row r="35" spans="1:51" ht="16.5">
      <c r="A35" s="26" t="s">
        <v>7051</v>
      </c>
      <c r="B35" s="26" t="s">
        <v>160</v>
      </c>
      <c r="C35" s="26" t="s">
        <v>73</v>
      </c>
      <c r="D35" s="26" t="s">
        <v>7000</v>
      </c>
      <c r="E35" s="124" t="s">
        <v>499</v>
      </c>
      <c r="F35" s="26" t="s">
        <v>7052</v>
      </c>
      <c r="G35" s="26" t="s">
        <v>7053</v>
      </c>
      <c r="H35" s="140" t="s">
        <v>165</v>
      </c>
      <c r="I35" s="141">
        <v>202606.4</v>
      </c>
      <c r="J35" s="121">
        <v>6.24</v>
      </c>
      <c r="K35" s="26" t="s">
        <v>73</v>
      </c>
      <c r="L35" s="26" t="s">
        <v>7016</v>
      </c>
      <c r="M35" s="38" t="s">
        <v>7054</v>
      </c>
      <c r="N35" s="27" t="s">
        <v>7055</v>
      </c>
      <c r="O35" s="26"/>
      <c r="P35" s="32">
        <v>2</v>
      </c>
      <c r="Q35" s="32">
        <v>8</v>
      </c>
      <c r="R35" s="32">
        <v>259.31</v>
      </c>
      <c r="S35" s="26" t="s">
        <v>99</v>
      </c>
      <c r="T35" s="30" t="s">
        <v>100</v>
      </c>
      <c r="U35" s="38" t="s">
        <v>101</v>
      </c>
      <c r="V35" s="38" t="s">
        <v>5716</v>
      </c>
      <c r="W35" s="26" t="s">
        <v>103</v>
      </c>
      <c r="X35" s="30" t="s">
        <v>123</v>
      </c>
      <c r="Y35" s="30" t="s">
        <v>123</v>
      </c>
      <c r="Z35" s="26" t="s">
        <v>172</v>
      </c>
      <c r="AA35" s="26" t="s">
        <v>11</v>
      </c>
      <c r="AB35" s="30" t="s">
        <v>172</v>
      </c>
      <c r="AC35" s="25" t="s">
        <v>173</v>
      </c>
      <c r="AD35" s="26" t="s">
        <v>174</v>
      </c>
      <c r="AE35" s="26" t="s">
        <v>175</v>
      </c>
      <c r="AF35" s="32">
        <f t="shared" ref="AF35:AF66" si="2">IF(COUNTIF(AY:AY,D35)&gt;0,1,0)</f>
        <v>1</v>
      </c>
      <c r="AG35" s="32">
        <v>1</v>
      </c>
      <c r="AH35" s="32">
        <v>1</v>
      </c>
      <c r="AI35" s="32">
        <v>1</v>
      </c>
      <c r="AJ35" s="32">
        <v>1</v>
      </c>
      <c r="AK35" s="32">
        <f t="shared" ref="AK35:AK66" si="3">IF(COUNTIF(AW:AW,"*"&amp;L35&amp;"*")&gt;0,1,0)</f>
        <v>1</v>
      </c>
      <c r="AL35" s="30"/>
      <c r="AM35" s="32">
        <v>1</v>
      </c>
      <c r="AN35" s="30"/>
      <c r="AO35" s="30"/>
      <c r="AP35" s="32">
        <v>1</v>
      </c>
      <c r="AQ35" s="32">
        <v>1</v>
      </c>
      <c r="AR35" s="32"/>
      <c r="AS35" s="32">
        <v>1</v>
      </c>
      <c r="AT35" s="30"/>
      <c r="AU35" s="30"/>
      <c r="AW35" s="2" t="s">
        <v>7036</v>
      </c>
      <c r="AY35" s="94" t="s">
        <v>7010</v>
      </c>
    </row>
    <row r="36" spans="1:51" ht="16.5">
      <c r="A36" s="26" t="s">
        <v>7056</v>
      </c>
      <c r="B36" s="26" t="s">
        <v>160</v>
      </c>
      <c r="C36" s="26" t="s">
        <v>73</v>
      </c>
      <c r="D36" s="26" t="s">
        <v>7057</v>
      </c>
      <c r="E36" s="124" t="s">
        <v>162</v>
      </c>
      <c r="F36" s="26" t="s">
        <v>7058</v>
      </c>
      <c r="G36" s="26" t="s">
        <v>7059</v>
      </c>
      <c r="H36" s="140" t="s">
        <v>2050</v>
      </c>
      <c r="I36" s="141">
        <v>202606.4</v>
      </c>
      <c r="J36" s="121">
        <v>6.24</v>
      </c>
      <c r="K36" s="26" t="s">
        <v>73</v>
      </c>
      <c r="L36" s="26" t="s">
        <v>7060</v>
      </c>
      <c r="M36" s="38" t="s">
        <v>7061</v>
      </c>
      <c r="N36" s="27" t="s">
        <v>7062</v>
      </c>
      <c r="O36" s="26"/>
      <c r="P36" s="32">
        <v>4</v>
      </c>
      <c r="Q36" s="32">
        <v>16</v>
      </c>
      <c r="R36" s="32">
        <v>267.58</v>
      </c>
      <c r="S36" s="26" t="s">
        <v>99</v>
      </c>
      <c r="T36" s="30" t="s">
        <v>100</v>
      </c>
      <c r="U36" s="38" t="s">
        <v>101</v>
      </c>
      <c r="V36" s="38" t="s">
        <v>5951</v>
      </c>
      <c r="W36" s="26" t="s">
        <v>103</v>
      </c>
      <c r="X36" s="30" t="s">
        <v>123</v>
      </c>
      <c r="Y36" s="30" t="s">
        <v>123</v>
      </c>
      <c r="Z36" s="26" t="s">
        <v>172</v>
      </c>
      <c r="AA36" s="26" t="s">
        <v>11</v>
      </c>
      <c r="AB36" s="30" t="s">
        <v>172</v>
      </c>
      <c r="AC36" s="25" t="s">
        <v>173</v>
      </c>
      <c r="AD36" s="26" t="s">
        <v>174</v>
      </c>
      <c r="AE36" s="26" t="s">
        <v>175</v>
      </c>
      <c r="AF36" s="32">
        <f t="shared" si="2"/>
        <v>1</v>
      </c>
      <c r="AG36" s="32">
        <v>1</v>
      </c>
      <c r="AH36" s="32">
        <v>1</v>
      </c>
      <c r="AI36" s="32">
        <v>1</v>
      </c>
      <c r="AJ36" s="32">
        <v>1</v>
      </c>
      <c r="AK36" s="32">
        <f t="shared" si="3"/>
        <v>1</v>
      </c>
      <c r="AL36" s="30"/>
      <c r="AM36" s="32">
        <v>1</v>
      </c>
      <c r="AN36" s="30"/>
      <c r="AO36" s="30"/>
      <c r="AP36" s="32">
        <v>1</v>
      </c>
      <c r="AQ36" s="32">
        <v>1</v>
      </c>
      <c r="AR36" s="25" t="s">
        <v>6985</v>
      </c>
      <c r="AS36" s="32">
        <v>1</v>
      </c>
      <c r="AT36" s="30"/>
      <c r="AU36" s="30"/>
      <c r="AW36" s="2" t="s">
        <v>7029</v>
      </c>
      <c r="AY36" s="94" t="s">
        <v>7057</v>
      </c>
    </row>
    <row r="37" spans="1:51" ht="16.5">
      <c r="A37" s="26" t="s">
        <v>7063</v>
      </c>
      <c r="B37" s="26" t="s">
        <v>160</v>
      </c>
      <c r="C37" s="26" t="s">
        <v>73</v>
      </c>
      <c r="D37" s="26" t="s">
        <v>7064</v>
      </c>
      <c r="E37" s="124" t="s">
        <v>499</v>
      </c>
      <c r="F37" s="26" t="s">
        <v>7063</v>
      </c>
      <c r="G37" s="26" t="s">
        <v>7065</v>
      </c>
      <c r="H37" s="140" t="s">
        <v>165</v>
      </c>
      <c r="I37" s="141">
        <v>202606.4</v>
      </c>
      <c r="J37" s="121">
        <v>6.24</v>
      </c>
      <c r="K37" s="26" t="s">
        <v>73</v>
      </c>
      <c r="L37" s="26" t="s">
        <v>7066</v>
      </c>
      <c r="M37" s="38" t="s">
        <v>7067</v>
      </c>
      <c r="N37" s="27" t="s">
        <v>7068</v>
      </c>
      <c r="O37" s="26"/>
      <c r="P37" s="32">
        <v>2</v>
      </c>
      <c r="Q37" s="32">
        <v>8</v>
      </c>
      <c r="R37" s="32">
        <v>260.55</v>
      </c>
      <c r="S37" s="26" t="s">
        <v>99</v>
      </c>
      <c r="T37" s="30" t="s">
        <v>100</v>
      </c>
      <c r="U37" s="38" t="s">
        <v>101</v>
      </c>
      <c r="V37" s="38" t="s">
        <v>5951</v>
      </c>
      <c r="W37" s="26" t="s">
        <v>103</v>
      </c>
      <c r="X37" s="30" t="s">
        <v>123</v>
      </c>
      <c r="Y37" s="30" t="s">
        <v>123</v>
      </c>
      <c r="Z37" s="26" t="s">
        <v>172</v>
      </c>
      <c r="AA37" s="26" t="s">
        <v>11</v>
      </c>
      <c r="AB37" s="30" t="s">
        <v>172</v>
      </c>
      <c r="AC37" s="25" t="s">
        <v>173</v>
      </c>
      <c r="AD37" s="26" t="s">
        <v>174</v>
      </c>
      <c r="AE37" s="26" t="s">
        <v>175</v>
      </c>
      <c r="AF37" s="32">
        <f t="shared" si="2"/>
        <v>1</v>
      </c>
      <c r="AG37" s="32">
        <v>1</v>
      </c>
      <c r="AH37" s="32">
        <v>1</v>
      </c>
      <c r="AI37" s="32">
        <v>1</v>
      </c>
      <c r="AJ37" s="32">
        <v>1</v>
      </c>
      <c r="AK37" s="32">
        <f t="shared" si="3"/>
        <v>1</v>
      </c>
      <c r="AL37" s="30"/>
      <c r="AM37" s="32">
        <v>1</v>
      </c>
      <c r="AN37" s="30"/>
      <c r="AO37" s="30"/>
      <c r="AP37" s="32">
        <v>1</v>
      </c>
      <c r="AQ37" s="32">
        <v>1</v>
      </c>
      <c r="AR37" s="25" t="s">
        <v>6985</v>
      </c>
      <c r="AS37" s="32">
        <v>1</v>
      </c>
      <c r="AT37" s="30"/>
      <c r="AU37" s="30"/>
      <c r="AW37" s="2" t="s">
        <v>7013</v>
      </c>
      <c r="AY37" s="94" t="s">
        <v>6965</v>
      </c>
    </row>
    <row r="38" spans="1:51" ht="16.5">
      <c r="A38" s="26" t="s">
        <v>7069</v>
      </c>
      <c r="B38" s="26" t="s">
        <v>4383</v>
      </c>
      <c r="C38" s="26" t="s">
        <v>73</v>
      </c>
      <c r="D38" s="26" t="s">
        <v>7070</v>
      </c>
      <c r="E38" s="124" t="s">
        <v>162</v>
      </c>
      <c r="F38" s="26" t="s">
        <v>7071</v>
      </c>
      <c r="G38" s="26" t="s">
        <v>7072</v>
      </c>
      <c r="H38" s="140" t="s">
        <v>165</v>
      </c>
      <c r="I38" s="141">
        <v>202606.4</v>
      </c>
      <c r="J38" s="121">
        <v>6.24</v>
      </c>
      <c r="K38" s="26" t="s">
        <v>73</v>
      </c>
      <c r="L38" s="26" t="s">
        <v>7073</v>
      </c>
      <c r="M38" s="26" t="s">
        <v>109</v>
      </c>
      <c r="N38" s="27" t="s">
        <v>7074</v>
      </c>
      <c r="O38" s="26"/>
      <c r="P38" s="32">
        <v>4</v>
      </c>
      <c r="Q38" s="32">
        <v>16</v>
      </c>
      <c r="R38" s="32">
        <v>267.06</v>
      </c>
      <c r="S38" s="26" t="s">
        <v>99</v>
      </c>
      <c r="T38" s="30" t="s">
        <v>100</v>
      </c>
      <c r="U38" s="38" t="s">
        <v>115</v>
      </c>
      <c r="V38" s="38" t="s">
        <v>5951</v>
      </c>
      <c r="W38" s="26" t="s">
        <v>112</v>
      </c>
      <c r="X38" s="26" t="s">
        <v>7075</v>
      </c>
      <c r="Y38" s="26" t="s">
        <v>7075</v>
      </c>
      <c r="Z38" s="26" t="s">
        <v>172</v>
      </c>
      <c r="AA38" s="26" t="s">
        <v>13</v>
      </c>
      <c r="AB38" s="30" t="s">
        <v>172</v>
      </c>
      <c r="AC38" s="25" t="s">
        <v>173</v>
      </c>
      <c r="AD38" s="26" t="s">
        <v>174</v>
      </c>
      <c r="AE38" s="26" t="s">
        <v>175</v>
      </c>
      <c r="AF38" s="32">
        <f t="shared" si="2"/>
        <v>1</v>
      </c>
      <c r="AG38" s="32">
        <v>1</v>
      </c>
      <c r="AH38" s="32">
        <v>1</v>
      </c>
      <c r="AI38" s="32">
        <v>1</v>
      </c>
      <c r="AJ38" s="32"/>
      <c r="AK38" s="32">
        <f t="shared" si="3"/>
        <v>1</v>
      </c>
      <c r="AL38" s="30"/>
      <c r="AM38" s="32">
        <v>1</v>
      </c>
      <c r="AN38" s="30"/>
      <c r="AO38" s="30"/>
      <c r="AP38" s="32">
        <v>1</v>
      </c>
      <c r="AQ38" s="32">
        <v>1</v>
      </c>
      <c r="AR38" s="32"/>
      <c r="AS38" s="32">
        <v>1</v>
      </c>
      <c r="AT38" s="30"/>
      <c r="AU38" s="30"/>
      <c r="AW38" s="2" t="s">
        <v>7060</v>
      </c>
      <c r="AY38" s="94" t="s">
        <v>7002</v>
      </c>
    </row>
    <row r="39" spans="1:51" ht="16.5">
      <c r="A39" s="26" t="s">
        <v>7076</v>
      </c>
      <c r="B39" s="26" t="s">
        <v>4383</v>
      </c>
      <c r="C39" s="26" t="s">
        <v>73</v>
      </c>
      <c r="D39" s="26" t="s">
        <v>7077</v>
      </c>
      <c r="E39" s="124" t="s">
        <v>162</v>
      </c>
      <c r="F39" s="26" t="s">
        <v>7078</v>
      </c>
      <c r="G39" s="26" t="s">
        <v>7079</v>
      </c>
      <c r="H39" s="140" t="s">
        <v>165</v>
      </c>
      <c r="I39" s="141">
        <v>202606.4</v>
      </c>
      <c r="J39" s="121">
        <v>6.24</v>
      </c>
      <c r="K39" s="26" t="s">
        <v>73</v>
      </c>
      <c r="L39" s="26" t="s">
        <v>7080</v>
      </c>
      <c r="M39" s="38" t="s">
        <v>7081</v>
      </c>
      <c r="N39" s="27" t="s">
        <v>7082</v>
      </c>
      <c r="O39" s="26"/>
      <c r="P39" s="32">
        <v>4</v>
      </c>
      <c r="Q39" s="32">
        <v>16</v>
      </c>
      <c r="R39" s="32">
        <v>266.75</v>
      </c>
      <c r="S39" s="26" t="s">
        <v>99</v>
      </c>
      <c r="T39" s="30" t="s">
        <v>100</v>
      </c>
      <c r="U39" s="38" t="s">
        <v>115</v>
      </c>
      <c r="V39" s="38" t="s">
        <v>5951</v>
      </c>
      <c r="W39" s="26" t="s">
        <v>112</v>
      </c>
      <c r="X39" s="26" t="s">
        <v>7075</v>
      </c>
      <c r="Y39" s="26" t="s">
        <v>7075</v>
      </c>
      <c r="Z39" s="26" t="s">
        <v>172</v>
      </c>
      <c r="AA39" s="26" t="s">
        <v>13</v>
      </c>
      <c r="AB39" s="30" t="s">
        <v>172</v>
      </c>
      <c r="AC39" s="25" t="s">
        <v>173</v>
      </c>
      <c r="AD39" s="26" t="s">
        <v>174</v>
      </c>
      <c r="AE39" s="26" t="s">
        <v>175</v>
      </c>
      <c r="AF39" s="32">
        <f t="shared" si="2"/>
        <v>1</v>
      </c>
      <c r="AG39" s="32">
        <v>1</v>
      </c>
      <c r="AH39" s="32">
        <v>1</v>
      </c>
      <c r="AI39" s="32">
        <v>1</v>
      </c>
      <c r="AJ39" s="32"/>
      <c r="AK39" s="32">
        <f t="shared" si="3"/>
        <v>1</v>
      </c>
      <c r="AL39" s="30"/>
      <c r="AM39" s="32">
        <v>1</v>
      </c>
      <c r="AN39" s="30"/>
      <c r="AO39" s="30"/>
      <c r="AP39" s="32">
        <v>1</v>
      </c>
      <c r="AQ39" s="32">
        <v>1</v>
      </c>
      <c r="AR39" s="32"/>
      <c r="AS39" s="32">
        <v>1</v>
      </c>
      <c r="AT39" s="30"/>
      <c r="AU39" s="30"/>
      <c r="AW39" s="2" t="s">
        <v>6968</v>
      </c>
      <c r="AY39" s="94" t="s">
        <v>6987</v>
      </c>
    </row>
    <row r="40" spans="1:51" ht="16.5">
      <c r="A40" s="26" t="s">
        <v>7083</v>
      </c>
      <c r="B40" s="26" t="s">
        <v>4383</v>
      </c>
      <c r="C40" s="26" t="s">
        <v>73</v>
      </c>
      <c r="D40" s="26" t="s">
        <v>7084</v>
      </c>
      <c r="E40" s="124" t="s">
        <v>162</v>
      </c>
      <c r="F40" s="26" t="s">
        <v>7085</v>
      </c>
      <c r="G40" s="26" t="s">
        <v>7086</v>
      </c>
      <c r="H40" s="140" t="s">
        <v>165</v>
      </c>
      <c r="I40" s="141">
        <v>202606.4</v>
      </c>
      <c r="J40" s="121">
        <v>6.24</v>
      </c>
      <c r="K40" s="26" t="s">
        <v>73</v>
      </c>
      <c r="L40" s="26" t="s">
        <v>7087</v>
      </c>
      <c r="M40" s="38" t="s">
        <v>7088</v>
      </c>
      <c r="N40" s="27" t="s">
        <v>7089</v>
      </c>
      <c r="O40" s="26"/>
      <c r="P40" s="32">
        <v>4</v>
      </c>
      <c r="Q40" s="32">
        <v>16</v>
      </c>
      <c r="R40" s="32">
        <v>266.24</v>
      </c>
      <c r="S40" s="26" t="s">
        <v>99</v>
      </c>
      <c r="T40" s="30" t="s">
        <v>100</v>
      </c>
      <c r="U40" s="38" t="s">
        <v>115</v>
      </c>
      <c r="V40" s="38" t="s">
        <v>5951</v>
      </c>
      <c r="W40" s="26" t="s">
        <v>112</v>
      </c>
      <c r="X40" s="26" t="s">
        <v>7075</v>
      </c>
      <c r="Y40" s="26" t="s">
        <v>7075</v>
      </c>
      <c r="Z40" s="26" t="s">
        <v>172</v>
      </c>
      <c r="AA40" s="26" t="s">
        <v>13</v>
      </c>
      <c r="AB40" s="30" t="s">
        <v>172</v>
      </c>
      <c r="AC40" s="25" t="s">
        <v>173</v>
      </c>
      <c r="AD40" s="26" t="s">
        <v>174</v>
      </c>
      <c r="AE40" s="26" t="s">
        <v>175</v>
      </c>
      <c r="AF40" s="32">
        <f t="shared" si="2"/>
        <v>1</v>
      </c>
      <c r="AG40" s="32">
        <v>1</v>
      </c>
      <c r="AH40" s="32">
        <v>1</v>
      </c>
      <c r="AI40" s="32">
        <v>1</v>
      </c>
      <c r="AJ40" s="32"/>
      <c r="AK40" s="32">
        <f t="shared" si="3"/>
        <v>1</v>
      </c>
      <c r="AL40" s="30"/>
      <c r="AM40" s="32">
        <v>1</v>
      </c>
      <c r="AN40" s="30"/>
      <c r="AO40" s="30"/>
      <c r="AP40" s="32">
        <v>1</v>
      </c>
      <c r="AQ40" s="32">
        <v>1</v>
      </c>
      <c r="AR40" s="32"/>
      <c r="AS40" s="32">
        <v>1</v>
      </c>
      <c r="AT40" s="30" t="s">
        <v>7090</v>
      </c>
      <c r="AU40" s="30"/>
      <c r="AW40" s="2" t="s">
        <v>7005</v>
      </c>
      <c r="AY40" s="94" t="s">
        <v>5488</v>
      </c>
    </row>
    <row r="41" spans="1:51" ht="16.5">
      <c r="A41" s="26" t="s">
        <v>7091</v>
      </c>
      <c r="B41" s="26" t="s">
        <v>4383</v>
      </c>
      <c r="C41" s="26" t="s">
        <v>73</v>
      </c>
      <c r="D41" s="26" t="s">
        <v>7092</v>
      </c>
      <c r="E41" s="124" t="s">
        <v>162</v>
      </c>
      <c r="F41" s="26" t="s">
        <v>7093</v>
      </c>
      <c r="G41" s="26" t="s">
        <v>7094</v>
      </c>
      <c r="H41" s="140" t="s">
        <v>165</v>
      </c>
      <c r="I41" s="141">
        <v>202606.4</v>
      </c>
      <c r="J41" s="121">
        <v>6.24</v>
      </c>
      <c r="K41" s="26" t="s">
        <v>73</v>
      </c>
      <c r="L41" s="26" t="s">
        <v>7095</v>
      </c>
      <c r="M41" s="38" t="s">
        <v>7096</v>
      </c>
      <c r="N41" s="27" t="s">
        <v>7097</v>
      </c>
      <c r="O41" s="26"/>
      <c r="P41" s="32">
        <v>4</v>
      </c>
      <c r="Q41" s="32">
        <v>16</v>
      </c>
      <c r="R41" s="32">
        <v>266.41000000000003</v>
      </c>
      <c r="S41" s="26" t="s">
        <v>99</v>
      </c>
      <c r="T41" s="30" t="s">
        <v>100</v>
      </c>
      <c r="U41" s="38" t="s">
        <v>115</v>
      </c>
      <c r="V41" s="38" t="s">
        <v>5951</v>
      </c>
      <c r="W41" s="26" t="s">
        <v>112</v>
      </c>
      <c r="X41" s="26" t="s">
        <v>7075</v>
      </c>
      <c r="Y41" s="26" t="s">
        <v>7075</v>
      </c>
      <c r="Z41" s="26" t="s">
        <v>172</v>
      </c>
      <c r="AA41" s="26" t="s">
        <v>13</v>
      </c>
      <c r="AB41" s="30" t="s">
        <v>172</v>
      </c>
      <c r="AC41" s="25" t="s">
        <v>173</v>
      </c>
      <c r="AD41" s="26" t="s">
        <v>174</v>
      </c>
      <c r="AE41" s="26" t="s">
        <v>175</v>
      </c>
      <c r="AF41" s="32">
        <f t="shared" si="2"/>
        <v>1</v>
      </c>
      <c r="AG41" s="32">
        <v>1</v>
      </c>
      <c r="AH41" s="32">
        <v>1</v>
      </c>
      <c r="AI41" s="32">
        <v>1</v>
      </c>
      <c r="AJ41" s="32"/>
      <c r="AK41" s="32">
        <f t="shared" si="3"/>
        <v>1</v>
      </c>
      <c r="AL41" s="30"/>
      <c r="AM41" s="25" t="s">
        <v>6895</v>
      </c>
      <c r="AN41" s="30"/>
      <c r="AO41" s="30"/>
      <c r="AP41" s="32">
        <v>1</v>
      </c>
      <c r="AQ41" s="32">
        <v>1</v>
      </c>
      <c r="AR41" s="32"/>
      <c r="AS41" s="32">
        <v>1</v>
      </c>
      <c r="AT41" s="30"/>
      <c r="AU41" s="30"/>
      <c r="AW41" s="2" t="s">
        <v>7066</v>
      </c>
      <c r="AY41" s="94" t="s">
        <v>7064</v>
      </c>
    </row>
    <row r="42" spans="1:51" ht="16.5">
      <c r="A42" s="26" t="s">
        <v>7098</v>
      </c>
      <c r="B42" s="26" t="s">
        <v>4383</v>
      </c>
      <c r="C42" s="26" t="s">
        <v>73</v>
      </c>
      <c r="D42" s="26" t="s">
        <v>7099</v>
      </c>
      <c r="E42" s="124" t="s">
        <v>162</v>
      </c>
      <c r="F42" s="26" t="s">
        <v>7100</v>
      </c>
      <c r="G42" s="26" t="s">
        <v>7101</v>
      </c>
      <c r="H42" s="140" t="s">
        <v>165</v>
      </c>
      <c r="I42" s="141">
        <v>202606.4</v>
      </c>
      <c r="J42" s="121">
        <v>6.24</v>
      </c>
      <c r="K42" s="26" t="s">
        <v>73</v>
      </c>
      <c r="L42" s="26" t="s">
        <v>7102</v>
      </c>
      <c r="M42" s="38" t="s">
        <v>7103</v>
      </c>
      <c r="N42" s="27" t="s">
        <v>7104</v>
      </c>
      <c r="O42" s="26"/>
      <c r="P42" s="32">
        <v>4</v>
      </c>
      <c r="Q42" s="32">
        <v>16</v>
      </c>
      <c r="R42" s="32">
        <v>266.75</v>
      </c>
      <c r="S42" s="26" t="s">
        <v>99</v>
      </c>
      <c r="T42" s="30" t="s">
        <v>100</v>
      </c>
      <c r="U42" s="38" t="s">
        <v>115</v>
      </c>
      <c r="V42" s="38" t="s">
        <v>5951</v>
      </c>
      <c r="W42" s="26" t="s">
        <v>112</v>
      </c>
      <c r="X42" s="26" t="s">
        <v>7075</v>
      </c>
      <c r="Y42" s="26" t="s">
        <v>7075</v>
      </c>
      <c r="Z42" s="26" t="s">
        <v>172</v>
      </c>
      <c r="AA42" s="26" t="s">
        <v>13</v>
      </c>
      <c r="AB42" s="30" t="s">
        <v>172</v>
      </c>
      <c r="AC42" s="25" t="s">
        <v>173</v>
      </c>
      <c r="AD42" s="26" t="s">
        <v>174</v>
      </c>
      <c r="AE42" s="26" t="s">
        <v>175</v>
      </c>
      <c r="AF42" s="32">
        <f t="shared" si="2"/>
        <v>1</v>
      </c>
      <c r="AG42" s="32">
        <v>1</v>
      </c>
      <c r="AH42" s="32">
        <v>1</v>
      </c>
      <c r="AI42" s="32">
        <v>1</v>
      </c>
      <c r="AJ42" s="32"/>
      <c r="AK42" s="32">
        <f t="shared" si="3"/>
        <v>1</v>
      </c>
      <c r="AL42" s="30"/>
      <c r="AM42" s="32">
        <v>1</v>
      </c>
      <c r="AN42" s="30"/>
      <c r="AO42" s="30"/>
      <c r="AP42" s="32">
        <v>1</v>
      </c>
      <c r="AQ42" s="32">
        <v>1</v>
      </c>
      <c r="AR42" s="32"/>
      <c r="AS42" s="32">
        <v>1</v>
      </c>
      <c r="AT42" s="30"/>
      <c r="AU42" s="30"/>
      <c r="AW42" s="2" t="s">
        <v>6990</v>
      </c>
      <c r="AY42" s="94" t="s">
        <v>5619</v>
      </c>
    </row>
    <row r="43" spans="1:51" ht="16.5">
      <c r="A43" s="26" t="s">
        <v>7105</v>
      </c>
      <c r="B43" s="26" t="s">
        <v>4383</v>
      </c>
      <c r="C43" s="26" t="s">
        <v>73</v>
      </c>
      <c r="D43" s="26" t="s">
        <v>7106</v>
      </c>
      <c r="E43" s="124" t="s">
        <v>162</v>
      </c>
      <c r="F43" s="26" t="s">
        <v>7107</v>
      </c>
      <c r="G43" s="26" t="s">
        <v>7108</v>
      </c>
      <c r="H43" s="140" t="s">
        <v>165</v>
      </c>
      <c r="I43" s="141">
        <v>202606.4</v>
      </c>
      <c r="J43" s="121">
        <v>6.24</v>
      </c>
      <c r="K43" s="26" t="s">
        <v>73</v>
      </c>
      <c r="L43" s="26" t="s">
        <v>7109</v>
      </c>
      <c r="M43" s="26" t="s">
        <v>7110</v>
      </c>
      <c r="N43" s="27" t="s">
        <v>7111</v>
      </c>
      <c r="O43" s="26"/>
      <c r="P43" s="32">
        <v>4</v>
      </c>
      <c r="Q43" s="32">
        <v>16</v>
      </c>
      <c r="R43" s="32">
        <v>268.38</v>
      </c>
      <c r="S43" s="26" t="s">
        <v>99</v>
      </c>
      <c r="T43" s="30" t="s">
        <v>100</v>
      </c>
      <c r="U43" s="38" t="s">
        <v>115</v>
      </c>
      <c r="V43" s="38" t="s">
        <v>5951</v>
      </c>
      <c r="W43" s="26" t="s">
        <v>112</v>
      </c>
      <c r="X43" s="26" t="s">
        <v>7075</v>
      </c>
      <c r="Y43" s="26" t="s">
        <v>7075</v>
      </c>
      <c r="Z43" s="26" t="s">
        <v>172</v>
      </c>
      <c r="AA43" s="26" t="s">
        <v>13</v>
      </c>
      <c r="AB43" s="30" t="s">
        <v>172</v>
      </c>
      <c r="AC43" s="25" t="s">
        <v>173</v>
      </c>
      <c r="AD43" s="26" t="s">
        <v>174</v>
      </c>
      <c r="AE43" s="26" t="s">
        <v>175</v>
      </c>
      <c r="AF43" s="32">
        <f t="shared" si="2"/>
        <v>1</v>
      </c>
      <c r="AG43" s="32">
        <v>1</v>
      </c>
      <c r="AH43" s="32">
        <v>1</v>
      </c>
      <c r="AI43" s="32">
        <v>1</v>
      </c>
      <c r="AJ43" s="32"/>
      <c r="AK43" s="32">
        <f t="shared" si="3"/>
        <v>1</v>
      </c>
      <c r="AL43" s="30"/>
      <c r="AM43" s="32">
        <v>1</v>
      </c>
      <c r="AN43" s="30"/>
      <c r="AO43" s="30"/>
      <c r="AP43" s="32">
        <v>1</v>
      </c>
      <c r="AQ43" s="32">
        <v>1</v>
      </c>
      <c r="AR43" s="32"/>
      <c r="AS43" s="32">
        <v>1</v>
      </c>
      <c r="AT43" s="30"/>
      <c r="AU43" s="30"/>
      <c r="AW43" s="2" t="s">
        <v>7112</v>
      </c>
      <c r="AY43" s="75" t="s">
        <v>7113</v>
      </c>
    </row>
    <row r="44" spans="1:51" ht="16.5">
      <c r="A44" s="26" t="s">
        <v>7114</v>
      </c>
      <c r="B44" s="26" t="s">
        <v>4383</v>
      </c>
      <c r="C44" s="26" t="s">
        <v>73</v>
      </c>
      <c r="D44" s="26" t="s">
        <v>7115</v>
      </c>
      <c r="E44" s="124" t="s">
        <v>162</v>
      </c>
      <c r="F44" s="26" t="s">
        <v>7116</v>
      </c>
      <c r="G44" s="26" t="s">
        <v>7117</v>
      </c>
      <c r="H44" s="140" t="s">
        <v>165</v>
      </c>
      <c r="I44" s="141">
        <v>202606.4</v>
      </c>
      <c r="J44" s="121">
        <v>6.24</v>
      </c>
      <c r="K44" s="26" t="s">
        <v>73</v>
      </c>
      <c r="L44" s="26" t="s">
        <v>7118</v>
      </c>
      <c r="M44" s="26" t="s">
        <v>7119</v>
      </c>
      <c r="N44" s="27" t="s">
        <v>7120</v>
      </c>
      <c r="O44" s="26"/>
      <c r="P44" s="32">
        <v>4</v>
      </c>
      <c r="Q44" s="32">
        <v>16</v>
      </c>
      <c r="R44" s="32">
        <v>267.89</v>
      </c>
      <c r="S44" s="26" t="s">
        <v>99</v>
      </c>
      <c r="T44" s="30" t="s">
        <v>100</v>
      </c>
      <c r="U44" s="38" t="s">
        <v>115</v>
      </c>
      <c r="V44" s="38" t="s">
        <v>5951</v>
      </c>
      <c r="W44" s="26" t="s">
        <v>112</v>
      </c>
      <c r="X44" s="26" t="s">
        <v>7075</v>
      </c>
      <c r="Y44" s="26" t="s">
        <v>7075</v>
      </c>
      <c r="Z44" s="26" t="s">
        <v>172</v>
      </c>
      <c r="AA44" s="26" t="s">
        <v>13</v>
      </c>
      <c r="AB44" s="30" t="s">
        <v>172</v>
      </c>
      <c r="AC44" s="25" t="s">
        <v>173</v>
      </c>
      <c r="AD44" s="26" t="s">
        <v>174</v>
      </c>
      <c r="AE44" s="26" t="s">
        <v>175</v>
      </c>
      <c r="AF44" s="32">
        <f t="shared" si="2"/>
        <v>1</v>
      </c>
      <c r="AG44" s="32">
        <v>1</v>
      </c>
      <c r="AH44" s="32">
        <v>1</v>
      </c>
      <c r="AI44" s="32">
        <v>1</v>
      </c>
      <c r="AJ44" s="32"/>
      <c r="AK44" s="32">
        <f t="shared" si="3"/>
        <v>1</v>
      </c>
      <c r="AL44" s="30"/>
      <c r="AM44" s="32">
        <v>1</v>
      </c>
      <c r="AN44" s="30"/>
      <c r="AO44" s="30"/>
      <c r="AP44" s="32">
        <v>1</v>
      </c>
      <c r="AQ44" s="32">
        <v>1</v>
      </c>
      <c r="AR44" s="32"/>
      <c r="AS44" s="32">
        <v>1</v>
      </c>
      <c r="AT44" s="30"/>
      <c r="AU44" s="30"/>
      <c r="AW44" s="2" t="s">
        <v>7121</v>
      </c>
      <c r="AY44" s="94" t="s">
        <v>7122</v>
      </c>
    </row>
    <row r="45" spans="1:51" ht="16.5">
      <c r="A45" s="26" t="s">
        <v>7123</v>
      </c>
      <c r="B45" s="26" t="s">
        <v>4383</v>
      </c>
      <c r="C45" s="26" t="s">
        <v>73</v>
      </c>
      <c r="D45" s="26" t="s">
        <v>7124</v>
      </c>
      <c r="E45" s="124" t="s">
        <v>162</v>
      </c>
      <c r="F45" s="26" t="s">
        <v>7125</v>
      </c>
      <c r="G45" s="26" t="s">
        <v>7126</v>
      </c>
      <c r="H45" s="140" t="s">
        <v>165</v>
      </c>
      <c r="I45" s="141">
        <v>202606.4</v>
      </c>
      <c r="J45" s="121">
        <v>6.24</v>
      </c>
      <c r="K45" s="26" t="s">
        <v>73</v>
      </c>
      <c r="L45" s="26" t="s">
        <v>7127</v>
      </c>
      <c r="M45" s="26" t="s">
        <v>7128</v>
      </c>
      <c r="N45" s="27" t="s">
        <v>7129</v>
      </c>
      <c r="O45" s="26"/>
      <c r="P45" s="32">
        <v>4</v>
      </c>
      <c r="Q45" s="32">
        <v>16</v>
      </c>
      <c r="R45" s="32">
        <v>266.37</v>
      </c>
      <c r="S45" s="26" t="s">
        <v>99</v>
      </c>
      <c r="T45" s="30" t="s">
        <v>100</v>
      </c>
      <c r="U45" s="38" t="s">
        <v>115</v>
      </c>
      <c r="V45" s="38" t="s">
        <v>5951</v>
      </c>
      <c r="W45" s="26" t="s">
        <v>112</v>
      </c>
      <c r="X45" s="26" t="s">
        <v>7075</v>
      </c>
      <c r="Y45" s="26" t="s">
        <v>7075</v>
      </c>
      <c r="Z45" s="26" t="s">
        <v>172</v>
      </c>
      <c r="AA45" s="26" t="s">
        <v>13</v>
      </c>
      <c r="AB45" s="30" t="s">
        <v>172</v>
      </c>
      <c r="AC45" s="25" t="s">
        <v>173</v>
      </c>
      <c r="AD45" s="26" t="s">
        <v>174</v>
      </c>
      <c r="AE45" s="26" t="s">
        <v>175</v>
      </c>
      <c r="AF45" s="32">
        <f t="shared" si="2"/>
        <v>1</v>
      </c>
      <c r="AG45" s="32">
        <v>1</v>
      </c>
      <c r="AH45" s="32">
        <v>1</v>
      </c>
      <c r="AI45" s="32">
        <v>1</v>
      </c>
      <c r="AJ45" s="32"/>
      <c r="AK45" s="32">
        <f t="shared" si="3"/>
        <v>1</v>
      </c>
      <c r="AL45" s="30"/>
      <c r="AM45" s="32">
        <v>1</v>
      </c>
      <c r="AN45" s="30"/>
      <c r="AO45" s="30"/>
      <c r="AP45" s="32">
        <v>1</v>
      </c>
      <c r="AQ45" s="32">
        <v>1</v>
      </c>
      <c r="AR45" s="32"/>
      <c r="AS45" s="32">
        <v>1</v>
      </c>
      <c r="AT45" s="30"/>
      <c r="AU45" s="30"/>
      <c r="AW45" s="2" t="s">
        <v>7130</v>
      </c>
      <c r="AY45" s="94" t="s">
        <v>7131</v>
      </c>
    </row>
    <row r="46" spans="1:51" ht="16.5">
      <c r="A46" s="26" t="s">
        <v>7132</v>
      </c>
      <c r="B46" s="26" t="s">
        <v>4383</v>
      </c>
      <c r="C46" s="26" t="s">
        <v>73</v>
      </c>
      <c r="D46" s="26" t="s">
        <v>7133</v>
      </c>
      <c r="E46" s="124" t="s">
        <v>499</v>
      </c>
      <c r="F46" s="26" t="s">
        <v>7134</v>
      </c>
      <c r="G46" s="26" t="s">
        <v>7135</v>
      </c>
      <c r="H46" s="140" t="s">
        <v>165</v>
      </c>
      <c r="I46" s="141">
        <v>202606.4</v>
      </c>
      <c r="J46" s="121">
        <v>6.24</v>
      </c>
      <c r="K46" s="26" t="s">
        <v>73</v>
      </c>
      <c r="L46" s="26" t="s">
        <v>7136</v>
      </c>
      <c r="M46" s="26" t="s">
        <v>7137</v>
      </c>
      <c r="N46" s="27" t="s">
        <v>7138</v>
      </c>
      <c r="O46" s="26"/>
      <c r="P46" s="32">
        <v>2</v>
      </c>
      <c r="Q46" s="32">
        <v>8</v>
      </c>
      <c r="R46" s="32">
        <v>261.16000000000003</v>
      </c>
      <c r="S46" s="26" t="s">
        <v>99</v>
      </c>
      <c r="T46" s="30" t="s">
        <v>100</v>
      </c>
      <c r="U46" s="38" t="s">
        <v>115</v>
      </c>
      <c r="V46" s="38" t="s">
        <v>5951</v>
      </c>
      <c r="W46" s="26" t="s">
        <v>112</v>
      </c>
      <c r="X46" s="26" t="s">
        <v>7075</v>
      </c>
      <c r="Y46" s="26" t="s">
        <v>7075</v>
      </c>
      <c r="Z46" s="26" t="s">
        <v>172</v>
      </c>
      <c r="AA46" s="26" t="s">
        <v>13</v>
      </c>
      <c r="AB46" s="30" t="s">
        <v>172</v>
      </c>
      <c r="AC46" s="25" t="s">
        <v>173</v>
      </c>
      <c r="AD46" s="26" t="s">
        <v>174</v>
      </c>
      <c r="AE46" s="26" t="s">
        <v>175</v>
      </c>
      <c r="AF46" s="32">
        <f t="shared" si="2"/>
        <v>1</v>
      </c>
      <c r="AG46" s="32">
        <v>1</v>
      </c>
      <c r="AH46" s="32">
        <v>1</v>
      </c>
      <c r="AI46" s="32">
        <v>1</v>
      </c>
      <c r="AJ46" s="32"/>
      <c r="AK46" s="32">
        <f t="shared" si="3"/>
        <v>1</v>
      </c>
      <c r="AL46" s="30"/>
      <c r="AM46" s="32">
        <v>1</v>
      </c>
      <c r="AN46" s="30"/>
      <c r="AO46" s="30"/>
      <c r="AP46" s="32">
        <v>1</v>
      </c>
      <c r="AQ46" s="32">
        <v>1</v>
      </c>
      <c r="AR46" s="32"/>
      <c r="AS46" s="32">
        <v>1</v>
      </c>
      <c r="AT46" s="30" t="s">
        <v>7139</v>
      </c>
      <c r="AU46" s="30"/>
      <c r="AW46" s="2" t="s">
        <v>7095</v>
      </c>
      <c r="AY46" s="94" t="s">
        <v>7092</v>
      </c>
    </row>
    <row r="47" spans="1:51" ht="16.5">
      <c r="A47" s="26" t="s">
        <v>7140</v>
      </c>
      <c r="B47" s="26" t="s">
        <v>4383</v>
      </c>
      <c r="C47" s="26" t="s">
        <v>73</v>
      </c>
      <c r="D47" s="26" t="s">
        <v>7141</v>
      </c>
      <c r="E47" s="124" t="s">
        <v>499</v>
      </c>
      <c r="F47" s="26" t="s">
        <v>7142</v>
      </c>
      <c r="G47" s="26" t="s">
        <v>7143</v>
      </c>
      <c r="H47" s="140" t="s">
        <v>165</v>
      </c>
      <c r="I47" s="141">
        <v>202606.4</v>
      </c>
      <c r="J47" s="121">
        <v>6.24</v>
      </c>
      <c r="K47" s="26" t="s">
        <v>73</v>
      </c>
      <c r="L47" s="26" t="s">
        <v>7144</v>
      </c>
      <c r="M47" s="26" t="s">
        <v>7145</v>
      </c>
      <c r="N47" s="27" t="s">
        <v>7146</v>
      </c>
      <c r="O47" s="26"/>
      <c r="P47" s="32">
        <v>2</v>
      </c>
      <c r="Q47" s="32">
        <v>8</v>
      </c>
      <c r="R47" s="32">
        <v>261.42</v>
      </c>
      <c r="S47" s="26" t="s">
        <v>99</v>
      </c>
      <c r="T47" s="30" t="s">
        <v>100</v>
      </c>
      <c r="U47" s="38" t="s">
        <v>115</v>
      </c>
      <c r="V47" s="38" t="s">
        <v>6188</v>
      </c>
      <c r="W47" s="26" t="s">
        <v>112</v>
      </c>
      <c r="X47" s="26" t="s">
        <v>7075</v>
      </c>
      <c r="Y47" s="26" t="s">
        <v>7075</v>
      </c>
      <c r="Z47" s="26" t="s">
        <v>172</v>
      </c>
      <c r="AA47" s="26" t="s">
        <v>13</v>
      </c>
      <c r="AB47" s="30" t="s">
        <v>172</v>
      </c>
      <c r="AC47" s="25" t="s">
        <v>173</v>
      </c>
      <c r="AD47" s="26" t="s">
        <v>174</v>
      </c>
      <c r="AE47" s="26" t="s">
        <v>175</v>
      </c>
      <c r="AF47" s="32">
        <f t="shared" si="2"/>
        <v>1</v>
      </c>
      <c r="AG47" s="32">
        <v>1</v>
      </c>
      <c r="AH47" s="32">
        <v>1</v>
      </c>
      <c r="AI47" s="32">
        <v>1</v>
      </c>
      <c r="AJ47" s="32"/>
      <c r="AK47" s="32">
        <f t="shared" si="3"/>
        <v>1</v>
      </c>
      <c r="AL47" s="30"/>
      <c r="AM47" s="32">
        <v>1</v>
      </c>
      <c r="AN47" s="30"/>
      <c r="AO47" s="30"/>
      <c r="AP47" s="32">
        <v>1</v>
      </c>
      <c r="AQ47" s="32">
        <v>1</v>
      </c>
      <c r="AR47" s="32"/>
      <c r="AS47" s="32">
        <v>1</v>
      </c>
      <c r="AT47" s="30"/>
      <c r="AU47" s="30"/>
      <c r="AW47" s="2" t="s">
        <v>7147</v>
      </c>
      <c r="AY47" s="94" t="s">
        <v>7148</v>
      </c>
    </row>
    <row r="48" spans="1:51" ht="16.5">
      <c r="A48" s="26" t="s">
        <v>7149</v>
      </c>
      <c r="B48" s="26" t="s">
        <v>4383</v>
      </c>
      <c r="C48" s="26" t="s">
        <v>73</v>
      </c>
      <c r="D48" s="26" t="s">
        <v>7150</v>
      </c>
      <c r="E48" s="124" t="s">
        <v>499</v>
      </c>
      <c r="F48" s="26" t="s">
        <v>7151</v>
      </c>
      <c r="G48" s="26" t="s">
        <v>7152</v>
      </c>
      <c r="H48" s="140" t="s">
        <v>165</v>
      </c>
      <c r="I48" s="141">
        <v>202606.4</v>
      </c>
      <c r="J48" s="121">
        <v>6.24</v>
      </c>
      <c r="K48" s="26" t="s">
        <v>73</v>
      </c>
      <c r="L48" s="26" t="s">
        <v>7153</v>
      </c>
      <c r="M48" s="26" t="s">
        <v>7154</v>
      </c>
      <c r="N48" s="27" t="s">
        <v>7155</v>
      </c>
      <c r="O48" s="26"/>
      <c r="P48" s="32">
        <v>2</v>
      </c>
      <c r="Q48" s="32">
        <v>8</v>
      </c>
      <c r="R48" s="32">
        <v>261.27999999999997</v>
      </c>
      <c r="S48" s="26" t="s">
        <v>99</v>
      </c>
      <c r="T48" s="30" t="s">
        <v>100</v>
      </c>
      <c r="U48" s="38" t="s">
        <v>115</v>
      </c>
      <c r="V48" s="38" t="s">
        <v>6188</v>
      </c>
      <c r="W48" s="26" t="s">
        <v>112</v>
      </c>
      <c r="X48" s="26" t="s">
        <v>7075</v>
      </c>
      <c r="Y48" s="26" t="s">
        <v>7075</v>
      </c>
      <c r="Z48" s="26" t="s">
        <v>172</v>
      </c>
      <c r="AA48" s="26" t="s">
        <v>13</v>
      </c>
      <c r="AB48" s="30" t="s">
        <v>172</v>
      </c>
      <c r="AC48" s="25" t="s">
        <v>173</v>
      </c>
      <c r="AD48" s="26" t="s">
        <v>174</v>
      </c>
      <c r="AE48" s="26" t="s">
        <v>175</v>
      </c>
      <c r="AF48" s="32">
        <f t="shared" si="2"/>
        <v>1</v>
      </c>
      <c r="AG48" s="32">
        <v>1</v>
      </c>
      <c r="AH48" s="32">
        <v>1</v>
      </c>
      <c r="AI48" s="32">
        <v>1</v>
      </c>
      <c r="AJ48" s="32"/>
      <c r="AK48" s="32">
        <f t="shared" si="3"/>
        <v>1</v>
      </c>
      <c r="AL48" s="30"/>
      <c r="AM48" s="32">
        <v>1</v>
      </c>
      <c r="AN48" s="30"/>
      <c r="AO48" s="30"/>
      <c r="AP48" s="32">
        <v>1</v>
      </c>
      <c r="AQ48" s="32">
        <v>1</v>
      </c>
      <c r="AR48" s="32"/>
      <c r="AS48" s="32">
        <v>1</v>
      </c>
      <c r="AT48" s="30" t="s">
        <v>7156</v>
      </c>
      <c r="AU48" s="30"/>
      <c r="AW48" s="2" t="s">
        <v>7157</v>
      </c>
      <c r="AY48" s="94" t="s">
        <v>7158</v>
      </c>
    </row>
    <row r="49" spans="1:51" ht="16.5">
      <c r="A49" s="26" t="s">
        <v>7159</v>
      </c>
      <c r="B49" s="26" t="s">
        <v>4383</v>
      </c>
      <c r="C49" s="26" t="s">
        <v>73</v>
      </c>
      <c r="D49" s="26" t="s">
        <v>7160</v>
      </c>
      <c r="E49" s="124" t="s">
        <v>499</v>
      </c>
      <c r="F49" s="26" t="s">
        <v>7161</v>
      </c>
      <c r="G49" s="26" t="s">
        <v>7162</v>
      </c>
      <c r="H49" s="140" t="s">
        <v>165</v>
      </c>
      <c r="I49" s="141">
        <v>202606.4</v>
      </c>
      <c r="J49" s="121">
        <v>6.24</v>
      </c>
      <c r="K49" s="26" t="s">
        <v>73</v>
      </c>
      <c r="L49" s="26" t="s">
        <v>7163</v>
      </c>
      <c r="M49" s="26" t="s">
        <v>7164</v>
      </c>
      <c r="N49" s="27" t="s">
        <v>7165</v>
      </c>
      <c r="O49" s="26"/>
      <c r="P49" s="32">
        <v>2</v>
      </c>
      <c r="Q49" s="32">
        <v>8</v>
      </c>
      <c r="R49" s="32">
        <v>260.58999999999997</v>
      </c>
      <c r="S49" s="26" t="s">
        <v>99</v>
      </c>
      <c r="T49" s="30" t="s">
        <v>100</v>
      </c>
      <c r="U49" s="38" t="s">
        <v>115</v>
      </c>
      <c r="V49" s="38" t="s">
        <v>6188</v>
      </c>
      <c r="W49" s="26" t="s">
        <v>112</v>
      </c>
      <c r="X49" s="26" t="s">
        <v>7075</v>
      </c>
      <c r="Y49" s="26" t="s">
        <v>7075</v>
      </c>
      <c r="Z49" s="26" t="s">
        <v>172</v>
      </c>
      <c r="AA49" s="26" t="s">
        <v>13</v>
      </c>
      <c r="AB49" s="30" t="s">
        <v>172</v>
      </c>
      <c r="AC49" s="25" t="s">
        <v>173</v>
      </c>
      <c r="AD49" s="26" t="s">
        <v>174</v>
      </c>
      <c r="AE49" s="26" t="s">
        <v>175</v>
      </c>
      <c r="AF49" s="32">
        <f t="shared" si="2"/>
        <v>1</v>
      </c>
      <c r="AG49" s="32">
        <v>1</v>
      </c>
      <c r="AH49" s="32">
        <v>1</v>
      </c>
      <c r="AI49" s="32">
        <v>1</v>
      </c>
      <c r="AJ49" s="32"/>
      <c r="AK49" s="32">
        <f t="shared" si="3"/>
        <v>1</v>
      </c>
      <c r="AL49" s="30"/>
      <c r="AM49" s="32">
        <v>1</v>
      </c>
      <c r="AN49" s="30"/>
      <c r="AO49" s="30"/>
      <c r="AP49" s="32">
        <v>1</v>
      </c>
      <c r="AQ49" s="32">
        <v>1</v>
      </c>
      <c r="AR49" s="25" t="s">
        <v>7166</v>
      </c>
      <c r="AS49" s="32">
        <v>1</v>
      </c>
      <c r="AT49" s="30"/>
      <c r="AU49" s="30"/>
      <c r="AW49" s="2" t="s">
        <v>7136</v>
      </c>
      <c r="AY49" s="94" t="s">
        <v>2358</v>
      </c>
    </row>
    <row r="50" spans="1:51" ht="16.5">
      <c r="A50" s="26" t="s">
        <v>7167</v>
      </c>
      <c r="B50" s="26" t="s">
        <v>4383</v>
      </c>
      <c r="C50" s="26" t="s">
        <v>73</v>
      </c>
      <c r="D50" s="26" t="s">
        <v>7122</v>
      </c>
      <c r="E50" s="124" t="s">
        <v>499</v>
      </c>
      <c r="F50" s="26" t="s">
        <v>7168</v>
      </c>
      <c r="G50" s="26" t="s">
        <v>7169</v>
      </c>
      <c r="H50" s="140" t="s">
        <v>165</v>
      </c>
      <c r="I50" s="141">
        <v>202606.4</v>
      </c>
      <c r="J50" s="121">
        <v>6.24</v>
      </c>
      <c r="K50" s="26" t="s">
        <v>73</v>
      </c>
      <c r="L50" s="26" t="s">
        <v>7121</v>
      </c>
      <c r="M50" s="26" t="s">
        <v>7170</v>
      </c>
      <c r="N50" s="27" t="s">
        <v>7171</v>
      </c>
      <c r="O50" s="26"/>
      <c r="P50" s="32">
        <v>2</v>
      </c>
      <c r="Q50" s="32">
        <v>8</v>
      </c>
      <c r="R50" s="32">
        <v>263.86</v>
      </c>
      <c r="S50" s="26" t="s">
        <v>99</v>
      </c>
      <c r="T50" s="30" t="s">
        <v>100</v>
      </c>
      <c r="U50" s="38" t="s">
        <v>115</v>
      </c>
      <c r="V50" s="38" t="s">
        <v>6188</v>
      </c>
      <c r="W50" s="26" t="s">
        <v>112</v>
      </c>
      <c r="X50" s="26" t="s">
        <v>7075</v>
      </c>
      <c r="Y50" s="26" t="s">
        <v>7075</v>
      </c>
      <c r="Z50" s="26" t="s">
        <v>172</v>
      </c>
      <c r="AA50" s="26" t="s">
        <v>13</v>
      </c>
      <c r="AB50" s="30" t="s">
        <v>172</v>
      </c>
      <c r="AC50" s="25" t="s">
        <v>173</v>
      </c>
      <c r="AD50" s="26" t="s">
        <v>174</v>
      </c>
      <c r="AE50" s="26" t="s">
        <v>175</v>
      </c>
      <c r="AF50" s="32">
        <f t="shared" si="2"/>
        <v>1</v>
      </c>
      <c r="AG50" s="32">
        <v>1</v>
      </c>
      <c r="AH50" s="32">
        <v>1</v>
      </c>
      <c r="AI50" s="32">
        <v>1</v>
      </c>
      <c r="AJ50" s="32"/>
      <c r="AK50" s="32">
        <f t="shared" si="3"/>
        <v>1</v>
      </c>
      <c r="AL50" s="30"/>
      <c r="AM50" s="32">
        <v>1</v>
      </c>
      <c r="AN50" s="30"/>
      <c r="AO50" s="30"/>
      <c r="AP50" s="32">
        <v>1</v>
      </c>
      <c r="AQ50" s="32">
        <v>1</v>
      </c>
      <c r="AR50" s="32"/>
      <c r="AS50" s="32">
        <v>1</v>
      </c>
      <c r="AT50" s="30"/>
      <c r="AU50" s="30"/>
      <c r="AW50" s="2" t="s">
        <v>7163</v>
      </c>
      <c r="AY50" s="94" t="s">
        <v>7133</v>
      </c>
    </row>
    <row r="51" spans="1:51" ht="16.5">
      <c r="A51" s="26" t="s">
        <v>7172</v>
      </c>
      <c r="B51" s="26" t="s">
        <v>4383</v>
      </c>
      <c r="C51" s="26" t="s">
        <v>73</v>
      </c>
      <c r="D51" s="26" t="s">
        <v>7113</v>
      </c>
      <c r="E51" s="124" t="s">
        <v>499</v>
      </c>
      <c r="F51" s="26" t="s">
        <v>7173</v>
      </c>
      <c r="G51" s="26" t="s">
        <v>7174</v>
      </c>
      <c r="H51" s="140" t="s">
        <v>165</v>
      </c>
      <c r="I51" s="141">
        <v>202606.4</v>
      </c>
      <c r="J51" s="121">
        <v>6.24</v>
      </c>
      <c r="K51" s="26" t="s">
        <v>73</v>
      </c>
      <c r="L51" s="26" t="s">
        <v>7112</v>
      </c>
      <c r="M51" s="26" t="s">
        <v>7175</v>
      </c>
      <c r="N51" s="27" t="s">
        <v>7176</v>
      </c>
      <c r="O51" s="26"/>
      <c r="P51" s="32">
        <v>2</v>
      </c>
      <c r="Q51" s="32">
        <v>8</v>
      </c>
      <c r="R51" s="32">
        <v>266.66000000000003</v>
      </c>
      <c r="S51" s="26" t="s">
        <v>99</v>
      </c>
      <c r="T51" s="30" t="s">
        <v>100</v>
      </c>
      <c r="U51" s="38" t="s">
        <v>115</v>
      </c>
      <c r="V51" s="38" t="s">
        <v>6188</v>
      </c>
      <c r="W51" s="26" t="s">
        <v>112</v>
      </c>
      <c r="X51" s="26" t="s">
        <v>7075</v>
      </c>
      <c r="Y51" s="26" t="s">
        <v>7075</v>
      </c>
      <c r="Z51" s="26" t="s">
        <v>172</v>
      </c>
      <c r="AA51" s="26" t="s">
        <v>13</v>
      </c>
      <c r="AB51" s="30" t="s">
        <v>172</v>
      </c>
      <c r="AC51" s="25" t="s">
        <v>173</v>
      </c>
      <c r="AD51" s="26" t="s">
        <v>174</v>
      </c>
      <c r="AE51" s="26" t="s">
        <v>175</v>
      </c>
      <c r="AF51" s="32">
        <f t="shared" si="2"/>
        <v>1</v>
      </c>
      <c r="AG51" s="32">
        <v>1</v>
      </c>
      <c r="AH51" s="32">
        <v>1</v>
      </c>
      <c r="AI51" s="32">
        <v>1</v>
      </c>
      <c r="AJ51" s="32"/>
      <c r="AK51" s="32">
        <f t="shared" si="3"/>
        <v>1</v>
      </c>
      <c r="AL51" s="30"/>
      <c r="AM51" s="32">
        <v>1</v>
      </c>
      <c r="AN51" s="30"/>
      <c r="AO51" s="30"/>
      <c r="AP51" s="32">
        <v>1</v>
      </c>
      <c r="AQ51" s="32">
        <v>1</v>
      </c>
      <c r="AR51" s="32"/>
      <c r="AS51" s="32">
        <v>1</v>
      </c>
      <c r="AT51" s="30"/>
      <c r="AU51" s="30"/>
      <c r="AW51" s="2" t="s">
        <v>7153</v>
      </c>
      <c r="AY51" s="94" t="s">
        <v>7160</v>
      </c>
    </row>
    <row r="52" spans="1:51" ht="16.5" hidden="1">
      <c r="A52" s="26" t="s">
        <v>7177</v>
      </c>
      <c r="B52" s="26" t="s">
        <v>4383</v>
      </c>
      <c r="C52" s="26" t="s">
        <v>73</v>
      </c>
      <c r="D52" s="26" t="s">
        <v>7178</v>
      </c>
      <c r="E52" s="124" t="s">
        <v>162</v>
      </c>
      <c r="F52" s="26" t="s">
        <v>7179</v>
      </c>
      <c r="G52" s="26" t="s">
        <v>7180</v>
      </c>
      <c r="H52" s="140" t="s">
        <v>165</v>
      </c>
      <c r="I52" s="141">
        <v>202606.4</v>
      </c>
      <c r="J52" s="121">
        <v>6.24</v>
      </c>
      <c r="K52" s="26" t="s">
        <v>73</v>
      </c>
      <c r="L52" s="26" t="s">
        <v>7181</v>
      </c>
      <c r="M52" s="26" t="s">
        <v>7182</v>
      </c>
      <c r="N52" s="27" t="s">
        <v>7183</v>
      </c>
      <c r="O52" s="26"/>
      <c r="P52" s="32">
        <v>4</v>
      </c>
      <c r="Q52" s="32">
        <v>16</v>
      </c>
      <c r="R52" s="32">
        <v>267.3</v>
      </c>
      <c r="S52" s="26" t="s">
        <v>99</v>
      </c>
      <c r="T52" s="30" t="s">
        <v>100</v>
      </c>
      <c r="U52" s="38" t="s">
        <v>115</v>
      </c>
      <c r="V52" s="38" t="s">
        <v>6188</v>
      </c>
      <c r="W52" s="26" t="s">
        <v>112</v>
      </c>
      <c r="X52" s="26" t="s">
        <v>7075</v>
      </c>
      <c r="Y52" s="26" t="s">
        <v>7075</v>
      </c>
      <c r="Z52" s="26" t="s">
        <v>172</v>
      </c>
      <c r="AA52" s="26" t="s">
        <v>13</v>
      </c>
      <c r="AB52" s="30" t="s">
        <v>172</v>
      </c>
      <c r="AC52" s="25" t="s">
        <v>173</v>
      </c>
      <c r="AD52" s="26" t="s">
        <v>174</v>
      </c>
      <c r="AE52" s="26" t="s">
        <v>175</v>
      </c>
      <c r="AF52" s="32">
        <f t="shared" si="2"/>
        <v>1</v>
      </c>
      <c r="AG52" s="32">
        <v>1</v>
      </c>
      <c r="AH52" s="32">
        <v>1</v>
      </c>
      <c r="AI52" s="32">
        <v>1</v>
      </c>
      <c r="AJ52" s="32"/>
      <c r="AK52" s="32">
        <f t="shared" si="3"/>
        <v>1</v>
      </c>
      <c r="AL52" s="30"/>
      <c r="AM52" s="25" t="s">
        <v>7184</v>
      </c>
      <c r="AN52" s="30"/>
      <c r="AO52" s="30"/>
      <c r="AP52" s="32">
        <v>1</v>
      </c>
      <c r="AQ52" s="32">
        <v>1</v>
      </c>
      <c r="AR52" s="32"/>
      <c r="AS52" s="34" t="s">
        <v>1211</v>
      </c>
      <c r="AT52" s="26"/>
      <c r="AU52" s="26" t="s">
        <v>7185</v>
      </c>
      <c r="AW52" s="2" t="s">
        <v>7144</v>
      </c>
      <c r="AY52" s="94" t="s">
        <v>7150</v>
      </c>
    </row>
    <row r="53" spans="1:51" ht="16.5">
      <c r="A53" s="26" t="s">
        <v>7186</v>
      </c>
      <c r="B53" s="26" t="s">
        <v>4383</v>
      </c>
      <c r="C53" s="26" t="s">
        <v>73</v>
      </c>
      <c r="D53" s="26" t="s">
        <v>7148</v>
      </c>
      <c r="E53" s="124" t="s">
        <v>499</v>
      </c>
      <c r="F53" s="26" t="s">
        <v>7187</v>
      </c>
      <c r="G53" s="26" t="s">
        <v>7188</v>
      </c>
      <c r="H53" s="140" t="s">
        <v>165</v>
      </c>
      <c r="I53" s="141">
        <v>202606.4</v>
      </c>
      <c r="J53" s="121">
        <v>6.24</v>
      </c>
      <c r="K53" s="26" t="s">
        <v>73</v>
      </c>
      <c r="L53" s="26" t="s">
        <v>7147</v>
      </c>
      <c r="M53" s="26" t="s">
        <v>7189</v>
      </c>
      <c r="N53" s="27" t="s">
        <v>7190</v>
      </c>
      <c r="O53" s="26"/>
      <c r="P53" s="32">
        <v>2</v>
      </c>
      <c r="Q53" s="32">
        <v>8</v>
      </c>
      <c r="R53" s="32">
        <v>262.45999999999998</v>
      </c>
      <c r="S53" s="26" t="s">
        <v>99</v>
      </c>
      <c r="T53" s="30" t="s">
        <v>100</v>
      </c>
      <c r="U53" s="38" t="s">
        <v>115</v>
      </c>
      <c r="V53" s="38" t="s">
        <v>6188</v>
      </c>
      <c r="W53" s="26" t="s">
        <v>112</v>
      </c>
      <c r="X53" s="26" t="s">
        <v>7075</v>
      </c>
      <c r="Y53" s="26" t="s">
        <v>7075</v>
      </c>
      <c r="Z53" s="26" t="s">
        <v>172</v>
      </c>
      <c r="AA53" s="26" t="s">
        <v>13</v>
      </c>
      <c r="AB53" s="30" t="s">
        <v>172</v>
      </c>
      <c r="AC53" s="25" t="s">
        <v>173</v>
      </c>
      <c r="AD53" s="26" t="s">
        <v>174</v>
      </c>
      <c r="AE53" s="26" t="s">
        <v>175</v>
      </c>
      <c r="AF53" s="32">
        <f t="shared" si="2"/>
        <v>1</v>
      </c>
      <c r="AG53" s="32">
        <v>1</v>
      </c>
      <c r="AH53" s="32">
        <v>1</v>
      </c>
      <c r="AI53" s="32">
        <v>1</v>
      </c>
      <c r="AJ53" s="32"/>
      <c r="AK53" s="32">
        <f t="shared" si="3"/>
        <v>1</v>
      </c>
      <c r="AL53" s="30"/>
      <c r="AM53" s="32">
        <v>1</v>
      </c>
      <c r="AN53" s="30"/>
      <c r="AO53" s="30"/>
      <c r="AP53" s="32">
        <v>1</v>
      </c>
      <c r="AQ53" s="32">
        <v>1</v>
      </c>
      <c r="AR53" s="32"/>
      <c r="AS53" s="32">
        <v>1</v>
      </c>
      <c r="AT53" s="30"/>
      <c r="AU53" s="30"/>
      <c r="AW53" s="2" t="s">
        <v>7181</v>
      </c>
      <c r="AY53" s="94" t="s">
        <v>7141</v>
      </c>
    </row>
    <row r="54" spans="1:51" ht="16.5">
      <c r="A54" s="26" t="s">
        <v>7191</v>
      </c>
      <c r="B54" s="26" t="s">
        <v>4383</v>
      </c>
      <c r="C54" s="26" t="s">
        <v>73</v>
      </c>
      <c r="D54" s="26" t="s">
        <v>7158</v>
      </c>
      <c r="E54" s="124" t="s">
        <v>162</v>
      </c>
      <c r="F54" s="26" t="s">
        <v>7192</v>
      </c>
      <c r="G54" s="26" t="s">
        <v>7193</v>
      </c>
      <c r="H54" s="140" t="s">
        <v>165</v>
      </c>
      <c r="I54" s="141">
        <v>202606.4</v>
      </c>
      <c r="J54" s="121">
        <v>6.24</v>
      </c>
      <c r="K54" s="26" t="s">
        <v>73</v>
      </c>
      <c r="L54" s="26" t="s">
        <v>7157</v>
      </c>
      <c r="M54" s="26" t="s">
        <v>7194</v>
      </c>
      <c r="N54" s="27" t="s">
        <v>7195</v>
      </c>
      <c r="O54" s="26"/>
      <c r="P54" s="32">
        <v>4</v>
      </c>
      <c r="Q54" s="32">
        <v>16</v>
      </c>
      <c r="R54" s="32">
        <v>267.52</v>
      </c>
      <c r="S54" s="26" t="s">
        <v>99</v>
      </c>
      <c r="T54" s="30" t="s">
        <v>100</v>
      </c>
      <c r="U54" s="38" t="s">
        <v>115</v>
      </c>
      <c r="V54" s="38" t="s">
        <v>6188</v>
      </c>
      <c r="W54" s="26" t="s">
        <v>112</v>
      </c>
      <c r="X54" s="26" t="s">
        <v>7075</v>
      </c>
      <c r="Y54" s="26" t="s">
        <v>7075</v>
      </c>
      <c r="Z54" s="26" t="s">
        <v>172</v>
      </c>
      <c r="AA54" s="26" t="s">
        <v>13</v>
      </c>
      <c r="AB54" s="30" t="s">
        <v>172</v>
      </c>
      <c r="AC54" s="25" t="s">
        <v>173</v>
      </c>
      <c r="AD54" s="26" t="s">
        <v>174</v>
      </c>
      <c r="AE54" s="26" t="s">
        <v>175</v>
      </c>
      <c r="AF54" s="32">
        <f t="shared" si="2"/>
        <v>1</v>
      </c>
      <c r="AG54" s="32">
        <v>1</v>
      </c>
      <c r="AH54" s="32">
        <v>1</v>
      </c>
      <c r="AI54" s="32">
        <v>1</v>
      </c>
      <c r="AJ54" s="32"/>
      <c r="AK54" s="32">
        <f t="shared" si="3"/>
        <v>1</v>
      </c>
      <c r="AL54" s="30"/>
      <c r="AM54" s="32">
        <v>1</v>
      </c>
      <c r="AN54" s="30"/>
      <c r="AO54" s="30"/>
      <c r="AP54" s="32">
        <v>1</v>
      </c>
      <c r="AQ54" s="32">
        <v>1</v>
      </c>
      <c r="AR54" s="32"/>
      <c r="AS54" s="32">
        <v>1</v>
      </c>
      <c r="AT54" s="30"/>
      <c r="AU54" s="30"/>
      <c r="AW54" s="2" t="s">
        <v>7087</v>
      </c>
      <c r="AY54" s="94" t="s">
        <v>7178</v>
      </c>
    </row>
    <row r="55" spans="1:51" ht="16.5">
      <c r="A55" s="26" t="s">
        <v>7196</v>
      </c>
      <c r="B55" s="26" t="s">
        <v>4383</v>
      </c>
      <c r="C55" s="26" t="s">
        <v>73</v>
      </c>
      <c r="D55" s="26" t="s">
        <v>7131</v>
      </c>
      <c r="E55" s="124" t="s">
        <v>162</v>
      </c>
      <c r="F55" s="26" t="s">
        <v>7197</v>
      </c>
      <c r="G55" s="26" t="s">
        <v>7198</v>
      </c>
      <c r="H55" s="140" t="s">
        <v>165</v>
      </c>
      <c r="I55" s="141">
        <v>202606.4</v>
      </c>
      <c r="J55" s="121">
        <v>6.24</v>
      </c>
      <c r="K55" s="26" t="s">
        <v>73</v>
      </c>
      <c r="L55" s="26" t="s">
        <v>7130</v>
      </c>
      <c r="M55" s="26" t="s">
        <v>7199</v>
      </c>
      <c r="N55" s="27" t="s">
        <v>7200</v>
      </c>
      <c r="O55" s="26"/>
      <c r="P55" s="32">
        <v>4</v>
      </c>
      <c r="Q55" s="32">
        <v>16</v>
      </c>
      <c r="R55" s="32">
        <v>266.45999999999998</v>
      </c>
      <c r="S55" s="26" t="s">
        <v>99</v>
      </c>
      <c r="T55" s="30" t="s">
        <v>100</v>
      </c>
      <c r="U55" s="38" t="s">
        <v>115</v>
      </c>
      <c r="V55" s="38" t="s">
        <v>6188</v>
      </c>
      <c r="W55" s="26" t="s">
        <v>112</v>
      </c>
      <c r="X55" s="26" t="s">
        <v>7075</v>
      </c>
      <c r="Y55" s="26" t="s">
        <v>7075</v>
      </c>
      <c r="Z55" s="26" t="s">
        <v>172</v>
      </c>
      <c r="AA55" s="26" t="s">
        <v>13</v>
      </c>
      <c r="AB55" s="30" t="s">
        <v>172</v>
      </c>
      <c r="AC55" s="25" t="s">
        <v>173</v>
      </c>
      <c r="AD55" s="26" t="s">
        <v>174</v>
      </c>
      <c r="AE55" s="26" t="s">
        <v>175</v>
      </c>
      <c r="AF55" s="32">
        <f t="shared" si="2"/>
        <v>1</v>
      </c>
      <c r="AG55" s="32">
        <v>1</v>
      </c>
      <c r="AH55" s="32">
        <v>1</v>
      </c>
      <c r="AI55" s="32">
        <v>1</v>
      </c>
      <c r="AJ55" s="32"/>
      <c r="AK55" s="32">
        <f t="shared" si="3"/>
        <v>1</v>
      </c>
      <c r="AL55" s="30"/>
      <c r="AM55" s="32">
        <v>1</v>
      </c>
      <c r="AN55" s="30"/>
      <c r="AO55" s="30"/>
      <c r="AP55" s="32">
        <v>1</v>
      </c>
      <c r="AQ55" s="32">
        <v>1</v>
      </c>
      <c r="AR55" s="32"/>
      <c r="AS55" s="32">
        <v>1</v>
      </c>
      <c r="AT55" s="30"/>
      <c r="AU55" s="30"/>
      <c r="AW55" s="2" t="s">
        <v>7080</v>
      </c>
      <c r="AY55" s="94" t="s">
        <v>7084</v>
      </c>
    </row>
    <row r="56" spans="1:51" ht="16.5">
      <c r="A56" s="26" t="s">
        <v>7201</v>
      </c>
      <c r="B56" s="26" t="s">
        <v>4383</v>
      </c>
      <c r="C56" s="26" t="s">
        <v>73</v>
      </c>
      <c r="D56" s="26" t="s">
        <v>7202</v>
      </c>
      <c r="E56" s="124" t="s">
        <v>162</v>
      </c>
      <c r="F56" s="26" t="s">
        <v>7203</v>
      </c>
      <c r="G56" s="26" t="s">
        <v>7204</v>
      </c>
      <c r="H56" s="140" t="s">
        <v>165</v>
      </c>
      <c r="I56" s="141">
        <v>202606.4</v>
      </c>
      <c r="J56" s="121">
        <v>6.24</v>
      </c>
      <c r="K56" s="26" t="s">
        <v>73</v>
      </c>
      <c r="L56" s="26" t="s">
        <v>7205</v>
      </c>
      <c r="M56" s="26" t="s">
        <v>7206</v>
      </c>
      <c r="N56" s="27" t="s">
        <v>7207</v>
      </c>
      <c r="O56" s="26"/>
      <c r="P56" s="32">
        <v>4</v>
      </c>
      <c r="Q56" s="32">
        <v>16</v>
      </c>
      <c r="R56" s="32">
        <v>266.52</v>
      </c>
      <c r="S56" s="26" t="s">
        <v>99</v>
      </c>
      <c r="T56" s="30" t="s">
        <v>100</v>
      </c>
      <c r="U56" s="38" t="s">
        <v>115</v>
      </c>
      <c r="V56" s="38" t="s">
        <v>6477</v>
      </c>
      <c r="W56" s="26" t="s">
        <v>112</v>
      </c>
      <c r="X56" s="26" t="s">
        <v>7075</v>
      </c>
      <c r="Y56" s="26" t="s">
        <v>7075</v>
      </c>
      <c r="Z56" s="26" t="s">
        <v>172</v>
      </c>
      <c r="AA56" s="26" t="s">
        <v>15</v>
      </c>
      <c r="AB56" s="30" t="s">
        <v>172</v>
      </c>
      <c r="AC56" s="25" t="s">
        <v>173</v>
      </c>
      <c r="AD56" s="26" t="s">
        <v>174</v>
      </c>
      <c r="AE56" s="26" t="s">
        <v>175</v>
      </c>
      <c r="AF56" s="32">
        <f t="shared" si="2"/>
        <v>1</v>
      </c>
      <c r="AG56" s="32">
        <v>1</v>
      </c>
      <c r="AH56" s="32">
        <v>1</v>
      </c>
      <c r="AI56" s="32">
        <v>1</v>
      </c>
      <c r="AJ56" s="32">
        <v>1</v>
      </c>
      <c r="AK56" s="32">
        <f t="shared" si="3"/>
        <v>1</v>
      </c>
      <c r="AL56" s="30">
        <v>1</v>
      </c>
      <c r="AM56" s="32">
        <v>1</v>
      </c>
      <c r="AN56" s="30">
        <v>1</v>
      </c>
      <c r="AO56" s="30">
        <v>1</v>
      </c>
      <c r="AP56" s="32">
        <v>1</v>
      </c>
      <c r="AQ56" s="32">
        <v>1</v>
      </c>
      <c r="AR56" s="25" t="s">
        <v>7208</v>
      </c>
      <c r="AS56" s="32">
        <v>1</v>
      </c>
      <c r="AT56" s="30"/>
      <c r="AU56" s="30"/>
      <c r="AW56" s="2" t="s">
        <v>7102</v>
      </c>
      <c r="AY56" s="94" t="s">
        <v>7077</v>
      </c>
    </row>
    <row r="57" spans="1:51" ht="16.5">
      <c r="A57" s="26" t="s">
        <v>7209</v>
      </c>
      <c r="B57" s="26" t="s">
        <v>4383</v>
      </c>
      <c r="C57" s="26" t="s">
        <v>73</v>
      </c>
      <c r="D57" s="26" t="s">
        <v>7210</v>
      </c>
      <c r="E57" s="124" t="s">
        <v>162</v>
      </c>
      <c r="F57" s="26" t="s">
        <v>7211</v>
      </c>
      <c r="G57" s="26" t="s">
        <v>7212</v>
      </c>
      <c r="H57" s="140" t="s">
        <v>165</v>
      </c>
      <c r="I57" s="141">
        <v>202606.4</v>
      </c>
      <c r="J57" s="121">
        <v>6.24</v>
      </c>
      <c r="K57" s="26" t="s">
        <v>73</v>
      </c>
      <c r="L57" s="26" t="s">
        <v>7213</v>
      </c>
      <c r="M57" s="26" t="s">
        <v>7214</v>
      </c>
      <c r="N57" s="27" t="s">
        <v>7215</v>
      </c>
      <c r="O57" s="26"/>
      <c r="P57" s="32">
        <v>4</v>
      </c>
      <c r="Q57" s="32">
        <v>16</v>
      </c>
      <c r="R57" s="32">
        <v>266.62</v>
      </c>
      <c r="S57" s="26" t="s">
        <v>99</v>
      </c>
      <c r="T57" s="30" t="s">
        <v>100</v>
      </c>
      <c r="U57" s="38" t="s">
        <v>115</v>
      </c>
      <c r="V57" s="38" t="s">
        <v>6477</v>
      </c>
      <c r="W57" s="26" t="s">
        <v>112</v>
      </c>
      <c r="X57" s="26" t="s">
        <v>7075</v>
      </c>
      <c r="Y57" s="26" t="s">
        <v>7075</v>
      </c>
      <c r="Z57" s="26" t="s">
        <v>172</v>
      </c>
      <c r="AA57" s="26" t="s">
        <v>15</v>
      </c>
      <c r="AB57" s="30" t="s">
        <v>172</v>
      </c>
      <c r="AC57" s="25" t="s">
        <v>173</v>
      </c>
      <c r="AD57" s="26" t="s">
        <v>174</v>
      </c>
      <c r="AE57" s="26" t="s">
        <v>175</v>
      </c>
      <c r="AF57" s="32">
        <f t="shared" si="2"/>
        <v>1</v>
      </c>
      <c r="AG57" s="32">
        <v>1</v>
      </c>
      <c r="AH57" s="32">
        <v>1</v>
      </c>
      <c r="AI57" s="32">
        <v>1</v>
      </c>
      <c r="AJ57" s="32">
        <v>1</v>
      </c>
      <c r="AK57" s="32">
        <f t="shared" si="3"/>
        <v>1</v>
      </c>
      <c r="AL57" s="30">
        <v>1</v>
      </c>
      <c r="AM57" s="32">
        <v>1</v>
      </c>
      <c r="AN57" s="30">
        <v>1</v>
      </c>
      <c r="AO57" s="30">
        <v>1</v>
      </c>
      <c r="AP57" s="32">
        <v>1</v>
      </c>
      <c r="AQ57" s="32">
        <v>1</v>
      </c>
      <c r="AR57" s="32"/>
      <c r="AS57" s="32">
        <v>1</v>
      </c>
      <c r="AT57" s="30"/>
      <c r="AU57" s="30"/>
      <c r="AW57" s="2" t="s">
        <v>7109</v>
      </c>
      <c r="AY57" s="94" t="s">
        <v>7099</v>
      </c>
    </row>
    <row r="58" spans="1:51" ht="16.5">
      <c r="A58" s="26" t="s">
        <v>7216</v>
      </c>
      <c r="B58" s="26" t="s">
        <v>4383</v>
      </c>
      <c r="C58" s="26" t="s">
        <v>73</v>
      </c>
      <c r="D58" s="26" t="s">
        <v>7217</v>
      </c>
      <c r="E58" s="124" t="s">
        <v>162</v>
      </c>
      <c r="F58" s="26" t="s">
        <v>7218</v>
      </c>
      <c r="G58" s="26" t="s">
        <v>7219</v>
      </c>
      <c r="H58" s="140" t="s">
        <v>165</v>
      </c>
      <c r="I58" s="141">
        <v>202606.4</v>
      </c>
      <c r="J58" s="121">
        <v>6.24</v>
      </c>
      <c r="K58" s="26" t="s">
        <v>73</v>
      </c>
      <c r="L58" s="26" t="s">
        <v>7220</v>
      </c>
      <c r="M58" s="26" t="s">
        <v>7221</v>
      </c>
      <c r="N58" s="27" t="s">
        <v>7222</v>
      </c>
      <c r="O58" s="26"/>
      <c r="P58" s="32">
        <v>4</v>
      </c>
      <c r="Q58" s="32">
        <v>16</v>
      </c>
      <c r="R58" s="32">
        <v>269.91000000000003</v>
      </c>
      <c r="S58" s="26" t="s">
        <v>99</v>
      </c>
      <c r="T58" s="30" t="s">
        <v>100</v>
      </c>
      <c r="U58" s="38" t="s">
        <v>115</v>
      </c>
      <c r="V58" s="38" t="s">
        <v>6477</v>
      </c>
      <c r="W58" s="26" t="s">
        <v>112</v>
      </c>
      <c r="X58" s="26" t="s">
        <v>7075</v>
      </c>
      <c r="Y58" s="26" t="s">
        <v>7075</v>
      </c>
      <c r="Z58" s="26" t="s">
        <v>172</v>
      </c>
      <c r="AA58" s="26" t="s">
        <v>15</v>
      </c>
      <c r="AB58" s="30" t="s">
        <v>172</v>
      </c>
      <c r="AC58" s="25" t="s">
        <v>173</v>
      </c>
      <c r="AD58" s="26" t="s">
        <v>174</v>
      </c>
      <c r="AE58" s="26" t="s">
        <v>175</v>
      </c>
      <c r="AF58" s="32">
        <f t="shared" si="2"/>
        <v>1</v>
      </c>
      <c r="AG58" s="32">
        <v>1</v>
      </c>
      <c r="AH58" s="32">
        <v>1</v>
      </c>
      <c r="AI58" s="32">
        <v>1</v>
      </c>
      <c r="AJ58" s="32">
        <v>1</v>
      </c>
      <c r="AK58" s="32">
        <f t="shared" si="3"/>
        <v>1</v>
      </c>
      <c r="AL58" s="30">
        <v>1</v>
      </c>
      <c r="AM58" s="32">
        <v>1</v>
      </c>
      <c r="AN58" s="30">
        <v>1</v>
      </c>
      <c r="AO58" s="30">
        <v>1</v>
      </c>
      <c r="AP58" s="32">
        <v>1</v>
      </c>
      <c r="AQ58" s="32">
        <v>1</v>
      </c>
      <c r="AR58" s="25" t="s">
        <v>7208</v>
      </c>
      <c r="AS58" s="32">
        <v>1</v>
      </c>
      <c r="AT58" s="30"/>
      <c r="AU58" s="30"/>
      <c r="AW58" s="2" t="s">
        <v>7127</v>
      </c>
      <c r="AY58" s="94" t="s">
        <v>7106</v>
      </c>
    </row>
    <row r="59" spans="1:51" ht="16.5">
      <c r="A59" s="26" t="s">
        <v>7223</v>
      </c>
      <c r="B59" s="26" t="s">
        <v>4383</v>
      </c>
      <c r="C59" s="26" t="s">
        <v>73</v>
      </c>
      <c r="D59" s="26" t="s">
        <v>7224</v>
      </c>
      <c r="E59" s="124" t="s">
        <v>162</v>
      </c>
      <c r="F59" s="26" t="s">
        <v>7225</v>
      </c>
      <c r="G59" s="26" t="s">
        <v>7226</v>
      </c>
      <c r="H59" s="140" t="s">
        <v>165</v>
      </c>
      <c r="I59" s="141">
        <v>202606.4</v>
      </c>
      <c r="J59" s="121">
        <v>6.24</v>
      </c>
      <c r="K59" s="26" t="s">
        <v>73</v>
      </c>
      <c r="L59" s="26" t="s">
        <v>7227</v>
      </c>
      <c r="M59" s="26" t="s">
        <v>7228</v>
      </c>
      <c r="N59" s="27" t="s">
        <v>7229</v>
      </c>
      <c r="O59" s="26"/>
      <c r="P59" s="32">
        <v>4</v>
      </c>
      <c r="Q59" s="32">
        <v>16</v>
      </c>
      <c r="R59" s="32">
        <v>266.63</v>
      </c>
      <c r="S59" s="26" t="s">
        <v>99</v>
      </c>
      <c r="T59" s="30" t="s">
        <v>100</v>
      </c>
      <c r="U59" s="38" t="s">
        <v>115</v>
      </c>
      <c r="V59" s="38" t="s">
        <v>6477</v>
      </c>
      <c r="W59" s="26" t="s">
        <v>112</v>
      </c>
      <c r="X59" s="26" t="s">
        <v>7075</v>
      </c>
      <c r="Y59" s="26" t="s">
        <v>7075</v>
      </c>
      <c r="Z59" s="26" t="s">
        <v>172</v>
      </c>
      <c r="AA59" s="26" t="s">
        <v>15</v>
      </c>
      <c r="AB59" s="30" t="s">
        <v>172</v>
      </c>
      <c r="AC59" s="25" t="s">
        <v>173</v>
      </c>
      <c r="AD59" s="26" t="s">
        <v>174</v>
      </c>
      <c r="AE59" s="26" t="s">
        <v>175</v>
      </c>
      <c r="AF59" s="32">
        <f t="shared" si="2"/>
        <v>1</v>
      </c>
      <c r="AG59" s="32">
        <v>1</v>
      </c>
      <c r="AH59" s="32">
        <v>1</v>
      </c>
      <c r="AI59" s="32">
        <v>1</v>
      </c>
      <c r="AJ59" s="32">
        <v>1</v>
      </c>
      <c r="AK59" s="32">
        <f t="shared" si="3"/>
        <v>1</v>
      </c>
      <c r="AL59" s="30">
        <v>1</v>
      </c>
      <c r="AM59" s="32">
        <v>1</v>
      </c>
      <c r="AN59" s="30">
        <v>1</v>
      </c>
      <c r="AO59" s="30">
        <v>1</v>
      </c>
      <c r="AP59" s="32">
        <v>1</v>
      </c>
      <c r="AQ59" s="32">
        <v>1</v>
      </c>
      <c r="AR59" s="32"/>
      <c r="AS59" s="32">
        <v>1</v>
      </c>
      <c r="AT59" s="30"/>
      <c r="AU59" s="30"/>
      <c r="AW59" s="2" t="s">
        <v>7118</v>
      </c>
      <c r="AY59" s="94" t="s">
        <v>7124</v>
      </c>
    </row>
    <row r="60" spans="1:51" ht="16.5">
      <c r="A60" s="26" t="s">
        <v>7230</v>
      </c>
      <c r="B60" s="26" t="s">
        <v>4383</v>
      </c>
      <c r="C60" s="26" t="s">
        <v>73</v>
      </c>
      <c r="D60" s="26" t="s">
        <v>7231</v>
      </c>
      <c r="E60" s="124" t="s">
        <v>162</v>
      </c>
      <c r="F60" s="26" t="s">
        <v>7232</v>
      </c>
      <c r="G60" s="72" t="s">
        <v>7233</v>
      </c>
      <c r="H60" s="140" t="s">
        <v>165</v>
      </c>
      <c r="I60" s="141">
        <v>202606.4</v>
      </c>
      <c r="J60" s="121">
        <v>6.24</v>
      </c>
      <c r="K60" s="26" t="s">
        <v>73</v>
      </c>
      <c r="L60" s="26" t="s">
        <v>6894</v>
      </c>
      <c r="M60" s="26" t="s">
        <v>7234</v>
      </c>
      <c r="N60" s="27" t="s">
        <v>7235</v>
      </c>
      <c r="O60" s="26"/>
      <c r="P60" s="32">
        <v>4</v>
      </c>
      <c r="Q60" s="32">
        <v>16</v>
      </c>
      <c r="R60" s="32">
        <v>266.39999999999998</v>
      </c>
      <c r="S60" s="26" t="s">
        <v>99</v>
      </c>
      <c r="T60" s="30" t="s">
        <v>100</v>
      </c>
      <c r="U60" s="38" t="s">
        <v>115</v>
      </c>
      <c r="V60" s="38" t="s">
        <v>6477</v>
      </c>
      <c r="W60" s="26" t="s">
        <v>112</v>
      </c>
      <c r="X60" s="26" t="s">
        <v>7075</v>
      </c>
      <c r="Y60" s="26" t="s">
        <v>7075</v>
      </c>
      <c r="Z60" s="26" t="s">
        <v>172</v>
      </c>
      <c r="AA60" s="39" t="s">
        <v>21</v>
      </c>
      <c r="AB60" s="30" t="s">
        <v>172</v>
      </c>
      <c r="AC60" s="25" t="s">
        <v>173</v>
      </c>
      <c r="AD60" s="26" t="s">
        <v>174</v>
      </c>
      <c r="AE60" s="26" t="s">
        <v>175</v>
      </c>
      <c r="AF60" s="32">
        <f t="shared" si="2"/>
        <v>1</v>
      </c>
      <c r="AG60" s="32">
        <v>1</v>
      </c>
      <c r="AH60" s="32">
        <v>1</v>
      </c>
      <c r="AI60" s="32">
        <v>1</v>
      </c>
      <c r="AJ60" s="32">
        <v>1</v>
      </c>
      <c r="AK60" s="32">
        <f t="shared" si="3"/>
        <v>1</v>
      </c>
      <c r="AL60" s="30"/>
      <c r="AM60" s="32">
        <v>1</v>
      </c>
      <c r="AN60" s="30"/>
      <c r="AO60" s="30"/>
      <c r="AP60" s="32">
        <v>1</v>
      </c>
      <c r="AQ60" s="32">
        <v>1</v>
      </c>
      <c r="AR60" s="32"/>
      <c r="AS60" s="32">
        <v>1</v>
      </c>
      <c r="AT60" s="30" t="s">
        <v>7236</v>
      </c>
      <c r="AU60" s="30"/>
      <c r="AW60" s="2" t="s">
        <v>7073</v>
      </c>
      <c r="AY60" s="94" t="s">
        <v>7115</v>
      </c>
    </row>
    <row r="61" spans="1:51" ht="16.5">
      <c r="A61" s="26" t="s">
        <v>7237</v>
      </c>
      <c r="B61" s="26" t="s">
        <v>4383</v>
      </c>
      <c r="C61" s="26" t="s">
        <v>73</v>
      </c>
      <c r="D61" s="26" t="s">
        <v>7238</v>
      </c>
      <c r="E61" s="124" t="s">
        <v>162</v>
      </c>
      <c r="F61" s="26" t="s">
        <v>7239</v>
      </c>
      <c r="G61" s="26" t="s">
        <v>7240</v>
      </c>
      <c r="H61" s="140" t="s">
        <v>3383</v>
      </c>
      <c r="I61" s="141">
        <v>202606.4</v>
      </c>
      <c r="J61" s="121">
        <v>6.24</v>
      </c>
      <c r="K61" s="26" t="s">
        <v>73</v>
      </c>
      <c r="L61" s="26" t="s">
        <v>7241</v>
      </c>
      <c r="M61" s="26" t="s">
        <v>7242</v>
      </c>
      <c r="N61" s="27" t="s">
        <v>7243</v>
      </c>
      <c r="O61" s="26"/>
      <c r="P61" s="32">
        <v>4</v>
      </c>
      <c r="Q61" s="32">
        <v>16</v>
      </c>
      <c r="R61" s="32">
        <v>269.99</v>
      </c>
      <c r="S61" s="26" t="s">
        <v>99</v>
      </c>
      <c r="T61" s="30" t="s">
        <v>100</v>
      </c>
      <c r="U61" s="38" t="s">
        <v>115</v>
      </c>
      <c r="V61" s="38" t="s">
        <v>6477</v>
      </c>
      <c r="W61" s="26" t="s">
        <v>112</v>
      </c>
      <c r="X61" s="26" t="s">
        <v>7075</v>
      </c>
      <c r="Y61" s="26" t="s">
        <v>7075</v>
      </c>
      <c r="Z61" s="26" t="s">
        <v>172</v>
      </c>
      <c r="AA61" s="26" t="s">
        <v>15</v>
      </c>
      <c r="AB61" s="30" t="s">
        <v>172</v>
      </c>
      <c r="AC61" s="25" t="s">
        <v>173</v>
      </c>
      <c r="AD61" s="26" t="s">
        <v>174</v>
      </c>
      <c r="AE61" s="26" t="s">
        <v>175</v>
      </c>
      <c r="AF61" s="32">
        <f t="shared" si="2"/>
        <v>1</v>
      </c>
      <c r="AG61" s="32">
        <v>1</v>
      </c>
      <c r="AH61" s="32">
        <v>1</v>
      </c>
      <c r="AI61" s="32">
        <v>1</v>
      </c>
      <c r="AJ61" s="32">
        <v>1</v>
      </c>
      <c r="AK61" s="32">
        <f t="shared" si="3"/>
        <v>1</v>
      </c>
      <c r="AL61" s="30">
        <v>1</v>
      </c>
      <c r="AM61" s="32">
        <v>1</v>
      </c>
      <c r="AN61" s="30">
        <v>1</v>
      </c>
      <c r="AO61" s="30">
        <v>1</v>
      </c>
      <c r="AP61" s="32">
        <v>1</v>
      </c>
      <c r="AQ61" s="32">
        <v>1</v>
      </c>
      <c r="AR61" s="32"/>
      <c r="AS61" s="32">
        <v>1</v>
      </c>
      <c r="AT61" s="30"/>
      <c r="AU61" s="30"/>
      <c r="AW61" s="2" t="s">
        <v>7244</v>
      </c>
      <c r="AY61" s="94" t="s">
        <v>7070</v>
      </c>
    </row>
    <row r="62" spans="1:51" ht="16.5">
      <c r="A62" s="26" t="s">
        <v>7245</v>
      </c>
      <c r="B62" s="26" t="s">
        <v>4383</v>
      </c>
      <c r="C62" s="26" t="s">
        <v>73</v>
      </c>
      <c r="D62" s="26" t="s">
        <v>7246</v>
      </c>
      <c r="E62" s="124" t="s">
        <v>162</v>
      </c>
      <c r="F62" s="26" t="s">
        <v>7247</v>
      </c>
      <c r="G62" s="26" t="s">
        <v>7248</v>
      </c>
      <c r="H62" s="140" t="s">
        <v>165</v>
      </c>
      <c r="I62" s="141">
        <v>202606.4</v>
      </c>
      <c r="J62" s="121">
        <v>6.24</v>
      </c>
      <c r="K62" s="26" t="s">
        <v>73</v>
      </c>
      <c r="L62" s="26" t="s">
        <v>7244</v>
      </c>
      <c r="M62" s="26" t="s">
        <v>7249</v>
      </c>
      <c r="N62" s="27" t="s">
        <v>7250</v>
      </c>
      <c r="O62" s="26"/>
      <c r="P62" s="32">
        <v>4</v>
      </c>
      <c r="Q62" s="32">
        <v>16</v>
      </c>
      <c r="R62" s="32">
        <v>267.06</v>
      </c>
      <c r="S62" s="26" t="s">
        <v>99</v>
      </c>
      <c r="T62" s="30" t="s">
        <v>100</v>
      </c>
      <c r="U62" s="38" t="s">
        <v>115</v>
      </c>
      <c r="V62" s="38" t="s">
        <v>6477</v>
      </c>
      <c r="W62" s="26" t="s">
        <v>112</v>
      </c>
      <c r="X62" s="26" t="s">
        <v>7075</v>
      </c>
      <c r="Y62" s="26" t="s">
        <v>7075</v>
      </c>
      <c r="Z62" s="26" t="s">
        <v>172</v>
      </c>
      <c r="AA62" s="26" t="s">
        <v>15</v>
      </c>
      <c r="AB62" s="30" t="s">
        <v>172</v>
      </c>
      <c r="AC62" s="25" t="s">
        <v>173</v>
      </c>
      <c r="AD62" s="26" t="s">
        <v>174</v>
      </c>
      <c r="AE62" s="26" t="s">
        <v>175</v>
      </c>
      <c r="AF62" s="32">
        <f t="shared" si="2"/>
        <v>1</v>
      </c>
      <c r="AG62" s="32">
        <v>1</v>
      </c>
      <c r="AH62" s="32">
        <v>1</v>
      </c>
      <c r="AI62" s="32">
        <v>1</v>
      </c>
      <c r="AJ62" s="32">
        <v>1</v>
      </c>
      <c r="AK62" s="32">
        <f t="shared" si="3"/>
        <v>1</v>
      </c>
      <c r="AL62" s="30">
        <v>1</v>
      </c>
      <c r="AM62" s="32">
        <v>1</v>
      </c>
      <c r="AN62" s="30">
        <v>1</v>
      </c>
      <c r="AO62" s="30">
        <v>1</v>
      </c>
      <c r="AP62" s="32">
        <v>1</v>
      </c>
      <c r="AQ62" s="32">
        <v>1</v>
      </c>
      <c r="AR62" s="32"/>
      <c r="AS62" s="32">
        <v>1</v>
      </c>
      <c r="AT62" s="30"/>
      <c r="AU62" s="30"/>
      <c r="AW62" s="2" t="s">
        <v>7213</v>
      </c>
      <c r="AY62" s="75" t="s">
        <v>7246</v>
      </c>
    </row>
    <row r="63" spans="1:51" ht="16.5">
      <c r="A63" s="26" t="s">
        <v>7251</v>
      </c>
      <c r="B63" s="26" t="s">
        <v>4383</v>
      </c>
      <c r="C63" s="26" t="s">
        <v>73</v>
      </c>
      <c r="D63" s="26" t="s">
        <v>7252</v>
      </c>
      <c r="E63" s="124" t="s">
        <v>162</v>
      </c>
      <c r="F63" s="26" t="s">
        <v>7253</v>
      </c>
      <c r="G63" s="26" t="s">
        <v>7254</v>
      </c>
      <c r="H63" s="140" t="s">
        <v>165</v>
      </c>
      <c r="I63" s="141">
        <v>202606.4</v>
      </c>
      <c r="J63" s="121">
        <v>6.24</v>
      </c>
      <c r="K63" s="26" t="s">
        <v>73</v>
      </c>
      <c r="L63" s="26" t="s">
        <v>7255</v>
      </c>
      <c r="M63" s="26" t="s">
        <v>7256</v>
      </c>
      <c r="N63" s="27" t="s">
        <v>7257</v>
      </c>
      <c r="O63" s="26"/>
      <c r="P63" s="32">
        <v>4</v>
      </c>
      <c r="Q63" s="32">
        <v>16</v>
      </c>
      <c r="R63" s="32">
        <v>266.45999999999998</v>
      </c>
      <c r="S63" s="26" t="s">
        <v>99</v>
      </c>
      <c r="T63" s="30" t="s">
        <v>100</v>
      </c>
      <c r="U63" s="38" t="s">
        <v>115</v>
      </c>
      <c r="V63" s="38" t="s">
        <v>6477</v>
      </c>
      <c r="W63" s="26" t="s">
        <v>112</v>
      </c>
      <c r="X63" s="26" t="s">
        <v>7075</v>
      </c>
      <c r="Y63" s="26" t="s">
        <v>7075</v>
      </c>
      <c r="Z63" s="26" t="s">
        <v>172</v>
      </c>
      <c r="AA63" s="26" t="s">
        <v>15</v>
      </c>
      <c r="AB63" s="30" t="s">
        <v>172</v>
      </c>
      <c r="AC63" s="25" t="s">
        <v>173</v>
      </c>
      <c r="AD63" s="26" t="s">
        <v>174</v>
      </c>
      <c r="AE63" s="26" t="s">
        <v>175</v>
      </c>
      <c r="AF63" s="32">
        <f t="shared" si="2"/>
        <v>1</v>
      </c>
      <c r="AG63" s="32">
        <v>1</v>
      </c>
      <c r="AH63" s="32">
        <v>1</v>
      </c>
      <c r="AI63" s="32">
        <v>1</v>
      </c>
      <c r="AJ63" s="32">
        <v>1</v>
      </c>
      <c r="AK63" s="32">
        <f t="shared" si="3"/>
        <v>1</v>
      </c>
      <c r="AL63" s="30">
        <v>1</v>
      </c>
      <c r="AM63" s="32">
        <v>1</v>
      </c>
      <c r="AN63" s="30">
        <v>1</v>
      </c>
      <c r="AO63" s="30">
        <v>1</v>
      </c>
      <c r="AP63" s="32">
        <v>1</v>
      </c>
      <c r="AQ63" s="32">
        <v>1</v>
      </c>
      <c r="AR63" s="32"/>
      <c r="AS63" s="32">
        <v>1</v>
      </c>
      <c r="AT63" s="30"/>
      <c r="AU63" s="30"/>
      <c r="AW63" s="2" t="s">
        <v>7227</v>
      </c>
      <c r="AY63" s="94" t="s">
        <v>7210</v>
      </c>
    </row>
    <row r="64" spans="1:51" ht="16.5">
      <c r="A64" s="26" t="s">
        <v>7258</v>
      </c>
      <c r="B64" s="26" t="s">
        <v>4383</v>
      </c>
      <c r="C64" s="26" t="s">
        <v>73</v>
      </c>
      <c r="D64" s="26" t="s">
        <v>7259</v>
      </c>
      <c r="E64" s="124" t="s">
        <v>162</v>
      </c>
      <c r="F64" s="26" t="s">
        <v>7260</v>
      </c>
      <c r="G64" s="72" t="s">
        <v>7261</v>
      </c>
      <c r="H64" s="140" t="s">
        <v>165</v>
      </c>
      <c r="I64" s="141">
        <v>202606.4</v>
      </c>
      <c r="J64" s="121">
        <v>6.24</v>
      </c>
      <c r="K64" s="26" t="s">
        <v>73</v>
      </c>
      <c r="L64" s="26" t="s">
        <v>7262</v>
      </c>
      <c r="M64" s="26" t="s">
        <v>7263</v>
      </c>
      <c r="N64" s="27" t="s">
        <v>7264</v>
      </c>
      <c r="O64" s="26"/>
      <c r="P64" s="32">
        <v>4</v>
      </c>
      <c r="Q64" s="32">
        <v>16</v>
      </c>
      <c r="R64" s="32">
        <v>275.95</v>
      </c>
      <c r="S64" s="26" t="s">
        <v>99</v>
      </c>
      <c r="T64" s="30" t="s">
        <v>100</v>
      </c>
      <c r="U64" s="38" t="s">
        <v>115</v>
      </c>
      <c r="V64" s="38" t="s">
        <v>6477</v>
      </c>
      <c r="W64" s="26" t="s">
        <v>112</v>
      </c>
      <c r="X64" s="26" t="s">
        <v>7075</v>
      </c>
      <c r="Y64" s="26" t="s">
        <v>7075</v>
      </c>
      <c r="Z64" s="26" t="s">
        <v>172</v>
      </c>
      <c r="AA64" s="26" t="s">
        <v>15</v>
      </c>
      <c r="AB64" s="30" t="s">
        <v>172</v>
      </c>
      <c r="AC64" s="25" t="s">
        <v>173</v>
      </c>
      <c r="AD64" s="26" t="s">
        <v>174</v>
      </c>
      <c r="AE64" s="26" t="s">
        <v>175</v>
      </c>
      <c r="AF64" s="32">
        <f t="shared" si="2"/>
        <v>1</v>
      </c>
      <c r="AG64" s="32">
        <v>1</v>
      </c>
      <c r="AH64" s="32">
        <v>1</v>
      </c>
      <c r="AI64" s="32">
        <v>1</v>
      </c>
      <c r="AJ64" s="32">
        <v>1</v>
      </c>
      <c r="AK64" s="32">
        <f t="shared" si="3"/>
        <v>1</v>
      </c>
      <c r="AL64" s="30">
        <v>1</v>
      </c>
      <c r="AM64" s="32">
        <v>1</v>
      </c>
      <c r="AN64" s="30">
        <v>1</v>
      </c>
      <c r="AO64" s="30">
        <v>1</v>
      </c>
      <c r="AP64" s="32">
        <v>1</v>
      </c>
      <c r="AQ64" s="32">
        <v>1</v>
      </c>
      <c r="AR64" s="32"/>
      <c r="AS64" s="32">
        <v>1</v>
      </c>
      <c r="AT64" s="30"/>
      <c r="AU64" s="30"/>
      <c r="AW64" s="2" t="s">
        <v>7265</v>
      </c>
      <c r="AY64" s="94" t="s">
        <v>5970</v>
      </c>
    </row>
    <row r="65" spans="1:51" ht="16.5">
      <c r="A65" s="26" t="s">
        <v>7266</v>
      </c>
      <c r="B65" s="26" t="s">
        <v>4383</v>
      </c>
      <c r="C65" s="26" t="s">
        <v>73</v>
      </c>
      <c r="D65" s="26" t="s">
        <v>7267</v>
      </c>
      <c r="E65" s="124" t="s">
        <v>499</v>
      </c>
      <c r="F65" s="26" t="s">
        <v>7268</v>
      </c>
      <c r="G65" s="26" t="s">
        <v>735</v>
      </c>
      <c r="H65" s="140" t="s">
        <v>165</v>
      </c>
      <c r="I65" s="141">
        <v>202606.4</v>
      </c>
      <c r="J65" s="121">
        <v>6.24</v>
      </c>
      <c r="K65" s="26" t="s">
        <v>73</v>
      </c>
      <c r="L65" s="26" t="s">
        <v>7265</v>
      </c>
      <c r="M65" s="26" t="s">
        <v>7269</v>
      </c>
      <c r="N65" s="27" t="s">
        <v>7270</v>
      </c>
      <c r="O65" s="26"/>
      <c r="P65" s="32">
        <v>2</v>
      </c>
      <c r="Q65" s="32">
        <v>8</v>
      </c>
      <c r="R65" s="32">
        <v>262.13</v>
      </c>
      <c r="S65" s="26" t="s">
        <v>99</v>
      </c>
      <c r="T65" s="30" t="s">
        <v>100</v>
      </c>
      <c r="U65" s="38" t="s">
        <v>115</v>
      </c>
      <c r="V65" s="38" t="s">
        <v>6477</v>
      </c>
      <c r="W65" s="26" t="s">
        <v>112</v>
      </c>
      <c r="X65" s="26" t="s">
        <v>7075</v>
      </c>
      <c r="Y65" s="26" t="s">
        <v>7075</v>
      </c>
      <c r="Z65" s="26" t="s">
        <v>172</v>
      </c>
      <c r="AA65" s="26" t="s">
        <v>15</v>
      </c>
      <c r="AB65" s="30" t="s">
        <v>172</v>
      </c>
      <c r="AC65" s="25" t="s">
        <v>173</v>
      </c>
      <c r="AD65" s="26" t="s">
        <v>174</v>
      </c>
      <c r="AE65" s="26" t="s">
        <v>175</v>
      </c>
      <c r="AF65" s="32">
        <f t="shared" si="2"/>
        <v>1</v>
      </c>
      <c r="AG65" s="32">
        <v>1</v>
      </c>
      <c r="AH65" s="32">
        <v>1</v>
      </c>
      <c r="AI65" s="32">
        <v>1</v>
      </c>
      <c r="AJ65" s="32">
        <v>1</v>
      </c>
      <c r="AK65" s="32">
        <f t="shared" si="3"/>
        <v>1</v>
      </c>
      <c r="AL65" s="30">
        <v>1</v>
      </c>
      <c r="AM65" s="32">
        <v>1</v>
      </c>
      <c r="AN65" s="30">
        <v>1</v>
      </c>
      <c r="AO65" s="30">
        <v>1</v>
      </c>
      <c r="AP65" s="32">
        <v>1</v>
      </c>
      <c r="AQ65" s="32">
        <v>1</v>
      </c>
      <c r="AR65" s="32"/>
      <c r="AS65" s="32">
        <v>1</v>
      </c>
      <c r="AT65" s="30"/>
      <c r="AU65" s="30"/>
      <c r="AW65" s="2" t="s">
        <v>7262</v>
      </c>
      <c r="AY65" s="94" t="s">
        <v>7224</v>
      </c>
    </row>
    <row r="66" spans="1:51" ht="16.5">
      <c r="A66" s="26" t="s">
        <v>7271</v>
      </c>
      <c r="B66" s="26" t="s">
        <v>4383</v>
      </c>
      <c r="C66" s="26" t="s">
        <v>73</v>
      </c>
      <c r="D66" s="26" t="s">
        <v>7272</v>
      </c>
      <c r="E66" s="124" t="s">
        <v>499</v>
      </c>
      <c r="F66" s="26" t="s">
        <v>7273</v>
      </c>
      <c r="G66" s="26" t="s">
        <v>7274</v>
      </c>
      <c r="H66" s="140" t="s">
        <v>165</v>
      </c>
      <c r="I66" s="141">
        <v>202606.4</v>
      </c>
      <c r="J66" s="121">
        <v>6.24</v>
      </c>
      <c r="K66" s="26" t="s">
        <v>73</v>
      </c>
      <c r="L66" s="26" t="s">
        <v>7275</v>
      </c>
      <c r="M66" s="26" t="s">
        <v>7276</v>
      </c>
      <c r="N66" s="27" t="s">
        <v>7277</v>
      </c>
      <c r="O66" s="26"/>
      <c r="P66" s="32">
        <v>2</v>
      </c>
      <c r="Q66" s="32">
        <v>8</v>
      </c>
      <c r="R66" s="32">
        <v>267.38</v>
      </c>
      <c r="S66" s="26" t="s">
        <v>99</v>
      </c>
      <c r="T66" s="30" t="s">
        <v>100</v>
      </c>
      <c r="U66" s="38" t="s">
        <v>115</v>
      </c>
      <c r="V66" s="38" t="s">
        <v>6695</v>
      </c>
      <c r="W66" s="26" t="s">
        <v>112</v>
      </c>
      <c r="X66" s="26" t="s">
        <v>7075</v>
      </c>
      <c r="Y66" s="26" t="s">
        <v>7075</v>
      </c>
      <c r="Z66" s="26" t="s">
        <v>172</v>
      </c>
      <c r="AA66" s="26" t="s">
        <v>17</v>
      </c>
      <c r="AB66" s="30" t="s">
        <v>172</v>
      </c>
      <c r="AC66" s="25" t="s">
        <v>173</v>
      </c>
      <c r="AD66" s="26" t="s">
        <v>174</v>
      </c>
      <c r="AE66" s="26" t="s">
        <v>175</v>
      </c>
      <c r="AF66" s="32">
        <f t="shared" si="2"/>
        <v>1</v>
      </c>
      <c r="AG66" s="32">
        <v>1</v>
      </c>
      <c r="AH66" s="32">
        <v>1</v>
      </c>
      <c r="AI66" s="32">
        <v>1</v>
      </c>
      <c r="AJ66" s="32">
        <v>1</v>
      </c>
      <c r="AK66" s="32">
        <f t="shared" si="3"/>
        <v>1</v>
      </c>
      <c r="AL66" s="30">
        <v>1</v>
      </c>
      <c r="AM66" s="32">
        <v>1</v>
      </c>
      <c r="AN66" s="30">
        <v>1</v>
      </c>
      <c r="AO66" s="30">
        <v>1</v>
      </c>
      <c r="AP66" s="32">
        <v>1</v>
      </c>
      <c r="AQ66" s="32">
        <v>1</v>
      </c>
      <c r="AR66" s="32"/>
      <c r="AS66" s="32">
        <v>1</v>
      </c>
      <c r="AT66" s="142" t="s">
        <v>7278</v>
      </c>
      <c r="AU66" s="30"/>
      <c r="AW66" s="2" t="s">
        <v>7255</v>
      </c>
      <c r="AY66" s="94" t="s">
        <v>7267</v>
      </c>
    </row>
    <row r="67" spans="1:51" ht="16.5">
      <c r="A67" s="26" t="s">
        <v>7279</v>
      </c>
      <c r="B67" s="26" t="s">
        <v>4383</v>
      </c>
      <c r="C67" s="26" t="s">
        <v>73</v>
      </c>
      <c r="D67" s="26" t="s">
        <v>7280</v>
      </c>
      <c r="E67" s="124" t="s">
        <v>499</v>
      </c>
      <c r="F67" s="26" t="s">
        <v>7281</v>
      </c>
      <c r="G67" s="26" t="s">
        <v>7282</v>
      </c>
      <c r="H67" s="140" t="s">
        <v>165</v>
      </c>
      <c r="I67" s="141">
        <v>202606.4</v>
      </c>
      <c r="J67" s="121">
        <v>6.24</v>
      </c>
      <c r="K67" s="26" t="s">
        <v>73</v>
      </c>
      <c r="L67" s="26" t="s">
        <v>7283</v>
      </c>
      <c r="M67" s="26" t="s">
        <v>7284</v>
      </c>
      <c r="N67" s="27" t="s">
        <v>7285</v>
      </c>
      <c r="O67" s="26"/>
      <c r="P67" s="32">
        <v>2</v>
      </c>
      <c r="Q67" s="32">
        <v>8</v>
      </c>
      <c r="R67" s="32">
        <v>261.19</v>
      </c>
      <c r="S67" s="26" t="s">
        <v>99</v>
      </c>
      <c r="T67" s="30" t="s">
        <v>100</v>
      </c>
      <c r="U67" s="38" t="s">
        <v>115</v>
      </c>
      <c r="V67" s="38" t="s">
        <v>6695</v>
      </c>
      <c r="W67" s="26" t="s">
        <v>112</v>
      </c>
      <c r="X67" s="26" t="s">
        <v>7075</v>
      </c>
      <c r="Y67" s="26" t="s">
        <v>7075</v>
      </c>
      <c r="Z67" s="26" t="s">
        <v>172</v>
      </c>
      <c r="AA67" s="26" t="s">
        <v>17</v>
      </c>
      <c r="AB67" s="30" t="s">
        <v>172</v>
      </c>
      <c r="AC67" s="25" t="s">
        <v>173</v>
      </c>
      <c r="AD67" s="26" t="s">
        <v>174</v>
      </c>
      <c r="AE67" s="26" t="s">
        <v>175</v>
      </c>
      <c r="AF67" s="32">
        <f t="shared" ref="AF67:AF111" si="4">IF(COUNTIF(AY:AY,D67)&gt;0,1,0)</f>
        <v>1</v>
      </c>
      <c r="AG67" s="32">
        <v>1</v>
      </c>
      <c r="AH67" s="32">
        <v>1</v>
      </c>
      <c r="AI67" s="32">
        <v>1</v>
      </c>
      <c r="AJ67" s="32">
        <v>1</v>
      </c>
      <c r="AK67" s="32">
        <f t="shared" ref="AK67:AK111" si="5">IF(COUNTIF(AW:AW,"*"&amp;L67&amp;"*")&gt;0,1,0)</f>
        <v>1</v>
      </c>
      <c r="AL67" s="30">
        <v>1</v>
      </c>
      <c r="AM67" s="32">
        <v>1</v>
      </c>
      <c r="AN67" s="30">
        <v>1</v>
      </c>
      <c r="AO67" s="30">
        <v>1</v>
      </c>
      <c r="AP67" s="32">
        <v>1</v>
      </c>
      <c r="AQ67" s="32">
        <v>1</v>
      </c>
      <c r="AR67" s="32"/>
      <c r="AS67" s="32">
        <v>1</v>
      </c>
      <c r="AT67" s="30"/>
      <c r="AU67" s="30"/>
      <c r="AW67" s="2" t="s">
        <v>7241</v>
      </c>
      <c r="AY67" s="94" t="s">
        <v>7259</v>
      </c>
    </row>
    <row r="68" spans="1:51" ht="16.5">
      <c r="A68" s="26" t="s">
        <v>7286</v>
      </c>
      <c r="B68" s="26" t="s">
        <v>4383</v>
      </c>
      <c r="C68" s="26" t="s">
        <v>73</v>
      </c>
      <c r="D68" s="26" t="s">
        <v>7287</v>
      </c>
      <c r="E68" s="124" t="s">
        <v>162</v>
      </c>
      <c r="F68" s="26" t="s">
        <v>7288</v>
      </c>
      <c r="G68" s="26" t="s">
        <v>7289</v>
      </c>
      <c r="H68" s="140" t="s">
        <v>165</v>
      </c>
      <c r="I68" s="141">
        <v>202606.4</v>
      </c>
      <c r="J68" s="121">
        <v>6.24</v>
      </c>
      <c r="K68" s="26" t="s">
        <v>73</v>
      </c>
      <c r="L68" s="26" t="s">
        <v>7290</v>
      </c>
      <c r="M68" s="26" t="s">
        <v>7291</v>
      </c>
      <c r="N68" s="27" t="s">
        <v>7292</v>
      </c>
      <c r="O68" s="26"/>
      <c r="P68" s="32">
        <v>4</v>
      </c>
      <c r="Q68" s="32">
        <v>16</v>
      </c>
      <c r="R68" s="32">
        <v>266.16000000000003</v>
      </c>
      <c r="S68" s="26" t="s">
        <v>99</v>
      </c>
      <c r="T68" s="30" t="s">
        <v>100</v>
      </c>
      <c r="U68" s="38" t="s">
        <v>115</v>
      </c>
      <c r="V68" s="38" t="s">
        <v>6695</v>
      </c>
      <c r="W68" s="26" t="s">
        <v>112</v>
      </c>
      <c r="X68" s="26" t="s">
        <v>7075</v>
      </c>
      <c r="Y68" s="26" t="s">
        <v>7075</v>
      </c>
      <c r="Z68" s="26" t="s">
        <v>172</v>
      </c>
      <c r="AA68" s="26" t="s">
        <v>17</v>
      </c>
      <c r="AB68" s="30" t="s">
        <v>172</v>
      </c>
      <c r="AC68" s="25" t="s">
        <v>173</v>
      </c>
      <c r="AD68" s="26" t="s">
        <v>174</v>
      </c>
      <c r="AE68" s="26" t="s">
        <v>175</v>
      </c>
      <c r="AF68" s="32">
        <f t="shared" si="4"/>
        <v>1</v>
      </c>
      <c r="AG68" s="32">
        <v>1</v>
      </c>
      <c r="AH68" s="32">
        <v>1</v>
      </c>
      <c r="AI68" s="32">
        <v>1</v>
      </c>
      <c r="AJ68" s="32">
        <v>1</v>
      </c>
      <c r="AK68" s="32">
        <f t="shared" si="5"/>
        <v>1</v>
      </c>
      <c r="AL68" s="30">
        <v>1</v>
      </c>
      <c r="AM68" s="32">
        <v>1</v>
      </c>
      <c r="AN68" s="30">
        <v>1</v>
      </c>
      <c r="AO68" s="30">
        <v>1</v>
      </c>
      <c r="AP68" s="32">
        <v>1</v>
      </c>
      <c r="AQ68" s="32">
        <v>1</v>
      </c>
      <c r="AR68" s="32"/>
      <c r="AS68" s="32">
        <v>1</v>
      </c>
      <c r="AT68" s="30"/>
      <c r="AU68" s="30"/>
      <c r="AW68" s="2" t="s">
        <v>7205</v>
      </c>
      <c r="AY68" s="94" t="s">
        <v>7252</v>
      </c>
    </row>
    <row r="69" spans="1:51" ht="16.5">
      <c r="A69" s="26" t="s">
        <v>7293</v>
      </c>
      <c r="B69" s="26" t="s">
        <v>4383</v>
      </c>
      <c r="C69" s="26" t="s">
        <v>73</v>
      </c>
      <c r="D69" s="26" t="s">
        <v>7294</v>
      </c>
      <c r="E69" s="124" t="s">
        <v>499</v>
      </c>
      <c r="F69" s="26" t="s">
        <v>7295</v>
      </c>
      <c r="G69" s="26" t="s">
        <v>7296</v>
      </c>
      <c r="H69" s="140" t="s">
        <v>165</v>
      </c>
      <c r="I69" s="141">
        <v>202606.4</v>
      </c>
      <c r="J69" s="121">
        <v>6.24</v>
      </c>
      <c r="K69" s="26" t="s">
        <v>73</v>
      </c>
      <c r="L69" s="26" t="s">
        <v>7297</v>
      </c>
      <c r="M69" s="26" t="s">
        <v>7298</v>
      </c>
      <c r="N69" s="27" t="s">
        <v>7299</v>
      </c>
      <c r="O69" s="26"/>
      <c r="P69" s="32">
        <v>2</v>
      </c>
      <c r="Q69" s="32">
        <v>8</v>
      </c>
      <c r="R69" s="32">
        <v>259.48</v>
      </c>
      <c r="S69" s="26" t="s">
        <v>99</v>
      </c>
      <c r="T69" s="30" t="s">
        <v>100</v>
      </c>
      <c r="U69" s="38" t="s">
        <v>115</v>
      </c>
      <c r="V69" s="38" t="s">
        <v>6695</v>
      </c>
      <c r="W69" s="26" t="s">
        <v>112</v>
      </c>
      <c r="X69" s="26" t="s">
        <v>7075</v>
      </c>
      <c r="Y69" s="26" t="s">
        <v>7075</v>
      </c>
      <c r="Z69" s="26" t="s">
        <v>172</v>
      </c>
      <c r="AA69" s="26" t="s">
        <v>17</v>
      </c>
      <c r="AB69" s="30" t="s">
        <v>172</v>
      </c>
      <c r="AC69" s="25" t="s">
        <v>173</v>
      </c>
      <c r="AD69" s="26" t="s">
        <v>174</v>
      </c>
      <c r="AE69" s="26" t="s">
        <v>175</v>
      </c>
      <c r="AF69" s="32">
        <f t="shared" si="4"/>
        <v>1</v>
      </c>
      <c r="AG69" s="32">
        <v>1</v>
      </c>
      <c r="AH69" s="32">
        <v>1</v>
      </c>
      <c r="AI69" s="32">
        <v>1</v>
      </c>
      <c r="AJ69" s="32">
        <v>1</v>
      </c>
      <c r="AK69" s="32">
        <f t="shared" si="5"/>
        <v>1</v>
      </c>
      <c r="AL69" s="30">
        <v>1</v>
      </c>
      <c r="AM69" s="32">
        <v>1</v>
      </c>
      <c r="AN69" s="30">
        <v>1</v>
      </c>
      <c r="AO69" s="30">
        <v>1</v>
      </c>
      <c r="AP69" s="32">
        <v>1</v>
      </c>
      <c r="AQ69" s="32">
        <v>1</v>
      </c>
      <c r="AR69" s="32"/>
      <c r="AS69" s="32">
        <v>1</v>
      </c>
      <c r="AT69" s="30"/>
      <c r="AU69" s="30"/>
      <c r="AW69" s="2" t="s">
        <v>7220</v>
      </c>
      <c r="AY69" s="94" t="s">
        <v>7238</v>
      </c>
    </row>
    <row r="70" spans="1:51" ht="16.5" hidden="1">
      <c r="A70" s="26" t="s">
        <v>7300</v>
      </c>
      <c r="B70" s="26" t="s">
        <v>4383</v>
      </c>
      <c r="C70" s="26" t="s">
        <v>73</v>
      </c>
      <c r="D70" s="26" t="s">
        <v>7301</v>
      </c>
      <c r="E70" s="124" t="s">
        <v>162</v>
      </c>
      <c r="F70" s="26" t="s">
        <v>7302</v>
      </c>
      <c r="G70" s="26" t="s">
        <v>7303</v>
      </c>
      <c r="H70" s="140" t="s">
        <v>165</v>
      </c>
      <c r="I70" s="141">
        <v>202606.4</v>
      </c>
      <c r="J70" s="143" t="s">
        <v>3213</v>
      </c>
      <c r="K70" s="26" t="s">
        <v>73</v>
      </c>
      <c r="L70" s="26" t="s">
        <v>7304</v>
      </c>
      <c r="M70" s="26" t="s">
        <v>7305</v>
      </c>
      <c r="N70" s="27" t="s">
        <v>7306</v>
      </c>
      <c r="O70" s="26"/>
      <c r="P70" s="32">
        <v>4</v>
      </c>
      <c r="Q70" s="32">
        <v>16</v>
      </c>
      <c r="R70" s="32">
        <v>267.94</v>
      </c>
      <c r="S70" s="26" t="s">
        <v>99</v>
      </c>
      <c r="T70" s="30" t="s">
        <v>100</v>
      </c>
      <c r="U70" s="38" t="s">
        <v>115</v>
      </c>
      <c r="V70" s="38" t="s">
        <v>6695</v>
      </c>
      <c r="W70" s="26" t="s">
        <v>112</v>
      </c>
      <c r="X70" s="26" t="s">
        <v>7075</v>
      </c>
      <c r="Y70" s="26" t="s">
        <v>7075</v>
      </c>
      <c r="Z70" s="26" t="s">
        <v>172</v>
      </c>
      <c r="AA70" s="39" t="s">
        <v>21</v>
      </c>
      <c r="AB70" s="30" t="s">
        <v>172</v>
      </c>
      <c r="AC70" s="25" t="s">
        <v>173</v>
      </c>
      <c r="AD70" s="26" t="s">
        <v>174</v>
      </c>
      <c r="AE70" s="26" t="s">
        <v>175</v>
      </c>
      <c r="AF70" s="32">
        <f t="shared" si="4"/>
        <v>1</v>
      </c>
      <c r="AG70" s="32">
        <v>1</v>
      </c>
      <c r="AH70" s="32">
        <v>1</v>
      </c>
      <c r="AI70" s="30"/>
      <c r="AJ70" s="30"/>
      <c r="AK70" s="32">
        <f t="shared" si="5"/>
        <v>0</v>
      </c>
      <c r="AL70" s="30"/>
      <c r="AM70" s="30"/>
      <c r="AN70" s="30"/>
      <c r="AO70" s="30"/>
      <c r="AP70" s="30"/>
      <c r="AQ70" s="30"/>
      <c r="AR70" s="30"/>
      <c r="AS70" s="30"/>
      <c r="AT70" s="30"/>
      <c r="AU70" s="26" t="s">
        <v>7185</v>
      </c>
      <c r="AY70" s="94" t="s">
        <v>7202</v>
      </c>
    </row>
    <row r="71" spans="1:51" ht="16.5">
      <c r="A71" s="26" t="s">
        <v>7307</v>
      </c>
      <c r="B71" s="26" t="s">
        <v>4383</v>
      </c>
      <c r="C71" s="26" t="s">
        <v>73</v>
      </c>
      <c r="D71" s="26" t="s">
        <v>7308</v>
      </c>
      <c r="E71" s="124" t="s">
        <v>499</v>
      </c>
      <c r="F71" s="26" t="s">
        <v>7309</v>
      </c>
      <c r="G71" s="26" t="s">
        <v>7310</v>
      </c>
      <c r="H71" s="140" t="s">
        <v>4355</v>
      </c>
      <c r="I71" s="141">
        <v>202606.4</v>
      </c>
      <c r="J71" s="121">
        <v>6.24</v>
      </c>
      <c r="K71" s="26" t="s">
        <v>73</v>
      </c>
      <c r="L71" s="26" t="s">
        <v>6891</v>
      </c>
      <c r="M71" s="26" t="s">
        <v>7311</v>
      </c>
      <c r="N71" s="27" t="s">
        <v>7312</v>
      </c>
      <c r="O71" s="26"/>
      <c r="P71" s="32">
        <v>2</v>
      </c>
      <c r="Q71" s="32">
        <v>8</v>
      </c>
      <c r="R71" s="32">
        <v>268.56</v>
      </c>
      <c r="S71" s="26" t="s">
        <v>99</v>
      </c>
      <c r="T71" s="30" t="s">
        <v>100</v>
      </c>
      <c r="U71" s="38" t="s">
        <v>115</v>
      </c>
      <c r="V71" s="38" t="s">
        <v>6695</v>
      </c>
      <c r="W71" s="26" t="s">
        <v>112</v>
      </c>
      <c r="X71" s="26" t="s">
        <v>7075</v>
      </c>
      <c r="Y71" s="26" t="s">
        <v>7075</v>
      </c>
      <c r="Z71" s="26" t="s">
        <v>172</v>
      </c>
      <c r="AA71" s="39" t="s">
        <v>21</v>
      </c>
      <c r="AB71" s="30" t="s">
        <v>172</v>
      </c>
      <c r="AC71" s="25" t="s">
        <v>173</v>
      </c>
      <c r="AD71" s="26" t="s">
        <v>174</v>
      </c>
      <c r="AE71" s="26" t="s">
        <v>175</v>
      </c>
      <c r="AF71" s="32">
        <f t="shared" si="4"/>
        <v>1</v>
      </c>
      <c r="AG71" s="32">
        <v>1</v>
      </c>
      <c r="AH71" s="32">
        <v>1</v>
      </c>
      <c r="AI71" s="32">
        <v>1</v>
      </c>
      <c r="AJ71" s="32">
        <v>1</v>
      </c>
      <c r="AK71" s="32">
        <f t="shared" si="5"/>
        <v>1</v>
      </c>
      <c r="AL71" s="30"/>
      <c r="AM71" s="32">
        <v>1</v>
      </c>
      <c r="AN71" s="30"/>
      <c r="AO71" s="30"/>
      <c r="AP71" s="32">
        <v>1</v>
      </c>
      <c r="AQ71" s="32">
        <v>1</v>
      </c>
      <c r="AR71" s="32"/>
      <c r="AS71" s="32">
        <v>1</v>
      </c>
      <c r="AT71" s="30"/>
      <c r="AU71" s="30"/>
      <c r="AW71" s="2" t="s">
        <v>7313</v>
      </c>
      <c r="AY71" s="94" t="s">
        <v>6136</v>
      </c>
    </row>
    <row r="72" spans="1:51" ht="16.5">
      <c r="A72" s="26" t="s">
        <v>7314</v>
      </c>
      <c r="B72" s="26" t="s">
        <v>4383</v>
      </c>
      <c r="C72" s="26" t="s">
        <v>73</v>
      </c>
      <c r="D72" s="26" t="s">
        <v>7315</v>
      </c>
      <c r="E72" s="124" t="s">
        <v>162</v>
      </c>
      <c r="F72" s="26" t="s">
        <v>7316</v>
      </c>
      <c r="G72" s="26" t="s">
        <v>7317</v>
      </c>
      <c r="H72" s="140" t="s">
        <v>165</v>
      </c>
      <c r="I72" s="141">
        <v>202606.4</v>
      </c>
      <c r="J72" s="121">
        <v>6.24</v>
      </c>
      <c r="K72" s="26" t="s">
        <v>73</v>
      </c>
      <c r="L72" s="26" t="s">
        <v>7318</v>
      </c>
      <c r="M72" s="26" t="s">
        <v>7319</v>
      </c>
      <c r="N72" s="27" t="s">
        <v>7320</v>
      </c>
      <c r="O72" s="26"/>
      <c r="P72" s="32">
        <v>4</v>
      </c>
      <c r="Q72" s="32">
        <v>16</v>
      </c>
      <c r="R72" s="32">
        <v>266.47000000000003</v>
      </c>
      <c r="S72" s="26" t="s">
        <v>99</v>
      </c>
      <c r="T72" s="30" t="s">
        <v>100</v>
      </c>
      <c r="U72" s="38" t="s">
        <v>115</v>
      </c>
      <c r="V72" s="38" t="s">
        <v>6695</v>
      </c>
      <c r="W72" s="26" t="s">
        <v>112</v>
      </c>
      <c r="X72" s="26" t="s">
        <v>7075</v>
      </c>
      <c r="Y72" s="26" t="s">
        <v>7075</v>
      </c>
      <c r="Z72" s="26" t="s">
        <v>172</v>
      </c>
      <c r="AA72" s="26" t="s">
        <v>17</v>
      </c>
      <c r="AB72" s="30" t="s">
        <v>172</v>
      </c>
      <c r="AC72" s="25" t="s">
        <v>173</v>
      </c>
      <c r="AD72" s="26" t="s">
        <v>174</v>
      </c>
      <c r="AE72" s="26" t="s">
        <v>175</v>
      </c>
      <c r="AF72" s="32">
        <f t="shared" si="4"/>
        <v>1</v>
      </c>
      <c r="AG72" s="32">
        <v>1</v>
      </c>
      <c r="AH72" s="32">
        <v>1</v>
      </c>
      <c r="AI72" s="32">
        <v>1</v>
      </c>
      <c r="AJ72" s="32">
        <v>1</v>
      </c>
      <c r="AK72" s="32">
        <f t="shared" si="5"/>
        <v>1</v>
      </c>
      <c r="AL72" s="30">
        <v>1</v>
      </c>
      <c r="AM72" s="32">
        <v>1</v>
      </c>
      <c r="AN72" s="30">
        <v>1</v>
      </c>
      <c r="AO72" s="30">
        <v>1</v>
      </c>
      <c r="AP72" s="32">
        <v>1</v>
      </c>
      <c r="AQ72" s="32">
        <v>1</v>
      </c>
      <c r="AR72" s="32"/>
      <c r="AS72" s="32">
        <v>1</v>
      </c>
      <c r="AT72" s="30"/>
      <c r="AU72" s="30"/>
      <c r="AW72" s="2" t="s">
        <v>7297</v>
      </c>
      <c r="AY72" s="94" t="s">
        <v>7217</v>
      </c>
    </row>
    <row r="73" spans="1:51" ht="16.5">
      <c r="A73" s="26" t="s">
        <v>7321</v>
      </c>
      <c r="B73" s="26" t="s">
        <v>4383</v>
      </c>
      <c r="C73" s="26" t="s">
        <v>73</v>
      </c>
      <c r="D73" s="26" t="s">
        <v>7322</v>
      </c>
      <c r="E73" s="124" t="s">
        <v>162</v>
      </c>
      <c r="F73" s="26" t="s">
        <v>7321</v>
      </c>
      <c r="G73" s="26" t="s">
        <v>7323</v>
      </c>
      <c r="H73" s="140" t="s">
        <v>165</v>
      </c>
      <c r="I73" s="141">
        <v>202606.4</v>
      </c>
      <c r="J73" s="121">
        <v>6.24</v>
      </c>
      <c r="K73" s="26" t="s">
        <v>73</v>
      </c>
      <c r="L73" s="26" t="s">
        <v>7324</v>
      </c>
      <c r="M73" s="26" t="s">
        <v>7325</v>
      </c>
      <c r="N73" s="27" t="s">
        <v>7326</v>
      </c>
      <c r="O73" s="26"/>
      <c r="P73" s="32">
        <v>4</v>
      </c>
      <c r="Q73" s="32">
        <v>16</v>
      </c>
      <c r="R73" s="32">
        <v>267.32</v>
      </c>
      <c r="S73" s="26" t="s">
        <v>99</v>
      </c>
      <c r="T73" s="30" t="s">
        <v>100</v>
      </c>
      <c r="U73" s="38" t="s">
        <v>115</v>
      </c>
      <c r="V73" s="38" t="s">
        <v>6695</v>
      </c>
      <c r="W73" s="26" t="s">
        <v>112</v>
      </c>
      <c r="X73" s="26" t="s">
        <v>7075</v>
      </c>
      <c r="Y73" s="26" t="s">
        <v>7075</v>
      </c>
      <c r="Z73" s="26" t="s">
        <v>172</v>
      </c>
      <c r="AA73" s="26" t="s">
        <v>17</v>
      </c>
      <c r="AB73" s="30" t="s">
        <v>172</v>
      </c>
      <c r="AC73" s="25" t="s">
        <v>173</v>
      </c>
      <c r="AD73" s="26" t="s">
        <v>174</v>
      </c>
      <c r="AE73" s="26" t="s">
        <v>175</v>
      </c>
      <c r="AF73" s="32">
        <f t="shared" si="4"/>
        <v>1</v>
      </c>
      <c r="AG73" s="32">
        <v>1</v>
      </c>
      <c r="AH73" s="32">
        <v>1</v>
      </c>
      <c r="AI73" s="32">
        <v>1</v>
      </c>
      <c r="AJ73" s="32">
        <v>1</v>
      </c>
      <c r="AK73" s="32">
        <f t="shared" si="5"/>
        <v>1</v>
      </c>
      <c r="AL73" s="30">
        <v>1</v>
      </c>
      <c r="AM73" s="32">
        <v>1</v>
      </c>
      <c r="AN73" s="30">
        <v>1</v>
      </c>
      <c r="AO73" s="30">
        <v>1</v>
      </c>
      <c r="AP73" s="32">
        <v>1</v>
      </c>
      <c r="AQ73" s="32">
        <v>1</v>
      </c>
      <c r="AR73" s="25" t="s">
        <v>7208</v>
      </c>
      <c r="AS73" s="32">
        <v>1</v>
      </c>
      <c r="AT73" s="30"/>
      <c r="AU73" s="30"/>
      <c r="AW73" s="2" t="s">
        <v>7290</v>
      </c>
      <c r="AY73" s="75" t="s">
        <v>7327</v>
      </c>
    </row>
    <row r="74" spans="1:51" ht="16.5">
      <c r="A74" s="26" t="s">
        <v>7328</v>
      </c>
      <c r="B74" s="26" t="s">
        <v>4383</v>
      </c>
      <c r="C74" s="26" t="s">
        <v>73</v>
      </c>
      <c r="D74" s="26" t="s">
        <v>7327</v>
      </c>
      <c r="E74" s="124" t="s">
        <v>499</v>
      </c>
      <c r="F74" s="26" t="s">
        <v>7329</v>
      </c>
      <c r="G74" s="26" t="s">
        <v>7330</v>
      </c>
      <c r="H74" s="140" t="s">
        <v>165</v>
      </c>
      <c r="I74" s="141">
        <v>202606.4</v>
      </c>
      <c r="J74" s="121">
        <v>6.24</v>
      </c>
      <c r="K74" s="26" t="s">
        <v>73</v>
      </c>
      <c r="L74" s="26" t="s">
        <v>7313</v>
      </c>
      <c r="M74" s="26" t="s">
        <v>7331</v>
      </c>
      <c r="N74" s="27" t="s">
        <v>7332</v>
      </c>
      <c r="O74" s="26"/>
      <c r="P74" s="32">
        <v>2</v>
      </c>
      <c r="Q74" s="32">
        <v>8</v>
      </c>
      <c r="R74" s="32">
        <v>259.32</v>
      </c>
      <c r="S74" s="26" t="s">
        <v>99</v>
      </c>
      <c r="T74" s="30" t="s">
        <v>100</v>
      </c>
      <c r="U74" s="38" t="s">
        <v>115</v>
      </c>
      <c r="V74" s="38" t="s">
        <v>6695</v>
      </c>
      <c r="W74" s="26" t="s">
        <v>112</v>
      </c>
      <c r="X74" s="26" t="s">
        <v>7075</v>
      </c>
      <c r="Y74" s="26" t="s">
        <v>7075</v>
      </c>
      <c r="Z74" s="26" t="s">
        <v>172</v>
      </c>
      <c r="AA74" s="26" t="s">
        <v>17</v>
      </c>
      <c r="AB74" s="30" t="s">
        <v>172</v>
      </c>
      <c r="AC74" s="25" t="s">
        <v>173</v>
      </c>
      <c r="AD74" s="26" t="s">
        <v>174</v>
      </c>
      <c r="AE74" s="26" t="s">
        <v>175</v>
      </c>
      <c r="AF74" s="32">
        <f t="shared" si="4"/>
        <v>1</v>
      </c>
      <c r="AG74" s="32">
        <v>1</v>
      </c>
      <c r="AH74" s="32">
        <v>1</v>
      </c>
      <c r="AI74" s="32">
        <v>1</v>
      </c>
      <c r="AJ74" s="32">
        <v>1</v>
      </c>
      <c r="AK74" s="32">
        <f t="shared" si="5"/>
        <v>1</v>
      </c>
      <c r="AL74" s="30">
        <v>1</v>
      </c>
      <c r="AM74" s="32">
        <v>1</v>
      </c>
      <c r="AN74" s="30">
        <v>1</v>
      </c>
      <c r="AO74" s="30">
        <v>1</v>
      </c>
      <c r="AP74" s="32">
        <v>1</v>
      </c>
      <c r="AQ74" s="32">
        <v>1</v>
      </c>
      <c r="AR74" s="32"/>
      <c r="AS74" s="32">
        <v>1</v>
      </c>
      <c r="AT74" s="30"/>
      <c r="AU74" s="30"/>
      <c r="AW74" s="2" t="s">
        <v>7318</v>
      </c>
      <c r="AY74" s="94" t="s">
        <v>7294</v>
      </c>
    </row>
    <row r="75" spans="1:51" ht="16.5">
      <c r="A75" s="26" t="s">
        <v>7333</v>
      </c>
      <c r="B75" s="26" t="s">
        <v>4383</v>
      </c>
      <c r="C75" s="26" t="s">
        <v>73</v>
      </c>
      <c r="D75" s="26" t="s">
        <v>7334</v>
      </c>
      <c r="E75" s="124" t="s">
        <v>499</v>
      </c>
      <c r="F75" s="26" t="s">
        <v>7335</v>
      </c>
      <c r="G75" s="26" t="s">
        <v>7336</v>
      </c>
      <c r="H75" s="140" t="s">
        <v>165</v>
      </c>
      <c r="I75" s="141">
        <v>202606.4</v>
      </c>
      <c r="J75" s="121">
        <v>6.24</v>
      </c>
      <c r="K75" s="26" t="s">
        <v>73</v>
      </c>
      <c r="L75" s="26" t="s">
        <v>6893</v>
      </c>
      <c r="M75" s="26" t="s">
        <v>7337</v>
      </c>
      <c r="N75" s="27" t="s">
        <v>7338</v>
      </c>
      <c r="O75" s="26"/>
      <c r="P75" s="32">
        <v>2</v>
      </c>
      <c r="Q75" s="32">
        <v>8</v>
      </c>
      <c r="R75" s="32">
        <v>261.93</v>
      </c>
      <c r="S75" s="26" t="s">
        <v>99</v>
      </c>
      <c r="T75" s="30" t="s">
        <v>100</v>
      </c>
      <c r="U75" s="38" t="s">
        <v>115</v>
      </c>
      <c r="V75" s="38" t="s">
        <v>7339</v>
      </c>
      <c r="W75" s="26" t="s">
        <v>112</v>
      </c>
      <c r="X75" s="26" t="s">
        <v>7075</v>
      </c>
      <c r="Y75" s="26" t="s">
        <v>7075</v>
      </c>
      <c r="Z75" s="26" t="s">
        <v>172</v>
      </c>
      <c r="AA75" s="39" t="s">
        <v>21</v>
      </c>
      <c r="AB75" s="30" t="s">
        <v>172</v>
      </c>
      <c r="AC75" s="25" t="s">
        <v>173</v>
      </c>
      <c r="AD75" s="26" t="s">
        <v>174</v>
      </c>
      <c r="AE75" s="26" t="s">
        <v>175</v>
      </c>
      <c r="AF75" s="32">
        <f t="shared" si="4"/>
        <v>1</v>
      </c>
      <c r="AG75" s="32">
        <v>1</v>
      </c>
      <c r="AH75" s="32">
        <v>1</v>
      </c>
      <c r="AI75" s="32">
        <v>1</v>
      </c>
      <c r="AJ75" s="32">
        <v>1</v>
      </c>
      <c r="AK75" s="32">
        <f t="shared" si="5"/>
        <v>1</v>
      </c>
      <c r="AL75" s="30"/>
      <c r="AM75" s="32">
        <v>1</v>
      </c>
      <c r="AN75" s="30"/>
      <c r="AO75" s="30"/>
      <c r="AP75" s="32">
        <v>1</v>
      </c>
      <c r="AQ75" s="32">
        <v>1</v>
      </c>
      <c r="AR75" s="32"/>
      <c r="AS75" s="32">
        <v>1</v>
      </c>
      <c r="AT75" s="30"/>
      <c r="AU75" s="30"/>
      <c r="AW75" s="2" t="s">
        <v>7283</v>
      </c>
      <c r="AY75" s="94" t="s">
        <v>7340</v>
      </c>
    </row>
    <row r="76" spans="1:51" ht="16.5">
      <c r="A76" s="26" t="s">
        <v>7341</v>
      </c>
      <c r="B76" s="26" t="s">
        <v>4383</v>
      </c>
      <c r="C76" s="26" t="s">
        <v>73</v>
      </c>
      <c r="D76" s="26" t="s">
        <v>7342</v>
      </c>
      <c r="E76" s="124" t="s">
        <v>499</v>
      </c>
      <c r="F76" s="26" t="s">
        <v>7343</v>
      </c>
      <c r="G76" s="26" t="s">
        <v>7344</v>
      </c>
      <c r="H76" s="140" t="s">
        <v>165</v>
      </c>
      <c r="I76" s="141">
        <v>202606.4</v>
      </c>
      <c r="J76" s="121">
        <v>6.24</v>
      </c>
      <c r="K76" s="26" t="s">
        <v>73</v>
      </c>
      <c r="L76" s="26" t="s">
        <v>7345</v>
      </c>
      <c r="M76" s="26" t="s">
        <v>7346</v>
      </c>
      <c r="N76" s="27" t="s">
        <v>7347</v>
      </c>
      <c r="O76" s="26"/>
      <c r="P76" s="32">
        <v>2</v>
      </c>
      <c r="Q76" s="32">
        <v>8</v>
      </c>
      <c r="R76" s="32">
        <v>259.27</v>
      </c>
      <c r="S76" s="26" t="s">
        <v>99</v>
      </c>
      <c r="T76" s="30" t="s">
        <v>100</v>
      </c>
      <c r="U76" s="38" t="s">
        <v>115</v>
      </c>
      <c r="V76" s="38" t="s">
        <v>7339</v>
      </c>
      <c r="W76" s="26" t="s">
        <v>112</v>
      </c>
      <c r="X76" s="26" t="s">
        <v>7075</v>
      </c>
      <c r="Y76" s="26" t="s">
        <v>7075</v>
      </c>
      <c r="Z76" s="26" t="s">
        <v>172</v>
      </c>
      <c r="AA76" s="26" t="s">
        <v>19</v>
      </c>
      <c r="AB76" s="30" t="s">
        <v>172</v>
      </c>
      <c r="AC76" s="25" t="s">
        <v>173</v>
      </c>
      <c r="AD76" s="26" t="s">
        <v>174</v>
      </c>
      <c r="AE76" s="26" t="s">
        <v>175</v>
      </c>
      <c r="AF76" s="32">
        <f t="shared" si="4"/>
        <v>1</v>
      </c>
      <c r="AG76" s="32">
        <v>1</v>
      </c>
      <c r="AH76" s="32">
        <v>1</v>
      </c>
      <c r="AI76" s="32">
        <v>1</v>
      </c>
      <c r="AJ76" s="32">
        <v>1</v>
      </c>
      <c r="AK76" s="32">
        <f t="shared" si="5"/>
        <v>1</v>
      </c>
      <c r="AL76" s="30"/>
      <c r="AM76" s="32">
        <v>1</v>
      </c>
      <c r="AN76" s="30"/>
      <c r="AO76" s="30"/>
      <c r="AP76" s="52">
        <v>1</v>
      </c>
      <c r="AQ76" s="32">
        <v>1</v>
      </c>
      <c r="AR76" s="32"/>
      <c r="AS76" s="32">
        <v>1</v>
      </c>
      <c r="AT76" s="30"/>
      <c r="AU76" s="30"/>
      <c r="AW76" s="2" t="s">
        <v>7324</v>
      </c>
      <c r="AY76" s="94" t="s">
        <v>1204</v>
      </c>
    </row>
    <row r="77" spans="1:51" ht="16.5">
      <c r="A77" s="26" t="s">
        <v>7348</v>
      </c>
      <c r="B77" s="26" t="s">
        <v>4383</v>
      </c>
      <c r="C77" s="26" t="s">
        <v>73</v>
      </c>
      <c r="D77" s="26" t="s">
        <v>7349</v>
      </c>
      <c r="E77" s="124" t="s">
        <v>162</v>
      </c>
      <c r="F77" s="26" t="s">
        <v>7350</v>
      </c>
      <c r="G77" s="26" t="s">
        <v>7351</v>
      </c>
      <c r="H77" s="140" t="s">
        <v>165</v>
      </c>
      <c r="I77" s="141">
        <v>202606.4</v>
      </c>
      <c r="J77" s="121">
        <v>6.24</v>
      </c>
      <c r="K77" s="26" t="s">
        <v>73</v>
      </c>
      <c r="L77" s="26" t="s">
        <v>7352</v>
      </c>
      <c r="M77" s="26" t="s">
        <v>7353</v>
      </c>
      <c r="N77" s="27" t="s">
        <v>7354</v>
      </c>
      <c r="O77" s="26"/>
      <c r="P77" s="32">
        <v>4</v>
      </c>
      <c r="Q77" s="32">
        <v>16</v>
      </c>
      <c r="R77" s="32">
        <v>267.43</v>
      </c>
      <c r="S77" s="26" t="s">
        <v>99</v>
      </c>
      <c r="T77" s="30" t="s">
        <v>100</v>
      </c>
      <c r="U77" s="38" t="s">
        <v>115</v>
      </c>
      <c r="V77" s="38" t="s">
        <v>7339</v>
      </c>
      <c r="W77" s="26" t="s">
        <v>112</v>
      </c>
      <c r="X77" s="26" t="s">
        <v>7075</v>
      </c>
      <c r="Y77" s="26" t="s">
        <v>7075</v>
      </c>
      <c r="Z77" s="26" t="s">
        <v>172</v>
      </c>
      <c r="AA77" s="26" t="s">
        <v>19</v>
      </c>
      <c r="AB77" s="30" t="s">
        <v>172</v>
      </c>
      <c r="AC77" s="25" t="s">
        <v>173</v>
      </c>
      <c r="AD77" s="26" t="s">
        <v>174</v>
      </c>
      <c r="AE77" s="26" t="s">
        <v>175</v>
      </c>
      <c r="AF77" s="32">
        <f t="shared" si="4"/>
        <v>1</v>
      </c>
      <c r="AG77" s="32">
        <v>1</v>
      </c>
      <c r="AH77" s="32">
        <v>1</v>
      </c>
      <c r="AI77" s="32">
        <v>1</v>
      </c>
      <c r="AJ77" s="32">
        <v>1</v>
      </c>
      <c r="AK77" s="32">
        <f t="shared" si="5"/>
        <v>1</v>
      </c>
      <c r="AL77" s="30"/>
      <c r="AM77" s="32">
        <v>1</v>
      </c>
      <c r="AN77" s="30"/>
      <c r="AO77" s="30"/>
      <c r="AP77" s="52">
        <v>1</v>
      </c>
      <c r="AQ77" s="32">
        <v>1</v>
      </c>
      <c r="AR77" s="32"/>
      <c r="AS77" s="32">
        <v>1</v>
      </c>
      <c r="AT77" s="30"/>
      <c r="AU77" s="30"/>
      <c r="AW77" s="2" t="s">
        <v>7275</v>
      </c>
      <c r="AY77" s="94" t="s">
        <v>6443</v>
      </c>
    </row>
    <row r="78" spans="1:51" ht="16.5">
      <c r="A78" s="26" t="s">
        <v>7355</v>
      </c>
      <c r="B78" s="26" t="s">
        <v>4383</v>
      </c>
      <c r="C78" s="26" t="s">
        <v>73</v>
      </c>
      <c r="D78" s="26" t="s">
        <v>7356</v>
      </c>
      <c r="E78" s="124" t="s">
        <v>499</v>
      </c>
      <c r="F78" s="26" t="s">
        <v>7357</v>
      </c>
      <c r="G78" s="26" t="s">
        <v>7358</v>
      </c>
      <c r="H78" s="140" t="s">
        <v>165</v>
      </c>
      <c r="I78" s="141">
        <v>202606.4</v>
      </c>
      <c r="J78" s="121">
        <v>6.24</v>
      </c>
      <c r="K78" s="26" t="s">
        <v>73</v>
      </c>
      <c r="L78" s="26" t="s">
        <v>7359</v>
      </c>
      <c r="M78" s="26" t="s">
        <v>7360</v>
      </c>
      <c r="N78" s="27" t="s">
        <v>7361</v>
      </c>
      <c r="O78" s="26"/>
      <c r="P78" s="32">
        <v>2</v>
      </c>
      <c r="Q78" s="32">
        <v>8</v>
      </c>
      <c r="R78" s="32">
        <v>259.27</v>
      </c>
      <c r="S78" s="26" t="s">
        <v>99</v>
      </c>
      <c r="T78" s="30" t="s">
        <v>100</v>
      </c>
      <c r="U78" s="38" t="s">
        <v>115</v>
      </c>
      <c r="V78" s="38" t="s">
        <v>7339</v>
      </c>
      <c r="W78" s="26" t="s">
        <v>112</v>
      </c>
      <c r="X78" s="26" t="s">
        <v>7075</v>
      </c>
      <c r="Y78" s="26" t="s">
        <v>7075</v>
      </c>
      <c r="Z78" s="26" t="s">
        <v>172</v>
      </c>
      <c r="AA78" s="26" t="s">
        <v>19</v>
      </c>
      <c r="AB78" s="30" t="s">
        <v>172</v>
      </c>
      <c r="AC78" s="25" t="s">
        <v>173</v>
      </c>
      <c r="AD78" s="26" t="s">
        <v>174</v>
      </c>
      <c r="AE78" s="26" t="s">
        <v>175</v>
      </c>
      <c r="AF78" s="32">
        <f t="shared" si="4"/>
        <v>1</v>
      </c>
      <c r="AG78" s="32">
        <v>1</v>
      </c>
      <c r="AH78" s="32">
        <v>1</v>
      </c>
      <c r="AI78" s="32">
        <v>1</v>
      </c>
      <c r="AJ78" s="32">
        <v>1</v>
      </c>
      <c r="AK78" s="32">
        <f t="shared" si="5"/>
        <v>1</v>
      </c>
      <c r="AL78" s="30"/>
      <c r="AM78" s="32">
        <v>1</v>
      </c>
      <c r="AN78" s="30"/>
      <c r="AO78" s="30"/>
      <c r="AP78" s="35">
        <v>1</v>
      </c>
      <c r="AQ78" s="32">
        <v>1</v>
      </c>
      <c r="AR78" s="32"/>
      <c r="AS78" s="32">
        <v>1</v>
      </c>
      <c r="AT78" s="30"/>
      <c r="AU78" s="30"/>
      <c r="AW78" s="2" t="s">
        <v>6911</v>
      </c>
      <c r="AY78" s="94" t="s">
        <v>7315</v>
      </c>
    </row>
    <row r="79" spans="1:51" ht="16.5" hidden="1">
      <c r="A79" s="26" t="s">
        <v>7362</v>
      </c>
      <c r="B79" s="26" t="s">
        <v>4383</v>
      </c>
      <c r="C79" s="26" t="s">
        <v>73</v>
      </c>
      <c r="D79" s="26" t="s">
        <v>7363</v>
      </c>
      <c r="E79" s="124" t="s">
        <v>162</v>
      </c>
      <c r="F79" s="26" t="s">
        <v>7364</v>
      </c>
      <c r="G79" s="26" t="s">
        <v>7365</v>
      </c>
      <c r="H79" s="140" t="s">
        <v>165</v>
      </c>
      <c r="I79" s="141">
        <v>202606.4</v>
      </c>
      <c r="J79" s="143" t="s">
        <v>3213</v>
      </c>
      <c r="K79" s="26" t="s">
        <v>73</v>
      </c>
      <c r="L79" s="26" t="s">
        <v>7366</v>
      </c>
      <c r="M79" s="26" t="s">
        <v>7367</v>
      </c>
      <c r="N79" s="27" t="s">
        <v>7368</v>
      </c>
      <c r="O79" s="26"/>
      <c r="P79" s="32">
        <v>4</v>
      </c>
      <c r="Q79" s="32">
        <v>16</v>
      </c>
      <c r="R79" s="32">
        <v>267.19</v>
      </c>
      <c r="S79" s="26" t="s">
        <v>99</v>
      </c>
      <c r="T79" s="30" t="s">
        <v>100</v>
      </c>
      <c r="U79" s="38" t="s">
        <v>115</v>
      </c>
      <c r="V79" s="38" t="s">
        <v>7339</v>
      </c>
      <c r="W79" s="26" t="s">
        <v>112</v>
      </c>
      <c r="X79" s="26" t="s">
        <v>7075</v>
      </c>
      <c r="Y79" s="26" t="s">
        <v>7075</v>
      </c>
      <c r="Z79" s="26" t="s">
        <v>172</v>
      </c>
      <c r="AA79" s="26" t="s">
        <v>19</v>
      </c>
      <c r="AB79" s="30" t="s">
        <v>172</v>
      </c>
      <c r="AC79" s="25" t="s">
        <v>173</v>
      </c>
      <c r="AD79" s="26" t="s">
        <v>174</v>
      </c>
      <c r="AE79" s="26" t="s">
        <v>175</v>
      </c>
      <c r="AF79" s="32">
        <f t="shared" si="4"/>
        <v>1</v>
      </c>
      <c r="AG79" s="32">
        <v>1</v>
      </c>
      <c r="AH79" s="32">
        <v>1</v>
      </c>
      <c r="AI79" s="30"/>
      <c r="AJ79" s="30"/>
      <c r="AK79" s="32">
        <f t="shared" si="5"/>
        <v>0</v>
      </c>
      <c r="AL79" s="30"/>
      <c r="AM79" s="30"/>
      <c r="AN79" s="30"/>
      <c r="AO79" s="30"/>
      <c r="AP79" s="30"/>
      <c r="AQ79" s="30"/>
      <c r="AR79" s="30"/>
      <c r="AS79" s="30"/>
      <c r="AT79" s="30"/>
      <c r="AU79" s="26" t="s">
        <v>7185</v>
      </c>
      <c r="AY79" s="94" t="s">
        <v>7280</v>
      </c>
    </row>
    <row r="80" spans="1:51" ht="16.5">
      <c r="A80" s="26" t="s">
        <v>7369</v>
      </c>
      <c r="B80" s="26" t="s">
        <v>4383</v>
      </c>
      <c r="C80" s="26" t="s">
        <v>73</v>
      </c>
      <c r="D80" s="26" t="s">
        <v>7370</v>
      </c>
      <c r="E80" s="124" t="s">
        <v>499</v>
      </c>
      <c r="F80" s="26" t="s">
        <v>7371</v>
      </c>
      <c r="G80" s="26" t="s">
        <v>7372</v>
      </c>
      <c r="H80" s="140" t="s">
        <v>165</v>
      </c>
      <c r="I80" s="141">
        <v>202606.4</v>
      </c>
      <c r="J80" s="121">
        <v>6.24</v>
      </c>
      <c r="K80" s="26" t="s">
        <v>73</v>
      </c>
      <c r="L80" s="26" t="s">
        <v>7373</v>
      </c>
      <c r="M80" s="26" t="s">
        <v>7374</v>
      </c>
      <c r="N80" s="27" t="s">
        <v>7375</v>
      </c>
      <c r="O80" s="26"/>
      <c r="P80" s="32">
        <v>2</v>
      </c>
      <c r="Q80" s="32">
        <v>8</v>
      </c>
      <c r="R80" s="32">
        <v>262.73</v>
      </c>
      <c r="S80" s="26" t="s">
        <v>99</v>
      </c>
      <c r="T80" s="30" t="s">
        <v>100</v>
      </c>
      <c r="U80" s="38" t="s">
        <v>115</v>
      </c>
      <c r="V80" s="38" t="s">
        <v>7339</v>
      </c>
      <c r="W80" s="26" t="s">
        <v>112</v>
      </c>
      <c r="X80" s="26" t="s">
        <v>7075</v>
      </c>
      <c r="Y80" s="26" t="s">
        <v>7075</v>
      </c>
      <c r="Z80" s="26" t="s">
        <v>172</v>
      </c>
      <c r="AA80" s="26" t="s">
        <v>19</v>
      </c>
      <c r="AB80" s="30" t="s">
        <v>172</v>
      </c>
      <c r="AC80" s="25" t="s">
        <v>173</v>
      </c>
      <c r="AD80" s="26" t="s">
        <v>174</v>
      </c>
      <c r="AE80" s="26" t="s">
        <v>175</v>
      </c>
      <c r="AF80" s="32">
        <f t="shared" si="4"/>
        <v>1</v>
      </c>
      <c r="AG80" s="32">
        <v>1</v>
      </c>
      <c r="AH80" s="32">
        <v>1</v>
      </c>
      <c r="AI80" s="32">
        <v>1</v>
      </c>
      <c r="AJ80" s="32">
        <v>1</v>
      </c>
      <c r="AK80" s="32">
        <f t="shared" si="5"/>
        <v>1</v>
      </c>
      <c r="AL80" s="30"/>
      <c r="AM80" s="32">
        <v>1</v>
      </c>
      <c r="AN80" s="30"/>
      <c r="AO80" s="30"/>
      <c r="AP80" s="52">
        <v>1</v>
      </c>
      <c r="AQ80" s="32">
        <v>1</v>
      </c>
      <c r="AR80" s="25" t="s">
        <v>7376</v>
      </c>
      <c r="AS80" s="32">
        <v>1</v>
      </c>
      <c r="AT80" s="30"/>
      <c r="AU80" s="30"/>
      <c r="AW80" s="2" t="s">
        <v>4174</v>
      </c>
      <c r="AY80" s="94" t="s">
        <v>7322</v>
      </c>
    </row>
    <row r="81" spans="1:51" ht="16.5">
      <c r="A81" s="26" t="s">
        <v>7377</v>
      </c>
      <c r="B81" s="26" t="s">
        <v>4383</v>
      </c>
      <c r="C81" s="26" t="s">
        <v>73</v>
      </c>
      <c r="D81" s="26" t="s">
        <v>7378</v>
      </c>
      <c r="E81" s="124" t="s">
        <v>499</v>
      </c>
      <c r="F81" s="26" t="s">
        <v>7379</v>
      </c>
      <c r="G81" s="26" t="s">
        <v>7380</v>
      </c>
      <c r="H81" s="140" t="s">
        <v>4355</v>
      </c>
      <c r="I81" s="141">
        <v>202606.4</v>
      </c>
      <c r="J81" s="121">
        <v>6.24</v>
      </c>
      <c r="K81" s="26" t="s">
        <v>73</v>
      </c>
      <c r="L81" s="26" t="s">
        <v>7381</v>
      </c>
      <c r="M81" s="26" t="s">
        <v>7382</v>
      </c>
      <c r="N81" s="27" t="s">
        <v>7383</v>
      </c>
      <c r="O81" s="26"/>
      <c r="P81" s="32">
        <v>2</v>
      </c>
      <c r="Q81" s="32">
        <v>8</v>
      </c>
      <c r="R81" s="32">
        <v>266.45</v>
      </c>
      <c r="S81" s="26" t="s">
        <v>99</v>
      </c>
      <c r="T81" s="30" t="s">
        <v>100</v>
      </c>
      <c r="U81" s="38" t="s">
        <v>115</v>
      </c>
      <c r="V81" s="38" t="s">
        <v>7339</v>
      </c>
      <c r="W81" s="26" t="s">
        <v>112</v>
      </c>
      <c r="X81" s="26" t="s">
        <v>7075</v>
      </c>
      <c r="Y81" s="26" t="s">
        <v>7075</v>
      </c>
      <c r="Z81" s="26" t="s">
        <v>172</v>
      </c>
      <c r="AA81" s="26" t="s">
        <v>19</v>
      </c>
      <c r="AB81" s="30" t="s">
        <v>172</v>
      </c>
      <c r="AC81" s="25" t="s">
        <v>173</v>
      </c>
      <c r="AD81" s="26" t="s">
        <v>174</v>
      </c>
      <c r="AE81" s="26" t="s">
        <v>175</v>
      </c>
      <c r="AF81" s="32">
        <f t="shared" si="4"/>
        <v>1</v>
      </c>
      <c r="AG81" s="32">
        <v>1</v>
      </c>
      <c r="AH81" s="32">
        <v>1</v>
      </c>
      <c r="AI81" s="32">
        <v>1</v>
      </c>
      <c r="AJ81" s="32">
        <v>1</v>
      </c>
      <c r="AK81" s="32">
        <f t="shared" si="5"/>
        <v>1</v>
      </c>
      <c r="AL81" s="30"/>
      <c r="AM81" s="32">
        <v>1</v>
      </c>
      <c r="AN81" s="30"/>
      <c r="AO81" s="30"/>
      <c r="AP81" s="52">
        <v>1</v>
      </c>
      <c r="AQ81" s="32">
        <v>1</v>
      </c>
      <c r="AR81" s="32"/>
      <c r="AS81" s="32">
        <v>1</v>
      </c>
      <c r="AT81" s="30"/>
      <c r="AU81" s="30"/>
      <c r="AW81" s="2" t="s">
        <v>6904</v>
      </c>
      <c r="AY81" s="94" t="s">
        <v>2712</v>
      </c>
    </row>
    <row r="82" spans="1:51" ht="16.5">
      <c r="A82" s="26" t="s">
        <v>7384</v>
      </c>
      <c r="B82" s="26" t="s">
        <v>4383</v>
      </c>
      <c r="C82" s="26" t="s">
        <v>73</v>
      </c>
      <c r="D82" s="26" t="s">
        <v>7385</v>
      </c>
      <c r="E82" s="124" t="s">
        <v>499</v>
      </c>
      <c r="F82" s="26" t="s">
        <v>7386</v>
      </c>
      <c r="G82" s="26" t="s">
        <v>7387</v>
      </c>
      <c r="H82" s="140" t="s">
        <v>165</v>
      </c>
      <c r="I82" s="141">
        <v>202606.4</v>
      </c>
      <c r="J82" s="121">
        <v>6.24</v>
      </c>
      <c r="K82" s="26" t="s">
        <v>73</v>
      </c>
      <c r="L82" s="26" t="s">
        <v>7388</v>
      </c>
      <c r="M82" s="26" t="s">
        <v>7389</v>
      </c>
      <c r="N82" s="27" t="s">
        <v>7390</v>
      </c>
      <c r="O82" s="26"/>
      <c r="P82" s="32">
        <v>2</v>
      </c>
      <c r="Q82" s="32">
        <v>8</v>
      </c>
      <c r="R82" s="32">
        <v>260.08</v>
      </c>
      <c r="S82" s="26" t="s">
        <v>99</v>
      </c>
      <c r="T82" s="30" t="s">
        <v>100</v>
      </c>
      <c r="U82" s="38" t="s">
        <v>115</v>
      </c>
      <c r="V82" s="38" t="s">
        <v>7339</v>
      </c>
      <c r="W82" s="26" t="s">
        <v>112</v>
      </c>
      <c r="X82" s="26" t="s">
        <v>7075</v>
      </c>
      <c r="Y82" s="26" t="s">
        <v>7075</v>
      </c>
      <c r="Z82" s="26" t="s">
        <v>172</v>
      </c>
      <c r="AA82" s="26" t="s">
        <v>19</v>
      </c>
      <c r="AB82" s="30" t="s">
        <v>172</v>
      </c>
      <c r="AC82" s="25" t="s">
        <v>173</v>
      </c>
      <c r="AD82" s="26" t="s">
        <v>174</v>
      </c>
      <c r="AE82" s="26" t="s">
        <v>175</v>
      </c>
      <c r="AF82" s="32">
        <f t="shared" si="4"/>
        <v>1</v>
      </c>
      <c r="AG82" s="32">
        <v>1</v>
      </c>
      <c r="AH82" s="32">
        <v>1</v>
      </c>
      <c r="AI82" s="32">
        <v>1</v>
      </c>
      <c r="AJ82" s="32">
        <v>1</v>
      </c>
      <c r="AK82" s="32">
        <f t="shared" si="5"/>
        <v>1</v>
      </c>
      <c r="AL82" s="30"/>
      <c r="AM82" s="32">
        <v>1</v>
      </c>
      <c r="AN82" s="30"/>
      <c r="AO82" s="30"/>
      <c r="AP82" s="52">
        <v>1</v>
      </c>
      <c r="AQ82" s="32">
        <v>1</v>
      </c>
      <c r="AR82" s="32"/>
      <c r="AS82" s="32">
        <v>1</v>
      </c>
      <c r="AT82" s="30"/>
      <c r="AU82" s="30"/>
      <c r="AW82" s="2" t="s">
        <v>6918</v>
      </c>
      <c r="AY82" s="94" t="s">
        <v>7272</v>
      </c>
    </row>
    <row r="83" spans="1:51" ht="16.5">
      <c r="A83" s="26" t="s">
        <v>7391</v>
      </c>
      <c r="B83" s="26" t="s">
        <v>4383</v>
      </c>
      <c r="C83" s="26" t="s">
        <v>73</v>
      </c>
      <c r="D83" s="26" t="s">
        <v>7392</v>
      </c>
      <c r="E83" s="124" t="s">
        <v>499</v>
      </c>
      <c r="F83" s="26" t="s">
        <v>7393</v>
      </c>
      <c r="G83" s="26" t="s">
        <v>7394</v>
      </c>
      <c r="H83" s="140" t="s">
        <v>165</v>
      </c>
      <c r="I83" s="141">
        <v>202606.4</v>
      </c>
      <c r="J83" s="121">
        <v>6.24</v>
      </c>
      <c r="K83" s="26" t="s">
        <v>73</v>
      </c>
      <c r="L83" s="26" t="s">
        <v>7395</v>
      </c>
      <c r="M83" s="26" t="s">
        <v>7396</v>
      </c>
      <c r="N83" s="27" t="s">
        <v>7397</v>
      </c>
      <c r="O83" s="26"/>
      <c r="P83" s="32">
        <v>2</v>
      </c>
      <c r="Q83" s="32">
        <v>8</v>
      </c>
      <c r="R83" s="32">
        <v>258.33999999999997</v>
      </c>
      <c r="S83" s="26" t="s">
        <v>99</v>
      </c>
      <c r="T83" s="30" t="s">
        <v>100</v>
      </c>
      <c r="U83" s="38" t="s">
        <v>115</v>
      </c>
      <c r="V83" s="38" t="s">
        <v>7339</v>
      </c>
      <c r="W83" s="26" t="s">
        <v>112</v>
      </c>
      <c r="X83" s="26" t="s">
        <v>7075</v>
      </c>
      <c r="Y83" s="26" t="s">
        <v>7075</v>
      </c>
      <c r="Z83" s="26" t="s">
        <v>172</v>
      </c>
      <c r="AA83" s="26" t="s">
        <v>19</v>
      </c>
      <c r="AB83" s="30" t="s">
        <v>172</v>
      </c>
      <c r="AC83" s="25" t="s">
        <v>173</v>
      </c>
      <c r="AD83" s="26" t="s">
        <v>174</v>
      </c>
      <c r="AE83" s="26" t="s">
        <v>175</v>
      </c>
      <c r="AF83" s="32">
        <f t="shared" si="4"/>
        <v>1</v>
      </c>
      <c r="AG83" s="32">
        <v>1</v>
      </c>
      <c r="AH83" s="32">
        <v>1</v>
      </c>
      <c r="AI83" s="32">
        <v>1</v>
      </c>
      <c r="AJ83" s="32">
        <v>1</v>
      </c>
      <c r="AK83" s="32">
        <f t="shared" si="5"/>
        <v>1</v>
      </c>
      <c r="AL83" s="30"/>
      <c r="AM83" s="32">
        <v>1</v>
      </c>
      <c r="AN83" s="30"/>
      <c r="AO83" s="30"/>
      <c r="AP83" s="52">
        <v>1</v>
      </c>
      <c r="AQ83" s="32">
        <v>1</v>
      </c>
      <c r="AR83" s="32"/>
      <c r="AS83" s="32">
        <v>1</v>
      </c>
      <c r="AT83" s="30"/>
      <c r="AU83" s="30"/>
      <c r="AW83" s="2" t="s">
        <v>6955</v>
      </c>
      <c r="AY83" s="94" t="s">
        <v>117</v>
      </c>
    </row>
    <row r="84" spans="1:51">
      <c r="A84" s="26" t="s">
        <v>7398</v>
      </c>
      <c r="B84" s="26" t="s">
        <v>4383</v>
      </c>
      <c r="C84" s="26" t="s">
        <v>73</v>
      </c>
      <c r="D84" s="26" t="s">
        <v>7399</v>
      </c>
      <c r="E84" s="124" t="s">
        <v>499</v>
      </c>
      <c r="F84" s="26" t="s">
        <v>7400</v>
      </c>
      <c r="G84" s="26" t="s">
        <v>7401</v>
      </c>
      <c r="H84" s="140" t="s">
        <v>165</v>
      </c>
      <c r="I84" s="141">
        <v>202606.4</v>
      </c>
      <c r="J84" s="121">
        <v>6.24</v>
      </c>
      <c r="K84" s="26" t="s">
        <v>73</v>
      </c>
      <c r="L84" s="26" t="s">
        <v>7402</v>
      </c>
      <c r="M84" s="26" t="s">
        <v>7403</v>
      </c>
      <c r="N84" s="27" t="s">
        <v>7404</v>
      </c>
      <c r="O84" s="26"/>
      <c r="P84" s="32">
        <v>2</v>
      </c>
      <c r="Q84" s="32">
        <v>8</v>
      </c>
      <c r="R84" s="32">
        <v>258.27999999999997</v>
      </c>
      <c r="S84" s="26" t="s">
        <v>99</v>
      </c>
      <c r="T84" s="30" t="s">
        <v>100</v>
      </c>
      <c r="U84" s="38" t="s">
        <v>115</v>
      </c>
      <c r="V84" s="38" t="s">
        <v>7339</v>
      </c>
      <c r="W84" s="26" t="s">
        <v>112</v>
      </c>
      <c r="X84" s="26" t="s">
        <v>7075</v>
      </c>
      <c r="Y84" s="26" t="s">
        <v>7075</v>
      </c>
      <c r="Z84" s="26" t="s">
        <v>172</v>
      </c>
      <c r="AA84" s="26" t="s">
        <v>19</v>
      </c>
      <c r="AB84" s="30" t="s">
        <v>172</v>
      </c>
      <c r="AC84" s="25" t="s">
        <v>173</v>
      </c>
      <c r="AD84" s="26" t="s">
        <v>174</v>
      </c>
      <c r="AE84" s="26" t="s">
        <v>175</v>
      </c>
      <c r="AF84" s="32">
        <f t="shared" si="4"/>
        <v>1</v>
      </c>
      <c r="AG84" s="32">
        <v>1</v>
      </c>
      <c r="AH84" s="32">
        <v>1</v>
      </c>
      <c r="AI84" s="32">
        <v>1</v>
      </c>
      <c r="AJ84" s="32">
        <v>1</v>
      </c>
      <c r="AK84" s="32">
        <f t="shared" si="5"/>
        <v>1</v>
      </c>
      <c r="AL84" s="30"/>
      <c r="AM84" s="32">
        <v>1</v>
      </c>
      <c r="AN84" s="30"/>
      <c r="AO84" s="30"/>
      <c r="AP84" s="52">
        <v>1</v>
      </c>
      <c r="AQ84" s="32">
        <v>1</v>
      </c>
      <c r="AR84" s="25" t="s">
        <v>7376</v>
      </c>
      <c r="AS84" s="32">
        <v>1</v>
      </c>
      <c r="AT84" s="30"/>
      <c r="AU84" s="30"/>
      <c r="AW84" s="2" t="s">
        <v>6949</v>
      </c>
      <c r="AY84" s="2" t="s">
        <v>7287</v>
      </c>
    </row>
    <row r="85" spans="1:51" ht="16.5">
      <c r="A85" s="26" t="s">
        <v>7405</v>
      </c>
      <c r="B85" s="26" t="s">
        <v>4383</v>
      </c>
      <c r="C85" s="26" t="s">
        <v>73</v>
      </c>
      <c r="D85" s="26" t="s">
        <v>7406</v>
      </c>
      <c r="E85" s="124" t="s">
        <v>162</v>
      </c>
      <c r="F85" s="26" t="s">
        <v>7407</v>
      </c>
      <c r="G85" s="26" t="s">
        <v>7408</v>
      </c>
      <c r="H85" s="140" t="s">
        <v>165</v>
      </c>
      <c r="I85" s="141">
        <v>202606.4</v>
      </c>
      <c r="J85" s="121">
        <v>6.24</v>
      </c>
      <c r="K85" s="26" t="s">
        <v>73</v>
      </c>
      <c r="L85" s="26" t="s">
        <v>7409</v>
      </c>
      <c r="M85" s="26" t="s">
        <v>7410</v>
      </c>
      <c r="N85" s="27" t="s">
        <v>7411</v>
      </c>
      <c r="O85" s="26"/>
      <c r="P85" s="32">
        <v>4</v>
      </c>
      <c r="Q85" s="32">
        <v>16</v>
      </c>
      <c r="R85" s="32">
        <v>275.33999999999997</v>
      </c>
      <c r="S85" s="26" t="s">
        <v>99</v>
      </c>
      <c r="T85" s="30" t="s">
        <v>100</v>
      </c>
      <c r="U85" s="38" t="s">
        <v>115</v>
      </c>
      <c r="V85" s="38" t="s">
        <v>7339</v>
      </c>
      <c r="W85" s="26" t="s">
        <v>112</v>
      </c>
      <c r="X85" s="26" t="s">
        <v>7075</v>
      </c>
      <c r="Y85" s="26" t="s">
        <v>7075</v>
      </c>
      <c r="Z85" s="26" t="s">
        <v>172</v>
      </c>
      <c r="AA85" s="26" t="s">
        <v>19</v>
      </c>
      <c r="AB85" s="30" t="s">
        <v>172</v>
      </c>
      <c r="AC85" s="25" t="s">
        <v>173</v>
      </c>
      <c r="AD85" s="26" t="s">
        <v>174</v>
      </c>
      <c r="AE85" s="26" t="s">
        <v>175</v>
      </c>
      <c r="AF85" s="32">
        <f t="shared" si="4"/>
        <v>1</v>
      </c>
      <c r="AG85" s="32">
        <v>1</v>
      </c>
      <c r="AH85" s="32">
        <v>1</v>
      </c>
      <c r="AI85" s="32">
        <v>1</v>
      </c>
      <c r="AJ85" s="32">
        <v>1</v>
      </c>
      <c r="AK85" s="32">
        <f t="shared" si="5"/>
        <v>1</v>
      </c>
      <c r="AL85" s="30"/>
      <c r="AM85" s="32">
        <v>1</v>
      </c>
      <c r="AN85" s="30"/>
      <c r="AO85" s="30"/>
      <c r="AP85" s="52">
        <v>1</v>
      </c>
      <c r="AQ85" s="32">
        <v>1</v>
      </c>
      <c r="AR85" s="32"/>
      <c r="AS85" s="32">
        <v>1</v>
      </c>
      <c r="AT85" s="30"/>
      <c r="AU85" s="30"/>
      <c r="AW85" s="2" t="s">
        <v>6961</v>
      </c>
      <c r="AY85" s="75" t="s">
        <v>7356</v>
      </c>
    </row>
    <row r="86" spans="1:51" ht="16.5">
      <c r="A86" s="26" t="s">
        <v>7412</v>
      </c>
      <c r="B86" s="26" t="s">
        <v>4383</v>
      </c>
      <c r="C86" s="26" t="s">
        <v>73</v>
      </c>
      <c r="D86" s="26" t="s">
        <v>7413</v>
      </c>
      <c r="E86" s="124" t="s">
        <v>499</v>
      </c>
      <c r="F86" s="26" t="s">
        <v>7414</v>
      </c>
      <c r="G86" s="26" t="s">
        <v>7415</v>
      </c>
      <c r="H86" s="140" t="s">
        <v>165</v>
      </c>
      <c r="I86" s="141">
        <v>202606.4</v>
      </c>
      <c r="J86" s="121">
        <v>6.24</v>
      </c>
      <c r="K86" s="26" t="s">
        <v>73</v>
      </c>
      <c r="L86" s="26" t="s">
        <v>7416</v>
      </c>
      <c r="M86" s="26" t="s">
        <v>7417</v>
      </c>
      <c r="N86" s="27" t="s">
        <v>7418</v>
      </c>
      <c r="O86" s="26"/>
      <c r="P86" s="32">
        <v>2</v>
      </c>
      <c r="Q86" s="32">
        <v>8</v>
      </c>
      <c r="R86" s="32">
        <v>258.52</v>
      </c>
      <c r="S86" s="26" t="s">
        <v>99</v>
      </c>
      <c r="T86" s="30" t="s">
        <v>100</v>
      </c>
      <c r="U86" s="38" t="s">
        <v>115</v>
      </c>
      <c r="V86" s="38" t="s">
        <v>7339</v>
      </c>
      <c r="W86" s="26" t="s">
        <v>112</v>
      </c>
      <c r="X86" s="26" t="s">
        <v>7075</v>
      </c>
      <c r="Y86" s="26" t="s">
        <v>7075</v>
      </c>
      <c r="Z86" s="26" t="s">
        <v>172</v>
      </c>
      <c r="AA86" s="26" t="s">
        <v>19</v>
      </c>
      <c r="AB86" s="30" t="s">
        <v>172</v>
      </c>
      <c r="AC86" s="25" t="s">
        <v>173</v>
      </c>
      <c r="AD86" s="26" t="s">
        <v>174</v>
      </c>
      <c r="AE86" s="26" t="s">
        <v>175</v>
      </c>
      <c r="AF86" s="32">
        <f t="shared" si="4"/>
        <v>1</v>
      </c>
      <c r="AG86" s="32">
        <v>1</v>
      </c>
      <c r="AH86" s="32">
        <v>1</v>
      </c>
      <c r="AI86" s="32">
        <v>1</v>
      </c>
      <c r="AJ86" s="32">
        <v>1</v>
      </c>
      <c r="AK86" s="32">
        <f t="shared" si="5"/>
        <v>1</v>
      </c>
      <c r="AL86" s="30"/>
      <c r="AM86" s="32">
        <v>1</v>
      </c>
      <c r="AN86" s="30"/>
      <c r="AO86" s="30"/>
      <c r="AP86" s="52">
        <v>1</v>
      </c>
      <c r="AQ86" s="32">
        <v>1</v>
      </c>
      <c r="AR86" s="32"/>
      <c r="AS86" s="32">
        <v>1</v>
      </c>
      <c r="AT86" s="30"/>
      <c r="AU86" s="30"/>
      <c r="AW86" s="2" t="s">
        <v>6942</v>
      </c>
      <c r="AY86" s="94" t="s">
        <v>7370</v>
      </c>
    </row>
    <row r="87" spans="1:51" ht="16.5">
      <c r="A87" s="26" t="s">
        <v>7419</v>
      </c>
      <c r="B87" s="26" t="s">
        <v>4383</v>
      </c>
      <c r="C87" s="26" t="s">
        <v>73</v>
      </c>
      <c r="D87" s="26" t="s">
        <v>7420</v>
      </c>
      <c r="E87" s="124" t="s">
        <v>162</v>
      </c>
      <c r="F87" s="26" t="s">
        <v>7421</v>
      </c>
      <c r="G87" s="26" t="s">
        <v>7422</v>
      </c>
      <c r="H87" s="140" t="s">
        <v>165</v>
      </c>
      <c r="I87" s="141">
        <v>202606.4</v>
      </c>
      <c r="J87" s="121">
        <v>6.24</v>
      </c>
      <c r="K87" s="26" t="s">
        <v>73</v>
      </c>
      <c r="L87" s="26" t="s">
        <v>7423</v>
      </c>
      <c r="M87" s="26" t="s">
        <v>7424</v>
      </c>
      <c r="N87" s="27" t="s">
        <v>7425</v>
      </c>
      <c r="O87" s="26"/>
      <c r="P87" s="32">
        <v>4</v>
      </c>
      <c r="Q87" s="32">
        <v>16</v>
      </c>
      <c r="R87" s="32">
        <v>275.61</v>
      </c>
      <c r="S87" s="26" t="s">
        <v>99</v>
      </c>
      <c r="T87" s="30" t="s">
        <v>100</v>
      </c>
      <c r="U87" s="38" t="s">
        <v>115</v>
      </c>
      <c r="V87" s="38" t="s">
        <v>7339</v>
      </c>
      <c r="W87" s="26" t="s">
        <v>112</v>
      </c>
      <c r="X87" s="26" t="s">
        <v>7075</v>
      </c>
      <c r="Y87" s="26" t="s">
        <v>7075</v>
      </c>
      <c r="Z87" s="26" t="s">
        <v>172</v>
      </c>
      <c r="AA87" s="26" t="s">
        <v>19</v>
      </c>
      <c r="AB87" s="30" t="s">
        <v>172</v>
      </c>
      <c r="AC87" s="25" t="s">
        <v>173</v>
      </c>
      <c r="AD87" s="26" t="s">
        <v>174</v>
      </c>
      <c r="AE87" s="26" t="s">
        <v>175</v>
      </c>
      <c r="AF87" s="32">
        <f t="shared" si="4"/>
        <v>1</v>
      </c>
      <c r="AG87" s="32">
        <v>1</v>
      </c>
      <c r="AH87" s="32">
        <v>1</v>
      </c>
      <c r="AI87" s="32">
        <v>1</v>
      </c>
      <c r="AJ87" s="32">
        <v>1</v>
      </c>
      <c r="AK87" s="32">
        <f t="shared" si="5"/>
        <v>1</v>
      </c>
      <c r="AL87" s="30"/>
      <c r="AM87" s="32">
        <v>1</v>
      </c>
      <c r="AN87" s="30"/>
      <c r="AO87" s="30"/>
      <c r="AP87" s="52">
        <v>1</v>
      </c>
      <c r="AQ87" s="32">
        <v>1</v>
      </c>
      <c r="AR87" s="25" t="s">
        <v>7376</v>
      </c>
      <c r="AS87" s="32">
        <v>1</v>
      </c>
      <c r="AT87" s="30"/>
      <c r="AU87" s="30"/>
      <c r="AW87" s="2" t="s">
        <v>5390</v>
      </c>
      <c r="AY87" s="94" t="s">
        <v>7426</v>
      </c>
    </row>
    <row r="88" spans="1:51" ht="16.5">
      <c r="A88" s="26" t="s">
        <v>7427</v>
      </c>
      <c r="B88" s="26" t="s">
        <v>4383</v>
      </c>
      <c r="C88" s="26" t="s">
        <v>73</v>
      </c>
      <c r="D88" s="26" t="s">
        <v>7428</v>
      </c>
      <c r="E88" s="124" t="s">
        <v>499</v>
      </c>
      <c r="F88" s="26" t="s">
        <v>7429</v>
      </c>
      <c r="G88" s="26" t="s">
        <v>7430</v>
      </c>
      <c r="H88" s="140" t="s">
        <v>165</v>
      </c>
      <c r="I88" s="141">
        <v>202606.4</v>
      </c>
      <c r="J88" s="121">
        <v>6.24</v>
      </c>
      <c r="K88" s="26" t="s">
        <v>73</v>
      </c>
      <c r="L88" s="26" t="s">
        <v>7431</v>
      </c>
      <c r="M88" s="26" t="s">
        <v>7432</v>
      </c>
      <c r="N88" s="27" t="s">
        <v>7433</v>
      </c>
      <c r="O88" s="26"/>
      <c r="P88" s="32">
        <v>2</v>
      </c>
      <c r="Q88" s="32">
        <v>8</v>
      </c>
      <c r="R88" s="32">
        <v>268.19</v>
      </c>
      <c r="S88" s="26" t="s">
        <v>99</v>
      </c>
      <c r="T88" s="30" t="s">
        <v>100</v>
      </c>
      <c r="U88" s="38" t="s">
        <v>115</v>
      </c>
      <c r="V88" s="38" t="s">
        <v>7339</v>
      </c>
      <c r="W88" s="26" t="s">
        <v>112</v>
      </c>
      <c r="X88" s="26" t="s">
        <v>7075</v>
      </c>
      <c r="Y88" s="26" t="s">
        <v>7075</v>
      </c>
      <c r="Z88" s="26" t="s">
        <v>172</v>
      </c>
      <c r="AA88" s="26" t="s">
        <v>19</v>
      </c>
      <c r="AB88" s="30" t="s">
        <v>172</v>
      </c>
      <c r="AC88" s="25" t="s">
        <v>173</v>
      </c>
      <c r="AD88" s="26" t="s">
        <v>174</v>
      </c>
      <c r="AE88" s="26" t="s">
        <v>175</v>
      </c>
      <c r="AF88" s="32">
        <f t="shared" si="4"/>
        <v>1</v>
      </c>
      <c r="AG88" s="32">
        <v>1</v>
      </c>
      <c r="AH88" s="32">
        <v>1</v>
      </c>
      <c r="AI88" s="32">
        <v>1</v>
      </c>
      <c r="AJ88" s="32">
        <v>1</v>
      </c>
      <c r="AK88" s="32">
        <f t="shared" si="5"/>
        <v>1</v>
      </c>
      <c r="AL88" s="30"/>
      <c r="AM88" s="32">
        <v>1</v>
      </c>
      <c r="AN88" s="30"/>
      <c r="AO88" s="30"/>
      <c r="AP88" s="52">
        <v>1</v>
      </c>
      <c r="AQ88" s="32">
        <v>1</v>
      </c>
      <c r="AR88" s="32"/>
      <c r="AS88" s="32">
        <v>1</v>
      </c>
      <c r="AT88" s="30"/>
      <c r="AU88" s="30"/>
      <c r="AW88" s="2" t="s">
        <v>6934</v>
      </c>
      <c r="AY88" s="94" t="s">
        <v>7378</v>
      </c>
    </row>
    <row r="89" spans="1:51" ht="16.5">
      <c r="A89" s="26" t="s">
        <v>7434</v>
      </c>
      <c r="B89" s="26" t="s">
        <v>4383</v>
      </c>
      <c r="C89" s="26" t="s">
        <v>73</v>
      </c>
      <c r="D89" s="26" t="s">
        <v>7435</v>
      </c>
      <c r="E89" s="124" t="s">
        <v>162</v>
      </c>
      <c r="F89" s="26" t="s">
        <v>7436</v>
      </c>
      <c r="G89" s="26" t="s">
        <v>7437</v>
      </c>
      <c r="H89" s="140" t="s">
        <v>165</v>
      </c>
      <c r="I89" s="141">
        <v>202606.4</v>
      </c>
      <c r="J89" s="121">
        <v>6.24</v>
      </c>
      <c r="K89" s="26" t="s">
        <v>73</v>
      </c>
      <c r="L89" s="26" t="s">
        <v>7438</v>
      </c>
      <c r="M89" s="26" t="s">
        <v>7439</v>
      </c>
      <c r="N89" s="27" t="s">
        <v>7440</v>
      </c>
      <c r="O89" s="26"/>
      <c r="P89" s="32">
        <v>4</v>
      </c>
      <c r="Q89" s="32">
        <v>16</v>
      </c>
      <c r="R89" s="32">
        <v>276.52</v>
      </c>
      <c r="S89" s="26" t="s">
        <v>99</v>
      </c>
      <c r="T89" s="30" t="s">
        <v>100</v>
      </c>
      <c r="U89" s="38" t="s">
        <v>115</v>
      </c>
      <c r="V89" s="38" t="s">
        <v>7339</v>
      </c>
      <c r="W89" s="26" t="s">
        <v>112</v>
      </c>
      <c r="X89" s="26" t="s">
        <v>7075</v>
      </c>
      <c r="Y89" s="26" t="s">
        <v>7075</v>
      </c>
      <c r="Z89" s="26" t="s">
        <v>172</v>
      </c>
      <c r="AA89" s="26" t="s">
        <v>19</v>
      </c>
      <c r="AB89" s="30" t="s">
        <v>172</v>
      </c>
      <c r="AC89" s="25" t="s">
        <v>173</v>
      </c>
      <c r="AD89" s="26" t="s">
        <v>174</v>
      </c>
      <c r="AE89" s="26" t="s">
        <v>175</v>
      </c>
      <c r="AF89" s="32">
        <f t="shared" si="4"/>
        <v>1</v>
      </c>
      <c r="AG89" s="32">
        <v>1</v>
      </c>
      <c r="AH89" s="32">
        <v>1</v>
      </c>
      <c r="AI89" s="32">
        <v>1</v>
      </c>
      <c r="AJ89" s="32">
        <v>1</v>
      </c>
      <c r="AK89" s="32">
        <f t="shared" si="5"/>
        <v>1</v>
      </c>
      <c r="AL89" s="30"/>
      <c r="AM89" s="32">
        <v>1</v>
      </c>
      <c r="AN89" s="30"/>
      <c r="AO89" s="30"/>
      <c r="AP89" s="52">
        <v>1</v>
      </c>
      <c r="AQ89" s="32">
        <v>1</v>
      </c>
      <c r="AR89" s="32"/>
      <c r="AS89" s="32">
        <v>1</v>
      </c>
      <c r="AT89" s="30"/>
      <c r="AU89" s="30"/>
      <c r="AW89" s="2" t="s">
        <v>6925</v>
      </c>
      <c r="AY89" s="94" t="s">
        <v>7363</v>
      </c>
    </row>
    <row r="90" spans="1:51" ht="16.5">
      <c r="A90" s="26" t="s">
        <v>7441</v>
      </c>
      <c r="B90" s="26" t="s">
        <v>4383</v>
      </c>
      <c r="C90" s="26" t="s">
        <v>73</v>
      </c>
      <c r="D90" s="26" t="s">
        <v>7426</v>
      </c>
      <c r="E90" s="124" t="s">
        <v>162</v>
      </c>
      <c r="F90" s="26" t="s">
        <v>7442</v>
      </c>
      <c r="G90" s="26" t="s">
        <v>7443</v>
      </c>
      <c r="H90" s="140" t="s">
        <v>165</v>
      </c>
      <c r="I90" s="141">
        <v>202606.4</v>
      </c>
      <c r="J90" s="121">
        <v>6.24</v>
      </c>
      <c r="K90" s="26" t="s">
        <v>73</v>
      </c>
      <c r="L90" s="26" t="s">
        <v>7444</v>
      </c>
      <c r="M90" s="26" t="s">
        <v>7445</v>
      </c>
      <c r="N90" s="27" t="s">
        <v>7446</v>
      </c>
      <c r="O90" s="26"/>
      <c r="P90" s="32">
        <v>4</v>
      </c>
      <c r="Q90" s="32">
        <v>16</v>
      </c>
      <c r="R90" s="32">
        <v>267.26</v>
      </c>
      <c r="S90" s="26" t="s">
        <v>99</v>
      </c>
      <c r="T90" s="30" t="s">
        <v>100</v>
      </c>
      <c r="U90" s="38" t="s">
        <v>115</v>
      </c>
      <c r="V90" s="38" t="s">
        <v>7339</v>
      </c>
      <c r="W90" s="26" t="s">
        <v>112</v>
      </c>
      <c r="X90" s="26" t="s">
        <v>7075</v>
      </c>
      <c r="Y90" s="26" t="s">
        <v>7075</v>
      </c>
      <c r="Z90" s="26" t="s">
        <v>172</v>
      </c>
      <c r="AA90" s="26" t="s">
        <v>19</v>
      </c>
      <c r="AB90" s="30" t="s">
        <v>172</v>
      </c>
      <c r="AC90" s="25" t="s">
        <v>173</v>
      </c>
      <c r="AD90" s="26" t="s">
        <v>174</v>
      </c>
      <c r="AE90" s="26" t="s">
        <v>175</v>
      </c>
      <c r="AF90" s="32">
        <f t="shared" si="4"/>
        <v>1</v>
      </c>
      <c r="AG90" s="32">
        <v>1</v>
      </c>
      <c r="AH90" s="32">
        <v>1</v>
      </c>
      <c r="AI90" s="32">
        <v>1</v>
      </c>
      <c r="AJ90" s="32">
        <v>1</v>
      </c>
      <c r="AK90" s="32">
        <f t="shared" si="5"/>
        <v>1</v>
      </c>
      <c r="AL90" s="30"/>
      <c r="AM90" s="32">
        <v>1</v>
      </c>
      <c r="AN90" s="30"/>
      <c r="AO90" s="30"/>
      <c r="AP90" s="52">
        <v>1</v>
      </c>
      <c r="AQ90" s="32">
        <v>1</v>
      </c>
      <c r="AR90" s="32"/>
      <c r="AS90" s="32">
        <v>1</v>
      </c>
      <c r="AT90" s="30"/>
      <c r="AU90" s="30"/>
      <c r="AW90" s="2" t="s">
        <v>5622</v>
      </c>
      <c r="AY90" s="94" t="s">
        <v>7447</v>
      </c>
    </row>
    <row r="91" spans="1:51" ht="16.5">
      <c r="A91" s="26" t="s">
        <v>7448</v>
      </c>
      <c r="B91" s="26" t="s">
        <v>4383</v>
      </c>
      <c r="C91" s="26" t="s">
        <v>73</v>
      </c>
      <c r="D91" s="26" t="s">
        <v>7449</v>
      </c>
      <c r="E91" s="124" t="s">
        <v>499</v>
      </c>
      <c r="F91" s="26" t="s">
        <v>7450</v>
      </c>
      <c r="G91" s="26" t="s">
        <v>7451</v>
      </c>
      <c r="H91" s="140" t="s">
        <v>165</v>
      </c>
      <c r="I91" s="141">
        <v>202606.4</v>
      </c>
      <c r="J91" s="121">
        <v>6.24</v>
      </c>
      <c r="K91" s="26" t="s">
        <v>73</v>
      </c>
      <c r="L91" s="26" t="s">
        <v>7452</v>
      </c>
      <c r="M91" s="26" t="s">
        <v>7453</v>
      </c>
      <c r="N91" s="27" t="s">
        <v>7454</v>
      </c>
      <c r="O91" s="26"/>
      <c r="P91" s="32">
        <v>2</v>
      </c>
      <c r="Q91" s="32">
        <v>8</v>
      </c>
      <c r="R91" s="32">
        <v>258.94</v>
      </c>
      <c r="S91" s="26" t="s">
        <v>99</v>
      </c>
      <c r="T91" s="30" t="s">
        <v>100</v>
      </c>
      <c r="U91" s="38" t="s">
        <v>115</v>
      </c>
      <c r="V91" s="38" t="s">
        <v>7339</v>
      </c>
      <c r="W91" s="26" t="s">
        <v>112</v>
      </c>
      <c r="X91" s="26" t="s">
        <v>7075</v>
      </c>
      <c r="Y91" s="26" t="s">
        <v>7075</v>
      </c>
      <c r="Z91" s="26" t="s">
        <v>172</v>
      </c>
      <c r="AA91" s="26" t="s">
        <v>19</v>
      </c>
      <c r="AB91" s="30" t="s">
        <v>172</v>
      </c>
      <c r="AC91" s="25" t="s">
        <v>173</v>
      </c>
      <c r="AD91" s="26" t="s">
        <v>174</v>
      </c>
      <c r="AE91" s="26" t="s">
        <v>175</v>
      </c>
      <c r="AF91" s="32">
        <f t="shared" si="4"/>
        <v>1</v>
      </c>
      <c r="AG91" s="32">
        <v>1</v>
      </c>
      <c r="AH91" s="32">
        <v>1</v>
      </c>
      <c r="AI91" s="32">
        <v>1</v>
      </c>
      <c r="AJ91" s="32">
        <v>1</v>
      </c>
      <c r="AK91" s="32">
        <f t="shared" si="5"/>
        <v>1</v>
      </c>
      <c r="AL91" s="30"/>
      <c r="AM91" s="32">
        <v>1</v>
      </c>
      <c r="AN91" s="30"/>
      <c r="AO91" s="30"/>
      <c r="AP91" s="52">
        <v>1</v>
      </c>
      <c r="AQ91" s="32">
        <v>1</v>
      </c>
      <c r="AR91" s="32"/>
      <c r="AS91" s="32">
        <v>1</v>
      </c>
      <c r="AT91" s="30"/>
      <c r="AU91" s="30"/>
      <c r="AW91" s="2" t="s">
        <v>7359</v>
      </c>
      <c r="AY91" s="94" t="s">
        <v>4266</v>
      </c>
    </row>
    <row r="92" spans="1:51" ht="16.5">
      <c r="A92" s="26" t="s">
        <v>7455</v>
      </c>
      <c r="B92" s="26" t="s">
        <v>4383</v>
      </c>
      <c r="C92" s="26" t="s">
        <v>73</v>
      </c>
      <c r="D92" s="26" t="s">
        <v>7456</v>
      </c>
      <c r="E92" s="124" t="s">
        <v>499</v>
      </c>
      <c r="F92" s="26" t="s">
        <v>7457</v>
      </c>
      <c r="G92" s="26" t="s">
        <v>7458</v>
      </c>
      <c r="H92" s="140" t="s">
        <v>165</v>
      </c>
      <c r="I92" s="141">
        <v>202606.4</v>
      </c>
      <c r="J92" s="121">
        <v>6.24</v>
      </c>
      <c r="K92" s="26" t="s">
        <v>73</v>
      </c>
      <c r="L92" s="26" t="s">
        <v>7459</v>
      </c>
      <c r="M92" s="26" t="s">
        <v>7460</v>
      </c>
      <c r="N92" s="27" t="s">
        <v>7461</v>
      </c>
      <c r="O92" s="26"/>
      <c r="P92" s="32">
        <v>2</v>
      </c>
      <c r="Q92" s="32">
        <v>8</v>
      </c>
      <c r="R92" s="32">
        <v>267.18</v>
      </c>
      <c r="S92" s="26" t="s">
        <v>99</v>
      </c>
      <c r="T92" s="30" t="s">
        <v>100</v>
      </c>
      <c r="U92" s="38" t="s">
        <v>115</v>
      </c>
      <c r="V92" s="38" t="s">
        <v>7339</v>
      </c>
      <c r="W92" s="26" t="s">
        <v>112</v>
      </c>
      <c r="X92" s="26" t="s">
        <v>7075</v>
      </c>
      <c r="Y92" s="26" t="s">
        <v>7075</v>
      </c>
      <c r="Z92" s="26" t="s">
        <v>172</v>
      </c>
      <c r="AA92" s="26" t="s">
        <v>19</v>
      </c>
      <c r="AB92" s="30" t="s">
        <v>172</v>
      </c>
      <c r="AC92" s="25" t="s">
        <v>173</v>
      </c>
      <c r="AD92" s="26" t="s">
        <v>174</v>
      </c>
      <c r="AE92" s="26" t="s">
        <v>175</v>
      </c>
      <c r="AF92" s="32">
        <f t="shared" si="4"/>
        <v>1</v>
      </c>
      <c r="AG92" s="32">
        <v>1</v>
      </c>
      <c r="AH92" s="32">
        <v>1</v>
      </c>
      <c r="AI92" s="32">
        <v>1</v>
      </c>
      <c r="AJ92" s="32">
        <v>1</v>
      </c>
      <c r="AK92" s="32">
        <f t="shared" si="5"/>
        <v>1</v>
      </c>
      <c r="AL92" s="30"/>
      <c r="AM92" s="32">
        <v>1</v>
      </c>
      <c r="AN92" s="30"/>
      <c r="AO92" s="30"/>
      <c r="AP92" s="52">
        <v>1</v>
      </c>
      <c r="AQ92" s="32">
        <v>1</v>
      </c>
      <c r="AR92" s="32"/>
      <c r="AS92" s="32">
        <v>1</v>
      </c>
      <c r="AT92" s="30" t="s">
        <v>7462</v>
      </c>
      <c r="AU92" s="30"/>
      <c r="AW92" s="2" t="s">
        <v>7373</v>
      </c>
      <c r="AY92" s="94" t="s">
        <v>7420</v>
      </c>
    </row>
    <row r="93" spans="1:51" ht="16.5">
      <c r="A93" s="26" t="s">
        <v>7463</v>
      </c>
      <c r="B93" s="26" t="s">
        <v>4383</v>
      </c>
      <c r="C93" s="26" t="s">
        <v>73</v>
      </c>
      <c r="D93" s="26" t="s">
        <v>7464</v>
      </c>
      <c r="E93" s="124" t="s">
        <v>162</v>
      </c>
      <c r="F93" s="26" t="s">
        <v>7465</v>
      </c>
      <c r="G93" s="26" t="s">
        <v>7466</v>
      </c>
      <c r="H93" s="140" t="s">
        <v>165</v>
      </c>
      <c r="I93" s="141">
        <v>202606.4</v>
      </c>
      <c r="J93" s="121">
        <v>6.24</v>
      </c>
      <c r="K93" s="26" t="s">
        <v>73</v>
      </c>
      <c r="L93" s="26" t="s">
        <v>7467</v>
      </c>
      <c r="M93" s="26" t="s">
        <v>7468</v>
      </c>
      <c r="N93" s="27" t="s">
        <v>7469</v>
      </c>
      <c r="O93" s="26"/>
      <c r="P93" s="32">
        <v>4</v>
      </c>
      <c r="Q93" s="32">
        <v>16</v>
      </c>
      <c r="R93" s="32">
        <v>276.39999999999998</v>
      </c>
      <c r="S93" s="26" t="s">
        <v>99</v>
      </c>
      <c r="T93" s="30" t="s">
        <v>100</v>
      </c>
      <c r="U93" s="38" t="s">
        <v>115</v>
      </c>
      <c r="V93" s="38" t="s">
        <v>7339</v>
      </c>
      <c r="W93" s="26" t="s">
        <v>112</v>
      </c>
      <c r="X93" s="26" t="s">
        <v>7075</v>
      </c>
      <c r="Y93" s="26" t="s">
        <v>7075</v>
      </c>
      <c r="Z93" s="26" t="s">
        <v>172</v>
      </c>
      <c r="AA93" s="26" t="s">
        <v>19</v>
      </c>
      <c r="AB93" s="30" t="s">
        <v>172</v>
      </c>
      <c r="AC93" s="25" t="s">
        <v>173</v>
      </c>
      <c r="AD93" s="26" t="s">
        <v>174</v>
      </c>
      <c r="AE93" s="26" t="s">
        <v>175</v>
      </c>
      <c r="AF93" s="32">
        <f t="shared" si="4"/>
        <v>1</v>
      </c>
      <c r="AG93" s="32">
        <v>1</v>
      </c>
      <c r="AH93" s="32">
        <v>1</v>
      </c>
      <c r="AI93" s="32">
        <v>1</v>
      </c>
      <c r="AJ93" s="32">
        <v>1</v>
      </c>
      <c r="AK93" s="32">
        <f t="shared" si="5"/>
        <v>1</v>
      </c>
      <c r="AL93" s="30"/>
      <c r="AM93" s="32">
        <v>1</v>
      </c>
      <c r="AN93" s="30"/>
      <c r="AO93" s="30"/>
      <c r="AP93" s="52">
        <v>1</v>
      </c>
      <c r="AQ93" s="32">
        <v>1</v>
      </c>
      <c r="AR93" s="32"/>
      <c r="AS93" s="32">
        <v>1</v>
      </c>
      <c r="AT93" s="30"/>
      <c r="AU93" s="30"/>
      <c r="AW93" s="2" t="s">
        <v>7444</v>
      </c>
      <c r="AY93" s="94" t="s">
        <v>7428</v>
      </c>
    </row>
    <row r="94" spans="1:51" ht="16.5">
      <c r="A94" s="26" t="s">
        <v>7470</v>
      </c>
      <c r="B94" s="26" t="s">
        <v>4383</v>
      </c>
      <c r="C94" s="26" t="s">
        <v>73</v>
      </c>
      <c r="D94" s="26" t="s">
        <v>7447</v>
      </c>
      <c r="E94" s="124" t="s">
        <v>499</v>
      </c>
      <c r="F94" s="26" t="s">
        <v>7470</v>
      </c>
      <c r="G94" s="26" t="s">
        <v>7471</v>
      </c>
      <c r="H94" s="140" t="s">
        <v>165</v>
      </c>
      <c r="I94" s="141">
        <v>202606.4</v>
      </c>
      <c r="J94" s="121">
        <v>6.24</v>
      </c>
      <c r="K94" s="26" t="s">
        <v>73</v>
      </c>
      <c r="L94" s="26" t="s">
        <v>7472</v>
      </c>
      <c r="M94" s="26" t="s">
        <v>7473</v>
      </c>
      <c r="N94" s="27" t="s">
        <v>7474</v>
      </c>
      <c r="O94" s="26"/>
      <c r="P94" s="32">
        <v>2</v>
      </c>
      <c r="Q94" s="32">
        <v>8</v>
      </c>
      <c r="R94" s="32">
        <v>259.63</v>
      </c>
      <c r="S94" s="26" t="s">
        <v>99</v>
      </c>
      <c r="T94" s="30" t="s">
        <v>100</v>
      </c>
      <c r="U94" s="38" t="s">
        <v>115</v>
      </c>
      <c r="V94" s="38" t="s">
        <v>7339</v>
      </c>
      <c r="W94" s="26" t="s">
        <v>112</v>
      </c>
      <c r="X94" s="26" t="s">
        <v>7075</v>
      </c>
      <c r="Y94" s="26" t="s">
        <v>7075</v>
      </c>
      <c r="Z94" s="26" t="s">
        <v>172</v>
      </c>
      <c r="AA94" s="26" t="s">
        <v>19</v>
      </c>
      <c r="AB94" s="30" t="s">
        <v>172</v>
      </c>
      <c r="AC94" s="25" t="s">
        <v>173</v>
      </c>
      <c r="AD94" s="26" t="s">
        <v>174</v>
      </c>
      <c r="AE94" s="26" t="s">
        <v>175</v>
      </c>
      <c r="AF94" s="32">
        <f t="shared" si="4"/>
        <v>1</v>
      </c>
      <c r="AG94" s="32">
        <v>1</v>
      </c>
      <c r="AH94" s="32">
        <v>1</v>
      </c>
      <c r="AI94" s="32">
        <v>1</v>
      </c>
      <c r="AJ94" s="32">
        <v>1</v>
      </c>
      <c r="AK94" s="32">
        <f t="shared" si="5"/>
        <v>1</v>
      </c>
      <c r="AL94" s="30"/>
      <c r="AM94" s="32">
        <v>1</v>
      </c>
      <c r="AN94" s="30"/>
      <c r="AO94" s="30"/>
      <c r="AP94" s="52">
        <v>1</v>
      </c>
      <c r="AQ94" s="32">
        <v>1</v>
      </c>
      <c r="AR94" s="32"/>
      <c r="AS94" s="32">
        <v>1</v>
      </c>
      <c r="AT94" s="30"/>
      <c r="AU94" s="30"/>
      <c r="AW94" s="2" t="s">
        <v>7381</v>
      </c>
      <c r="AY94" s="94" t="s">
        <v>7392</v>
      </c>
    </row>
    <row r="95" spans="1:51" ht="16.5">
      <c r="A95" s="26" t="s">
        <v>7475</v>
      </c>
      <c r="B95" s="26" t="s">
        <v>4383</v>
      </c>
      <c r="C95" s="26" t="s">
        <v>73</v>
      </c>
      <c r="D95" s="26" t="s">
        <v>7476</v>
      </c>
      <c r="E95" s="124" t="s">
        <v>499</v>
      </c>
      <c r="F95" s="26" t="s">
        <v>7477</v>
      </c>
      <c r="G95" s="26" t="s">
        <v>7478</v>
      </c>
      <c r="H95" s="140" t="s">
        <v>165</v>
      </c>
      <c r="I95" s="141">
        <v>202606.4</v>
      </c>
      <c r="J95" s="121">
        <v>6.24</v>
      </c>
      <c r="K95" s="26" t="s">
        <v>73</v>
      </c>
      <c r="L95" s="26" t="s">
        <v>7479</v>
      </c>
      <c r="M95" s="26" t="s">
        <v>7480</v>
      </c>
      <c r="N95" s="27" t="s">
        <v>7481</v>
      </c>
      <c r="O95" s="26"/>
      <c r="P95" s="32">
        <v>2</v>
      </c>
      <c r="Q95" s="32">
        <v>8</v>
      </c>
      <c r="R95" s="32">
        <v>291</v>
      </c>
      <c r="S95" s="26" t="s">
        <v>99</v>
      </c>
      <c r="T95" s="30" t="s">
        <v>100</v>
      </c>
      <c r="U95" s="38" t="s">
        <v>115</v>
      </c>
      <c r="V95" s="38" t="s">
        <v>7339</v>
      </c>
      <c r="W95" s="26" t="s">
        <v>112</v>
      </c>
      <c r="X95" s="26" t="s">
        <v>7075</v>
      </c>
      <c r="Y95" s="26" t="s">
        <v>7075</v>
      </c>
      <c r="Z95" s="26" t="s">
        <v>172</v>
      </c>
      <c r="AA95" s="26" t="s">
        <v>19</v>
      </c>
      <c r="AB95" s="30" t="s">
        <v>172</v>
      </c>
      <c r="AC95" s="25" t="s">
        <v>173</v>
      </c>
      <c r="AD95" s="26" t="s">
        <v>174</v>
      </c>
      <c r="AE95" s="26" t="s">
        <v>175</v>
      </c>
      <c r="AF95" s="32">
        <f t="shared" si="4"/>
        <v>1</v>
      </c>
      <c r="AG95" s="32">
        <v>1</v>
      </c>
      <c r="AH95" s="32">
        <v>1</v>
      </c>
      <c r="AI95" s="32">
        <v>1</v>
      </c>
      <c r="AJ95" s="32">
        <v>1</v>
      </c>
      <c r="AK95" s="32">
        <f t="shared" si="5"/>
        <v>1</v>
      </c>
      <c r="AL95" s="30"/>
      <c r="AM95" s="25">
        <v>1</v>
      </c>
      <c r="AN95" s="30"/>
      <c r="AO95" s="30"/>
      <c r="AP95" s="32">
        <v>1</v>
      </c>
      <c r="AQ95" s="32">
        <v>1</v>
      </c>
      <c r="AR95" s="32"/>
      <c r="AS95" s="32">
        <v>1</v>
      </c>
      <c r="AT95" s="30"/>
      <c r="AU95" s="30"/>
      <c r="AW95" s="2" t="s">
        <v>7472</v>
      </c>
      <c r="AY95" s="94" t="s">
        <v>7413</v>
      </c>
    </row>
    <row r="96" spans="1:51" ht="16.5">
      <c r="A96" s="26" t="s">
        <v>7482</v>
      </c>
      <c r="B96" s="26" t="s">
        <v>4880</v>
      </c>
      <c r="C96" s="26" t="s">
        <v>73</v>
      </c>
      <c r="D96" s="26" t="s">
        <v>7483</v>
      </c>
      <c r="E96" s="124" t="s">
        <v>499</v>
      </c>
      <c r="F96" s="39" t="s">
        <v>7484</v>
      </c>
      <c r="G96" s="26"/>
      <c r="H96" s="140" t="s">
        <v>165</v>
      </c>
      <c r="I96" s="141">
        <v>202606.4</v>
      </c>
      <c r="J96" s="121">
        <v>6.24</v>
      </c>
      <c r="K96" s="26" t="s">
        <v>73</v>
      </c>
      <c r="L96" s="39" t="s">
        <v>7485</v>
      </c>
      <c r="M96" s="26" t="s">
        <v>7486</v>
      </c>
      <c r="N96" s="27" t="s">
        <v>7487</v>
      </c>
      <c r="O96" s="26"/>
      <c r="P96" s="32">
        <v>2</v>
      </c>
      <c r="Q96" s="32">
        <v>8</v>
      </c>
      <c r="R96" s="32">
        <v>259.67</v>
      </c>
      <c r="S96" s="26" t="s">
        <v>99</v>
      </c>
      <c r="T96" s="30" t="s">
        <v>100</v>
      </c>
      <c r="U96" s="38" t="s">
        <v>115</v>
      </c>
      <c r="V96" s="38" t="s">
        <v>7339</v>
      </c>
      <c r="W96" s="26" t="s">
        <v>112</v>
      </c>
      <c r="X96" s="38" t="s">
        <v>7075</v>
      </c>
      <c r="Y96" s="38" t="s">
        <v>7075</v>
      </c>
      <c r="Z96" s="26" t="s">
        <v>172</v>
      </c>
      <c r="AA96" s="26" t="s">
        <v>19</v>
      </c>
      <c r="AB96" s="30" t="s">
        <v>172</v>
      </c>
      <c r="AC96" s="25" t="s">
        <v>173</v>
      </c>
      <c r="AD96" s="26" t="s">
        <v>174</v>
      </c>
      <c r="AE96" s="26" t="s">
        <v>175</v>
      </c>
      <c r="AF96" s="32">
        <f t="shared" si="4"/>
        <v>1</v>
      </c>
      <c r="AG96" s="32">
        <v>1</v>
      </c>
      <c r="AH96" s="32">
        <v>1</v>
      </c>
      <c r="AI96" s="32">
        <v>1</v>
      </c>
      <c r="AJ96" s="32">
        <v>1</v>
      </c>
      <c r="AK96" s="32">
        <f t="shared" si="5"/>
        <v>1</v>
      </c>
      <c r="AL96" s="30"/>
      <c r="AM96" s="32">
        <v>1</v>
      </c>
      <c r="AN96" s="30"/>
      <c r="AO96" s="30"/>
      <c r="AP96" s="32">
        <v>1</v>
      </c>
      <c r="AQ96" s="32">
        <v>1</v>
      </c>
      <c r="AR96" s="32"/>
      <c r="AS96" s="32">
        <v>1</v>
      </c>
      <c r="AT96" s="30" t="s">
        <v>7488</v>
      </c>
      <c r="AU96" s="30"/>
      <c r="AW96" s="2" t="s">
        <v>7423</v>
      </c>
      <c r="AY96" s="94" t="s">
        <v>7342</v>
      </c>
    </row>
    <row r="97" spans="1:51" ht="16.5">
      <c r="A97" s="49" t="s">
        <v>5384</v>
      </c>
      <c r="B97" s="26" t="s">
        <v>160</v>
      </c>
      <c r="C97" s="26" t="s">
        <v>73</v>
      </c>
      <c r="D97" s="49" t="s">
        <v>5332</v>
      </c>
      <c r="E97" s="124" t="s">
        <v>162</v>
      </c>
      <c r="F97" s="49" t="s">
        <v>5385</v>
      </c>
      <c r="G97" s="49" t="s">
        <v>5386</v>
      </c>
      <c r="H97" s="124" t="s">
        <v>165</v>
      </c>
      <c r="I97" s="141">
        <v>202606.4</v>
      </c>
      <c r="J97" s="121">
        <v>6.24</v>
      </c>
      <c r="K97" s="49" t="s">
        <v>73</v>
      </c>
      <c r="L97" s="26" t="s">
        <v>5387</v>
      </c>
      <c r="M97" s="49" t="s">
        <v>5388</v>
      </c>
      <c r="N97" s="139" t="s">
        <v>5389</v>
      </c>
      <c r="O97" s="144" t="s">
        <v>7489</v>
      </c>
      <c r="P97" s="32">
        <v>4</v>
      </c>
      <c r="Q97" s="32">
        <v>16</v>
      </c>
      <c r="R97" s="32">
        <v>357.77</v>
      </c>
      <c r="S97" s="26" t="s">
        <v>99</v>
      </c>
      <c r="T97" s="30" t="s">
        <v>100</v>
      </c>
      <c r="U97" s="38" t="s">
        <v>101</v>
      </c>
      <c r="V97" s="38" t="s">
        <v>7339</v>
      </c>
      <c r="W97" s="38" t="s">
        <v>103</v>
      </c>
      <c r="X97" s="122" t="s">
        <v>123</v>
      </c>
      <c r="Y97" s="30" t="s">
        <v>123</v>
      </c>
      <c r="Z97" s="26" t="s">
        <v>172</v>
      </c>
      <c r="AA97" s="26" t="s">
        <v>21</v>
      </c>
      <c r="AB97" s="30" t="s">
        <v>172</v>
      </c>
      <c r="AC97" s="25" t="s">
        <v>173</v>
      </c>
      <c r="AD97" s="26" t="s">
        <v>174</v>
      </c>
      <c r="AE97" s="26" t="s">
        <v>175</v>
      </c>
      <c r="AF97" s="32">
        <f t="shared" si="4"/>
        <v>1</v>
      </c>
      <c r="AG97" s="32">
        <v>1</v>
      </c>
      <c r="AH97" s="32">
        <v>1</v>
      </c>
      <c r="AI97" s="32">
        <v>1</v>
      </c>
      <c r="AJ97" s="32">
        <v>1</v>
      </c>
      <c r="AK97" s="32">
        <f t="shared" si="5"/>
        <v>1</v>
      </c>
      <c r="AL97" s="30"/>
      <c r="AM97" s="32">
        <v>1</v>
      </c>
      <c r="AN97" s="30"/>
      <c r="AO97" s="30"/>
      <c r="AP97" s="32">
        <v>1</v>
      </c>
      <c r="AQ97" s="32">
        <v>1</v>
      </c>
      <c r="AR97" s="32"/>
      <c r="AS97" s="32">
        <v>1</v>
      </c>
      <c r="AT97" s="30"/>
      <c r="AU97" s="30"/>
      <c r="AW97" s="2" t="s">
        <v>7431</v>
      </c>
      <c r="AY97" s="94" t="s">
        <v>6450</v>
      </c>
    </row>
    <row r="98" spans="1:51" ht="16.5">
      <c r="A98" s="49" t="s">
        <v>5658</v>
      </c>
      <c r="B98" s="26" t="s">
        <v>160</v>
      </c>
      <c r="C98" s="26" t="s">
        <v>73</v>
      </c>
      <c r="D98" s="49" t="s">
        <v>5600</v>
      </c>
      <c r="E98" s="124" t="s">
        <v>162</v>
      </c>
      <c r="F98" s="49" t="s">
        <v>5659</v>
      </c>
      <c r="G98" s="49" t="s">
        <v>5660</v>
      </c>
      <c r="H98" s="124" t="s">
        <v>5516</v>
      </c>
      <c r="I98" s="141">
        <v>202606.4</v>
      </c>
      <c r="J98" s="121">
        <v>6.24</v>
      </c>
      <c r="K98" s="49" t="s">
        <v>73</v>
      </c>
      <c r="L98" s="26" t="s">
        <v>5661</v>
      </c>
      <c r="M98" s="49" t="s">
        <v>5662</v>
      </c>
      <c r="N98" s="139" t="s">
        <v>5663</v>
      </c>
      <c r="O98" s="144" t="s">
        <v>7489</v>
      </c>
      <c r="P98" s="32">
        <v>4</v>
      </c>
      <c r="Q98" s="32">
        <v>16</v>
      </c>
      <c r="R98" s="32">
        <v>326.06</v>
      </c>
      <c r="S98" s="26" t="s">
        <v>99</v>
      </c>
      <c r="T98" s="30" t="s">
        <v>100</v>
      </c>
      <c r="U98" s="38" t="s">
        <v>101</v>
      </c>
      <c r="V98" s="38" t="s">
        <v>7339</v>
      </c>
      <c r="W98" s="38" t="s">
        <v>103</v>
      </c>
      <c r="X98" s="122" t="s">
        <v>123</v>
      </c>
      <c r="Y98" s="30" t="s">
        <v>123</v>
      </c>
      <c r="Z98" s="26" t="s">
        <v>172</v>
      </c>
      <c r="AA98" s="26" t="s">
        <v>21</v>
      </c>
      <c r="AB98" s="30" t="s">
        <v>172</v>
      </c>
      <c r="AC98" s="25" t="s">
        <v>173</v>
      </c>
      <c r="AD98" s="26" t="s">
        <v>174</v>
      </c>
      <c r="AE98" s="26" t="s">
        <v>175</v>
      </c>
      <c r="AF98" s="32">
        <f t="shared" si="4"/>
        <v>1</v>
      </c>
      <c r="AG98" s="32">
        <v>1</v>
      </c>
      <c r="AH98" s="32">
        <v>1</v>
      </c>
      <c r="AI98" s="32">
        <v>1</v>
      </c>
      <c r="AJ98" s="32">
        <v>1</v>
      </c>
      <c r="AK98" s="32">
        <f t="shared" si="5"/>
        <v>1</v>
      </c>
      <c r="AL98" s="30"/>
      <c r="AM98" s="32">
        <v>1</v>
      </c>
      <c r="AN98" s="30"/>
      <c r="AO98" s="30"/>
      <c r="AP98" s="32">
        <v>1</v>
      </c>
      <c r="AQ98" s="32">
        <v>1</v>
      </c>
      <c r="AR98" s="32"/>
      <c r="AS98" s="32">
        <v>1</v>
      </c>
      <c r="AT98" s="30"/>
      <c r="AU98" s="30"/>
      <c r="AW98" s="2" t="s">
        <v>7395</v>
      </c>
      <c r="AY98" s="94" t="s">
        <v>1276</v>
      </c>
    </row>
    <row r="99" spans="1:51" ht="16.5">
      <c r="A99" s="49" t="s">
        <v>5709</v>
      </c>
      <c r="B99" s="26" t="s">
        <v>160</v>
      </c>
      <c r="C99" s="26" t="s">
        <v>73</v>
      </c>
      <c r="D99" s="49" t="s">
        <v>5710</v>
      </c>
      <c r="E99" s="124" t="s">
        <v>162</v>
      </c>
      <c r="F99" s="49" t="s">
        <v>5711</v>
      </c>
      <c r="G99" s="49" t="s">
        <v>5712</v>
      </c>
      <c r="H99" s="124" t="s">
        <v>5516</v>
      </c>
      <c r="I99" s="141">
        <v>202606.4</v>
      </c>
      <c r="J99" s="121">
        <v>6.24</v>
      </c>
      <c r="K99" s="49" t="s">
        <v>73</v>
      </c>
      <c r="L99" s="26" t="s">
        <v>5713</v>
      </c>
      <c r="M99" s="49" t="s">
        <v>5714</v>
      </c>
      <c r="N99" s="139" t="s">
        <v>5715</v>
      </c>
      <c r="O99" s="144" t="s">
        <v>7489</v>
      </c>
      <c r="P99" s="32">
        <v>4</v>
      </c>
      <c r="Q99" s="32">
        <v>16</v>
      </c>
      <c r="R99" s="32">
        <v>359.28</v>
      </c>
      <c r="S99" s="26" t="s">
        <v>99</v>
      </c>
      <c r="T99" s="30" t="s">
        <v>100</v>
      </c>
      <c r="U99" s="38" t="s">
        <v>101</v>
      </c>
      <c r="V99" s="38" t="s">
        <v>7339</v>
      </c>
      <c r="W99" s="38" t="s">
        <v>103</v>
      </c>
      <c r="X99" s="122" t="s">
        <v>123</v>
      </c>
      <c r="Y99" s="30" t="s">
        <v>123</v>
      </c>
      <c r="Z99" s="26" t="s">
        <v>172</v>
      </c>
      <c r="AA99" s="26" t="s">
        <v>21</v>
      </c>
      <c r="AB99" s="30" t="s">
        <v>172</v>
      </c>
      <c r="AC99" s="25" t="s">
        <v>173</v>
      </c>
      <c r="AD99" s="26" t="s">
        <v>174</v>
      </c>
      <c r="AE99" s="26" t="s">
        <v>175</v>
      </c>
      <c r="AF99" s="32">
        <f t="shared" si="4"/>
        <v>1</v>
      </c>
      <c r="AG99" s="32">
        <v>1</v>
      </c>
      <c r="AH99" s="32">
        <v>1</v>
      </c>
      <c r="AI99" s="32">
        <v>1</v>
      </c>
      <c r="AJ99" s="32">
        <v>1</v>
      </c>
      <c r="AK99" s="32">
        <f t="shared" si="5"/>
        <v>1</v>
      </c>
      <c r="AL99" s="30"/>
      <c r="AM99" s="32">
        <v>1</v>
      </c>
      <c r="AN99" s="30"/>
      <c r="AO99" s="30"/>
      <c r="AP99" s="32">
        <v>1</v>
      </c>
      <c r="AQ99" s="32">
        <v>1</v>
      </c>
      <c r="AR99" s="32"/>
      <c r="AS99" s="32">
        <v>1</v>
      </c>
      <c r="AT99" s="30"/>
      <c r="AU99" s="30"/>
      <c r="AW99" s="2" t="s">
        <v>7416</v>
      </c>
      <c r="AY99" s="94" t="s">
        <v>7406</v>
      </c>
    </row>
    <row r="100" spans="1:51" ht="16.5">
      <c r="A100" s="49" t="s">
        <v>5901</v>
      </c>
      <c r="B100" s="26" t="s">
        <v>160</v>
      </c>
      <c r="C100" s="26" t="s">
        <v>73</v>
      </c>
      <c r="D100" s="49" t="s">
        <v>5847</v>
      </c>
      <c r="E100" s="124" t="s">
        <v>162</v>
      </c>
      <c r="F100" s="49" t="s">
        <v>5902</v>
      </c>
      <c r="G100" s="49" t="s">
        <v>5903</v>
      </c>
      <c r="H100" s="124" t="s">
        <v>5516</v>
      </c>
      <c r="I100" s="141">
        <v>202606.4</v>
      </c>
      <c r="J100" s="121">
        <v>6.24</v>
      </c>
      <c r="K100" s="49" t="s">
        <v>73</v>
      </c>
      <c r="L100" s="26" t="s">
        <v>5904</v>
      </c>
      <c r="M100" s="49" t="s">
        <v>5905</v>
      </c>
      <c r="N100" s="139" t="s">
        <v>5906</v>
      </c>
      <c r="O100" s="144" t="s">
        <v>7489</v>
      </c>
      <c r="P100" s="32">
        <v>4</v>
      </c>
      <c r="Q100" s="32">
        <v>16</v>
      </c>
      <c r="R100" s="32">
        <v>344.8</v>
      </c>
      <c r="S100" s="26" t="s">
        <v>99</v>
      </c>
      <c r="T100" s="30" t="s">
        <v>100</v>
      </c>
      <c r="U100" s="38" t="s">
        <v>101</v>
      </c>
      <c r="V100" s="38" t="s">
        <v>7339</v>
      </c>
      <c r="W100" s="38" t="s">
        <v>103</v>
      </c>
      <c r="X100" s="122" t="s">
        <v>123</v>
      </c>
      <c r="Y100" s="30" t="s">
        <v>123</v>
      </c>
      <c r="Z100" s="26" t="s">
        <v>172</v>
      </c>
      <c r="AA100" s="26" t="s">
        <v>21</v>
      </c>
      <c r="AB100" s="30" t="s">
        <v>172</v>
      </c>
      <c r="AC100" s="25" t="s">
        <v>173</v>
      </c>
      <c r="AD100" s="26" t="s">
        <v>174</v>
      </c>
      <c r="AE100" s="26" t="s">
        <v>175</v>
      </c>
      <c r="AF100" s="32">
        <f t="shared" si="4"/>
        <v>1</v>
      </c>
      <c r="AG100" s="32">
        <v>1</v>
      </c>
      <c r="AH100" s="32">
        <v>1</v>
      </c>
      <c r="AI100" s="32">
        <v>1</v>
      </c>
      <c r="AJ100" s="32">
        <v>1</v>
      </c>
      <c r="AK100" s="32">
        <f t="shared" si="5"/>
        <v>1</v>
      </c>
      <c r="AL100" s="30"/>
      <c r="AM100" s="32">
        <v>1</v>
      </c>
      <c r="AN100" s="30"/>
      <c r="AO100" s="30"/>
      <c r="AP100" s="32">
        <v>1</v>
      </c>
      <c r="AQ100" s="32">
        <v>1</v>
      </c>
      <c r="AR100" s="32"/>
      <c r="AS100" s="32">
        <v>1</v>
      </c>
      <c r="AT100" s="30"/>
      <c r="AU100" s="30"/>
      <c r="AW100" s="2" t="s">
        <v>7345</v>
      </c>
      <c r="AY100" s="94" t="s">
        <v>7399</v>
      </c>
    </row>
    <row r="101" spans="1:51" ht="16.5">
      <c r="A101" s="49" t="s">
        <v>5969</v>
      </c>
      <c r="B101" s="26" t="s">
        <v>160</v>
      </c>
      <c r="C101" s="26" t="s">
        <v>73</v>
      </c>
      <c r="D101" s="49" t="s">
        <v>5970</v>
      </c>
      <c r="E101" s="124" t="s">
        <v>162</v>
      </c>
      <c r="F101" s="49" t="s">
        <v>5971</v>
      </c>
      <c r="G101" s="49" t="s">
        <v>2275</v>
      </c>
      <c r="H101" s="124" t="s">
        <v>5516</v>
      </c>
      <c r="I101" s="141">
        <v>202606.4</v>
      </c>
      <c r="J101" s="121">
        <v>6.24</v>
      </c>
      <c r="K101" s="49" t="s">
        <v>73</v>
      </c>
      <c r="L101" s="26" t="s">
        <v>5972</v>
      </c>
      <c r="M101" s="49" t="s">
        <v>5973</v>
      </c>
      <c r="N101" s="139" t="s">
        <v>5974</v>
      </c>
      <c r="O101" s="144" t="s">
        <v>7489</v>
      </c>
      <c r="P101" s="32">
        <v>4</v>
      </c>
      <c r="Q101" s="32">
        <v>16</v>
      </c>
      <c r="R101" s="32">
        <v>466.51</v>
      </c>
      <c r="S101" s="26" t="s">
        <v>99</v>
      </c>
      <c r="T101" s="30" t="s">
        <v>100</v>
      </c>
      <c r="U101" s="38" t="s">
        <v>101</v>
      </c>
      <c r="V101" s="38" t="s">
        <v>7339</v>
      </c>
      <c r="W101" s="38" t="s">
        <v>103</v>
      </c>
      <c r="X101" s="122" t="s">
        <v>123</v>
      </c>
      <c r="Y101" s="30" t="s">
        <v>123</v>
      </c>
      <c r="Z101" s="26" t="s">
        <v>172</v>
      </c>
      <c r="AA101" s="26" t="s">
        <v>21</v>
      </c>
      <c r="AB101" s="30" t="s">
        <v>172</v>
      </c>
      <c r="AC101" s="25" t="s">
        <v>173</v>
      </c>
      <c r="AD101" s="26" t="s">
        <v>174</v>
      </c>
      <c r="AE101" s="26" t="s">
        <v>175</v>
      </c>
      <c r="AF101" s="32">
        <f t="shared" si="4"/>
        <v>1</v>
      </c>
      <c r="AG101" s="32">
        <v>1</v>
      </c>
      <c r="AH101" s="32">
        <v>1</v>
      </c>
      <c r="AI101" s="32">
        <v>1</v>
      </c>
      <c r="AJ101" s="32">
        <v>1</v>
      </c>
      <c r="AK101" s="32">
        <f t="shared" si="5"/>
        <v>1</v>
      </c>
      <c r="AL101" s="30"/>
      <c r="AM101" s="32">
        <v>1</v>
      </c>
      <c r="AN101" s="30"/>
      <c r="AO101" s="30"/>
      <c r="AP101" s="32">
        <v>1</v>
      </c>
      <c r="AQ101" s="32">
        <v>1</v>
      </c>
      <c r="AR101" s="32"/>
      <c r="AS101" s="32">
        <v>1</v>
      </c>
      <c r="AT101" s="30"/>
      <c r="AU101" s="30"/>
      <c r="AW101" s="2" t="s">
        <v>7409</v>
      </c>
      <c r="AY101" s="94" t="s">
        <v>7435</v>
      </c>
    </row>
    <row r="102" spans="1:51" ht="16.5">
      <c r="A102" s="49" t="s">
        <v>6142</v>
      </c>
      <c r="B102" s="26" t="s">
        <v>160</v>
      </c>
      <c r="C102" s="26" t="s">
        <v>73</v>
      </c>
      <c r="D102" s="49" t="s">
        <v>6136</v>
      </c>
      <c r="E102" s="124" t="s">
        <v>162</v>
      </c>
      <c r="F102" s="49" t="s">
        <v>6143</v>
      </c>
      <c r="G102" s="49" t="s">
        <v>6144</v>
      </c>
      <c r="H102" s="124" t="s">
        <v>5516</v>
      </c>
      <c r="I102" s="141">
        <v>202606.4</v>
      </c>
      <c r="J102" s="121">
        <v>6.24</v>
      </c>
      <c r="K102" s="49" t="s">
        <v>73</v>
      </c>
      <c r="L102" s="26" t="s">
        <v>6145</v>
      </c>
      <c r="M102" s="49" t="s">
        <v>6146</v>
      </c>
      <c r="N102" s="139" t="s">
        <v>6147</v>
      </c>
      <c r="O102" s="144" t="s">
        <v>7489</v>
      </c>
      <c r="P102" s="32">
        <v>4</v>
      </c>
      <c r="Q102" s="32">
        <v>16</v>
      </c>
      <c r="R102" s="32">
        <v>377.97</v>
      </c>
      <c r="S102" s="26" t="s">
        <v>99</v>
      </c>
      <c r="T102" s="30" t="s">
        <v>100</v>
      </c>
      <c r="U102" s="38" t="s">
        <v>101</v>
      </c>
      <c r="V102" s="38" t="s">
        <v>7339</v>
      </c>
      <c r="W102" s="38" t="s">
        <v>103</v>
      </c>
      <c r="X102" s="122" t="s">
        <v>123</v>
      </c>
      <c r="Y102" s="30" t="s">
        <v>123</v>
      </c>
      <c r="Z102" s="26" t="s">
        <v>172</v>
      </c>
      <c r="AA102" s="26" t="s">
        <v>21</v>
      </c>
      <c r="AB102" s="30" t="s">
        <v>172</v>
      </c>
      <c r="AC102" s="25" t="s">
        <v>173</v>
      </c>
      <c r="AD102" s="26" t="s">
        <v>174</v>
      </c>
      <c r="AE102" s="26" t="s">
        <v>175</v>
      </c>
      <c r="AF102" s="32">
        <f t="shared" si="4"/>
        <v>1</v>
      </c>
      <c r="AG102" s="32">
        <v>1</v>
      </c>
      <c r="AH102" s="32">
        <v>1</v>
      </c>
      <c r="AI102" s="32">
        <v>1</v>
      </c>
      <c r="AJ102" s="32">
        <v>1</v>
      </c>
      <c r="AK102" s="32">
        <f t="shared" si="5"/>
        <v>1</v>
      </c>
      <c r="AL102" s="30"/>
      <c r="AM102" s="32">
        <v>1</v>
      </c>
      <c r="AN102" s="30"/>
      <c r="AO102" s="30"/>
      <c r="AP102" s="32">
        <v>1</v>
      </c>
      <c r="AQ102" s="32">
        <v>1</v>
      </c>
      <c r="AR102" s="32"/>
      <c r="AS102" s="32">
        <v>1</v>
      </c>
      <c r="AT102" s="30"/>
      <c r="AU102" s="30"/>
      <c r="AW102" s="2" t="s">
        <v>7402</v>
      </c>
      <c r="AY102" s="94" t="s">
        <v>7476</v>
      </c>
    </row>
    <row r="103" spans="1:51" ht="16.5">
      <c r="A103" s="49" t="s">
        <v>6442</v>
      </c>
      <c r="B103" s="26" t="s">
        <v>160</v>
      </c>
      <c r="C103" s="26" t="s">
        <v>73</v>
      </c>
      <c r="D103" s="49" t="s">
        <v>6443</v>
      </c>
      <c r="E103" s="124" t="s">
        <v>162</v>
      </c>
      <c r="F103" s="49" t="s">
        <v>6444</v>
      </c>
      <c r="G103" s="49" t="s">
        <v>6445</v>
      </c>
      <c r="H103" s="124" t="s">
        <v>5516</v>
      </c>
      <c r="I103" s="141">
        <v>202606.4</v>
      </c>
      <c r="J103" s="121">
        <v>6.24</v>
      </c>
      <c r="K103" s="49" t="s">
        <v>73</v>
      </c>
      <c r="L103" s="26" t="s">
        <v>6446</v>
      </c>
      <c r="M103" s="49" t="s">
        <v>6447</v>
      </c>
      <c r="N103" s="139" t="s">
        <v>6448</v>
      </c>
      <c r="O103" s="144" t="s">
        <v>7489</v>
      </c>
      <c r="P103" s="32">
        <v>8</v>
      </c>
      <c r="Q103" s="32">
        <v>32</v>
      </c>
      <c r="R103" s="32">
        <v>453.06</v>
      </c>
      <c r="S103" s="26" t="s">
        <v>99</v>
      </c>
      <c r="T103" s="30" t="s">
        <v>100</v>
      </c>
      <c r="U103" s="38" t="s">
        <v>101</v>
      </c>
      <c r="V103" s="38" t="s">
        <v>7339</v>
      </c>
      <c r="W103" s="38" t="s">
        <v>103</v>
      </c>
      <c r="X103" s="122" t="s">
        <v>123</v>
      </c>
      <c r="Y103" s="30" t="s">
        <v>123</v>
      </c>
      <c r="Z103" s="26" t="s">
        <v>172</v>
      </c>
      <c r="AA103" s="26" t="s">
        <v>21</v>
      </c>
      <c r="AB103" s="30" t="s">
        <v>172</v>
      </c>
      <c r="AC103" s="25" t="s">
        <v>173</v>
      </c>
      <c r="AD103" s="26" t="s">
        <v>174</v>
      </c>
      <c r="AE103" s="26" t="s">
        <v>175</v>
      </c>
      <c r="AF103" s="32">
        <f t="shared" si="4"/>
        <v>1</v>
      </c>
      <c r="AG103" s="32">
        <v>1</v>
      </c>
      <c r="AH103" s="32">
        <v>1</v>
      </c>
      <c r="AI103" s="32">
        <v>1</v>
      </c>
      <c r="AJ103" s="32">
        <v>1</v>
      </c>
      <c r="AK103" s="32">
        <f t="shared" si="5"/>
        <v>1</v>
      </c>
      <c r="AL103" s="30"/>
      <c r="AM103" s="32">
        <v>1</v>
      </c>
      <c r="AN103" s="30"/>
      <c r="AO103" s="30"/>
      <c r="AP103" s="32">
        <v>1</v>
      </c>
      <c r="AQ103" s="32">
        <v>1</v>
      </c>
      <c r="AR103" s="32"/>
      <c r="AS103" s="32">
        <v>1</v>
      </c>
      <c r="AT103" s="30"/>
      <c r="AU103" s="30"/>
      <c r="AW103" s="2" t="s">
        <v>7438</v>
      </c>
      <c r="AY103" s="94" t="s">
        <v>7449</v>
      </c>
    </row>
    <row r="104" spans="1:51" ht="16.5">
      <c r="A104" s="49" t="s">
        <v>6545</v>
      </c>
      <c r="B104" s="26" t="s">
        <v>160</v>
      </c>
      <c r="C104" s="26" t="s">
        <v>73</v>
      </c>
      <c r="D104" s="49" t="s">
        <v>6450</v>
      </c>
      <c r="E104" s="124" t="s">
        <v>162</v>
      </c>
      <c r="F104" s="49" t="s">
        <v>6546</v>
      </c>
      <c r="G104" s="49" t="s">
        <v>6547</v>
      </c>
      <c r="H104" s="124" t="s">
        <v>5516</v>
      </c>
      <c r="I104" s="141">
        <v>202606.4</v>
      </c>
      <c r="J104" s="121">
        <v>6.24</v>
      </c>
      <c r="K104" s="49" t="s">
        <v>73</v>
      </c>
      <c r="L104" s="26" t="s">
        <v>6548</v>
      </c>
      <c r="M104" s="49" t="s">
        <v>6549</v>
      </c>
      <c r="N104" s="139" t="s">
        <v>6550</v>
      </c>
      <c r="O104" s="144" t="s">
        <v>7489</v>
      </c>
      <c r="P104" s="32">
        <v>4</v>
      </c>
      <c r="Q104" s="32">
        <v>16</v>
      </c>
      <c r="R104" s="32">
        <v>413.41</v>
      </c>
      <c r="S104" s="26" t="s">
        <v>99</v>
      </c>
      <c r="T104" s="30" t="s">
        <v>100</v>
      </c>
      <c r="U104" s="38" t="s">
        <v>101</v>
      </c>
      <c r="V104" s="38" t="s">
        <v>7339</v>
      </c>
      <c r="W104" s="38" t="s">
        <v>103</v>
      </c>
      <c r="X104" s="122" t="s">
        <v>123</v>
      </c>
      <c r="Y104" s="30" t="s">
        <v>123</v>
      </c>
      <c r="Z104" s="26" t="s">
        <v>172</v>
      </c>
      <c r="AA104" s="26" t="s">
        <v>21</v>
      </c>
      <c r="AB104" s="30" t="s">
        <v>172</v>
      </c>
      <c r="AC104" s="25" t="s">
        <v>173</v>
      </c>
      <c r="AD104" s="26" t="s">
        <v>174</v>
      </c>
      <c r="AE104" s="26" t="s">
        <v>175</v>
      </c>
      <c r="AF104" s="32">
        <f t="shared" si="4"/>
        <v>1</v>
      </c>
      <c r="AG104" s="32">
        <v>1</v>
      </c>
      <c r="AH104" s="32">
        <v>1</v>
      </c>
      <c r="AI104" s="32">
        <v>1</v>
      </c>
      <c r="AJ104" s="32">
        <v>1</v>
      </c>
      <c r="AK104" s="32">
        <f t="shared" si="5"/>
        <v>1</v>
      </c>
      <c r="AL104" s="30"/>
      <c r="AM104" s="32">
        <v>1</v>
      </c>
      <c r="AN104" s="30"/>
      <c r="AO104" s="30"/>
      <c r="AP104" s="32">
        <v>1</v>
      </c>
      <c r="AQ104" s="32">
        <v>1</v>
      </c>
      <c r="AR104" s="32"/>
      <c r="AS104" s="32">
        <v>1</v>
      </c>
      <c r="AT104" s="30"/>
      <c r="AU104" s="30"/>
      <c r="AW104" s="2" t="s">
        <v>7479</v>
      </c>
      <c r="AY104" s="94" t="s">
        <v>7464</v>
      </c>
    </row>
    <row r="105" spans="1:51" ht="16.5">
      <c r="A105" s="49" t="s">
        <v>6639</v>
      </c>
      <c r="B105" s="26" t="s">
        <v>160</v>
      </c>
      <c r="C105" s="26" t="s">
        <v>73</v>
      </c>
      <c r="D105" s="49" t="s">
        <v>6516</v>
      </c>
      <c r="E105" s="124" t="s">
        <v>162</v>
      </c>
      <c r="F105" s="49" t="s">
        <v>6640</v>
      </c>
      <c r="G105" s="49" t="s">
        <v>6641</v>
      </c>
      <c r="H105" s="124" t="s">
        <v>5516</v>
      </c>
      <c r="I105" s="141">
        <v>202606.4</v>
      </c>
      <c r="J105" s="121">
        <v>6.24</v>
      </c>
      <c r="K105" s="49" t="s">
        <v>73</v>
      </c>
      <c r="L105" s="26" t="s">
        <v>6642</v>
      </c>
      <c r="M105" s="49" t="s">
        <v>6643</v>
      </c>
      <c r="N105" s="139" t="s">
        <v>6644</v>
      </c>
      <c r="O105" s="144" t="s">
        <v>7489</v>
      </c>
      <c r="P105" s="32">
        <v>4</v>
      </c>
      <c r="Q105" s="32">
        <v>16</v>
      </c>
      <c r="R105" s="32">
        <v>460</v>
      </c>
      <c r="S105" s="26" t="s">
        <v>99</v>
      </c>
      <c r="T105" s="30" t="s">
        <v>100</v>
      </c>
      <c r="U105" s="38" t="s">
        <v>101</v>
      </c>
      <c r="V105" s="38" t="s">
        <v>7339</v>
      </c>
      <c r="W105" s="38" t="s">
        <v>103</v>
      </c>
      <c r="X105" s="122" t="s">
        <v>123</v>
      </c>
      <c r="Y105" s="30" t="s">
        <v>123</v>
      </c>
      <c r="Z105" s="26" t="s">
        <v>172</v>
      </c>
      <c r="AA105" s="26" t="s">
        <v>21</v>
      </c>
      <c r="AB105" s="30" t="s">
        <v>172</v>
      </c>
      <c r="AC105" s="25" t="s">
        <v>173</v>
      </c>
      <c r="AD105" s="26" t="s">
        <v>174</v>
      </c>
      <c r="AE105" s="26" t="s">
        <v>175</v>
      </c>
      <c r="AF105" s="32">
        <f t="shared" si="4"/>
        <v>1</v>
      </c>
      <c r="AG105" s="32">
        <v>1</v>
      </c>
      <c r="AH105" s="32">
        <v>1</v>
      </c>
      <c r="AI105" s="32">
        <v>1</v>
      </c>
      <c r="AJ105" s="32">
        <v>1</v>
      </c>
      <c r="AK105" s="32">
        <f t="shared" si="5"/>
        <v>1</v>
      </c>
      <c r="AL105" s="30"/>
      <c r="AM105" s="32">
        <v>1</v>
      </c>
      <c r="AN105" s="30"/>
      <c r="AO105" s="30"/>
      <c r="AP105" s="32">
        <v>1</v>
      </c>
      <c r="AQ105" s="32">
        <v>1</v>
      </c>
      <c r="AR105" s="32"/>
      <c r="AS105" s="32">
        <v>1</v>
      </c>
      <c r="AT105" s="30"/>
      <c r="AU105" s="30"/>
      <c r="AW105" s="2" t="s">
        <v>7452</v>
      </c>
      <c r="AY105" s="94" t="s">
        <v>7456</v>
      </c>
    </row>
    <row r="106" spans="1:51" ht="16.5">
      <c r="A106" s="49" t="s">
        <v>6646</v>
      </c>
      <c r="B106" s="26" t="s">
        <v>160</v>
      </c>
      <c r="C106" s="26" t="s">
        <v>73</v>
      </c>
      <c r="D106" s="49" t="s">
        <v>6510</v>
      </c>
      <c r="E106" s="124" t="s">
        <v>162</v>
      </c>
      <c r="F106" s="49" t="s">
        <v>6647</v>
      </c>
      <c r="G106" s="49" t="s">
        <v>6648</v>
      </c>
      <c r="H106" s="124" t="s">
        <v>5516</v>
      </c>
      <c r="I106" s="141">
        <v>202606.4</v>
      </c>
      <c r="J106" s="121">
        <v>6.24</v>
      </c>
      <c r="K106" s="49" t="s">
        <v>73</v>
      </c>
      <c r="L106" s="26" t="s">
        <v>6649</v>
      </c>
      <c r="M106" s="49" t="s">
        <v>6650</v>
      </c>
      <c r="N106" s="139" t="s">
        <v>6651</v>
      </c>
      <c r="O106" s="144" t="s">
        <v>7489</v>
      </c>
      <c r="P106" s="32">
        <v>4</v>
      </c>
      <c r="Q106" s="32">
        <v>16</v>
      </c>
      <c r="R106" s="32">
        <v>518.41</v>
      </c>
      <c r="S106" s="26" t="s">
        <v>99</v>
      </c>
      <c r="T106" s="30" t="s">
        <v>100</v>
      </c>
      <c r="U106" s="38" t="s">
        <v>101</v>
      </c>
      <c r="V106" s="38" t="s">
        <v>7339</v>
      </c>
      <c r="W106" s="38" t="s">
        <v>103</v>
      </c>
      <c r="X106" s="122" t="s">
        <v>123</v>
      </c>
      <c r="Y106" s="30" t="s">
        <v>123</v>
      </c>
      <c r="Z106" s="26" t="s">
        <v>172</v>
      </c>
      <c r="AA106" s="26" t="s">
        <v>21</v>
      </c>
      <c r="AB106" s="30" t="s">
        <v>172</v>
      </c>
      <c r="AC106" s="25" t="s">
        <v>173</v>
      </c>
      <c r="AD106" s="26" t="s">
        <v>174</v>
      </c>
      <c r="AE106" s="26" t="s">
        <v>175</v>
      </c>
      <c r="AF106" s="32">
        <f t="shared" si="4"/>
        <v>1</v>
      </c>
      <c r="AG106" s="32">
        <v>1</v>
      </c>
      <c r="AH106" s="32">
        <v>1</v>
      </c>
      <c r="AI106" s="32">
        <v>1</v>
      </c>
      <c r="AJ106" s="32">
        <v>1</v>
      </c>
      <c r="AK106" s="32">
        <f t="shared" si="5"/>
        <v>1</v>
      </c>
      <c r="AL106" s="30"/>
      <c r="AM106" s="32">
        <v>1</v>
      </c>
      <c r="AN106" s="30"/>
      <c r="AO106" s="30"/>
      <c r="AP106" s="32">
        <v>1</v>
      </c>
      <c r="AQ106" s="32">
        <v>1</v>
      </c>
      <c r="AR106" s="32"/>
      <c r="AS106" s="32">
        <v>1</v>
      </c>
      <c r="AT106" s="30"/>
      <c r="AU106" s="30"/>
      <c r="AW106" s="2" t="s">
        <v>7467</v>
      </c>
      <c r="AY106" s="94" t="s">
        <v>7349</v>
      </c>
    </row>
    <row r="107" spans="1:51" ht="16.5" hidden="1">
      <c r="A107" s="49" t="s">
        <v>6753</v>
      </c>
      <c r="B107" s="26" t="s">
        <v>160</v>
      </c>
      <c r="C107" s="26" t="s">
        <v>73</v>
      </c>
      <c r="D107" s="49" t="s">
        <v>6620</v>
      </c>
      <c r="E107" s="124" t="s">
        <v>162</v>
      </c>
      <c r="F107" s="49" t="s">
        <v>6754</v>
      </c>
      <c r="G107" s="49" t="s">
        <v>6755</v>
      </c>
      <c r="H107" s="124" t="s">
        <v>5516</v>
      </c>
      <c r="I107" s="141">
        <v>202606.4</v>
      </c>
      <c r="J107" s="143" t="s">
        <v>3213</v>
      </c>
      <c r="K107" s="49" t="s">
        <v>73</v>
      </c>
      <c r="L107" s="26" t="s">
        <v>6756</v>
      </c>
      <c r="M107" s="49" t="s">
        <v>6757</v>
      </c>
      <c r="N107" s="139" t="s">
        <v>6758</v>
      </c>
      <c r="O107" s="144" t="s">
        <v>7489</v>
      </c>
      <c r="P107" s="32">
        <v>4</v>
      </c>
      <c r="Q107" s="32">
        <v>16</v>
      </c>
      <c r="R107" s="32">
        <v>477.96</v>
      </c>
      <c r="S107" s="26" t="s">
        <v>99</v>
      </c>
      <c r="T107" s="30" t="s">
        <v>100</v>
      </c>
      <c r="U107" s="38" t="s">
        <v>101</v>
      </c>
      <c r="V107" s="38" t="s">
        <v>7339</v>
      </c>
      <c r="W107" s="38" t="s">
        <v>103</v>
      </c>
      <c r="X107" s="122" t="s">
        <v>123</v>
      </c>
      <c r="Y107" s="30" t="s">
        <v>123</v>
      </c>
      <c r="Z107" s="26" t="s">
        <v>172</v>
      </c>
      <c r="AA107" s="26" t="s">
        <v>21</v>
      </c>
      <c r="AB107" s="30" t="s">
        <v>172</v>
      </c>
      <c r="AC107" s="25" t="s">
        <v>173</v>
      </c>
      <c r="AD107" s="26" t="s">
        <v>174</v>
      </c>
      <c r="AE107" s="26" t="s">
        <v>175</v>
      </c>
      <c r="AF107" s="32">
        <f t="shared" si="4"/>
        <v>1</v>
      </c>
      <c r="AG107" s="32">
        <v>1</v>
      </c>
      <c r="AH107" s="32">
        <v>1</v>
      </c>
      <c r="AI107" s="30"/>
      <c r="AJ107" s="30"/>
      <c r="AK107" s="32">
        <f t="shared" si="5"/>
        <v>0</v>
      </c>
      <c r="AL107" s="30"/>
      <c r="AM107" s="30"/>
      <c r="AN107" s="30"/>
      <c r="AO107" s="30"/>
      <c r="AP107" s="30"/>
      <c r="AQ107" s="30"/>
      <c r="AR107" s="30"/>
      <c r="AS107" s="30"/>
      <c r="AT107" s="30"/>
      <c r="AU107" s="26" t="s">
        <v>7185</v>
      </c>
      <c r="AY107" s="94" t="s">
        <v>6510</v>
      </c>
    </row>
    <row r="108" spans="1:51" ht="16.5">
      <c r="A108" s="49" t="s">
        <v>6782</v>
      </c>
      <c r="B108" s="26" t="s">
        <v>160</v>
      </c>
      <c r="C108" s="26" t="s">
        <v>73</v>
      </c>
      <c r="D108" s="49" t="s">
        <v>6723</v>
      </c>
      <c r="E108" s="124" t="s">
        <v>162</v>
      </c>
      <c r="F108" s="49" t="s">
        <v>6783</v>
      </c>
      <c r="G108" s="137" t="s">
        <v>6784</v>
      </c>
      <c r="H108" s="124" t="s">
        <v>5516</v>
      </c>
      <c r="I108" s="141">
        <v>202606.4</v>
      </c>
      <c r="J108" s="121">
        <v>6.24</v>
      </c>
      <c r="K108" s="49" t="s">
        <v>73</v>
      </c>
      <c r="L108" s="26" t="s">
        <v>6785</v>
      </c>
      <c r="M108" s="49" t="s">
        <v>6786</v>
      </c>
      <c r="N108" s="139" t="s">
        <v>6787</v>
      </c>
      <c r="O108" s="144" t="s">
        <v>7489</v>
      </c>
      <c r="P108" s="32">
        <v>4</v>
      </c>
      <c r="Q108" s="32">
        <v>16</v>
      </c>
      <c r="R108" s="32">
        <v>420.03</v>
      </c>
      <c r="S108" s="26" t="s">
        <v>99</v>
      </c>
      <c r="T108" s="30" t="s">
        <v>100</v>
      </c>
      <c r="U108" s="38" t="s">
        <v>101</v>
      </c>
      <c r="V108" s="38" t="s">
        <v>7339</v>
      </c>
      <c r="W108" s="38" t="s">
        <v>103</v>
      </c>
      <c r="X108" s="122" t="s">
        <v>123</v>
      </c>
      <c r="Y108" s="30" t="s">
        <v>123</v>
      </c>
      <c r="Z108" s="26" t="s">
        <v>172</v>
      </c>
      <c r="AA108" s="26" t="s">
        <v>21</v>
      </c>
      <c r="AB108" s="30" t="s">
        <v>172</v>
      </c>
      <c r="AC108" s="25" t="s">
        <v>173</v>
      </c>
      <c r="AD108" s="26" t="s">
        <v>174</v>
      </c>
      <c r="AE108" s="26" t="s">
        <v>175</v>
      </c>
      <c r="AF108" s="32">
        <f t="shared" si="4"/>
        <v>1</v>
      </c>
      <c r="AG108" s="32">
        <v>1</v>
      </c>
      <c r="AH108" s="32">
        <v>1</v>
      </c>
      <c r="AI108" s="32">
        <v>1</v>
      </c>
      <c r="AJ108" s="32">
        <v>1</v>
      </c>
      <c r="AK108" s="32">
        <f t="shared" si="5"/>
        <v>1</v>
      </c>
      <c r="AL108" s="30"/>
      <c r="AM108" s="32">
        <v>1</v>
      </c>
      <c r="AN108" s="30"/>
      <c r="AO108" s="30"/>
      <c r="AP108" s="32">
        <v>1</v>
      </c>
      <c r="AQ108" s="32">
        <v>1</v>
      </c>
      <c r="AR108" s="32"/>
      <c r="AS108" s="32">
        <v>1</v>
      </c>
      <c r="AT108" s="30"/>
      <c r="AU108" s="30"/>
      <c r="AW108" s="2" t="s">
        <v>7459</v>
      </c>
      <c r="AY108" s="94" t="s">
        <v>6516</v>
      </c>
    </row>
    <row r="109" spans="1:51" ht="16.5">
      <c r="A109" s="49" t="s">
        <v>5686</v>
      </c>
      <c r="B109" s="26" t="s">
        <v>160</v>
      </c>
      <c r="C109" s="26" t="s">
        <v>73</v>
      </c>
      <c r="D109" s="49" t="s">
        <v>5687</v>
      </c>
      <c r="E109" s="124" t="s">
        <v>162</v>
      </c>
      <c r="F109" s="49" t="s">
        <v>5688</v>
      </c>
      <c r="G109" s="49" t="s">
        <v>5689</v>
      </c>
      <c r="H109" s="124" t="s">
        <v>5516</v>
      </c>
      <c r="I109" s="138">
        <v>202606.4</v>
      </c>
      <c r="J109" s="25">
        <v>6.24</v>
      </c>
      <c r="K109" s="49" t="s">
        <v>73</v>
      </c>
      <c r="L109" s="26" t="s">
        <v>5691</v>
      </c>
      <c r="M109" s="49" t="s">
        <v>5692</v>
      </c>
      <c r="N109" s="139" t="s">
        <v>5693</v>
      </c>
      <c r="O109" s="144" t="s">
        <v>7490</v>
      </c>
      <c r="P109" s="32">
        <v>4</v>
      </c>
      <c r="Q109" s="32">
        <v>16</v>
      </c>
      <c r="R109" s="32">
        <v>313.04000000000002</v>
      </c>
      <c r="S109" s="26" t="s">
        <v>99</v>
      </c>
      <c r="T109" s="30" t="s">
        <v>100</v>
      </c>
      <c r="U109" s="38" t="s">
        <v>101</v>
      </c>
      <c r="V109" s="38" t="s">
        <v>7339</v>
      </c>
      <c r="W109" s="38" t="s">
        <v>103</v>
      </c>
      <c r="X109" s="122" t="s">
        <v>123</v>
      </c>
      <c r="Y109" s="30" t="s">
        <v>123</v>
      </c>
      <c r="Z109" s="26" t="s">
        <v>172</v>
      </c>
      <c r="AA109" s="26" t="s">
        <v>21</v>
      </c>
      <c r="AB109" s="30" t="s">
        <v>172</v>
      </c>
      <c r="AC109" s="25" t="s">
        <v>173</v>
      </c>
      <c r="AD109" s="26" t="s">
        <v>174</v>
      </c>
      <c r="AE109" s="26" t="s">
        <v>175</v>
      </c>
      <c r="AF109" s="32">
        <f t="shared" si="4"/>
        <v>1</v>
      </c>
      <c r="AG109" s="32">
        <v>1</v>
      </c>
      <c r="AH109" s="32">
        <v>1</v>
      </c>
      <c r="AI109" s="32">
        <v>1</v>
      </c>
      <c r="AJ109" s="32">
        <v>1</v>
      </c>
      <c r="AK109" s="32">
        <f t="shared" si="5"/>
        <v>1</v>
      </c>
      <c r="AL109" s="30"/>
      <c r="AM109" s="32">
        <v>1</v>
      </c>
      <c r="AN109" s="30"/>
      <c r="AO109" s="30"/>
      <c r="AP109" s="32">
        <v>1</v>
      </c>
      <c r="AQ109" s="32">
        <v>1</v>
      </c>
      <c r="AR109" s="32"/>
      <c r="AS109" s="32">
        <v>1</v>
      </c>
      <c r="AT109" s="30"/>
      <c r="AU109" s="30"/>
      <c r="AW109" s="2" t="s">
        <v>7352</v>
      </c>
      <c r="AY109" s="94" t="s">
        <v>7385</v>
      </c>
    </row>
    <row r="110" spans="1:51">
      <c r="A110" s="130" t="s">
        <v>105</v>
      </c>
      <c r="B110" s="26" t="s">
        <v>4383</v>
      </c>
      <c r="C110" s="25" t="s">
        <v>73</v>
      </c>
      <c r="D110" s="26" t="s">
        <v>106</v>
      </c>
      <c r="E110" s="122"/>
      <c r="F110" s="38" t="s">
        <v>105</v>
      </c>
      <c r="G110" s="120" t="s">
        <v>105</v>
      </c>
      <c r="H110" s="38" t="s">
        <v>107</v>
      </c>
      <c r="I110" s="121" t="s">
        <v>72</v>
      </c>
      <c r="J110" s="25">
        <v>6.24</v>
      </c>
      <c r="K110" s="121" t="s">
        <v>73</v>
      </c>
      <c r="L110" s="38" t="s">
        <v>108</v>
      </c>
      <c r="M110" s="38" t="s">
        <v>114</v>
      </c>
      <c r="N110" s="122" t="s">
        <v>110</v>
      </c>
      <c r="O110" s="72" t="s">
        <v>125</v>
      </c>
      <c r="P110" s="52">
        <v>4</v>
      </c>
      <c r="Q110" s="52">
        <v>16</v>
      </c>
      <c r="R110" s="32">
        <v>250</v>
      </c>
      <c r="S110" s="38" t="s">
        <v>99</v>
      </c>
      <c r="T110" s="122" t="s">
        <v>100</v>
      </c>
      <c r="U110" s="26" t="s">
        <v>115</v>
      </c>
      <c r="V110" s="26" t="s">
        <v>7339</v>
      </c>
      <c r="W110" s="26" t="s">
        <v>112</v>
      </c>
      <c r="X110" s="26" t="s">
        <v>7075</v>
      </c>
      <c r="Y110" s="26" t="s">
        <v>7075</v>
      </c>
      <c r="Z110" s="26" t="s">
        <v>172</v>
      </c>
      <c r="AA110" s="39" t="s">
        <v>7</v>
      </c>
      <c r="AB110" s="30"/>
      <c r="AC110" s="32"/>
      <c r="AD110" s="30"/>
      <c r="AE110" s="30"/>
      <c r="AF110" s="32">
        <f t="shared" si="4"/>
        <v>1</v>
      </c>
      <c r="AG110" s="32">
        <v>1</v>
      </c>
      <c r="AH110" s="32">
        <v>1</v>
      </c>
      <c r="AI110" s="32">
        <v>1</v>
      </c>
      <c r="AJ110" s="32">
        <v>1</v>
      </c>
      <c r="AK110" s="32">
        <f t="shared" si="5"/>
        <v>1</v>
      </c>
      <c r="AL110" s="30"/>
      <c r="AM110" s="32">
        <v>1</v>
      </c>
      <c r="AN110" s="32"/>
      <c r="AO110" s="32"/>
      <c r="AP110" s="32">
        <v>1</v>
      </c>
      <c r="AQ110" s="32">
        <v>1</v>
      </c>
      <c r="AR110" s="32"/>
      <c r="AS110" s="32">
        <v>1</v>
      </c>
      <c r="AT110" s="30" t="s">
        <v>7491</v>
      </c>
      <c r="AU110" s="30"/>
      <c r="AW110" s="2" t="s">
        <v>7388</v>
      </c>
      <c r="AY110" s="145" t="s">
        <v>7483</v>
      </c>
    </row>
    <row r="111" spans="1:51">
      <c r="A111" s="130" t="s">
        <v>116</v>
      </c>
      <c r="B111" s="26" t="s">
        <v>160</v>
      </c>
      <c r="C111" s="25" t="s">
        <v>73</v>
      </c>
      <c r="D111" s="26" t="s">
        <v>117</v>
      </c>
      <c r="E111" s="122"/>
      <c r="F111" s="38" t="s">
        <v>105</v>
      </c>
      <c r="G111" s="120" t="s">
        <v>105</v>
      </c>
      <c r="H111" s="38" t="s">
        <v>118</v>
      </c>
      <c r="I111" s="121" t="s">
        <v>72</v>
      </c>
      <c r="J111" s="25">
        <v>6.24</v>
      </c>
      <c r="K111" s="121" t="s">
        <v>73</v>
      </c>
      <c r="L111" s="38" t="s">
        <v>119</v>
      </c>
      <c r="M111" s="38" t="s">
        <v>120</v>
      </c>
      <c r="N111" s="132" t="s">
        <v>121</v>
      </c>
      <c r="O111" s="72" t="s">
        <v>125</v>
      </c>
      <c r="P111" s="52">
        <v>4</v>
      </c>
      <c r="Q111" s="52">
        <v>16</v>
      </c>
      <c r="R111" s="52">
        <v>250</v>
      </c>
      <c r="S111" s="38" t="s">
        <v>99</v>
      </c>
      <c r="T111" s="122" t="s">
        <v>100</v>
      </c>
      <c r="U111" s="26" t="s">
        <v>101</v>
      </c>
      <c r="V111" s="26" t="s">
        <v>7339</v>
      </c>
      <c r="W111" s="26" t="s">
        <v>103</v>
      </c>
      <c r="X111" s="30" t="s">
        <v>123</v>
      </c>
      <c r="Y111" s="30" t="s">
        <v>123</v>
      </c>
      <c r="Z111" s="26" t="s">
        <v>172</v>
      </c>
      <c r="AA111" s="26" t="s">
        <v>7</v>
      </c>
      <c r="AB111" s="30"/>
      <c r="AC111" s="32"/>
      <c r="AD111" s="30"/>
      <c r="AE111" s="30"/>
      <c r="AF111" s="32">
        <f t="shared" si="4"/>
        <v>1</v>
      </c>
      <c r="AG111" s="32">
        <v>1</v>
      </c>
      <c r="AH111" s="32">
        <v>1</v>
      </c>
      <c r="AI111" s="32">
        <v>1</v>
      </c>
      <c r="AJ111" s="32">
        <v>1</v>
      </c>
      <c r="AK111" s="32">
        <f t="shared" si="5"/>
        <v>1</v>
      </c>
      <c r="AL111" s="30"/>
      <c r="AM111" s="32">
        <v>1</v>
      </c>
      <c r="AN111" s="32"/>
      <c r="AO111" s="32"/>
      <c r="AP111" s="32">
        <v>1</v>
      </c>
      <c r="AQ111" s="32">
        <v>1</v>
      </c>
      <c r="AR111" s="32"/>
      <c r="AS111" s="32">
        <v>1</v>
      </c>
      <c r="AT111" s="30" t="s">
        <v>7492</v>
      </c>
      <c r="AU111" s="30"/>
      <c r="AW111" s="2" t="s">
        <v>7485</v>
      </c>
      <c r="AY111" s="126" t="s">
        <v>1669</v>
      </c>
    </row>
    <row r="112" spans="1:51" ht="16.5">
      <c r="AW112" s="134"/>
      <c r="AY112" s="94" t="s">
        <v>5332</v>
      </c>
    </row>
    <row r="113" spans="49:51" ht="16.5">
      <c r="AW113" s="134"/>
      <c r="AY113" s="94" t="s">
        <v>6620</v>
      </c>
    </row>
    <row r="114" spans="49:51" ht="16.5">
      <c r="AW114" s="134"/>
      <c r="AY114" s="94" t="s">
        <v>5970</v>
      </c>
    </row>
    <row r="115" spans="49:51" ht="16.5">
      <c r="AW115" s="134"/>
      <c r="AY115" s="94" t="s">
        <v>6443</v>
      </c>
    </row>
    <row r="116" spans="49:51" ht="16.5">
      <c r="AW116" s="134"/>
      <c r="AY116" s="94" t="s">
        <v>3107</v>
      </c>
    </row>
    <row r="117" spans="49:51" ht="16.5">
      <c r="AW117" s="134"/>
      <c r="AY117" s="94" t="s">
        <v>6723</v>
      </c>
    </row>
    <row r="118" spans="49:51" ht="16.5">
      <c r="AW118" s="134"/>
      <c r="AY118" s="94" t="s">
        <v>6450</v>
      </c>
    </row>
    <row r="119" spans="49:51" ht="16.5">
      <c r="AW119" s="134"/>
      <c r="AY119" s="94" t="s">
        <v>6136</v>
      </c>
    </row>
    <row r="120" spans="49:51" ht="16.5">
      <c r="AW120" s="134"/>
      <c r="AY120" s="94" t="s">
        <v>6510</v>
      </c>
    </row>
    <row r="121" spans="49:51" ht="16.5">
      <c r="AW121" s="134"/>
      <c r="AY121" s="94" t="s">
        <v>6516</v>
      </c>
    </row>
    <row r="122" spans="49:51" ht="16.5">
      <c r="AW122" s="134"/>
      <c r="AY122" s="94" t="s">
        <v>5847</v>
      </c>
    </row>
    <row r="123" spans="49:51" ht="16.5">
      <c r="AW123" s="134"/>
      <c r="AY123" s="94" t="s">
        <v>5710</v>
      </c>
    </row>
    <row r="124" spans="49:51" ht="16.5">
      <c r="AW124" s="134"/>
      <c r="AY124" s="94" t="s">
        <v>5687</v>
      </c>
    </row>
    <row r="125" spans="49:51" ht="16.5">
      <c r="AW125" s="134"/>
      <c r="AY125" s="94" t="s">
        <v>5600</v>
      </c>
    </row>
    <row r="126" spans="49:51" ht="16.5">
      <c r="AW126" s="134"/>
      <c r="AY126" s="94" t="s">
        <v>1646</v>
      </c>
    </row>
    <row r="127" spans="49:51">
      <c r="AW127" s="134"/>
      <c r="AY127" s="26" t="s">
        <v>7231</v>
      </c>
    </row>
    <row r="128" spans="49:51">
      <c r="AW128" s="134"/>
      <c r="AY128" s="26" t="s">
        <v>7301</v>
      </c>
    </row>
    <row r="129" spans="49:51">
      <c r="AW129" s="134"/>
      <c r="AY129" s="26" t="s">
        <v>7334</v>
      </c>
    </row>
    <row r="130" spans="49:51">
      <c r="AW130" s="134"/>
      <c r="AY130" s="26" t="s">
        <v>7308</v>
      </c>
    </row>
  </sheetData>
  <sheetProtection sheet="1" formatCells="0" formatColumns="0" formatRows="0" insertColumns="0" insertRows="0" insertHyperlinks="0" deleteColumns="0" deleteRows="0" sort="0" autoFilter="0" pivotTables="0"/>
  <protectedRanges>
    <protectedRange sqref="A1:O1048576" name="Range1"/>
  </protectedRanges>
  <autoFilter ref="A1:AU111" xr:uid="{00000000-0009-0000-0000-000007000000}">
    <filterColumn colId="44">
      <filters>
        <filter val="1"/>
      </filters>
    </filterColumn>
  </autoFilter>
  <phoneticPr fontId="67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A198"/>
  <sheetViews>
    <sheetView workbookViewId="0">
      <pane xSplit="14" ySplit="1" topLeftCell="O2" activePane="bottomRight" state="frozen"/>
      <selection pane="topRight"/>
      <selection pane="bottomLeft"/>
      <selection pane="bottomRight" activeCell="O2" sqref="O2"/>
    </sheetView>
  </sheetViews>
  <sheetFormatPr defaultColWidth="9" defaultRowHeight="14.5"/>
  <cols>
    <col min="1" max="1" width="12.08984375" style="2" customWidth="1"/>
    <col min="2" max="2" width="9.90625" style="2" customWidth="1"/>
    <col min="3" max="3" width="4.6328125" style="2" customWidth="1"/>
    <col min="4" max="4" width="13.90625" style="2" customWidth="1"/>
    <col min="5" max="6" width="9.453125" style="2" customWidth="1"/>
    <col min="7" max="7" width="13.08984375" style="2" hidden="1" customWidth="1"/>
    <col min="8" max="8" width="14.54296875" style="2" hidden="1" customWidth="1"/>
    <col min="9" max="9" width="5.26953125" style="2" hidden="1" customWidth="1"/>
    <col min="10" max="10" width="9.36328125" style="2" hidden="1" customWidth="1"/>
    <col min="11" max="11" width="6.26953125" style="2" customWidth="1"/>
    <col min="12" max="12" width="7.90625" style="2" customWidth="1"/>
    <col min="13" max="13" width="10.453125" style="2" customWidth="1"/>
    <col min="14" max="14" width="13.90625" style="2" customWidth="1"/>
    <col min="15" max="15" width="18.453125" style="2" customWidth="1"/>
    <col min="16" max="16" width="6.81640625" style="2" customWidth="1"/>
    <col min="17" max="18" width="9" style="4"/>
    <col min="19" max="19" width="11.36328125" style="4" customWidth="1"/>
    <col min="20" max="21" width="12.7265625" style="2" customWidth="1"/>
    <col min="22" max="22" width="17" style="2" customWidth="1"/>
    <col min="23" max="23" width="18.90625" style="2" customWidth="1"/>
    <col min="24" max="24" width="9.90625" style="2" customWidth="1"/>
    <col min="25" max="26" width="19.7265625" style="2" customWidth="1"/>
    <col min="27" max="27" width="6.7265625" style="2" customWidth="1"/>
    <col min="28" max="28" width="12.7265625" style="2" customWidth="1"/>
    <col min="29" max="30" width="9" style="2" customWidth="1"/>
    <col min="31" max="31" width="9" style="4" customWidth="1"/>
    <col min="32" max="34" width="9" style="2" customWidth="1"/>
    <col min="35" max="35" width="8.7265625" style="2" customWidth="1"/>
    <col min="36" max="39" width="9" style="2"/>
    <col min="40" max="44" width="9" style="4"/>
    <col min="45" max="45" width="9" style="2"/>
    <col min="46" max="46" width="9" style="4"/>
    <col min="47" max="50" width="9" style="2"/>
    <col min="51" max="51" width="11.08984375" style="2" customWidth="1"/>
    <col min="52" max="52" width="15.7265625" style="2" customWidth="1"/>
    <col min="53" max="16384" width="9" style="2"/>
  </cols>
  <sheetData>
    <row r="1" spans="1:52" s="1" customFormat="1" ht="99">
      <c r="A1" s="5" t="s">
        <v>25</v>
      </c>
      <c r="B1" s="5" t="s">
        <v>26</v>
      </c>
      <c r="C1" s="5" t="s">
        <v>27</v>
      </c>
      <c r="D1" s="5" t="s">
        <v>28</v>
      </c>
      <c r="E1" s="5" t="s">
        <v>29</v>
      </c>
      <c r="F1" s="5" t="s">
        <v>30</v>
      </c>
      <c r="G1" s="5" t="s">
        <v>31</v>
      </c>
      <c r="H1" s="5" t="s">
        <v>4389</v>
      </c>
      <c r="I1" s="5" t="s">
        <v>4390</v>
      </c>
      <c r="J1" s="5" t="s">
        <v>32</v>
      </c>
      <c r="K1" s="7" t="s">
        <v>33</v>
      </c>
      <c r="L1" s="5" t="s">
        <v>34</v>
      </c>
      <c r="M1" s="5" t="s">
        <v>35</v>
      </c>
      <c r="N1" s="5" t="s">
        <v>36</v>
      </c>
      <c r="O1" s="8" t="s">
        <v>37</v>
      </c>
      <c r="P1" s="5" t="s">
        <v>38</v>
      </c>
      <c r="Q1" s="80" t="s">
        <v>4392</v>
      </c>
      <c r="R1" s="80" t="s">
        <v>5290</v>
      </c>
      <c r="S1" s="80" t="s">
        <v>5291</v>
      </c>
      <c r="T1" s="81" t="s">
        <v>39</v>
      </c>
      <c r="U1" s="81" t="s">
        <v>40</v>
      </c>
      <c r="V1" s="81" t="s">
        <v>41</v>
      </c>
      <c r="W1" s="81" t="s">
        <v>42</v>
      </c>
      <c r="X1" s="81" t="s">
        <v>43</v>
      </c>
      <c r="Y1" s="81" t="s">
        <v>44</v>
      </c>
      <c r="Z1" s="81" t="s">
        <v>45</v>
      </c>
      <c r="AA1" s="82" t="s">
        <v>6888</v>
      </c>
      <c r="AB1" s="83" t="s">
        <v>46</v>
      </c>
      <c r="AC1" s="84" t="s">
        <v>47</v>
      </c>
      <c r="AD1" s="84" t="s">
        <v>48</v>
      </c>
      <c r="AE1" s="84" t="s">
        <v>49</v>
      </c>
      <c r="AF1" s="84" t="s">
        <v>50</v>
      </c>
      <c r="AG1" s="85" t="s">
        <v>51</v>
      </c>
      <c r="AH1" s="85" t="s">
        <v>52</v>
      </c>
      <c r="AI1" s="85" t="s">
        <v>4395</v>
      </c>
      <c r="AJ1" s="86" t="s">
        <v>54</v>
      </c>
      <c r="AK1" s="85" t="s">
        <v>4396</v>
      </c>
      <c r="AL1" s="87" t="s">
        <v>57</v>
      </c>
      <c r="AM1" s="88" t="s">
        <v>58</v>
      </c>
      <c r="AN1" s="88" t="s">
        <v>59</v>
      </c>
      <c r="AO1" s="89" t="s">
        <v>60</v>
      </c>
      <c r="AP1" s="89" t="s">
        <v>61</v>
      </c>
      <c r="AQ1" s="86" t="s">
        <v>62</v>
      </c>
      <c r="AR1" s="86" t="s">
        <v>63</v>
      </c>
      <c r="AS1" s="86" t="s">
        <v>155</v>
      </c>
      <c r="AT1" s="86" t="s">
        <v>65</v>
      </c>
      <c r="AU1" s="90" t="s">
        <v>6889</v>
      </c>
      <c r="AV1" s="86" t="s">
        <v>66</v>
      </c>
      <c r="AW1" s="22"/>
      <c r="AX1" s="101" t="s">
        <v>1680</v>
      </c>
      <c r="AY1" s="102" t="s">
        <v>3133</v>
      </c>
      <c r="AZ1" s="103" t="s">
        <v>158</v>
      </c>
    </row>
    <row r="2" spans="1:52">
      <c r="A2" s="25" t="s">
        <v>7493</v>
      </c>
      <c r="B2" s="25" t="s">
        <v>4398</v>
      </c>
      <c r="C2" s="25" t="s">
        <v>68</v>
      </c>
      <c r="D2" s="25" t="s">
        <v>7494</v>
      </c>
      <c r="E2" s="258" t="s">
        <v>7495</v>
      </c>
      <c r="F2" s="25" t="s">
        <v>7496</v>
      </c>
      <c r="G2" s="25" t="s">
        <v>7497</v>
      </c>
      <c r="H2" s="124" t="s">
        <v>7498</v>
      </c>
      <c r="I2" s="26" t="s">
        <v>7499</v>
      </c>
      <c r="J2" s="26">
        <v>202606.5</v>
      </c>
      <c r="K2" s="62" t="s">
        <v>7500</v>
      </c>
      <c r="L2" s="25" t="s">
        <v>73</v>
      </c>
      <c r="M2" s="25" t="s">
        <v>7501</v>
      </c>
      <c r="N2" s="25" t="s">
        <v>7502</v>
      </c>
      <c r="O2" s="27" t="s">
        <v>7503</v>
      </c>
      <c r="P2" s="26"/>
      <c r="Q2" s="92">
        <v>4</v>
      </c>
      <c r="R2" s="92" t="s">
        <v>4409</v>
      </c>
      <c r="S2" s="92" t="s">
        <v>7504</v>
      </c>
      <c r="T2" s="26" t="s">
        <v>77</v>
      </c>
      <c r="U2" s="30" t="s">
        <v>78</v>
      </c>
      <c r="V2" s="26" t="s">
        <v>79</v>
      </c>
      <c r="W2" s="26" t="s">
        <v>4411</v>
      </c>
      <c r="X2" s="26" t="s">
        <v>7505</v>
      </c>
      <c r="Y2" s="26" t="s">
        <v>81</v>
      </c>
      <c r="Z2" s="26" t="s">
        <v>81</v>
      </c>
      <c r="AA2" s="26" t="s">
        <v>172</v>
      </c>
      <c r="AB2" s="125" t="s">
        <v>7</v>
      </c>
      <c r="AC2" s="30" t="s">
        <v>172</v>
      </c>
      <c r="AD2" s="25" t="s">
        <v>173</v>
      </c>
      <c r="AE2" s="25" t="s">
        <v>174</v>
      </c>
      <c r="AF2" s="26" t="s">
        <v>175</v>
      </c>
      <c r="AG2" s="32">
        <f>IF(COUNTIF(AZ:AZ,D2)&gt;0,1,0)</f>
        <v>1</v>
      </c>
      <c r="AH2" s="32">
        <v>1</v>
      </c>
      <c r="AI2" s="32">
        <v>1</v>
      </c>
      <c r="AJ2" s="32">
        <v>1</v>
      </c>
      <c r="AK2" s="32"/>
      <c r="AL2" s="32">
        <f>IF(COUNTIF(AX:AX,"*"&amp;M2&amp;"*")&gt;0,1,0)</f>
        <v>1</v>
      </c>
      <c r="AM2" s="30"/>
      <c r="AN2" s="32">
        <v>1</v>
      </c>
      <c r="AO2" s="32"/>
      <c r="AP2" s="32">
        <v>1</v>
      </c>
      <c r="AQ2" s="32">
        <v>1</v>
      </c>
      <c r="AR2" s="32"/>
      <c r="AS2" s="32"/>
      <c r="AT2" s="32">
        <v>1</v>
      </c>
      <c r="AU2" s="30"/>
      <c r="AV2" s="30"/>
      <c r="AX2" s="2" t="s">
        <v>7506</v>
      </c>
      <c r="AZ2" s="4" t="s">
        <v>7494</v>
      </c>
    </row>
    <row r="3" spans="1:52">
      <c r="A3" s="25" t="s">
        <v>7507</v>
      </c>
      <c r="B3" s="25" t="s">
        <v>4398</v>
      </c>
      <c r="C3" s="25" t="s">
        <v>68</v>
      </c>
      <c r="D3" s="25" t="s">
        <v>7508</v>
      </c>
      <c r="E3" s="258" t="s">
        <v>7509</v>
      </c>
      <c r="F3" s="25" t="s">
        <v>7510</v>
      </c>
      <c r="G3" s="25" t="s">
        <v>7497</v>
      </c>
      <c r="H3" s="124" t="s">
        <v>7498</v>
      </c>
      <c r="I3" s="26" t="s">
        <v>7499</v>
      </c>
      <c r="J3" s="26">
        <v>202606.5</v>
      </c>
      <c r="K3" s="62" t="s">
        <v>7500</v>
      </c>
      <c r="L3" s="25" t="s">
        <v>73</v>
      </c>
      <c r="M3" s="25" t="s">
        <v>7511</v>
      </c>
      <c r="N3" s="25" t="s">
        <v>7512</v>
      </c>
      <c r="O3" s="27" t="s">
        <v>7513</v>
      </c>
      <c r="P3" s="26"/>
      <c r="Q3" s="92">
        <v>4</v>
      </c>
      <c r="R3" s="92" t="s">
        <v>4409</v>
      </c>
      <c r="S3" s="92" t="s">
        <v>7514</v>
      </c>
      <c r="T3" s="26" t="s">
        <v>77</v>
      </c>
      <c r="U3" s="30" t="s">
        <v>78</v>
      </c>
      <c r="V3" s="26" t="s">
        <v>79</v>
      </c>
      <c r="W3" s="26" t="s">
        <v>4411</v>
      </c>
      <c r="X3" s="26" t="s">
        <v>7505</v>
      </c>
      <c r="Y3" s="26" t="s">
        <v>81</v>
      </c>
      <c r="Z3" s="26" t="s">
        <v>81</v>
      </c>
      <c r="AA3" s="26" t="s">
        <v>172</v>
      </c>
      <c r="AB3" s="125" t="s">
        <v>7</v>
      </c>
      <c r="AC3" s="30" t="s">
        <v>172</v>
      </c>
      <c r="AD3" s="25" t="s">
        <v>173</v>
      </c>
      <c r="AE3" s="25" t="s">
        <v>174</v>
      </c>
      <c r="AF3" s="26" t="s">
        <v>175</v>
      </c>
      <c r="AG3" s="32">
        <f t="shared" ref="AG3:AG34" si="0">IF(COUNTIF(AZ:AZ,D3)&gt;0,1,0)</f>
        <v>1</v>
      </c>
      <c r="AH3" s="32">
        <v>1</v>
      </c>
      <c r="AI3" s="32">
        <v>1</v>
      </c>
      <c r="AJ3" s="32">
        <v>1</v>
      </c>
      <c r="AK3" s="30"/>
      <c r="AL3" s="32">
        <f t="shared" ref="AL3:AL34" si="1">IF(COUNTIF(AX:AX,"*"&amp;M3&amp;"*")&gt;0,1,0)</f>
        <v>1</v>
      </c>
      <c r="AM3" s="30"/>
      <c r="AN3" s="32">
        <v>1</v>
      </c>
      <c r="AO3" s="32"/>
      <c r="AP3" s="32">
        <v>1</v>
      </c>
      <c r="AQ3" s="32">
        <v>1</v>
      </c>
      <c r="AR3" s="32"/>
      <c r="AS3" s="30"/>
      <c r="AT3" s="32">
        <v>1</v>
      </c>
      <c r="AU3" s="30"/>
      <c r="AV3" s="30"/>
      <c r="AX3" s="2" t="s">
        <v>7515</v>
      </c>
      <c r="AZ3" s="4" t="s">
        <v>7508</v>
      </c>
    </row>
    <row r="4" spans="1:52">
      <c r="A4" s="25" t="s">
        <v>7516</v>
      </c>
      <c r="B4" s="25" t="s">
        <v>4398</v>
      </c>
      <c r="C4" s="25" t="s">
        <v>68</v>
      </c>
      <c r="D4" s="25" t="s">
        <v>7517</v>
      </c>
      <c r="E4" s="258" t="s">
        <v>7518</v>
      </c>
      <c r="F4" s="25" t="s">
        <v>7519</v>
      </c>
      <c r="G4" s="25" t="s">
        <v>7497</v>
      </c>
      <c r="H4" s="124" t="s">
        <v>7498</v>
      </c>
      <c r="I4" s="26" t="s">
        <v>7499</v>
      </c>
      <c r="J4" s="26">
        <v>202606.5</v>
      </c>
      <c r="K4" s="62" t="s">
        <v>7500</v>
      </c>
      <c r="L4" s="25" t="s">
        <v>73</v>
      </c>
      <c r="M4" s="25" t="s">
        <v>7520</v>
      </c>
      <c r="N4" s="25" t="s">
        <v>7521</v>
      </c>
      <c r="O4" s="27" t="s">
        <v>7522</v>
      </c>
      <c r="P4" s="26"/>
      <c r="Q4" s="92">
        <v>4</v>
      </c>
      <c r="R4" s="92" t="s">
        <v>4409</v>
      </c>
      <c r="S4" s="92" t="s">
        <v>4825</v>
      </c>
      <c r="T4" s="26" t="s">
        <v>77</v>
      </c>
      <c r="U4" s="30" t="s">
        <v>78</v>
      </c>
      <c r="V4" s="26" t="s">
        <v>79</v>
      </c>
      <c r="W4" s="26" t="s">
        <v>4411</v>
      </c>
      <c r="X4" s="26" t="s">
        <v>7505</v>
      </c>
      <c r="Y4" s="26" t="s">
        <v>81</v>
      </c>
      <c r="Z4" s="26" t="s">
        <v>81</v>
      </c>
      <c r="AA4" s="26" t="s">
        <v>172</v>
      </c>
      <c r="AB4" s="125" t="s">
        <v>7</v>
      </c>
      <c r="AC4" s="30" t="s">
        <v>172</v>
      </c>
      <c r="AD4" s="25" t="s">
        <v>173</v>
      </c>
      <c r="AE4" s="25" t="s">
        <v>174</v>
      </c>
      <c r="AF4" s="26" t="s">
        <v>175</v>
      </c>
      <c r="AG4" s="32">
        <f t="shared" si="0"/>
        <v>1</v>
      </c>
      <c r="AH4" s="32">
        <v>1</v>
      </c>
      <c r="AI4" s="32">
        <v>1</v>
      </c>
      <c r="AJ4" s="32">
        <v>1</v>
      </c>
      <c r="AK4" s="30"/>
      <c r="AL4" s="32">
        <f t="shared" si="1"/>
        <v>1</v>
      </c>
      <c r="AM4" s="30"/>
      <c r="AN4" s="32">
        <v>1</v>
      </c>
      <c r="AO4" s="32"/>
      <c r="AP4" s="32">
        <v>1</v>
      </c>
      <c r="AQ4" s="32">
        <v>1</v>
      </c>
      <c r="AR4" s="32"/>
      <c r="AS4" s="30"/>
      <c r="AT4" s="32">
        <v>1</v>
      </c>
      <c r="AU4" s="30"/>
      <c r="AV4" s="30"/>
      <c r="AX4" s="2" t="s">
        <v>7511</v>
      </c>
      <c r="AZ4" s="4" t="s">
        <v>7517</v>
      </c>
    </row>
    <row r="5" spans="1:52">
      <c r="A5" s="25" t="s">
        <v>7523</v>
      </c>
      <c r="B5" s="25" t="s">
        <v>4398</v>
      </c>
      <c r="C5" s="25" t="s">
        <v>68</v>
      </c>
      <c r="D5" s="25" t="s">
        <v>7524</v>
      </c>
      <c r="E5" s="258" t="s">
        <v>7525</v>
      </c>
      <c r="F5" s="25" t="s">
        <v>7526</v>
      </c>
      <c r="G5" s="25" t="s">
        <v>7497</v>
      </c>
      <c r="H5" s="124" t="s">
        <v>7498</v>
      </c>
      <c r="I5" s="26" t="s">
        <v>7499</v>
      </c>
      <c r="J5" s="26">
        <v>202606.5</v>
      </c>
      <c r="K5" s="62" t="s">
        <v>7500</v>
      </c>
      <c r="L5" s="25" t="s">
        <v>73</v>
      </c>
      <c r="M5" s="25" t="s">
        <v>7527</v>
      </c>
      <c r="N5" s="25" t="s">
        <v>7528</v>
      </c>
      <c r="O5" s="27" t="s">
        <v>7529</v>
      </c>
      <c r="P5" s="26"/>
      <c r="Q5" s="92">
        <v>4</v>
      </c>
      <c r="R5" s="92" t="s">
        <v>4409</v>
      </c>
      <c r="S5" s="92" t="s">
        <v>7530</v>
      </c>
      <c r="T5" s="26" t="s">
        <v>77</v>
      </c>
      <c r="U5" s="30" t="s">
        <v>78</v>
      </c>
      <c r="V5" s="26" t="s">
        <v>79</v>
      </c>
      <c r="W5" s="26" t="s">
        <v>4411</v>
      </c>
      <c r="X5" s="26" t="s">
        <v>7505</v>
      </c>
      <c r="Y5" s="26" t="s">
        <v>81</v>
      </c>
      <c r="Z5" s="26" t="s">
        <v>81</v>
      </c>
      <c r="AA5" s="26" t="s">
        <v>172</v>
      </c>
      <c r="AB5" s="125" t="s">
        <v>7</v>
      </c>
      <c r="AC5" s="30" t="s">
        <v>172</v>
      </c>
      <c r="AD5" s="25" t="s">
        <v>173</v>
      </c>
      <c r="AE5" s="25" t="s">
        <v>174</v>
      </c>
      <c r="AF5" s="26" t="s">
        <v>175</v>
      </c>
      <c r="AG5" s="32">
        <f t="shared" si="0"/>
        <v>1</v>
      </c>
      <c r="AH5" s="32">
        <v>1</v>
      </c>
      <c r="AI5" s="32">
        <v>1</v>
      </c>
      <c r="AJ5" s="32">
        <v>1</v>
      </c>
      <c r="AK5" s="30"/>
      <c r="AL5" s="32">
        <f t="shared" si="1"/>
        <v>1</v>
      </c>
      <c r="AM5" s="30"/>
      <c r="AN5" s="32">
        <v>1</v>
      </c>
      <c r="AO5" s="32"/>
      <c r="AP5" s="32">
        <v>1</v>
      </c>
      <c r="AQ5" s="32">
        <v>1</v>
      </c>
      <c r="AR5" s="32"/>
      <c r="AS5" s="30"/>
      <c r="AT5" s="32">
        <v>1</v>
      </c>
      <c r="AU5" s="30"/>
      <c r="AV5" s="30"/>
      <c r="AX5" s="2" t="s">
        <v>7531</v>
      </c>
      <c r="AZ5" s="4" t="s">
        <v>7524</v>
      </c>
    </row>
    <row r="6" spans="1:52">
      <c r="A6" s="25" t="s">
        <v>7532</v>
      </c>
      <c r="B6" s="25" t="s">
        <v>4398</v>
      </c>
      <c r="C6" s="25" t="s">
        <v>68</v>
      </c>
      <c r="D6" s="25" t="s">
        <v>7533</v>
      </c>
      <c r="E6" s="258" t="s">
        <v>7534</v>
      </c>
      <c r="F6" s="25" t="s">
        <v>7535</v>
      </c>
      <c r="G6" s="25" t="s">
        <v>7497</v>
      </c>
      <c r="H6" s="124" t="s">
        <v>7498</v>
      </c>
      <c r="I6" s="26" t="s">
        <v>7499</v>
      </c>
      <c r="J6" s="26">
        <v>202606.5</v>
      </c>
      <c r="K6" s="62" t="s">
        <v>7500</v>
      </c>
      <c r="L6" s="25" t="s">
        <v>73</v>
      </c>
      <c r="M6" s="25" t="s">
        <v>7536</v>
      </c>
      <c r="N6" s="25" t="s">
        <v>7537</v>
      </c>
      <c r="O6" s="27" t="s">
        <v>7538</v>
      </c>
      <c r="P6" s="26"/>
      <c r="Q6" s="92">
        <v>4</v>
      </c>
      <c r="R6" s="92" t="s">
        <v>4409</v>
      </c>
      <c r="S6" s="92" t="s">
        <v>7539</v>
      </c>
      <c r="T6" s="26" t="s">
        <v>77</v>
      </c>
      <c r="U6" s="30" t="s">
        <v>78</v>
      </c>
      <c r="V6" s="26" t="s">
        <v>79</v>
      </c>
      <c r="W6" s="26" t="s">
        <v>4411</v>
      </c>
      <c r="X6" s="26" t="s">
        <v>7505</v>
      </c>
      <c r="Y6" s="26" t="s">
        <v>81</v>
      </c>
      <c r="Z6" s="26" t="s">
        <v>81</v>
      </c>
      <c r="AA6" s="26" t="s">
        <v>172</v>
      </c>
      <c r="AB6" s="125" t="s">
        <v>7</v>
      </c>
      <c r="AC6" s="30" t="s">
        <v>172</v>
      </c>
      <c r="AD6" s="25" t="s">
        <v>173</v>
      </c>
      <c r="AE6" s="25" t="s">
        <v>174</v>
      </c>
      <c r="AF6" s="26" t="s">
        <v>175</v>
      </c>
      <c r="AG6" s="32">
        <f t="shared" si="0"/>
        <v>1</v>
      </c>
      <c r="AH6" s="32">
        <v>1</v>
      </c>
      <c r="AI6" s="32">
        <v>1</v>
      </c>
      <c r="AJ6" s="32">
        <v>1</v>
      </c>
      <c r="AK6" s="30"/>
      <c r="AL6" s="32">
        <f t="shared" si="1"/>
        <v>1</v>
      </c>
      <c r="AM6" s="30"/>
      <c r="AN6" s="32">
        <v>1</v>
      </c>
      <c r="AO6" s="32"/>
      <c r="AP6" s="32">
        <v>1</v>
      </c>
      <c r="AQ6" s="32">
        <v>1</v>
      </c>
      <c r="AR6" s="32"/>
      <c r="AS6" s="30"/>
      <c r="AT6" s="32">
        <v>1</v>
      </c>
      <c r="AU6" s="30"/>
      <c r="AV6" s="30"/>
      <c r="AX6" s="2" t="s">
        <v>7540</v>
      </c>
      <c r="AZ6" s="4" t="s">
        <v>7533</v>
      </c>
    </row>
    <row r="7" spans="1:52">
      <c r="A7" s="25" t="s">
        <v>7541</v>
      </c>
      <c r="B7" s="25" t="s">
        <v>4398</v>
      </c>
      <c r="C7" s="25" t="s">
        <v>68</v>
      </c>
      <c r="D7" s="25" t="s">
        <v>7542</v>
      </c>
      <c r="E7" s="258" t="s">
        <v>7543</v>
      </c>
      <c r="F7" s="25" t="s">
        <v>7544</v>
      </c>
      <c r="G7" s="25" t="s">
        <v>7497</v>
      </c>
      <c r="H7" s="124" t="s">
        <v>7498</v>
      </c>
      <c r="I7" s="26" t="s">
        <v>7499</v>
      </c>
      <c r="J7" s="26">
        <v>202606.5</v>
      </c>
      <c r="K7" s="62" t="s">
        <v>7500</v>
      </c>
      <c r="L7" s="25" t="s">
        <v>73</v>
      </c>
      <c r="M7" s="25" t="s">
        <v>7545</v>
      </c>
      <c r="N7" s="25" t="s">
        <v>7546</v>
      </c>
      <c r="O7" s="27" t="s">
        <v>7547</v>
      </c>
      <c r="P7" s="26"/>
      <c r="Q7" s="92">
        <v>4</v>
      </c>
      <c r="R7" s="92" t="s">
        <v>4409</v>
      </c>
      <c r="S7" s="92" t="s">
        <v>7548</v>
      </c>
      <c r="T7" s="26" t="s">
        <v>77</v>
      </c>
      <c r="U7" s="30" t="s">
        <v>78</v>
      </c>
      <c r="V7" s="26" t="s">
        <v>79</v>
      </c>
      <c r="W7" s="26" t="s">
        <v>4411</v>
      </c>
      <c r="X7" s="26" t="s">
        <v>7505</v>
      </c>
      <c r="Y7" s="26" t="s">
        <v>81</v>
      </c>
      <c r="Z7" s="26" t="s">
        <v>81</v>
      </c>
      <c r="AA7" s="26" t="s">
        <v>172</v>
      </c>
      <c r="AB7" s="125" t="s">
        <v>7</v>
      </c>
      <c r="AC7" s="30" t="s">
        <v>172</v>
      </c>
      <c r="AD7" s="25" t="s">
        <v>173</v>
      </c>
      <c r="AE7" s="25" t="s">
        <v>174</v>
      </c>
      <c r="AF7" s="26" t="s">
        <v>175</v>
      </c>
      <c r="AG7" s="32">
        <f t="shared" si="0"/>
        <v>1</v>
      </c>
      <c r="AH7" s="32">
        <v>1</v>
      </c>
      <c r="AI7" s="32">
        <v>1</v>
      </c>
      <c r="AJ7" s="32">
        <v>1</v>
      </c>
      <c r="AK7" s="30"/>
      <c r="AL7" s="32">
        <f t="shared" si="1"/>
        <v>1</v>
      </c>
      <c r="AM7" s="30"/>
      <c r="AN7" s="32">
        <v>1</v>
      </c>
      <c r="AO7" s="32"/>
      <c r="AP7" s="32">
        <v>1</v>
      </c>
      <c r="AQ7" s="32">
        <v>1</v>
      </c>
      <c r="AR7" s="32"/>
      <c r="AS7" s="30"/>
      <c r="AT7" s="32">
        <v>1</v>
      </c>
      <c r="AU7" s="30"/>
      <c r="AV7" s="30"/>
      <c r="AX7" s="2" t="s">
        <v>7549</v>
      </c>
      <c r="AZ7" s="4" t="s">
        <v>7542</v>
      </c>
    </row>
    <row r="8" spans="1:52">
      <c r="A8" s="25" t="s">
        <v>7550</v>
      </c>
      <c r="B8" s="25" t="s">
        <v>4398</v>
      </c>
      <c r="C8" s="25" t="s">
        <v>68</v>
      </c>
      <c r="D8" s="25" t="s">
        <v>7551</v>
      </c>
      <c r="E8" s="258" t="s">
        <v>7552</v>
      </c>
      <c r="F8" s="25" t="s">
        <v>7553</v>
      </c>
      <c r="G8" s="25" t="s">
        <v>7497</v>
      </c>
      <c r="H8" s="124" t="s">
        <v>7498</v>
      </c>
      <c r="I8" s="26" t="s">
        <v>7499</v>
      </c>
      <c r="J8" s="26">
        <v>202606.5</v>
      </c>
      <c r="K8" s="62" t="s">
        <v>7500</v>
      </c>
      <c r="L8" s="25" t="s">
        <v>73</v>
      </c>
      <c r="M8" s="25" t="s">
        <v>7554</v>
      </c>
      <c r="N8" s="25" t="s">
        <v>7555</v>
      </c>
      <c r="O8" s="27" t="s">
        <v>7556</v>
      </c>
      <c r="P8" s="26"/>
      <c r="Q8" s="92">
        <v>4</v>
      </c>
      <c r="R8" s="92" t="s">
        <v>4409</v>
      </c>
      <c r="S8" s="92" t="s">
        <v>7557</v>
      </c>
      <c r="T8" s="26" t="s">
        <v>77</v>
      </c>
      <c r="U8" s="30" t="s">
        <v>78</v>
      </c>
      <c r="V8" s="26" t="s">
        <v>79</v>
      </c>
      <c r="W8" s="26" t="s">
        <v>4411</v>
      </c>
      <c r="X8" s="26" t="s">
        <v>7505</v>
      </c>
      <c r="Y8" s="26" t="s">
        <v>81</v>
      </c>
      <c r="Z8" s="26" t="s">
        <v>81</v>
      </c>
      <c r="AA8" s="26" t="s">
        <v>172</v>
      </c>
      <c r="AB8" s="125" t="s">
        <v>7</v>
      </c>
      <c r="AC8" s="30" t="s">
        <v>172</v>
      </c>
      <c r="AD8" s="25" t="s">
        <v>173</v>
      </c>
      <c r="AE8" s="25" t="s">
        <v>174</v>
      </c>
      <c r="AF8" s="26" t="s">
        <v>175</v>
      </c>
      <c r="AG8" s="32">
        <f t="shared" si="0"/>
        <v>1</v>
      </c>
      <c r="AH8" s="32">
        <v>1</v>
      </c>
      <c r="AI8" s="32">
        <v>1</v>
      </c>
      <c r="AJ8" s="32">
        <v>1</v>
      </c>
      <c r="AK8" s="30"/>
      <c r="AL8" s="32">
        <f t="shared" si="1"/>
        <v>1</v>
      </c>
      <c r="AM8" s="30"/>
      <c r="AN8" s="32">
        <v>1</v>
      </c>
      <c r="AO8" s="32"/>
      <c r="AP8" s="32">
        <v>1</v>
      </c>
      <c r="AQ8" s="32">
        <v>1</v>
      </c>
      <c r="AR8" s="32"/>
      <c r="AS8" s="30"/>
      <c r="AT8" s="32">
        <v>1</v>
      </c>
      <c r="AU8" s="30"/>
      <c r="AV8" s="30"/>
      <c r="AX8" s="2" t="s">
        <v>7558</v>
      </c>
      <c r="AZ8" s="4" t="s">
        <v>7551</v>
      </c>
    </row>
    <row r="9" spans="1:52">
      <c r="A9" s="25" t="s">
        <v>7559</v>
      </c>
      <c r="B9" s="25" t="s">
        <v>4398</v>
      </c>
      <c r="C9" s="25" t="s">
        <v>68</v>
      </c>
      <c r="D9" s="25" t="s">
        <v>7560</v>
      </c>
      <c r="E9" s="258" t="s">
        <v>7561</v>
      </c>
      <c r="F9" s="25" t="s">
        <v>2057</v>
      </c>
      <c r="G9" s="25" t="s">
        <v>7497</v>
      </c>
      <c r="H9" s="124" t="s">
        <v>7498</v>
      </c>
      <c r="I9" s="26" t="s">
        <v>7499</v>
      </c>
      <c r="J9" s="26">
        <v>202606.5</v>
      </c>
      <c r="K9" s="62" t="s">
        <v>7500</v>
      </c>
      <c r="L9" s="25" t="s">
        <v>73</v>
      </c>
      <c r="M9" s="25" t="s">
        <v>7562</v>
      </c>
      <c r="N9" s="25" t="s">
        <v>7563</v>
      </c>
      <c r="O9" s="27" t="s">
        <v>7564</v>
      </c>
      <c r="P9" s="26"/>
      <c r="Q9" s="92">
        <v>4</v>
      </c>
      <c r="R9" s="92" t="s">
        <v>4409</v>
      </c>
      <c r="S9" s="92" t="s">
        <v>5206</v>
      </c>
      <c r="T9" s="26" t="s">
        <v>77</v>
      </c>
      <c r="U9" s="30" t="s">
        <v>78</v>
      </c>
      <c r="V9" s="26" t="s">
        <v>79</v>
      </c>
      <c r="W9" s="26" t="s">
        <v>4411</v>
      </c>
      <c r="X9" s="26" t="s">
        <v>7505</v>
      </c>
      <c r="Y9" s="26" t="s">
        <v>81</v>
      </c>
      <c r="Z9" s="26" t="s">
        <v>81</v>
      </c>
      <c r="AA9" s="26" t="s">
        <v>172</v>
      </c>
      <c r="AB9" s="125" t="s">
        <v>7</v>
      </c>
      <c r="AC9" s="30" t="s">
        <v>172</v>
      </c>
      <c r="AD9" s="25" t="s">
        <v>173</v>
      </c>
      <c r="AE9" s="25" t="s">
        <v>174</v>
      </c>
      <c r="AF9" s="26" t="s">
        <v>175</v>
      </c>
      <c r="AG9" s="32">
        <f t="shared" si="0"/>
        <v>1</v>
      </c>
      <c r="AH9" s="32">
        <v>1</v>
      </c>
      <c r="AI9" s="32">
        <v>1</v>
      </c>
      <c r="AJ9" s="32">
        <v>1</v>
      </c>
      <c r="AK9" s="30"/>
      <c r="AL9" s="32">
        <f t="shared" si="1"/>
        <v>1</v>
      </c>
      <c r="AM9" s="30"/>
      <c r="AN9" s="32">
        <v>1</v>
      </c>
      <c r="AO9" s="32"/>
      <c r="AP9" s="32">
        <v>1</v>
      </c>
      <c r="AQ9" s="32">
        <v>1</v>
      </c>
      <c r="AR9" s="32"/>
      <c r="AS9" s="30"/>
      <c r="AT9" s="32">
        <v>1</v>
      </c>
      <c r="AU9" s="30"/>
      <c r="AV9" s="30"/>
      <c r="AX9" s="2" t="s">
        <v>7565</v>
      </c>
      <c r="AZ9" s="4" t="s">
        <v>7560</v>
      </c>
    </row>
    <row r="10" spans="1:52">
      <c r="A10" s="25" t="s">
        <v>7566</v>
      </c>
      <c r="B10" s="25" t="s">
        <v>4398</v>
      </c>
      <c r="C10" s="25" t="s">
        <v>68</v>
      </c>
      <c r="D10" s="25" t="s">
        <v>7567</v>
      </c>
      <c r="E10" s="258" t="s">
        <v>7568</v>
      </c>
      <c r="F10" s="25" t="s">
        <v>7569</v>
      </c>
      <c r="G10" s="25" t="s">
        <v>7497</v>
      </c>
      <c r="H10" s="124" t="s">
        <v>7498</v>
      </c>
      <c r="I10" s="26" t="s">
        <v>7499</v>
      </c>
      <c r="J10" s="26">
        <v>202606.5</v>
      </c>
      <c r="K10" s="62" t="s">
        <v>7500</v>
      </c>
      <c r="L10" s="25" t="s">
        <v>73</v>
      </c>
      <c r="M10" s="25" t="s">
        <v>7570</v>
      </c>
      <c r="N10" s="25" t="s">
        <v>7571</v>
      </c>
      <c r="O10" s="27" t="s">
        <v>7572</v>
      </c>
      <c r="P10" s="26"/>
      <c r="Q10" s="92">
        <v>4</v>
      </c>
      <c r="R10" s="92" t="s">
        <v>4409</v>
      </c>
      <c r="S10" s="92" t="s">
        <v>7573</v>
      </c>
      <c r="T10" s="26" t="s">
        <v>77</v>
      </c>
      <c r="U10" s="30" t="s">
        <v>78</v>
      </c>
      <c r="V10" s="26" t="s">
        <v>79</v>
      </c>
      <c r="W10" s="26" t="s">
        <v>4411</v>
      </c>
      <c r="X10" s="26" t="s">
        <v>7505</v>
      </c>
      <c r="Y10" s="26" t="s">
        <v>81</v>
      </c>
      <c r="Z10" s="26" t="s">
        <v>81</v>
      </c>
      <c r="AA10" s="26" t="s">
        <v>172</v>
      </c>
      <c r="AB10" s="125" t="s">
        <v>7</v>
      </c>
      <c r="AC10" s="30" t="s">
        <v>172</v>
      </c>
      <c r="AD10" s="25" t="s">
        <v>173</v>
      </c>
      <c r="AE10" s="25" t="s">
        <v>174</v>
      </c>
      <c r="AF10" s="26" t="s">
        <v>175</v>
      </c>
      <c r="AG10" s="32">
        <f t="shared" si="0"/>
        <v>1</v>
      </c>
      <c r="AH10" s="32">
        <v>1</v>
      </c>
      <c r="AI10" s="32">
        <v>1</v>
      </c>
      <c r="AJ10" s="32">
        <v>1</v>
      </c>
      <c r="AK10" s="30"/>
      <c r="AL10" s="32">
        <f t="shared" si="1"/>
        <v>1</v>
      </c>
      <c r="AM10" s="30"/>
      <c r="AN10" s="32">
        <v>1</v>
      </c>
      <c r="AO10" s="32"/>
      <c r="AP10" s="32">
        <v>1</v>
      </c>
      <c r="AQ10" s="32">
        <v>1</v>
      </c>
      <c r="AR10" s="32"/>
      <c r="AS10" s="30"/>
      <c r="AT10" s="32">
        <v>1</v>
      </c>
      <c r="AU10" s="30"/>
      <c r="AV10" s="30"/>
      <c r="AX10" s="2" t="s">
        <v>7574</v>
      </c>
      <c r="AZ10" s="4" t="s">
        <v>7567</v>
      </c>
    </row>
    <row r="11" spans="1:52">
      <c r="A11" s="25" t="s">
        <v>7575</v>
      </c>
      <c r="B11" s="25" t="s">
        <v>4398</v>
      </c>
      <c r="C11" s="25" t="s">
        <v>68</v>
      </c>
      <c r="D11" s="25" t="s">
        <v>7576</v>
      </c>
      <c r="E11" s="258" t="s">
        <v>7577</v>
      </c>
      <c r="F11" s="25" t="s">
        <v>7578</v>
      </c>
      <c r="G11" s="25" t="s">
        <v>7497</v>
      </c>
      <c r="H11" s="124" t="s">
        <v>7498</v>
      </c>
      <c r="I11" s="26" t="s">
        <v>7499</v>
      </c>
      <c r="J11" s="26">
        <v>202606.5</v>
      </c>
      <c r="K11" s="62" t="s">
        <v>7500</v>
      </c>
      <c r="L11" s="25" t="s">
        <v>73</v>
      </c>
      <c r="M11" s="25" t="s">
        <v>7579</v>
      </c>
      <c r="N11" s="25" t="s">
        <v>7580</v>
      </c>
      <c r="O11" s="27" t="s">
        <v>7581</v>
      </c>
      <c r="P11" s="26"/>
      <c r="Q11" s="92">
        <v>4</v>
      </c>
      <c r="R11" s="92" t="s">
        <v>4409</v>
      </c>
      <c r="S11" s="92" t="s">
        <v>7582</v>
      </c>
      <c r="T11" s="26" t="s">
        <v>77</v>
      </c>
      <c r="U11" s="30" t="s">
        <v>78</v>
      </c>
      <c r="V11" s="26" t="s">
        <v>79</v>
      </c>
      <c r="W11" s="38" t="s">
        <v>7583</v>
      </c>
      <c r="X11" s="26" t="s">
        <v>7505</v>
      </c>
      <c r="Y11" s="26" t="s">
        <v>81</v>
      </c>
      <c r="Z11" s="26" t="s">
        <v>81</v>
      </c>
      <c r="AA11" s="26" t="s">
        <v>172</v>
      </c>
      <c r="AB11" s="125" t="s">
        <v>9</v>
      </c>
      <c r="AC11" s="30" t="s">
        <v>172</v>
      </c>
      <c r="AD11" s="25" t="s">
        <v>173</v>
      </c>
      <c r="AE11" s="25" t="s">
        <v>174</v>
      </c>
      <c r="AF11" s="26" t="s">
        <v>175</v>
      </c>
      <c r="AG11" s="32">
        <f t="shared" si="0"/>
        <v>1</v>
      </c>
      <c r="AH11" s="32">
        <v>1</v>
      </c>
      <c r="AI11" s="32">
        <v>1</v>
      </c>
      <c r="AJ11" s="32">
        <v>1</v>
      </c>
      <c r="AK11" s="30"/>
      <c r="AL11" s="32">
        <f t="shared" si="1"/>
        <v>1</v>
      </c>
      <c r="AM11" s="30"/>
      <c r="AN11" s="32">
        <v>1</v>
      </c>
      <c r="AO11" s="32"/>
      <c r="AP11" s="32">
        <v>1</v>
      </c>
      <c r="AQ11" s="32">
        <v>1</v>
      </c>
      <c r="AR11" s="32"/>
      <c r="AS11" s="30"/>
      <c r="AT11" s="32">
        <v>1</v>
      </c>
      <c r="AU11" s="30"/>
      <c r="AV11" s="30"/>
      <c r="AX11" s="2" t="s">
        <v>7584</v>
      </c>
      <c r="AZ11" s="126" t="s">
        <v>7585</v>
      </c>
    </row>
    <row r="12" spans="1:52">
      <c r="A12" s="25" t="s">
        <v>7586</v>
      </c>
      <c r="B12" s="25" t="s">
        <v>4398</v>
      </c>
      <c r="C12" s="25" t="s">
        <v>68</v>
      </c>
      <c r="D12" s="25" t="s">
        <v>7587</v>
      </c>
      <c r="E12" s="259" t="s">
        <v>7588</v>
      </c>
      <c r="F12" s="48" t="s">
        <v>7589</v>
      </c>
      <c r="G12" s="25" t="s">
        <v>7497</v>
      </c>
      <c r="H12" s="124" t="s">
        <v>7498</v>
      </c>
      <c r="I12" s="26" t="s">
        <v>7499</v>
      </c>
      <c r="J12" s="26">
        <v>202606.5</v>
      </c>
      <c r="K12" s="62" t="s">
        <v>7500</v>
      </c>
      <c r="L12" s="25" t="s">
        <v>73</v>
      </c>
      <c r="M12" s="25" t="s">
        <v>7590</v>
      </c>
      <c r="N12" s="25" t="s">
        <v>7591</v>
      </c>
      <c r="O12" s="27" t="s">
        <v>7592</v>
      </c>
      <c r="P12" s="26"/>
      <c r="Q12" s="92">
        <v>4</v>
      </c>
      <c r="R12" s="92" t="s">
        <v>4409</v>
      </c>
      <c r="S12" s="92" t="s">
        <v>4811</v>
      </c>
      <c r="T12" s="26" t="s">
        <v>77</v>
      </c>
      <c r="U12" s="30" t="s">
        <v>78</v>
      </c>
      <c r="V12" s="26" t="s">
        <v>79</v>
      </c>
      <c r="W12" s="38" t="s">
        <v>7583</v>
      </c>
      <c r="X12" s="26" t="s">
        <v>7505</v>
      </c>
      <c r="Y12" s="26" t="s">
        <v>81</v>
      </c>
      <c r="Z12" s="26" t="s">
        <v>81</v>
      </c>
      <c r="AA12" s="26" t="s">
        <v>172</v>
      </c>
      <c r="AB12" s="125" t="s">
        <v>9</v>
      </c>
      <c r="AC12" s="30" t="s">
        <v>172</v>
      </c>
      <c r="AD12" s="25" t="s">
        <v>173</v>
      </c>
      <c r="AE12" s="25" t="s">
        <v>174</v>
      </c>
      <c r="AF12" s="26" t="s">
        <v>175</v>
      </c>
      <c r="AG12" s="32">
        <f t="shared" si="0"/>
        <v>1</v>
      </c>
      <c r="AH12" s="32">
        <v>1</v>
      </c>
      <c r="AI12" s="32">
        <v>1</v>
      </c>
      <c r="AJ12" s="32">
        <v>1</v>
      </c>
      <c r="AK12" s="30"/>
      <c r="AL12" s="32">
        <f t="shared" si="1"/>
        <v>1</v>
      </c>
      <c r="AM12" s="30"/>
      <c r="AN12" s="32">
        <v>1</v>
      </c>
      <c r="AO12" s="32"/>
      <c r="AP12" s="32">
        <v>1</v>
      </c>
      <c r="AQ12" s="32">
        <v>1</v>
      </c>
      <c r="AR12" s="32"/>
      <c r="AS12" s="30"/>
      <c r="AT12" s="32">
        <v>1</v>
      </c>
      <c r="AU12" s="127">
        <v>0.92825231481481496</v>
      </c>
      <c r="AV12" s="30"/>
      <c r="AX12" s="2" t="s">
        <v>7593</v>
      </c>
      <c r="AZ12" s="128" t="s">
        <v>7594</v>
      </c>
    </row>
    <row r="13" spans="1:52">
      <c r="A13" s="25" t="s">
        <v>7595</v>
      </c>
      <c r="B13" s="25" t="s">
        <v>4398</v>
      </c>
      <c r="C13" s="25" t="s">
        <v>68</v>
      </c>
      <c r="D13" s="25" t="s">
        <v>7596</v>
      </c>
      <c r="E13" s="258" t="s">
        <v>7597</v>
      </c>
      <c r="F13" s="25" t="s">
        <v>7598</v>
      </c>
      <c r="G13" s="25" t="s">
        <v>7497</v>
      </c>
      <c r="H13" s="124" t="s">
        <v>7498</v>
      </c>
      <c r="I13" s="26" t="s">
        <v>7499</v>
      </c>
      <c r="J13" s="26">
        <v>202606.5</v>
      </c>
      <c r="K13" s="62" t="s">
        <v>7500</v>
      </c>
      <c r="L13" s="25" t="s">
        <v>73</v>
      </c>
      <c r="M13" s="25" t="s">
        <v>7599</v>
      </c>
      <c r="N13" s="25" t="s">
        <v>7600</v>
      </c>
      <c r="O13" s="27" t="s">
        <v>7601</v>
      </c>
      <c r="P13" s="26"/>
      <c r="Q13" s="92">
        <v>4</v>
      </c>
      <c r="R13" s="92" t="s">
        <v>4409</v>
      </c>
      <c r="S13" s="92" t="s">
        <v>4832</v>
      </c>
      <c r="T13" s="26" t="s">
        <v>77</v>
      </c>
      <c r="U13" s="30" t="s">
        <v>78</v>
      </c>
      <c r="V13" s="26" t="s">
        <v>79</v>
      </c>
      <c r="W13" s="38" t="s">
        <v>7583</v>
      </c>
      <c r="X13" s="26" t="s">
        <v>7505</v>
      </c>
      <c r="Y13" s="26" t="s">
        <v>81</v>
      </c>
      <c r="Z13" s="26" t="s">
        <v>81</v>
      </c>
      <c r="AA13" s="26" t="s">
        <v>172</v>
      </c>
      <c r="AB13" s="125" t="s">
        <v>9</v>
      </c>
      <c r="AC13" s="30" t="s">
        <v>172</v>
      </c>
      <c r="AD13" s="25" t="s">
        <v>173</v>
      </c>
      <c r="AE13" s="25" t="s">
        <v>174</v>
      </c>
      <c r="AF13" s="26" t="s">
        <v>175</v>
      </c>
      <c r="AG13" s="32">
        <f t="shared" si="0"/>
        <v>1</v>
      </c>
      <c r="AH13" s="32">
        <v>1</v>
      </c>
      <c r="AI13" s="32">
        <v>1</v>
      </c>
      <c r="AJ13" s="32">
        <v>1</v>
      </c>
      <c r="AK13" s="30"/>
      <c r="AL13" s="32">
        <f t="shared" si="1"/>
        <v>1</v>
      </c>
      <c r="AM13" s="30"/>
      <c r="AN13" s="32">
        <v>1</v>
      </c>
      <c r="AO13" s="32"/>
      <c r="AP13" s="32">
        <v>1</v>
      </c>
      <c r="AQ13" s="32">
        <v>1</v>
      </c>
      <c r="AR13" s="32"/>
      <c r="AS13" s="30"/>
      <c r="AT13" s="32">
        <v>1</v>
      </c>
      <c r="AU13" s="30"/>
      <c r="AV13" s="30"/>
      <c r="AX13" s="2" t="s">
        <v>7602</v>
      </c>
      <c r="AZ13" s="128" t="s">
        <v>7603</v>
      </c>
    </row>
    <row r="14" spans="1:52">
      <c r="A14" s="25" t="s">
        <v>7604</v>
      </c>
      <c r="B14" s="25" t="s">
        <v>4398</v>
      </c>
      <c r="C14" s="25" t="s">
        <v>68</v>
      </c>
      <c r="D14" s="25" t="s">
        <v>7605</v>
      </c>
      <c r="E14" s="258" t="s">
        <v>7606</v>
      </c>
      <c r="F14" s="25" t="s">
        <v>7607</v>
      </c>
      <c r="G14" s="25" t="s">
        <v>7497</v>
      </c>
      <c r="H14" s="124" t="s">
        <v>7498</v>
      </c>
      <c r="I14" s="26" t="s">
        <v>7499</v>
      </c>
      <c r="J14" s="26">
        <v>202606.5</v>
      </c>
      <c r="K14" s="62" t="s">
        <v>7500</v>
      </c>
      <c r="L14" s="25" t="s">
        <v>73</v>
      </c>
      <c r="M14" s="25" t="s">
        <v>7608</v>
      </c>
      <c r="N14" s="25" t="s">
        <v>7609</v>
      </c>
      <c r="O14" s="27" t="s">
        <v>7610</v>
      </c>
      <c r="P14" s="26"/>
      <c r="Q14" s="92">
        <v>4</v>
      </c>
      <c r="R14" s="92" t="s">
        <v>4409</v>
      </c>
      <c r="S14" s="92" t="s">
        <v>4679</v>
      </c>
      <c r="T14" s="26" t="s">
        <v>77</v>
      </c>
      <c r="U14" s="30" t="s">
        <v>78</v>
      </c>
      <c r="V14" s="26" t="s">
        <v>79</v>
      </c>
      <c r="W14" s="38" t="s">
        <v>7583</v>
      </c>
      <c r="X14" s="26" t="s">
        <v>7505</v>
      </c>
      <c r="Y14" s="26" t="s">
        <v>81</v>
      </c>
      <c r="Z14" s="26" t="s">
        <v>81</v>
      </c>
      <c r="AA14" s="26" t="s">
        <v>172</v>
      </c>
      <c r="AB14" s="125" t="s">
        <v>9</v>
      </c>
      <c r="AC14" s="30" t="s">
        <v>172</v>
      </c>
      <c r="AD14" s="25" t="s">
        <v>173</v>
      </c>
      <c r="AE14" s="25" t="s">
        <v>174</v>
      </c>
      <c r="AF14" s="26" t="s">
        <v>175</v>
      </c>
      <c r="AG14" s="32">
        <f t="shared" si="0"/>
        <v>1</v>
      </c>
      <c r="AH14" s="32">
        <v>1</v>
      </c>
      <c r="AI14" s="32">
        <v>1</v>
      </c>
      <c r="AJ14" s="32">
        <v>1</v>
      </c>
      <c r="AK14" s="30"/>
      <c r="AL14" s="32">
        <f t="shared" si="1"/>
        <v>1</v>
      </c>
      <c r="AM14" s="30"/>
      <c r="AN14" s="32">
        <v>1</v>
      </c>
      <c r="AO14" s="32"/>
      <c r="AP14" s="32">
        <v>1</v>
      </c>
      <c r="AQ14" s="32">
        <v>1</v>
      </c>
      <c r="AR14" s="32"/>
      <c r="AS14" s="30"/>
      <c r="AT14" s="32">
        <v>1</v>
      </c>
      <c r="AU14" s="30"/>
      <c r="AV14" s="30"/>
      <c r="AX14" s="2" t="s">
        <v>7611</v>
      </c>
      <c r="AZ14" s="128" t="s">
        <v>7612</v>
      </c>
    </row>
    <row r="15" spans="1:52">
      <c r="A15" s="25" t="s">
        <v>7613</v>
      </c>
      <c r="B15" s="25" t="s">
        <v>4398</v>
      </c>
      <c r="C15" s="25" t="s">
        <v>68</v>
      </c>
      <c r="D15" s="25" t="s">
        <v>7614</v>
      </c>
      <c r="E15" s="258" t="s">
        <v>7615</v>
      </c>
      <c r="F15" s="25" t="s">
        <v>7616</v>
      </c>
      <c r="G15" s="25" t="s">
        <v>7497</v>
      </c>
      <c r="H15" s="124" t="s">
        <v>7498</v>
      </c>
      <c r="I15" s="26" t="s">
        <v>7499</v>
      </c>
      <c r="J15" s="26">
        <v>202606.5</v>
      </c>
      <c r="K15" s="62" t="s">
        <v>7500</v>
      </c>
      <c r="L15" s="25" t="s">
        <v>73</v>
      </c>
      <c r="M15" s="25" t="s">
        <v>7617</v>
      </c>
      <c r="N15" s="25" t="s">
        <v>7618</v>
      </c>
      <c r="O15" s="27" t="s">
        <v>7619</v>
      </c>
      <c r="P15" s="26"/>
      <c r="Q15" s="92">
        <v>4</v>
      </c>
      <c r="R15" s="92" t="s">
        <v>4409</v>
      </c>
      <c r="S15" s="92" t="s">
        <v>5245</v>
      </c>
      <c r="T15" s="26" t="s">
        <v>77</v>
      </c>
      <c r="U15" s="30" t="s">
        <v>78</v>
      </c>
      <c r="V15" s="26" t="s">
        <v>79</v>
      </c>
      <c r="W15" s="38" t="s">
        <v>7583</v>
      </c>
      <c r="X15" s="26" t="s">
        <v>7505</v>
      </c>
      <c r="Y15" s="26" t="s">
        <v>81</v>
      </c>
      <c r="Z15" s="26" t="s">
        <v>81</v>
      </c>
      <c r="AA15" s="26" t="s">
        <v>172</v>
      </c>
      <c r="AB15" s="125" t="s">
        <v>9</v>
      </c>
      <c r="AC15" s="30" t="s">
        <v>172</v>
      </c>
      <c r="AD15" s="25" t="s">
        <v>173</v>
      </c>
      <c r="AE15" s="25" t="s">
        <v>174</v>
      </c>
      <c r="AF15" s="26" t="s">
        <v>175</v>
      </c>
      <c r="AG15" s="32">
        <f t="shared" si="0"/>
        <v>1</v>
      </c>
      <c r="AH15" s="32">
        <v>1</v>
      </c>
      <c r="AI15" s="32">
        <v>1</v>
      </c>
      <c r="AJ15" s="32">
        <v>1</v>
      </c>
      <c r="AK15" s="30"/>
      <c r="AL15" s="32">
        <f t="shared" si="1"/>
        <v>1</v>
      </c>
      <c r="AM15" s="30"/>
      <c r="AN15" s="32">
        <v>1</v>
      </c>
      <c r="AO15" s="32"/>
      <c r="AP15" s="32">
        <v>1</v>
      </c>
      <c r="AQ15" s="32">
        <v>1</v>
      </c>
      <c r="AR15" s="32"/>
      <c r="AS15" s="30"/>
      <c r="AT15" s="32">
        <v>1</v>
      </c>
      <c r="AU15" s="30"/>
      <c r="AV15" s="30"/>
      <c r="AX15" s="2" t="s">
        <v>7620</v>
      </c>
      <c r="AZ15" s="128" t="s">
        <v>7621</v>
      </c>
    </row>
    <row r="16" spans="1:52">
      <c r="A16" s="25" t="s">
        <v>7622</v>
      </c>
      <c r="B16" s="25" t="s">
        <v>4398</v>
      </c>
      <c r="C16" s="25" t="s">
        <v>73</v>
      </c>
      <c r="D16" s="25" t="s">
        <v>7623</v>
      </c>
      <c r="E16" s="258" t="s">
        <v>7624</v>
      </c>
      <c r="F16" s="25" t="s">
        <v>7625</v>
      </c>
      <c r="G16" s="25" t="s">
        <v>7497</v>
      </c>
      <c r="H16" s="124" t="s">
        <v>7498</v>
      </c>
      <c r="I16" s="26" t="s">
        <v>7499</v>
      </c>
      <c r="J16" s="26">
        <v>202606.5</v>
      </c>
      <c r="K16" s="62" t="s">
        <v>7500</v>
      </c>
      <c r="L16" s="25" t="s">
        <v>73</v>
      </c>
      <c r="M16" s="25" t="s">
        <v>7626</v>
      </c>
      <c r="N16" s="25" t="s">
        <v>7627</v>
      </c>
      <c r="O16" s="27" t="s">
        <v>7628</v>
      </c>
      <c r="P16" s="26"/>
      <c r="Q16" s="32">
        <v>4</v>
      </c>
      <c r="R16" s="32">
        <v>16</v>
      </c>
      <c r="S16" s="32">
        <v>266.19</v>
      </c>
      <c r="T16" s="26" t="s">
        <v>77</v>
      </c>
      <c r="U16" s="30" t="s">
        <v>78</v>
      </c>
      <c r="V16" s="26" t="s">
        <v>79</v>
      </c>
      <c r="W16" s="38" t="s">
        <v>7583</v>
      </c>
      <c r="X16" s="26" t="s">
        <v>7505</v>
      </c>
      <c r="Y16" s="26" t="s">
        <v>81</v>
      </c>
      <c r="Z16" s="26" t="s">
        <v>81</v>
      </c>
      <c r="AA16" s="26" t="s">
        <v>172</v>
      </c>
      <c r="AB16" s="125" t="s">
        <v>9</v>
      </c>
      <c r="AC16" s="30" t="s">
        <v>172</v>
      </c>
      <c r="AD16" s="25" t="s">
        <v>7629</v>
      </c>
      <c r="AE16" s="117" t="s">
        <v>174</v>
      </c>
      <c r="AF16" s="26" t="s">
        <v>175</v>
      </c>
      <c r="AG16" s="32">
        <f t="shared" si="0"/>
        <v>1</v>
      </c>
      <c r="AH16" s="32">
        <v>1</v>
      </c>
      <c r="AI16" s="32">
        <v>1</v>
      </c>
      <c r="AJ16" s="32">
        <v>1</v>
      </c>
      <c r="AK16" s="30"/>
      <c r="AL16" s="32">
        <f t="shared" si="1"/>
        <v>1</v>
      </c>
      <c r="AM16" s="30"/>
      <c r="AN16" s="111" t="s">
        <v>7630</v>
      </c>
      <c r="AO16" s="32"/>
      <c r="AP16" s="32">
        <v>1</v>
      </c>
      <c r="AQ16" s="32">
        <v>1</v>
      </c>
      <c r="AR16" s="32"/>
      <c r="AS16" s="30"/>
      <c r="AT16" s="32">
        <v>1</v>
      </c>
      <c r="AU16" s="30"/>
      <c r="AV16" s="30"/>
      <c r="AX16" s="2" t="s">
        <v>7536</v>
      </c>
      <c r="AZ16" s="128" t="s">
        <v>7576</v>
      </c>
    </row>
    <row r="17" spans="1:52">
      <c r="A17" s="25" t="s">
        <v>7631</v>
      </c>
      <c r="B17" s="25" t="s">
        <v>4398</v>
      </c>
      <c r="C17" s="25" t="s">
        <v>73</v>
      </c>
      <c r="D17" s="25" t="s">
        <v>7632</v>
      </c>
      <c r="E17" s="258" t="s">
        <v>7633</v>
      </c>
      <c r="F17" s="25" t="s">
        <v>7634</v>
      </c>
      <c r="G17" s="25" t="s">
        <v>7497</v>
      </c>
      <c r="H17" s="124" t="s">
        <v>7498</v>
      </c>
      <c r="I17" s="26" t="s">
        <v>7499</v>
      </c>
      <c r="J17" s="26">
        <v>202606.5</v>
      </c>
      <c r="K17" s="62" t="s">
        <v>7500</v>
      </c>
      <c r="L17" s="25" t="s">
        <v>73</v>
      </c>
      <c r="M17" s="25" t="s">
        <v>7611</v>
      </c>
      <c r="N17" s="25" t="s">
        <v>7635</v>
      </c>
      <c r="O17" s="27" t="s">
        <v>7636</v>
      </c>
      <c r="P17" s="26"/>
      <c r="Q17" s="32">
        <v>4</v>
      </c>
      <c r="R17" s="32">
        <v>16</v>
      </c>
      <c r="S17" s="32">
        <v>266.17</v>
      </c>
      <c r="T17" s="26" t="s">
        <v>77</v>
      </c>
      <c r="U17" s="30" t="s">
        <v>78</v>
      </c>
      <c r="V17" s="26" t="s">
        <v>79</v>
      </c>
      <c r="W17" s="38" t="s">
        <v>7583</v>
      </c>
      <c r="X17" s="26" t="s">
        <v>7505</v>
      </c>
      <c r="Y17" s="26" t="s">
        <v>81</v>
      </c>
      <c r="Z17" s="26" t="s">
        <v>81</v>
      </c>
      <c r="AA17" s="26" t="s">
        <v>172</v>
      </c>
      <c r="AB17" s="125" t="s">
        <v>9</v>
      </c>
      <c r="AC17" s="30" t="s">
        <v>172</v>
      </c>
      <c r="AD17" s="25" t="s">
        <v>7629</v>
      </c>
      <c r="AE17" s="117" t="s">
        <v>174</v>
      </c>
      <c r="AF17" s="26" t="s">
        <v>175</v>
      </c>
      <c r="AG17" s="32">
        <f t="shared" si="0"/>
        <v>1</v>
      </c>
      <c r="AH17" s="32">
        <v>1</v>
      </c>
      <c r="AI17" s="32">
        <v>1</v>
      </c>
      <c r="AJ17" s="32">
        <v>1</v>
      </c>
      <c r="AK17" s="30"/>
      <c r="AL17" s="32">
        <f t="shared" si="1"/>
        <v>1</v>
      </c>
      <c r="AM17" s="30"/>
      <c r="AN17" s="32">
        <v>1</v>
      </c>
      <c r="AO17" s="32"/>
      <c r="AP17" s="32">
        <v>1</v>
      </c>
      <c r="AQ17" s="32">
        <v>1</v>
      </c>
      <c r="AR17" s="32"/>
      <c r="AS17" s="30"/>
      <c r="AT17" s="32">
        <v>1</v>
      </c>
      <c r="AU17" s="30"/>
      <c r="AV17" s="30"/>
      <c r="AX17" s="2" t="s">
        <v>7554</v>
      </c>
      <c r="AZ17" s="128" t="s">
        <v>7587</v>
      </c>
    </row>
    <row r="18" spans="1:52">
      <c r="A18" s="25" t="s">
        <v>7637</v>
      </c>
      <c r="B18" s="25" t="s">
        <v>4398</v>
      </c>
      <c r="C18" s="25" t="s">
        <v>68</v>
      </c>
      <c r="D18" s="25" t="s">
        <v>7585</v>
      </c>
      <c r="E18" s="258" t="s">
        <v>7638</v>
      </c>
      <c r="F18" s="25" t="s">
        <v>7639</v>
      </c>
      <c r="G18" s="25" t="s">
        <v>7497</v>
      </c>
      <c r="H18" s="124" t="s">
        <v>7640</v>
      </c>
      <c r="I18" s="26" t="s">
        <v>7499</v>
      </c>
      <c r="J18" s="26">
        <v>202606.5</v>
      </c>
      <c r="K18" s="62" t="s">
        <v>7500</v>
      </c>
      <c r="L18" s="25" t="s">
        <v>73</v>
      </c>
      <c r="M18" s="25" t="s">
        <v>7506</v>
      </c>
      <c r="N18" s="25" t="s">
        <v>7641</v>
      </c>
      <c r="O18" s="27" t="s">
        <v>7642</v>
      </c>
      <c r="P18" s="26"/>
      <c r="Q18" s="92">
        <v>4</v>
      </c>
      <c r="R18" s="92" t="s">
        <v>4409</v>
      </c>
      <c r="S18" s="92" t="s">
        <v>7643</v>
      </c>
      <c r="T18" s="26" t="s">
        <v>77</v>
      </c>
      <c r="U18" s="30" t="s">
        <v>78</v>
      </c>
      <c r="V18" s="26" t="s">
        <v>79</v>
      </c>
      <c r="W18" s="38" t="s">
        <v>7583</v>
      </c>
      <c r="X18" s="26" t="s">
        <v>7505</v>
      </c>
      <c r="Y18" s="26" t="s">
        <v>81</v>
      </c>
      <c r="Z18" s="26" t="s">
        <v>81</v>
      </c>
      <c r="AA18" s="26" t="s">
        <v>172</v>
      </c>
      <c r="AB18" s="125" t="s">
        <v>9</v>
      </c>
      <c r="AC18" s="30" t="s">
        <v>172</v>
      </c>
      <c r="AD18" s="25" t="s">
        <v>173</v>
      </c>
      <c r="AE18" s="25" t="s">
        <v>174</v>
      </c>
      <c r="AF18" s="26" t="s">
        <v>175</v>
      </c>
      <c r="AG18" s="32">
        <f t="shared" si="0"/>
        <v>1</v>
      </c>
      <c r="AH18" s="32">
        <v>1</v>
      </c>
      <c r="AI18" s="32">
        <v>1</v>
      </c>
      <c r="AJ18" s="32">
        <v>1</v>
      </c>
      <c r="AK18" s="30"/>
      <c r="AL18" s="32">
        <f t="shared" si="1"/>
        <v>1</v>
      </c>
      <c r="AM18" s="30"/>
      <c r="AN18" s="32">
        <v>1</v>
      </c>
      <c r="AO18" s="32"/>
      <c r="AP18" s="32">
        <v>1</v>
      </c>
      <c r="AQ18" s="32">
        <v>1</v>
      </c>
      <c r="AR18" s="32"/>
      <c r="AS18" s="30"/>
      <c r="AT18" s="32">
        <v>1</v>
      </c>
      <c r="AU18" s="30"/>
      <c r="AV18" s="30"/>
      <c r="AX18" s="2" t="s">
        <v>7644</v>
      </c>
      <c r="AZ18" s="128" t="s">
        <v>7596</v>
      </c>
    </row>
    <row r="19" spans="1:52">
      <c r="A19" s="25" t="s">
        <v>7645</v>
      </c>
      <c r="B19" s="25" t="s">
        <v>4398</v>
      </c>
      <c r="C19" s="25" t="s">
        <v>68</v>
      </c>
      <c r="D19" s="25" t="s">
        <v>7594</v>
      </c>
      <c r="E19" s="258" t="s">
        <v>7646</v>
      </c>
      <c r="F19" s="25" t="s">
        <v>7647</v>
      </c>
      <c r="G19" s="25" t="s">
        <v>7497</v>
      </c>
      <c r="H19" s="124" t="s">
        <v>7640</v>
      </c>
      <c r="I19" s="26" t="s">
        <v>7499</v>
      </c>
      <c r="J19" s="26">
        <v>202606.5</v>
      </c>
      <c r="K19" s="62" t="s">
        <v>7500</v>
      </c>
      <c r="L19" s="25" t="s">
        <v>73</v>
      </c>
      <c r="M19" s="25" t="s">
        <v>7648</v>
      </c>
      <c r="N19" s="25" t="s">
        <v>7649</v>
      </c>
      <c r="O19" s="27" t="s">
        <v>7650</v>
      </c>
      <c r="P19" s="26"/>
      <c r="Q19" s="92">
        <v>4</v>
      </c>
      <c r="R19" s="92" t="s">
        <v>4409</v>
      </c>
      <c r="S19" s="92" t="s">
        <v>7643</v>
      </c>
      <c r="T19" s="26" t="s">
        <v>77</v>
      </c>
      <c r="U19" s="30" t="s">
        <v>78</v>
      </c>
      <c r="V19" s="26" t="s">
        <v>79</v>
      </c>
      <c r="W19" s="38" t="s">
        <v>7583</v>
      </c>
      <c r="X19" s="26" t="s">
        <v>7505</v>
      </c>
      <c r="Y19" s="26" t="s">
        <v>81</v>
      </c>
      <c r="Z19" s="26" t="s">
        <v>81</v>
      </c>
      <c r="AA19" s="26" t="s">
        <v>172</v>
      </c>
      <c r="AB19" s="125" t="s">
        <v>9</v>
      </c>
      <c r="AC19" s="30" t="s">
        <v>172</v>
      </c>
      <c r="AD19" s="25" t="s">
        <v>173</v>
      </c>
      <c r="AE19" s="25" t="s">
        <v>174</v>
      </c>
      <c r="AF19" s="26" t="s">
        <v>175</v>
      </c>
      <c r="AG19" s="32">
        <f t="shared" si="0"/>
        <v>1</v>
      </c>
      <c r="AH19" s="32">
        <v>1</v>
      </c>
      <c r="AI19" s="32">
        <v>1</v>
      </c>
      <c r="AJ19" s="32">
        <v>1</v>
      </c>
      <c r="AK19" s="30"/>
      <c r="AL19" s="32">
        <f t="shared" si="1"/>
        <v>1</v>
      </c>
      <c r="AM19" s="30"/>
      <c r="AN19" s="32">
        <v>1</v>
      </c>
      <c r="AO19" s="32"/>
      <c r="AP19" s="32">
        <v>1</v>
      </c>
      <c r="AQ19" s="32">
        <v>1</v>
      </c>
      <c r="AR19" s="32"/>
      <c r="AS19" s="30"/>
      <c r="AT19" s="32">
        <v>1</v>
      </c>
      <c r="AU19" s="30"/>
      <c r="AV19" s="30"/>
      <c r="AX19" s="2" t="s">
        <v>7651</v>
      </c>
      <c r="AZ19" s="128" t="s">
        <v>7605</v>
      </c>
    </row>
    <row r="20" spans="1:52">
      <c r="A20" s="25" t="s">
        <v>7652</v>
      </c>
      <c r="B20" s="25" t="s">
        <v>4398</v>
      </c>
      <c r="C20" s="25" t="s">
        <v>68</v>
      </c>
      <c r="D20" s="25" t="s">
        <v>7603</v>
      </c>
      <c r="E20" s="258" t="s">
        <v>7653</v>
      </c>
      <c r="F20" s="25" t="s">
        <v>7654</v>
      </c>
      <c r="G20" s="25" t="s">
        <v>7497</v>
      </c>
      <c r="H20" s="124" t="s">
        <v>7640</v>
      </c>
      <c r="I20" s="26" t="s">
        <v>7499</v>
      </c>
      <c r="J20" s="26">
        <v>202606.5</v>
      </c>
      <c r="K20" s="62" t="s">
        <v>7500</v>
      </c>
      <c r="L20" s="25" t="s">
        <v>73</v>
      </c>
      <c r="M20" s="25" t="s">
        <v>7655</v>
      </c>
      <c r="N20" s="25" t="s">
        <v>7656</v>
      </c>
      <c r="O20" s="27" t="s">
        <v>7657</v>
      </c>
      <c r="P20" s="26"/>
      <c r="Q20" s="92">
        <v>4</v>
      </c>
      <c r="R20" s="92" t="s">
        <v>4409</v>
      </c>
      <c r="S20" s="92" t="s">
        <v>7658</v>
      </c>
      <c r="T20" s="26" t="s">
        <v>77</v>
      </c>
      <c r="U20" s="30" t="s">
        <v>78</v>
      </c>
      <c r="V20" s="26" t="s">
        <v>79</v>
      </c>
      <c r="W20" s="38" t="s">
        <v>7583</v>
      </c>
      <c r="X20" s="26" t="s">
        <v>7505</v>
      </c>
      <c r="Y20" s="26" t="s">
        <v>81</v>
      </c>
      <c r="Z20" s="26" t="s">
        <v>81</v>
      </c>
      <c r="AA20" s="26" t="s">
        <v>172</v>
      </c>
      <c r="AB20" s="125" t="s">
        <v>9</v>
      </c>
      <c r="AC20" s="30" t="s">
        <v>172</v>
      </c>
      <c r="AD20" s="25" t="s">
        <v>173</v>
      </c>
      <c r="AE20" s="25" t="s">
        <v>174</v>
      </c>
      <c r="AF20" s="26" t="s">
        <v>175</v>
      </c>
      <c r="AG20" s="32">
        <f t="shared" si="0"/>
        <v>1</v>
      </c>
      <c r="AH20" s="32">
        <v>1</v>
      </c>
      <c r="AI20" s="32">
        <v>1</v>
      </c>
      <c r="AJ20" s="32">
        <v>1</v>
      </c>
      <c r="AK20" s="30"/>
      <c r="AL20" s="32">
        <f t="shared" si="1"/>
        <v>1</v>
      </c>
      <c r="AM20" s="30"/>
      <c r="AN20" s="32">
        <v>1</v>
      </c>
      <c r="AO20" s="32"/>
      <c r="AP20" s="32">
        <v>1</v>
      </c>
      <c r="AQ20" s="32">
        <v>1</v>
      </c>
      <c r="AR20" s="32"/>
      <c r="AS20" s="30"/>
      <c r="AT20" s="32">
        <v>1</v>
      </c>
      <c r="AU20" s="30"/>
      <c r="AV20" s="30"/>
      <c r="AX20" s="2" t="s">
        <v>7659</v>
      </c>
      <c r="AZ20" s="128" t="s">
        <v>7614</v>
      </c>
    </row>
    <row r="21" spans="1:52">
      <c r="A21" s="25" t="s">
        <v>7660</v>
      </c>
      <c r="B21" s="25" t="s">
        <v>4398</v>
      </c>
      <c r="C21" s="25" t="s">
        <v>68</v>
      </c>
      <c r="D21" s="25" t="s">
        <v>7612</v>
      </c>
      <c r="E21" s="258" t="s">
        <v>7661</v>
      </c>
      <c r="F21" s="25" t="s">
        <v>7662</v>
      </c>
      <c r="G21" s="25" t="s">
        <v>7497</v>
      </c>
      <c r="H21" s="124" t="s">
        <v>7640</v>
      </c>
      <c r="I21" s="26" t="s">
        <v>7499</v>
      </c>
      <c r="J21" s="26">
        <v>202606.5</v>
      </c>
      <c r="K21" s="62" t="s">
        <v>7500</v>
      </c>
      <c r="L21" s="25" t="s">
        <v>73</v>
      </c>
      <c r="M21" s="25" t="s">
        <v>7663</v>
      </c>
      <c r="N21" s="25" t="s">
        <v>7664</v>
      </c>
      <c r="O21" s="27" t="s">
        <v>7665</v>
      </c>
      <c r="P21" s="26"/>
      <c r="Q21" s="92">
        <v>4</v>
      </c>
      <c r="R21" s="92" t="s">
        <v>4409</v>
      </c>
      <c r="S21" s="92" t="s">
        <v>5206</v>
      </c>
      <c r="T21" s="26" t="s">
        <v>77</v>
      </c>
      <c r="U21" s="30" t="s">
        <v>78</v>
      </c>
      <c r="V21" s="26" t="s">
        <v>79</v>
      </c>
      <c r="W21" s="38" t="s">
        <v>7583</v>
      </c>
      <c r="X21" s="26" t="s">
        <v>7505</v>
      </c>
      <c r="Y21" s="26" t="s">
        <v>81</v>
      </c>
      <c r="Z21" s="26" t="s">
        <v>81</v>
      </c>
      <c r="AA21" s="26" t="s">
        <v>172</v>
      </c>
      <c r="AB21" s="125" t="s">
        <v>9</v>
      </c>
      <c r="AC21" s="30" t="s">
        <v>172</v>
      </c>
      <c r="AD21" s="25" t="s">
        <v>173</v>
      </c>
      <c r="AE21" s="25" t="s">
        <v>174</v>
      </c>
      <c r="AF21" s="26" t="s">
        <v>175</v>
      </c>
      <c r="AG21" s="32">
        <f t="shared" si="0"/>
        <v>1</v>
      </c>
      <c r="AH21" s="32">
        <v>1</v>
      </c>
      <c r="AI21" s="32">
        <v>1</v>
      </c>
      <c r="AJ21" s="32">
        <v>1</v>
      </c>
      <c r="AK21" s="30"/>
      <c r="AL21" s="32">
        <f t="shared" si="1"/>
        <v>1</v>
      </c>
      <c r="AM21" s="30"/>
      <c r="AN21" s="32">
        <v>1</v>
      </c>
      <c r="AO21" s="32"/>
      <c r="AP21" s="32">
        <v>1</v>
      </c>
      <c r="AQ21" s="32">
        <v>1</v>
      </c>
      <c r="AR21" s="32"/>
      <c r="AS21" s="30"/>
      <c r="AT21" s="32">
        <v>1</v>
      </c>
      <c r="AU21" s="30"/>
      <c r="AV21" s="30"/>
      <c r="AX21" s="2" t="s">
        <v>7666</v>
      </c>
      <c r="AZ21" s="128" t="s">
        <v>7623</v>
      </c>
    </row>
    <row r="22" spans="1:52">
      <c r="A22" s="25" t="s">
        <v>7667</v>
      </c>
      <c r="B22" s="25" t="s">
        <v>4398</v>
      </c>
      <c r="C22" s="25" t="s">
        <v>68</v>
      </c>
      <c r="D22" s="25" t="s">
        <v>7621</v>
      </c>
      <c r="E22" s="258" t="s">
        <v>7668</v>
      </c>
      <c r="F22" s="25" t="s">
        <v>7669</v>
      </c>
      <c r="G22" s="25" t="s">
        <v>7497</v>
      </c>
      <c r="H22" s="124" t="s">
        <v>7640</v>
      </c>
      <c r="I22" s="26" t="s">
        <v>7499</v>
      </c>
      <c r="J22" s="26">
        <v>202606.5</v>
      </c>
      <c r="K22" s="62" t="s">
        <v>7500</v>
      </c>
      <c r="L22" s="25" t="s">
        <v>73</v>
      </c>
      <c r="M22" s="25" t="s">
        <v>7670</v>
      </c>
      <c r="N22" s="25" t="s">
        <v>7671</v>
      </c>
      <c r="O22" s="27" t="s">
        <v>7672</v>
      </c>
      <c r="P22" s="26"/>
      <c r="Q22" s="92">
        <v>4</v>
      </c>
      <c r="R22" s="92" t="s">
        <v>4409</v>
      </c>
      <c r="S22" s="92" t="s">
        <v>7673</v>
      </c>
      <c r="T22" s="26" t="s">
        <v>77</v>
      </c>
      <c r="U22" s="30" t="s">
        <v>78</v>
      </c>
      <c r="V22" s="26" t="s">
        <v>79</v>
      </c>
      <c r="W22" s="38" t="s">
        <v>7583</v>
      </c>
      <c r="X22" s="26" t="s">
        <v>7505</v>
      </c>
      <c r="Y22" s="26" t="s">
        <v>81</v>
      </c>
      <c r="Z22" s="26" t="s">
        <v>81</v>
      </c>
      <c r="AA22" s="26" t="s">
        <v>172</v>
      </c>
      <c r="AB22" s="125" t="s">
        <v>9</v>
      </c>
      <c r="AC22" s="30" t="s">
        <v>172</v>
      </c>
      <c r="AD22" s="25" t="s">
        <v>173</v>
      </c>
      <c r="AE22" s="25" t="s">
        <v>174</v>
      </c>
      <c r="AF22" s="26" t="s">
        <v>175</v>
      </c>
      <c r="AG22" s="32">
        <f t="shared" si="0"/>
        <v>1</v>
      </c>
      <c r="AH22" s="32">
        <v>1</v>
      </c>
      <c r="AI22" s="32">
        <v>1</v>
      </c>
      <c r="AJ22" s="32">
        <v>1</v>
      </c>
      <c r="AK22" s="30"/>
      <c r="AL22" s="32">
        <f t="shared" si="1"/>
        <v>1</v>
      </c>
      <c r="AM22" s="30"/>
      <c r="AN22" s="32">
        <v>1</v>
      </c>
      <c r="AO22" s="32"/>
      <c r="AP22" s="32">
        <v>1</v>
      </c>
      <c r="AQ22" s="32">
        <v>1</v>
      </c>
      <c r="AR22" s="32"/>
      <c r="AS22" s="30"/>
      <c r="AT22" s="32">
        <v>1</v>
      </c>
      <c r="AU22" s="30"/>
      <c r="AV22" s="30"/>
      <c r="AX22" s="2" t="s">
        <v>7674</v>
      </c>
      <c r="AZ22" s="128" t="s">
        <v>7632</v>
      </c>
    </row>
    <row r="23" spans="1:52">
      <c r="A23" s="25" t="s">
        <v>7675</v>
      </c>
      <c r="B23" s="25" t="s">
        <v>4398</v>
      </c>
      <c r="C23" s="25" t="s">
        <v>68</v>
      </c>
      <c r="D23" s="25" t="s">
        <v>7676</v>
      </c>
      <c r="E23" s="258" t="s">
        <v>7677</v>
      </c>
      <c r="F23" s="25" t="s">
        <v>7678</v>
      </c>
      <c r="G23" s="25" t="s">
        <v>7497</v>
      </c>
      <c r="H23" s="124" t="s">
        <v>7640</v>
      </c>
      <c r="I23" s="26" t="s">
        <v>7499</v>
      </c>
      <c r="J23" s="26">
        <v>202606.5</v>
      </c>
      <c r="K23" s="62" t="s">
        <v>7500</v>
      </c>
      <c r="L23" s="25" t="s">
        <v>73</v>
      </c>
      <c r="M23" s="25" t="s">
        <v>7549</v>
      </c>
      <c r="N23" s="25" t="s">
        <v>7679</v>
      </c>
      <c r="O23" s="27" t="s">
        <v>7680</v>
      </c>
      <c r="P23" s="26"/>
      <c r="Q23" s="92">
        <v>4</v>
      </c>
      <c r="R23" s="92" t="s">
        <v>4409</v>
      </c>
      <c r="S23" s="92" t="s">
        <v>5221</v>
      </c>
      <c r="T23" s="26" t="s">
        <v>77</v>
      </c>
      <c r="U23" s="30" t="s">
        <v>78</v>
      </c>
      <c r="V23" s="26" t="s">
        <v>79</v>
      </c>
      <c r="W23" s="38" t="s">
        <v>4477</v>
      </c>
      <c r="X23" s="26" t="s">
        <v>7505</v>
      </c>
      <c r="Y23" s="26" t="s">
        <v>81</v>
      </c>
      <c r="Z23" s="26" t="s">
        <v>81</v>
      </c>
      <c r="AA23" s="26" t="s">
        <v>172</v>
      </c>
      <c r="AB23" s="125" t="s">
        <v>11</v>
      </c>
      <c r="AC23" s="30" t="s">
        <v>172</v>
      </c>
      <c r="AD23" s="25" t="s">
        <v>173</v>
      </c>
      <c r="AE23" s="25" t="s">
        <v>174</v>
      </c>
      <c r="AF23" s="26" t="s">
        <v>175</v>
      </c>
      <c r="AG23" s="32">
        <f t="shared" si="0"/>
        <v>1</v>
      </c>
      <c r="AH23" s="32">
        <v>1</v>
      </c>
      <c r="AI23" s="32">
        <v>1</v>
      </c>
      <c r="AJ23" s="32">
        <v>1</v>
      </c>
      <c r="AK23" s="30"/>
      <c r="AL23" s="32">
        <f t="shared" si="1"/>
        <v>1</v>
      </c>
      <c r="AM23" s="30"/>
      <c r="AN23" s="32">
        <v>1</v>
      </c>
      <c r="AO23" s="32">
        <v>1</v>
      </c>
      <c r="AP23" s="32">
        <v>1</v>
      </c>
      <c r="AQ23" s="32">
        <v>1</v>
      </c>
      <c r="AR23" s="32">
        <v>1</v>
      </c>
      <c r="AS23" s="30"/>
      <c r="AT23" s="32">
        <v>1</v>
      </c>
      <c r="AU23" s="30"/>
      <c r="AV23" s="30"/>
      <c r="AX23" s="2" t="s">
        <v>7648</v>
      </c>
      <c r="AZ23" s="128" t="s">
        <v>7681</v>
      </c>
    </row>
    <row r="24" spans="1:52">
      <c r="A24" s="25" t="s">
        <v>7682</v>
      </c>
      <c r="B24" s="25" t="s">
        <v>4398</v>
      </c>
      <c r="C24" s="25" t="s">
        <v>68</v>
      </c>
      <c r="D24" s="25" t="s">
        <v>7683</v>
      </c>
      <c r="E24" s="258" t="s">
        <v>7684</v>
      </c>
      <c r="F24" s="25" t="s">
        <v>7685</v>
      </c>
      <c r="G24" s="25" t="s">
        <v>7497</v>
      </c>
      <c r="H24" s="124" t="s">
        <v>7640</v>
      </c>
      <c r="I24" s="26" t="s">
        <v>7499</v>
      </c>
      <c r="J24" s="26">
        <v>202606.5</v>
      </c>
      <c r="K24" s="62" t="s">
        <v>7500</v>
      </c>
      <c r="L24" s="25" t="s">
        <v>73</v>
      </c>
      <c r="M24" s="25" t="s">
        <v>7686</v>
      </c>
      <c r="N24" s="25" t="s">
        <v>7687</v>
      </c>
      <c r="O24" s="27" t="s">
        <v>7688</v>
      </c>
      <c r="P24" s="26"/>
      <c r="Q24" s="92">
        <v>4</v>
      </c>
      <c r="R24" s="92" t="s">
        <v>4409</v>
      </c>
      <c r="S24" s="92" t="s">
        <v>7689</v>
      </c>
      <c r="T24" s="26" t="s">
        <v>77</v>
      </c>
      <c r="U24" s="30" t="s">
        <v>78</v>
      </c>
      <c r="V24" s="26" t="s">
        <v>79</v>
      </c>
      <c r="W24" s="38" t="s">
        <v>4477</v>
      </c>
      <c r="X24" s="26" t="s">
        <v>7505</v>
      </c>
      <c r="Y24" s="26" t="s">
        <v>81</v>
      </c>
      <c r="Z24" s="26" t="s">
        <v>81</v>
      </c>
      <c r="AA24" s="26" t="s">
        <v>172</v>
      </c>
      <c r="AB24" s="125" t="s">
        <v>11</v>
      </c>
      <c r="AC24" s="30" t="s">
        <v>172</v>
      </c>
      <c r="AD24" s="25" t="s">
        <v>173</v>
      </c>
      <c r="AE24" s="25" t="s">
        <v>174</v>
      </c>
      <c r="AF24" s="26" t="s">
        <v>175</v>
      </c>
      <c r="AG24" s="32">
        <f t="shared" si="0"/>
        <v>1</v>
      </c>
      <c r="AH24" s="32">
        <v>1</v>
      </c>
      <c r="AI24" s="32">
        <v>1</v>
      </c>
      <c r="AJ24" s="32">
        <v>1</v>
      </c>
      <c r="AK24" s="30"/>
      <c r="AL24" s="32">
        <f t="shared" si="1"/>
        <v>1</v>
      </c>
      <c r="AM24" s="30"/>
      <c r="AN24" s="32">
        <v>1</v>
      </c>
      <c r="AO24" s="32">
        <v>1</v>
      </c>
      <c r="AP24" s="32">
        <v>1</v>
      </c>
      <c r="AQ24" s="32">
        <v>1</v>
      </c>
      <c r="AR24" s="32">
        <v>1</v>
      </c>
      <c r="AS24" s="30"/>
      <c r="AT24" s="32">
        <v>1</v>
      </c>
      <c r="AU24" s="30"/>
      <c r="AV24" s="30"/>
      <c r="AX24" s="2" t="s">
        <v>7655</v>
      </c>
      <c r="AZ24" s="128" t="s">
        <v>7676</v>
      </c>
    </row>
    <row r="25" spans="1:52">
      <c r="A25" s="25" t="s">
        <v>7690</v>
      </c>
      <c r="B25" s="25" t="s">
        <v>4398</v>
      </c>
      <c r="C25" s="25" t="s">
        <v>68</v>
      </c>
      <c r="D25" s="25" t="s">
        <v>7691</v>
      </c>
      <c r="E25" s="258" t="s">
        <v>7692</v>
      </c>
      <c r="F25" s="25" t="s">
        <v>7693</v>
      </c>
      <c r="G25" s="25" t="s">
        <v>7497</v>
      </c>
      <c r="H25" s="124" t="s">
        <v>7640</v>
      </c>
      <c r="I25" s="26" t="s">
        <v>7499</v>
      </c>
      <c r="J25" s="26">
        <v>202606.5</v>
      </c>
      <c r="K25" s="62" t="s">
        <v>7500</v>
      </c>
      <c r="L25" s="25" t="s">
        <v>73</v>
      </c>
      <c r="M25" s="25" t="s">
        <v>7694</v>
      </c>
      <c r="N25" s="25" t="s">
        <v>7695</v>
      </c>
      <c r="O25" s="27" t="s">
        <v>7696</v>
      </c>
      <c r="P25" s="26"/>
      <c r="Q25" s="92">
        <v>4</v>
      </c>
      <c r="R25" s="92" t="s">
        <v>4409</v>
      </c>
      <c r="S25" s="92" t="s">
        <v>7697</v>
      </c>
      <c r="T25" s="26" t="s">
        <v>77</v>
      </c>
      <c r="U25" s="30" t="s">
        <v>78</v>
      </c>
      <c r="V25" s="26" t="s">
        <v>79</v>
      </c>
      <c r="W25" s="38" t="s">
        <v>4477</v>
      </c>
      <c r="X25" s="26" t="s">
        <v>7505</v>
      </c>
      <c r="Y25" s="26" t="s">
        <v>81</v>
      </c>
      <c r="Z25" s="26" t="s">
        <v>81</v>
      </c>
      <c r="AA25" s="26" t="s">
        <v>172</v>
      </c>
      <c r="AB25" s="125" t="s">
        <v>11</v>
      </c>
      <c r="AC25" s="30" t="s">
        <v>172</v>
      </c>
      <c r="AD25" s="25" t="s">
        <v>173</v>
      </c>
      <c r="AE25" s="25" t="s">
        <v>174</v>
      </c>
      <c r="AF25" s="26" t="s">
        <v>175</v>
      </c>
      <c r="AG25" s="32">
        <f t="shared" si="0"/>
        <v>1</v>
      </c>
      <c r="AH25" s="32">
        <v>1</v>
      </c>
      <c r="AI25" s="32">
        <v>1</v>
      </c>
      <c r="AJ25" s="32">
        <v>1</v>
      </c>
      <c r="AK25" s="30"/>
      <c r="AL25" s="32">
        <f t="shared" si="1"/>
        <v>1</v>
      </c>
      <c r="AM25" s="30"/>
      <c r="AN25" s="32">
        <v>1</v>
      </c>
      <c r="AO25" s="32">
        <v>1</v>
      </c>
      <c r="AP25" s="32">
        <v>1</v>
      </c>
      <c r="AQ25" s="32">
        <v>1</v>
      </c>
      <c r="AR25" s="32">
        <v>1</v>
      </c>
      <c r="AS25" s="30"/>
      <c r="AT25" s="32">
        <v>1</v>
      </c>
      <c r="AU25" s="30"/>
      <c r="AV25" s="30"/>
      <c r="AX25" s="2" t="s">
        <v>7698</v>
      </c>
      <c r="AZ25" s="128" t="s">
        <v>7683</v>
      </c>
    </row>
    <row r="26" spans="1:52">
      <c r="A26" s="25" t="s">
        <v>7699</v>
      </c>
      <c r="B26" s="25" t="s">
        <v>4398</v>
      </c>
      <c r="C26" s="25" t="s">
        <v>68</v>
      </c>
      <c r="D26" s="25" t="s">
        <v>7700</v>
      </c>
      <c r="E26" s="258" t="s">
        <v>7701</v>
      </c>
      <c r="F26" s="25" t="s">
        <v>1216</v>
      </c>
      <c r="G26" s="25" t="s">
        <v>7497</v>
      </c>
      <c r="H26" s="124" t="s">
        <v>7640</v>
      </c>
      <c r="I26" s="26" t="s">
        <v>7499</v>
      </c>
      <c r="J26" s="26">
        <v>202606.5</v>
      </c>
      <c r="K26" s="62" t="s">
        <v>7500</v>
      </c>
      <c r="L26" s="25" t="s">
        <v>73</v>
      </c>
      <c r="M26" s="25" t="s">
        <v>7702</v>
      </c>
      <c r="N26" s="25" t="s">
        <v>7703</v>
      </c>
      <c r="O26" s="27" t="s">
        <v>7704</v>
      </c>
      <c r="P26" s="26"/>
      <c r="Q26" s="92">
        <v>4</v>
      </c>
      <c r="R26" s="92" t="s">
        <v>4409</v>
      </c>
      <c r="S26" s="92" t="s">
        <v>4458</v>
      </c>
      <c r="T26" s="26" t="s">
        <v>77</v>
      </c>
      <c r="U26" s="30" t="s">
        <v>78</v>
      </c>
      <c r="V26" s="26" t="s">
        <v>79</v>
      </c>
      <c r="W26" s="38" t="s">
        <v>4477</v>
      </c>
      <c r="X26" s="26" t="s">
        <v>7505</v>
      </c>
      <c r="Y26" s="26" t="s">
        <v>81</v>
      </c>
      <c r="Z26" s="26" t="s">
        <v>81</v>
      </c>
      <c r="AA26" s="26" t="s">
        <v>172</v>
      </c>
      <c r="AB26" s="125" t="s">
        <v>11</v>
      </c>
      <c r="AC26" s="30" t="s">
        <v>172</v>
      </c>
      <c r="AD26" s="25" t="s">
        <v>173</v>
      </c>
      <c r="AE26" s="25" t="s">
        <v>174</v>
      </c>
      <c r="AF26" s="26" t="s">
        <v>175</v>
      </c>
      <c r="AG26" s="32">
        <f t="shared" si="0"/>
        <v>1</v>
      </c>
      <c r="AH26" s="32">
        <v>1</v>
      </c>
      <c r="AI26" s="32">
        <v>1</v>
      </c>
      <c r="AJ26" s="32">
        <v>1</v>
      </c>
      <c r="AK26" s="30"/>
      <c r="AL26" s="32">
        <f t="shared" si="1"/>
        <v>1</v>
      </c>
      <c r="AM26" s="30"/>
      <c r="AN26" s="32">
        <v>1</v>
      </c>
      <c r="AO26" s="32">
        <v>1</v>
      </c>
      <c r="AP26" s="32">
        <v>1</v>
      </c>
      <c r="AQ26" s="32">
        <v>1</v>
      </c>
      <c r="AR26" s="32">
        <v>1</v>
      </c>
      <c r="AS26" s="30"/>
      <c r="AT26" s="32">
        <v>1</v>
      </c>
      <c r="AU26" s="30"/>
      <c r="AV26" s="30"/>
      <c r="AX26" s="2" t="s">
        <v>7705</v>
      </c>
      <c r="AZ26" s="128" t="s">
        <v>7691</v>
      </c>
    </row>
    <row r="27" spans="1:52">
      <c r="A27" s="25" t="s">
        <v>7706</v>
      </c>
      <c r="B27" s="25" t="s">
        <v>4398</v>
      </c>
      <c r="C27" s="25" t="s">
        <v>68</v>
      </c>
      <c r="D27" s="25" t="s">
        <v>7707</v>
      </c>
      <c r="E27" s="258" t="s">
        <v>7708</v>
      </c>
      <c r="F27" s="25" t="s">
        <v>7709</v>
      </c>
      <c r="G27" s="25" t="s">
        <v>7497</v>
      </c>
      <c r="H27" s="124" t="s">
        <v>7640</v>
      </c>
      <c r="I27" s="26" t="s">
        <v>7499</v>
      </c>
      <c r="J27" s="26">
        <v>202606.5</v>
      </c>
      <c r="K27" s="62" t="s">
        <v>7500</v>
      </c>
      <c r="L27" s="25" t="s">
        <v>73</v>
      </c>
      <c r="M27" s="25" t="s">
        <v>7710</v>
      </c>
      <c r="N27" s="25" t="s">
        <v>7711</v>
      </c>
      <c r="O27" s="27" t="s">
        <v>7712</v>
      </c>
      <c r="P27" s="26"/>
      <c r="Q27" s="92">
        <v>4</v>
      </c>
      <c r="R27" s="92" t="s">
        <v>4409</v>
      </c>
      <c r="S27" s="92" t="s">
        <v>4604</v>
      </c>
      <c r="T27" s="26" t="s">
        <v>77</v>
      </c>
      <c r="U27" s="30" t="s">
        <v>78</v>
      </c>
      <c r="V27" s="26" t="s">
        <v>79</v>
      </c>
      <c r="W27" s="38" t="s">
        <v>4477</v>
      </c>
      <c r="X27" s="26" t="s">
        <v>7505</v>
      </c>
      <c r="Y27" s="26" t="s">
        <v>81</v>
      </c>
      <c r="Z27" s="26" t="s">
        <v>81</v>
      </c>
      <c r="AA27" s="26" t="s">
        <v>172</v>
      </c>
      <c r="AB27" s="125" t="s">
        <v>11</v>
      </c>
      <c r="AC27" s="30" t="s">
        <v>172</v>
      </c>
      <c r="AD27" s="25" t="s">
        <v>173</v>
      </c>
      <c r="AE27" s="25" t="s">
        <v>174</v>
      </c>
      <c r="AF27" s="26" t="s">
        <v>175</v>
      </c>
      <c r="AG27" s="32">
        <f t="shared" si="0"/>
        <v>1</v>
      </c>
      <c r="AH27" s="32">
        <v>1</v>
      </c>
      <c r="AI27" s="32">
        <v>1</v>
      </c>
      <c r="AJ27" s="32">
        <v>1</v>
      </c>
      <c r="AK27" s="30"/>
      <c r="AL27" s="32">
        <f t="shared" si="1"/>
        <v>1</v>
      </c>
      <c r="AM27" s="30"/>
      <c r="AN27" s="32">
        <v>1</v>
      </c>
      <c r="AO27" s="32">
        <v>1</v>
      </c>
      <c r="AP27" s="32">
        <v>1</v>
      </c>
      <c r="AQ27" s="32">
        <v>1</v>
      </c>
      <c r="AR27" s="32">
        <v>1</v>
      </c>
      <c r="AS27" s="30"/>
      <c r="AT27" s="32">
        <v>1</v>
      </c>
      <c r="AU27" s="30"/>
      <c r="AV27" s="30"/>
      <c r="AX27" s="2" t="s">
        <v>7713</v>
      </c>
      <c r="AZ27" s="128" t="s">
        <v>7700</v>
      </c>
    </row>
    <row r="28" spans="1:52">
      <c r="A28" s="25" t="s">
        <v>7714</v>
      </c>
      <c r="B28" s="25" t="s">
        <v>4398</v>
      </c>
      <c r="C28" s="25" t="s">
        <v>68</v>
      </c>
      <c r="D28" s="25" t="s">
        <v>7715</v>
      </c>
      <c r="E28" s="258" t="s">
        <v>7716</v>
      </c>
      <c r="F28" s="25" t="s">
        <v>7717</v>
      </c>
      <c r="G28" s="25" t="s">
        <v>7497</v>
      </c>
      <c r="H28" s="124" t="s">
        <v>7640</v>
      </c>
      <c r="I28" s="26" t="s">
        <v>7499</v>
      </c>
      <c r="J28" s="26">
        <v>202606.5</v>
      </c>
      <c r="K28" s="62" t="s">
        <v>7500</v>
      </c>
      <c r="L28" s="25" t="s">
        <v>73</v>
      </c>
      <c r="M28" s="25" t="s">
        <v>7718</v>
      </c>
      <c r="N28" s="25" t="s">
        <v>7719</v>
      </c>
      <c r="O28" s="27" t="s">
        <v>7720</v>
      </c>
      <c r="P28" s="26"/>
      <c r="Q28" s="92">
        <v>4</v>
      </c>
      <c r="R28" s="92" t="s">
        <v>4409</v>
      </c>
      <c r="S28" s="92" t="s">
        <v>7721</v>
      </c>
      <c r="T28" s="26" t="s">
        <v>77</v>
      </c>
      <c r="U28" s="30" t="s">
        <v>78</v>
      </c>
      <c r="V28" s="26" t="s">
        <v>79</v>
      </c>
      <c r="W28" s="38" t="s">
        <v>4477</v>
      </c>
      <c r="X28" s="26" t="s">
        <v>7505</v>
      </c>
      <c r="Y28" s="26" t="s">
        <v>81</v>
      </c>
      <c r="Z28" s="26" t="s">
        <v>81</v>
      </c>
      <c r="AA28" s="26" t="s">
        <v>172</v>
      </c>
      <c r="AB28" s="125" t="s">
        <v>11</v>
      </c>
      <c r="AC28" s="30" t="s">
        <v>172</v>
      </c>
      <c r="AD28" s="25" t="s">
        <v>173</v>
      </c>
      <c r="AE28" s="25" t="s">
        <v>174</v>
      </c>
      <c r="AF28" s="26" t="s">
        <v>175</v>
      </c>
      <c r="AG28" s="32">
        <f t="shared" si="0"/>
        <v>1</v>
      </c>
      <c r="AH28" s="32">
        <v>1</v>
      </c>
      <c r="AI28" s="32">
        <v>1</v>
      </c>
      <c r="AJ28" s="32">
        <v>1</v>
      </c>
      <c r="AK28" s="30"/>
      <c r="AL28" s="32">
        <f t="shared" si="1"/>
        <v>1</v>
      </c>
      <c r="AM28" s="30"/>
      <c r="AN28" s="32">
        <v>1</v>
      </c>
      <c r="AO28" s="32">
        <v>1</v>
      </c>
      <c r="AP28" s="32">
        <v>1</v>
      </c>
      <c r="AQ28" s="32">
        <v>1</v>
      </c>
      <c r="AR28" s="32">
        <v>1</v>
      </c>
      <c r="AS28" s="30"/>
      <c r="AT28" s="32">
        <v>1</v>
      </c>
      <c r="AU28" s="30"/>
      <c r="AV28" s="30"/>
      <c r="AX28" s="2" t="s">
        <v>7722</v>
      </c>
      <c r="AZ28" s="128" t="s">
        <v>7707</v>
      </c>
    </row>
    <row r="29" spans="1:52">
      <c r="A29" s="25" t="s">
        <v>7723</v>
      </c>
      <c r="B29" s="25" t="s">
        <v>4398</v>
      </c>
      <c r="C29" s="25" t="s">
        <v>68</v>
      </c>
      <c r="D29" s="25" t="s">
        <v>7724</v>
      </c>
      <c r="E29" s="259" t="s">
        <v>7725</v>
      </c>
      <c r="F29" s="48" t="s">
        <v>7726</v>
      </c>
      <c r="G29" s="25" t="s">
        <v>7497</v>
      </c>
      <c r="H29" s="124" t="s">
        <v>7640</v>
      </c>
      <c r="I29" s="26" t="s">
        <v>7499</v>
      </c>
      <c r="J29" s="26">
        <v>202606.5</v>
      </c>
      <c r="K29" s="62" t="s">
        <v>7500</v>
      </c>
      <c r="L29" s="25" t="s">
        <v>73</v>
      </c>
      <c r="M29" s="25" t="s">
        <v>7727</v>
      </c>
      <c r="N29" s="25" t="s">
        <v>7728</v>
      </c>
      <c r="O29" s="27" t="s">
        <v>7729</v>
      </c>
      <c r="P29" s="26"/>
      <c r="Q29" s="92">
        <v>4</v>
      </c>
      <c r="R29" s="92" t="s">
        <v>4409</v>
      </c>
      <c r="S29" s="92" t="s">
        <v>7730</v>
      </c>
      <c r="T29" s="26" t="s">
        <v>77</v>
      </c>
      <c r="U29" s="30" t="s">
        <v>78</v>
      </c>
      <c r="V29" s="26" t="s">
        <v>79</v>
      </c>
      <c r="W29" s="38" t="s">
        <v>4477</v>
      </c>
      <c r="X29" s="26" t="s">
        <v>7505</v>
      </c>
      <c r="Y29" s="26" t="s">
        <v>81</v>
      </c>
      <c r="Z29" s="26" t="s">
        <v>81</v>
      </c>
      <c r="AA29" s="26" t="s">
        <v>172</v>
      </c>
      <c r="AB29" s="125" t="s">
        <v>11</v>
      </c>
      <c r="AC29" s="30" t="s">
        <v>172</v>
      </c>
      <c r="AD29" s="25" t="s">
        <v>173</v>
      </c>
      <c r="AE29" s="25" t="s">
        <v>174</v>
      </c>
      <c r="AF29" s="26" t="s">
        <v>175</v>
      </c>
      <c r="AG29" s="32">
        <f t="shared" si="0"/>
        <v>1</v>
      </c>
      <c r="AH29" s="32">
        <v>1</v>
      </c>
      <c r="AI29" s="32">
        <v>1</v>
      </c>
      <c r="AJ29" s="32">
        <v>1</v>
      </c>
      <c r="AK29" s="30"/>
      <c r="AL29" s="32">
        <f t="shared" si="1"/>
        <v>1</v>
      </c>
      <c r="AM29" s="30"/>
      <c r="AN29" s="32">
        <v>1</v>
      </c>
      <c r="AO29" s="32">
        <v>1</v>
      </c>
      <c r="AP29" s="32">
        <v>1</v>
      </c>
      <c r="AQ29" s="32">
        <v>1</v>
      </c>
      <c r="AR29" s="32">
        <v>1</v>
      </c>
      <c r="AS29" s="30"/>
      <c r="AT29" s="32">
        <v>1</v>
      </c>
      <c r="AU29" s="30"/>
      <c r="AV29" s="30"/>
      <c r="AX29" s="2" t="s">
        <v>7731</v>
      </c>
      <c r="AZ29" s="128" t="s">
        <v>7715</v>
      </c>
    </row>
    <row r="30" spans="1:52">
      <c r="A30" s="25" t="s">
        <v>7732</v>
      </c>
      <c r="B30" s="25" t="s">
        <v>4398</v>
      </c>
      <c r="C30" s="25" t="s">
        <v>68</v>
      </c>
      <c r="D30" s="25" t="s">
        <v>7733</v>
      </c>
      <c r="E30" s="258" t="s">
        <v>7734</v>
      </c>
      <c r="F30" s="25" t="s">
        <v>7735</v>
      </c>
      <c r="G30" s="25" t="s">
        <v>7497</v>
      </c>
      <c r="H30" s="124" t="s">
        <v>7640</v>
      </c>
      <c r="I30" s="26" t="s">
        <v>7499</v>
      </c>
      <c r="J30" s="26">
        <v>202606.5</v>
      </c>
      <c r="K30" s="62" t="s">
        <v>7500</v>
      </c>
      <c r="L30" s="25" t="s">
        <v>73</v>
      </c>
      <c r="M30" s="25" t="s">
        <v>7736</v>
      </c>
      <c r="N30" s="25" t="s">
        <v>7737</v>
      </c>
      <c r="O30" s="27" t="s">
        <v>7738</v>
      </c>
      <c r="P30" s="26"/>
      <c r="Q30" s="92">
        <v>4</v>
      </c>
      <c r="R30" s="92" t="s">
        <v>4409</v>
      </c>
      <c r="S30" s="92" t="s">
        <v>7739</v>
      </c>
      <c r="T30" s="26" t="s">
        <v>77</v>
      </c>
      <c r="U30" s="30" t="s">
        <v>78</v>
      </c>
      <c r="V30" s="26" t="s">
        <v>79</v>
      </c>
      <c r="W30" s="38" t="s">
        <v>4477</v>
      </c>
      <c r="X30" s="26" t="s">
        <v>7505</v>
      </c>
      <c r="Y30" s="26" t="s">
        <v>81</v>
      </c>
      <c r="Z30" s="26" t="s">
        <v>81</v>
      </c>
      <c r="AA30" s="26" t="s">
        <v>172</v>
      </c>
      <c r="AB30" s="125" t="s">
        <v>11</v>
      </c>
      <c r="AC30" s="30" t="s">
        <v>172</v>
      </c>
      <c r="AD30" s="25" t="s">
        <v>173</v>
      </c>
      <c r="AE30" s="25" t="s">
        <v>174</v>
      </c>
      <c r="AF30" s="26" t="s">
        <v>175</v>
      </c>
      <c r="AG30" s="32">
        <f t="shared" si="0"/>
        <v>1</v>
      </c>
      <c r="AH30" s="32">
        <v>1</v>
      </c>
      <c r="AI30" s="32">
        <v>1</v>
      </c>
      <c r="AJ30" s="32">
        <v>1</v>
      </c>
      <c r="AK30" s="30"/>
      <c r="AL30" s="32">
        <f t="shared" si="1"/>
        <v>1</v>
      </c>
      <c r="AM30" s="30"/>
      <c r="AN30" s="32">
        <v>1</v>
      </c>
      <c r="AO30" s="32">
        <v>1</v>
      </c>
      <c r="AP30" s="32">
        <v>1</v>
      </c>
      <c r="AQ30" s="32">
        <v>1</v>
      </c>
      <c r="AR30" s="32">
        <v>1</v>
      </c>
      <c r="AS30" s="30"/>
      <c r="AT30" s="32">
        <v>1</v>
      </c>
      <c r="AU30" s="30"/>
      <c r="AV30" s="30"/>
      <c r="AX30" s="2" t="s">
        <v>7740</v>
      </c>
      <c r="AZ30" s="128" t="s">
        <v>7724</v>
      </c>
    </row>
    <row r="31" spans="1:52">
      <c r="A31" s="25" t="s">
        <v>7741</v>
      </c>
      <c r="B31" s="25" t="s">
        <v>4398</v>
      </c>
      <c r="C31" s="25" t="s">
        <v>73</v>
      </c>
      <c r="D31" s="25" t="s">
        <v>7742</v>
      </c>
      <c r="E31" s="259" t="s">
        <v>7743</v>
      </c>
      <c r="F31" s="48" t="s">
        <v>7744</v>
      </c>
      <c r="G31" s="25" t="s">
        <v>7497</v>
      </c>
      <c r="H31" s="124" t="s">
        <v>7640</v>
      </c>
      <c r="I31" s="26" t="s">
        <v>7499</v>
      </c>
      <c r="J31" s="26">
        <v>202606.5</v>
      </c>
      <c r="K31" s="62" t="s">
        <v>7500</v>
      </c>
      <c r="L31" s="25" t="s">
        <v>73</v>
      </c>
      <c r="M31" s="25" t="s">
        <v>7565</v>
      </c>
      <c r="N31" s="25" t="s">
        <v>7745</v>
      </c>
      <c r="O31" s="27" t="s">
        <v>7746</v>
      </c>
      <c r="P31" s="26"/>
      <c r="Q31" s="32">
        <v>8</v>
      </c>
      <c r="R31" s="32">
        <v>32</v>
      </c>
      <c r="S31" s="32">
        <v>285.58</v>
      </c>
      <c r="T31" s="26" t="s">
        <v>77</v>
      </c>
      <c r="U31" s="30" t="s">
        <v>78</v>
      </c>
      <c r="V31" s="26" t="s">
        <v>79</v>
      </c>
      <c r="W31" s="38" t="s">
        <v>4477</v>
      </c>
      <c r="X31" s="26" t="s">
        <v>7505</v>
      </c>
      <c r="Y31" s="26" t="s">
        <v>81</v>
      </c>
      <c r="Z31" s="26" t="s">
        <v>81</v>
      </c>
      <c r="AA31" s="26" t="s">
        <v>172</v>
      </c>
      <c r="AB31" s="125" t="s">
        <v>11</v>
      </c>
      <c r="AC31" s="30" t="s">
        <v>172</v>
      </c>
      <c r="AD31" s="25" t="s">
        <v>7629</v>
      </c>
      <c r="AE31" s="117" t="s">
        <v>174</v>
      </c>
      <c r="AF31" s="26" t="s">
        <v>175</v>
      </c>
      <c r="AG31" s="32">
        <f t="shared" si="0"/>
        <v>1</v>
      </c>
      <c r="AH31" s="32">
        <v>1</v>
      </c>
      <c r="AI31" s="32">
        <v>1</v>
      </c>
      <c r="AJ31" s="32">
        <v>1</v>
      </c>
      <c r="AK31" s="30"/>
      <c r="AL31" s="32">
        <f t="shared" si="1"/>
        <v>1</v>
      </c>
      <c r="AM31" s="30"/>
      <c r="AN31" s="32">
        <v>1</v>
      </c>
      <c r="AO31" s="32">
        <v>1</v>
      </c>
      <c r="AP31" s="32">
        <v>1</v>
      </c>
      <c r="AQ31" s="32">
        <v>1</v>
      </c>
      <c r="AR31" s="32">
        <v>1</v>
      </c>
      <c r="AS31" s="30"/>
      <c r="AT31" s="32">
        <v>1</v>
      </c>
      <c r="AU31" s="127">
        <v>0.916678240740741</v>
      </c>
      <c r="AV31" s="30"/>
      <c r="AX31" s="2" t="s">
        <v>7747</v>
      </c>
      <c r="AZ31" s="128" t="s">
        <v>7733</v>
      </c>
    </row>
    <row r="32" spans="1:52">
      <c r="A32" s="25" t="s">
        <v>7748</v>
      </c>
      <c r="B32" s="25" t="s">
        <v>4398</v>
      </c>
      <c r="C32" s="25" t="s">
        <v>73</v>
      </c>
      <c r="D32" s="25" t="s">
        <v>7749</v>
      </c>
      <c r="E32" s="259" t="s">
        <v>7750</v>
      </c>
      <c r="F32" s="48" t="s">
        <v>7751</v>
      </c>
      <c r="G32" s="25" t="s">
        <v>7497</v>
      </c>
      <c r="H32" s="124" t="s">
        <v>7640</v>
      </c>
      <c r="I32" s="26" t="s">
        <v>7499</v>
      </c>
      <c r="J32" s="26">
        <v>202606.5</v>
      </c>
      <c r="K32" s="62" t="s">
        <v>7500</v>
      </c>
      <c r="L32" s="25" t="s">
        <v>73</v>
      </c>
      <c r="M32" s="25" t="s">
        <v>7584</v>
      </c>
      <c r="N32" s="25" t="s">
        <v>7752</v>
      </c>
      <c r="O32" s="27" t="s">
        <v>7753</v>
      </c>
      <c r="P32" s="26"/>
      <c r="Q32" s="32">
        <v>4</v>
      </c>
      <c r="R32" s="32">
        <v>16</v>
      </c>
      <c r="S32" s="32">
        <v>266.25</v>
      </c>
      <c r="T32" s="26" t="s">
        <v>77</v>
      </c>
      <c r="U32" s="30" t="s">
        <v>78</v>
      </c>
      <c r="V32" s="26" t="s">
        <v>79</v>
      </c>
      <c r="W32" s="38" t="s">
        <v>4477</v>
      </c>
      <c r="X32" s="26" t="s">
        <v>7505</v>
      </c>
      <c r="Y32" s="26" t="s">
        <v>81</v>
      </c>
      <c r="Z32" s="26" t="s">
        <v>81</v>
      </c>
      <c r="AA32" s="26" t="s">
        <v>172</v>
      </c>
      <c r="AB32" s="125" t="s">
        <v>11</v>
      </c>
      <c r="AC32" s="30" t="s">
        <v>172</v>
      </c>
      <c r="AD32" s="25" t="s">
        <v>7629</v>
      </c>
      <c r="AE32" s="117" t="s">
        <v>174</v>
      </c>
      <c r="AF32" s="26" t="s">
        <v>175</v>
      </c>
      <c r="AG32" s="32">
        <f t="shared" si="0"/>
        <v>1</v>
      </c>
      <c r="AH32" s="32">
        <v>1</v>
      </c>
      <c r="AI32" s="32">
        <v>1</v>
      </c>
      <c r="AJ32" s="32">
        <v>1</v>
      </c>
      <c r="AK32" s="30"/>
      <c r="AL32" s="32">
        <f t="shared" si="1"/>
        <v>1</v>
      </c>
      <c r="AM32" s="30"/>
      <c r="AN32" s="32">
        <v>1</v>
      </c>
      <c r="AO32" s="32">
        <v>1</v>
      </c>
      <c r="AP32" s="32">
        <v>1</v>
      </c>
      <c r="AQ32" s="32">
        <v>1</v>
      </c>
      <c r="AR32" s="32">
        <v>1</v>
      </c>
      <c r="AS32" s="30"/>
      <c r="AT32" s="32">
        <v>1</v>
      </c>
      <c r="AU32" s="127">
        <v>0.91523148148148104</v>
      </c>
      <c r="AV32" s="30"/>
      <c r="AX32" s="2" t="s">
        <v>7754</v>
      </c>
      <c r="AZ32" s="128" t="s">
        <v>7742</v>
      </c>
    </row>
    <row r="33" spans="1:52">
      <c r="A33" s="25" t="s">
        <v>7755</v>
      </c>
      <c r="B33" s="25" t="s">
        <v>4398</v>
      </c>
      <c r="C33" s="25" t="s">
        <v>73</v>
      </c>
      <c r="D33" s="25" t="s">
        <v>7756</v>
      </c>
      <c r="E33" s="258" t="s">
        <v>7757</v>
      </c>
      <c r="F33" s="25" t="s">
        <v>7758</v>
      </c>
      <c r="G33" s="25" t="s">
        <v>7497</v>
      </c>
      <c r="H33" s="124" t="s">
        <v>7640</v>
      </c>
      <c r="I33" s="26" t="s">
        <v>7499</v>
      </c>
      <c r="J33" s="26">
        <v>202606.5</v>
      </c>
      <c r="K33" s="62" t="s">
        <v>7500</v>
      </c>
      <c r="L33" s="25" t="s">
        <v>73</v>
      </c>
      <c r="M33" s="25" t="s">
        <v>7593</v>
      </c>
      <c r="N33" s="25" t="s">
        <v>7759</v>
      </c>
      <c r="O33" s="27" t="s">
        <v>7760</v>
      </c>
      <c r="P33" s="26"/>
      <c r="Q33" s="32">
        <v>4</v>
      </c>
      <c r="R33" s="32">
        <v>16</v>
      </c>
      <c r="S33" s="32">
        <v>266.38</v>
      </c>
      <c r="T33" s="26" t="s">
        <v>77</v>
      </c>
      <c r="U33" s="30" t="s">
        <v>78</v>
      </c>
      <c r="V33" s="26" t="s">
        <v>79</v>
      </c>
      <c r="W33" s="38" t="s">
        <v>4477</v>
      </c>
      <c r="X33" s="26" t="s">
        <v>7505</v>
      </c>
      <c r="Y33" s="26" t="s">
        <v>81</v>
      </c>
      <c r="Z33" s="26" t="s">
        <v>81</v>
      </c>
      <c r="AA33" s="26" t="s">
        <v>172</v>
      </c>
      <c r="AB33" s="125" t="s">
        <v>11</v>
      </c>
      <c r="AC33" s="30" t="s">
        <v>172</v>
      </c>
      <c r="AD33" s="25" t="s">
        <v>7629</v>
      </c>
      <c r="AE33" s="117" t="s">
        <v>174</v>
      </c>
      <c r="AF33" s="26" t="s">
        <v>175</v>
      </c>
      <c r="AG33" s="32">
        <f t="shared" si="0"/>
        <v>1</v>
      </c>
      <c r="AH33" s="32">
        <v>1</v>
      </c>
      <c r="AI33" s="32">
        <v>1</v>
      </c>
      <c r="AJ33" s="32">
        <v>1</v>
      </c>
      <c r="AK33" s="30"/>
      <c r="AL33" s="32">
        <f t="shared" si="1"/>
        <v>1</v>
      </c>
      <c r="AM33" s="30"/>
      <c r="AN33" s="32">
        <v>1</v>
      </c>
      <c r="AO33" s="32"/>
      <c r="AP33" s="32">
        <v>1</v>
      </c>
      <c r="AQ33" s="32">
        <v>1</v>
      </c>
      <c r="AR33" s="32">
        <v>1</v>
      </c>
      <c r="AS33" s="30"/>
      <c r="AT33" s="32">
        <v>1</v>
      </c>
      <c r="AU33" s="30"/>
      <c r="AV33" s="30"/>
      <c r="AX33" s="2" t="s">
        <v>7761</v>
      </c>
      <c r="AZ33" s="128" t="s">
        <v>7749</v>
      </c>
    </row>
    <row r="34" spans="1:52">
      <c r="A34" s="25" t="s">
        <v>7762</v>
      </c>
      <c r="B34" s="25" t="s">
        <v>4398</v>
      </c>
      <c r="C34" s="25" t="s">
        <v>68</v>
      </c>
      <c r="D34" s="25" t="s">
        <v>7681</v>
      </c>
      <c r="E34" s="258" t="s">
        <v>7763</v>
      </c>
      <c r="F34" s="25" t="s">
        <v>7764</v>
      </c>
      <c r="G34" s="25" t="s">
        <v>7497</v>
      </c>
      <c r="H34" s="124" t="s">
        <v>7765</v>
      </c>
      <c r="I34" s="26" t="s">
        <v>7499</v>
      </c>
      <c r="J34" s="26">
        <v>202606.5</v>
      </c>
      <c r="K34" s="62" t="s">
        <v>7500</v>
      </c>
      <c r="L34" s="25" t="s">
        <v>73</v>
      </c>
      <c r="M34" s="25" t="s">
        <v>7674</v>
      </c>
      <c r="N34" s="25" t="s">
        <v>7766</v>
      </c>
      <c r="O34" s="27" t="s">
        <v>7767</v>
      </c>
      <c r="P34" s="26"/>
      <c r="Q34" s="92">
        <v>4</v>
      </c>
      <c r="R34" s="92" t="s">
        <v>4409</v>
      </c>
      <c r="S34" s="92" t="s">
        <v>7768</v>
      </c>
      <c r="T34" s="26" t="s">
        <v>77</v>
      </c>
      <c r="U34" s="30" t="s">
        <v>78</v>
      </c>
      <c r="V34" s="26" t="s">
        <v>79</v>
      </c>
      <c r="W34" s="38" t="s">
        <v>4477</v>
      </c>
      <c r="X34" s="26" t="s">
        <v>7505</v>
      </c>
      <c r="Y34" s="26" t="s">
        <v>81</v>
      </c>
      <c r="Z34" s="26" t="s">
        <v>81</v>
      </c>
      <c r="AA34" s="26" t="s">
        <v>172</v>
      </c>
      <c r="AB34" s="125" t="s">
        <v>11</v>
      </c>
      <c r="AC34" s="30" t="s">
        <v>172</v>
      </c>
      <c r="AD34" s="25" t="s">
        <v>173</v>
      </c>
      <c r="AE34" s="25" t="s">
        <v>174</v>
      </c>
      <c r="AF34" s="26" t="s">
        <v>175</v>
      </c>
      <c r="AG34" s="32">
        <f t="shared" si="0"/>
        <v>1</v>
      </c>
      <c r="AH34" s="32">
        <v>1</v>
      </c>
      <c r="AI34" s="32">
        <v>1</v>
      </c>
      <c r="AJ34" s="32">
        <v>1</v>
      </c>
      <c r="AK34" s="30"/>
      <c r="AL34" s="32">
        <f t="shared" si="1"/>
        <v>1</v>
      </c>
      <c r="AM34" s="30"/>
      <c r="AN34" s="32">
        <v>1</v>
      </c>
      <c r="AO34" s="32">
        <v>1</v>
      </c>
      <c r="AP34" s="32">
        <v>1</v>
      </c>
      <c r="AQ34" s="32">
        <v>1</v>
      </c>
      <c r="AR34" s="32">
        <v>1</v>
      </c>
      <c r="AS34" s="30"/>
      <c r="AT34" s="32">
        <v>1</v>
      </c>
      <c r="AU34" s="30"/>
      <c r="AV34" s="30"/>
      <c r="AX34" s="2" t="s">
        <v>7769</v>
      </c>
      <c r="AZ34" s="128" t="s">
        <v>7756</v>
      </c>
    </row>
    <row r="35" spans="1:52">
      <c r="A35" s="25" t="s">
        <v>7770</v>
      </c>
      <c r="B35" s="25" t="s">
        <v>4398</v>
      </c>
      <c r="C35" s="25" t="s">
        <v>68</v>
      </c>
      <c r="D35" s="25" t="s">
        <v>7771</v>
      </c>
      <c r="E35" s="258" t="s">
        <v>7772</v>
      </c>
      <c r="F35" s="25" t="s">
        <v>7773</v>
      </c>
      <c r="G35" s="25" t="s">
        <v>7497</v>
      </c>
      <c r="H35" s="124" t="s">
        <v>7765</v>
      </c>
      <c r="I35" s="26" t="s">
        <v>7499</v>
      </c>
      <c r="J35" s="26">
        <v>202606.5</v>
      </c>
      <c r="K35" s="62" t="s">
        <v>7500</v>
      </c>
      <c r="L35" s="25" t="s">
        <v>73</v>
      </c>
      <c r="M35" s="25" t="s">
        <v>7531</v>
      </c>
      <c r="N35" s="25" t="s">
        <v>7774</v>
      </c>
      <c r="O35" s="27" t="s">
        <v>7775</v>
      </c>
      <c r="P35" s="26"/>
      <c r="Q35" s="92">
        <v>4</v>
      </c>
      <c r="R35" s="92" t="s">
        <v>4409</v>
      </c>
      <c r="S35" s="92" t="s">
        <v>7673</v>
      </c>
      <c r="T35" s="26" t="s">
        <v>77</v>
      </c>
      <c r="U35" s="30" t="s">
        <v>78</v>
      </c>
      <c r="V35" s="26" t="s">
        <v>79</v>
      </c>
      <c r="W35" s="38" t="s">
        <v>4639</v>
      </c>
      <c r="X35" s="26" t="s">
        <v>7505</v>
      </c>
      <c r="Y35" s="26" t="s">
        <v>81</v>
      </c>
      <c r="Z35" s="26" t="s">
        <v>81</v>
      </c>
      <c r="AA35" s="26" t="s">
        <v>172</v>
      </c>
      <c r="AB35" s="125" t="s">
        <v>13</v>
      </c>
      <c r="AC35" s="30" t="s">
        <v>172</v>
      </c>
      <c r="AD35" s="25" t="s">
        <v>173</v>
      </c>
      <c r="AE35" s="25" t="s">
        <v>174</v>
      </c>
      <c r="AF35" s="26" t="s">
        <v>175</v>
      </c>
      <c r="AG35" s="32">
        <f t="shared" ref="AG35:AG66" si="2">IF(COUNTIF(AZ:AZ,D35)&gt;0,1,0)</f>
        <v>1</v>
      </c>
      <c r="AH35" s="32">
        <v>1</v>
      </c>
      <c r="AI35" s="32">
        <v>1</v>
      </c>
      <c r="AJ35" s="32">
        <v>1</v>
      </c>
      <c r="AK35" s="30"/>
      <c r="AL35" s="32">
        <f t="shared" ref="AL35:AL66" si="3">IF(COUNTIF(AX:AX,"*"&amp;M35&amp;"*")&gt;0,1,0)</f>
        <v>1</v>
      </c>
      <c r="AM35" s="30"/>
      <c r="AN35" s="32">
        <v>1</v>
      </c>
      <c r="AO35" s="32"/>
      <c r="AP35" s="32">
        <v>1</v>
      </c>
      <c r="AQ35" s="32">
        <v>1</v>
      </c>
      <c r="AR35" s="32">
        <v>1</v>
      </c>
      <c r="AS35" s="32"/>
      <c r="AT35" s="32">
        <v>1</v>
      </c>
      <c r="AU35" s="32"/>
      <c r="AV35" s="32"/>
      <c r="AX35" s="2" t="s">
        <v>7776</v>
      </c>
      <c r="AZ35" s="128" t="s">
        <v>7771</v>
      </c>
    </row>
    <row r="36" spans="1:52">
      <c r="A36" s="25" t="s">
        <v>7777</v>
      </c>
      <c r="B36" s="25" t="s">
        <v>4398</v>
      </c>
      <c r="C36" s="25" t="s">
        <v>68</v>
      </c>
      <c r="D36" s="25" t="s">
        <v>7778</v>
      </c>
      <c r="E36" s="258" t="s">
        <v>7779</v>
      </c>
      <c r="F36" s="25" t="s">
        <v>7780</v>
      </c>
      <c r="G36" s="25" t="s">
        <v>7497</v>
      </c>
      <c r="H36" s="124" t="s">
        <v>7765</v>
      </c>
      <c r="I36" s="26" t="s">
        <v>7499</v>
      </c>
      <c r="J36" s="26">
        <v>202606.5</v>
      </c>
      <c r="K36" s="62" t="s">
        <v>7500</v>
      </c>
      <c r="L36" s="25" t="s">
        <v>73</v>
      </c>
      <c r="M36" s="25" t="s">
        <v>7540</v>
      </c>
      <c r="N36" s="25" t="s">
        <v>7781</v>
      </c>
      <c r="O36" s="27" t="s">
        <v>7782</v>
      </c>
      <c r="P36" s="26"/>
      <c r="Q36" s="92">
        <v>4</v>
      </c>
      <c r="R36" s="92" t="s">
        <v>4409</v>
      </c>
      <c r="S36" s="92" t="s">
        <v>4551</v>
      </c>
      <c r="T36" s="26" t="s">
        <v>77</v>
      </c>
      <c r="U36" s="30" t="s">
        <v>78</v>
      </c>
      <c r="V36" s="26" t="s">
        <v>79</v>
      </c>
      <c r="W36" s="38" t="s">
        <v>4639</v>
      </c>
      <c r="X36" s="26" t="s">
        <v>7505</v>
      </c>
      <c r="Y36" s="26" t="s">
        <v>81</v>
      </c>
      <c r="Z36" s="26" t="s">
        <v>81</v>
      </c>
      <c r="AA36" s="26" t="s">
        <v>172</v>
      </c>
      <c r="AB36" s="125" t="s">
        <v>13</v>
      </c>
      <c r="AC36" s="30" t="s">
        <v>172</v>
      </c>
      <c r="AD36" s="25" t="s">
        <v>173</v>
      </c>
      <c r="AE36" s="25" t="s">
        <v>174</v>
      </c>
      <c r="AF36" s="26" t="s">
        <v>175</v>
      </c>
      <c r="AG36" s="32">
        <f t="shared" si="2"/>
        <v>1</v>
      </c>
      <c r="AH36" s="32">
        <v>1</v>
      </c>
      <c r="AI36" s="32">
        <v>1</v>
      </c>
      <c r="AJ36" s="32">
        <v>1</v>
      </c>
      <c r="AK36" s="30"/>
      <c r="AL36" s="32">
        <f t="shared" si="3"/>
        <v>1</v>
      </c>
      <c r="AM36" s="30"/>
      <c r="AN36" s="32">
        <v>1</v>
      </c>
      <c r="AO36" s="32"/>
      <c r="AP36" s="32">
        <v>1</v>
      </c>
      <c r="AQ36" s="32">
        <v>1</v>
      </c>
      <c r="AR36" s="32">
        <v>1</v>
      </c>
      <c r="AS36" s="32"/>
      <c r="AT36" s="32">
        <v>1</v>
      </c>
      <c r="AU36" s="32"/>
      <c r="AV36" s="32"/>
      <c r="AX36" s="2" t="s">
        <v>7783</v>
      </c>
      <c r="AZ36" s="128" t="s">
        <v>7778</v>
      </c>
    </row>
    <row r="37" spans="1:52">
      <c r="A37" s="25" t="s">
        <v>7784</v>
      </c>
      <c r="B37" s="25" t="s">
        <v>4398</v>
      </c>
      <c r="C37" s="25" t="s">
        <v>68</v>
      </c>
      <c r="D37" s="25" t="s">
        <v>7785</v>
      </c>
      <c r="E37" s="258" t="s">
        <v>7786</v>
      </c>
      <c r="F37" s="25" t="s">
        <v>7787</v>
      </c>
      <c r="G37" s="25" t="s">
        <v>7497</v>
      </c>
      <c r="H37" s="124" t="s">
        <v>7765</v>
      </c>
      <c r="I37" s="26" t="s">
        <v>7499</v>
      </c>
      <c r="J37" s="26">
        <v>202606.5</v>
      </c>
      <c r="K37" s="62" t="s">
        <v>7500</v>
      </c>
      <c r="L37" s="25" t="s">
        <v>73</v>
      </c>
      <c r="M37" s="25" t="s">
        <v>7788</v>
      </c>
      <c r="N37" s="25" t="s">
        <v>7789</v>
      </c>
      <c r="O37" s="27" t="s">
        <v>7790</v>
      </c>
      <c r="P37" s="26"/>
      <c r="Q37" s="92">
        <v>4</v>
      </c>
      <c r="R37" s="92" t="s">
        <v>4409</v>
      </c>
      <c r="S37" s="92" t="s">
        <v>7791</v>
      </c>
      <c r="T37" s="26" t="s">
        <v>77</v>
      </c>
      <c r="U37" s="30" t="s">
        <v>78</v>
      </c>
      <c r="V37" s="26" t="s">
        <v>79</v>
      </c>
      <c r="W37" s="38" t="s">
        <v>4639</v>
      </c>
      <c r="X37" s="26" t="s">
        <v>7505</v>
      </c>
      <c r="Y37" s="26" t="s">
        <v>81</v>
      </c>
      <c r="Z37" s="26" t="s">
        <v>81</v>
      </c>
      <c r="AA37" s="26" t="s">
        <v>172</v>
      </c>
      <c r="AB37" s="125" t="s">
        <v>13</v>
      </c>
      <c r="AC37" s="30" t="s">
        <v>172</v>
      </c>
      <c r="AD37" s="25" t="s">
        <v>173</v>
      </c>
      <c r="AE37" s="25" t="s">
        <v>174</v>
      </c>
      <c r="AF37" s="26" t="s">
        <v>175</v>
      </c>
      <c r="AG37" s="32">
        <f t="shared" si="2"/>
        <v>1</v>
      </c>
      <c r="AH37" s="32">
        <v>1</v>
      </c>
      <c r="AI37" s="32">
        <v>1</v>
      </c>
      <c r="AJ37" s="32">
        <v>1</v>
      </c>
      <c r="AK37" s="30"/>
      <c r="AL37" s="32">
        <f t="shared" si="3"/>
        <v>1</v>
      </c>
      <c r="AM37" s="30"/>
      <c r="AN37" s="32">
        <v>1</v>
      </c>
      <c r="AO37" s="32"/>
      <c r="AP37" s="32">
        <v>1</v>
      </c>
      <c r="AQ37" s="32">
        <v>1</v>
      </c>
      <c r="AR37" s="32">
        <v>1</v>
      </c>
      <c r="AS37" s="32"/>
      <c r="AT37" s="32">
        <v>1</v>
      </c>
      <c r="AU37" s="32"/>
      <c r="AV37" s="32"/>
      <c r="AX37" s="2" t="s">
        <v>7686</v>
      </c>
      <c r="AZ37" s="128" t="s">
        <v>7785</v>
      </c>
    </row>
    <row r="38" spans="1:52">
      <c r="A38" s="25" t="s">
        <v>7792</v>
      </c>
      <c r="B38" s="25" t="s">
        <v>4398</v>
      </c>
      <c r="C38" s="25" t="s">
        <v>68</v>
      </c>
      <c r="D38" s="25" t="s">
        <v>7793</v>
      </c>
      <c r="E38" s="258" t="s">
        <v>7794</v>
      </c>
      <c r="F38" s="25" t="s">
        <v>7795</v>
      </c>
      <c r="G38" s="25" t="s">
        <v>7497</v>
      </c>
      <c r="H38" s="124" t="s">
        <v>7765</v>
      </c>
      <c r="I38" s="26" t="s">
        <v>7499</v>
      </c>
      <c r="J38" s="26">
        <v>202606.5</v>
      </c>
      <c r="K38" s="62" t="s">
        <v>7500</v>
      </c>
      <c r="L38" s="25" t="s">
        <v>73</v>
      </c>
      <c r="M38" s="25" t="s">
        <v>7740</v>
      </c>
      <c r="N38" s="25" t="s">
        <v>7796</v>
      </c>
      <c r="O38" s="27" t="s">
        <v>7797</v>
      </c>
      <c r="P38" s="26"/>
      <c r="Q38" s="92">
        <v>4</v>
      </c>
      <c r="R38" s="92" t="s">
        <v>4409</v>
      </c>
      <c r="S38" s="92" t="s">
        <v>5206</v>
      </c>
      <c r="T38" s="26" t="s">
        <v>77</v>
      </c>
      <c r="U38" s="30" t="s">
        <v>78</v>
      </c>
      <c r="V38" s="26" t="s">
        <v>79</v>
      </c>
      <c r="W38" s="38" t="s">
        <v>4639</v>
      </c>
      <c r="X38" s="26" t="s">
        <v>7505</v>
      </c>
      <c r="Y38" s="26" t="s">
        <v>81</v>
      </c>
      <c r="Z38" s="26" t="s">
        <v>81</v>
      </c>
      <c r="AA38" s="26" t="s">
        <v>172</v>
      </c>
      <c r="AB38" s="125" t="s">
        <v>13</v>
      </c>
      <c r="AC38" s="30" t="s">
        <v>172</v>
      </c>
      <c r="AD38" s="25" t="s">
        <v>173</v>
      </c>
      <c r="AE38" s="25" t="s">
        <v>174</v>
      </c>
      <c r="AF38" s="26" t="s">
        <v>175</v>
      </c>
      <c r="AG38" s="32">
        <f t="shared" si="2"/>
        <v>1</v>
      </c>
      <c r="AH38" s="32">
        <v>1</v>
      </c>
      <c r="AI38" s="32">
        <v>1</v>
      </c>
      <c r="AJ38" s="32">
        <v>1</v>
      </c>
      <c r="AK38" s="30"/>
      <c r="AL38" s="32">
        <f t="shared" si="3"/>
        <v>1</v>
      </c>
      <c r="AM38" s="30"/>
      <c r="AN38" s="32">
        <v>1</v>
      </c>
      <c r="AO38" s="32"/>
      <c r="AP38" s="32">
        <v>1</v>
      </c>
      <c r="AQ38" s="32">
        <v>1</v>
      </c>
      <c r="AR38" s="32">
        <v>1</v>
      </c>
      <c r="AS38" s="32"/>
      <c r="AT38" s="32">
        <v>1</v>
      </c>
      <c r="AU38" s="32"/>
      <c r="AV38" s="32"/>
      <c r="AX38" s="2" t="s">
        <v>7798</v>
      </c>
      <c r="AZ38" s="128" t="s">
        <v>7793</v>
      </c>
    </row>
    <row r="39" spans="1:52">
      <c r="A39" s="25" t="s">
        <v>7799</v>
      </c>
      <c r="B39" s="25" t="s">
        <v>4398</v>
      </c>
      <c r="C39" s="25" t="s">
        <v>68</v>
      </c>
      <c r="D39" s="25" t="s">
        <v>7800</v>
      </c>
      <c r="E39" s="258" t="s">
        <v>7801</v>
      </c>
      <c r="F39" s="25" t="s">
        <v>7802</v>
      </c>
      <c r="G39" s="25" t="s">
        <v>7497</v>
      </c>
      <c r="H39" s="124" t="s">
        <v>7765</v>
      </c>
      <c r="I39" s="26" t="s">
        <v>7499</v>
      </c>
      <c r="J39" s="26">
        <v>202606.5</v>
      </c>
      <c r="K39" s="62" t="s">
        <v>7500</v>
      </c>
      <c r="L39" s="25" t="s">
        <v>73</v>
      </c>
      <c r="M39" s="25" t="s">
        <v>7803</v>
      </c>
      <c r="N39" s="25" t="s">
        <v>7804</v>
      </c>
      <c r="O39" s="27" t="s">
        <v>7805</v>
      </c>
      <c r="P39" s="26"/>
      <c r="Q39" s="92">
        <v>4</v>
      </c>
      <c r="R39" s="92" t="s">
        <v>4409</v>
      </c>
      <c r="S39" s="92" t="s">
        <v>7806</v>
      </c>
      <c r="T39" s="26" t="s">
        <v>77</v>
      </c>
      <c r="U39" s="30" t="s">
        <v>78</v>
      </c>
      <c r="V39" s="26" t="s">
        <v>79</v>
      </c>
      <c r="W39" s="38" t="s">
        <v>4639</v>
      </c>
      <c r="X39" s="26" t="s">
        <v>7505</v>
      </c>
      <c r="Y39" s="26" t="s">
        <v>81</v>
      </c>
      <c r="Z39" s="26" t="s">
        <v>81</v>
      </c>
      <c r="AA39" s="26" t="s">
        <v>172</v>
      </c>
      <c r="AB39" s="125" t="s">
        <v>13</v>
      </c>
      <c r="AC39" s="30" t="s">
        <v>172</v>
      </c>
      <c r="AD39" s="25" t="s">
        <v>173</v>
      </c>
      <c r="AE39" s="25" t="s">
        <v>174</v>
      </c>
      <c r="AF39" s="26" t="s">
        <v>175</v>
      </c>
      <c r="AG39" s="32">
        <f t="shared" si="2"/>
        <v>1</v>
      </c>
      <c r="AH39" s="32">
        <v>1</v>
      </c>
      <c r="AI39" s="32">
        <v>1</v>
      </c>
      <c r="AJ39" s="32">
        <v>1</v>
      </c>
      <c r="AK39" s="30"/>
      <c r="AL39" s="32">
        <f t="shared" si="3"/>
        <v>1</v>
      </c>
      <c r="AM39" s="30"/>
      <c r="AN39" s="32">
        <v>1</v>
      </c>
      <c r="AO39" s="32"/>
      <c r="AP39" s="32">
        <v>1</v>
      </c>
      <c r="AQ39" s="32">
        <v>1</v>
      </c>
      <c r="AR39" s="32">
        <v>1</v>
      </c>
      <c r="AS39" s="32"/>
      <c r="AT39" s="32">
        <v>1</v>
      </c>
      <c r="AU39" s="32"/>
      <c r="AV39" s="32"/>
      <c r="AX39" s="2" t="s">
        <v>7807</v>
      </c>
      <c r="AZ39" s="128" t="s">
        <v>7800</v>
      </c>
    </row>
    <row r="40" spans="1:52">
      <c r="A40" s="25" t="s">
        <v>7808</v>
      </c>
      <c r="B40" s="25" t="s">
        <v>4398</v>
      </c>
      <c r="C40" s="25" t="s">
        <v>68</v>
      </c>
      <c r="D40" s="25" t="s">
        <v>7809</v>
      </c>
      <c r="E40" s="258" t="s">
        <v>7810</v>
      </c>
      <c r="F40" s="25" t="s">
        <v>6171</v>
      </c>
      <c r="G40" s="25" t="s">
        <v>7497</v>
      </c>
      <c r="H40" s="124" t="s">
        <v>7765</v>
      </c>
      <c r="I40" s="26" t="s">
        <v>7499</v>
      </c>
      <c r="J40" s="26">
        <v>202606.5</v>
      </c>
      <c r="K40" s="62" t="s">
        <v>7500</v>
      </c>
      <c r="L40" s="25" t="s">
        <v>73</v>
      </c>
      <c r="M40" s="25" t="s">
        <v>7811</v>
      </c>
      <c r="N40" s="25" t="s">
        <v>7812</v>
      </c>
      <c r="O40" s="27" t="s">
        <v>7813</v>
      </c>
      <c r="P40" s="26"/>
      <c r="Q40" s="92">
        <v>4</v>
      </c>
      <c r="R40" s="92" t="s">
        <v>4409</v>
      </c>
      <c r="S40" s="92" t="s">
        <v>4811</v>
      </c>
      <c r="T40" s="26" t="s">
        <v>77</v>
      </c>
      <c r="U40" s="30" t="s">
        <v>78</v>
      </c>
      <c r="V40" s="26" t="s">
        <v>79</v>
      </c>
      <c r="W40" s="38" t="s">
        <v>4639</v>
      </c>
      <c r="X40" s="26" t="s">
        <v>7505</v>
      </c>
      <c r="Y40" s="26" t="s">
        <v>81</v>
      </c>
      <c r="Z40" s="26" t="s">
        <v>81</v>
      </c>
      <c r="AA40" s="26" t="s">
        <v>172</v>
      </c>
      <c r="AB40" s="125" t="s">
        <v>13</v>
      </c>
      <c r="AC40" s="30" t="s">
        <v>172</v>
      </c>
      <c r="AD40" s="25" t="s">
        <v>173</v>
      </c>
      <c r="AE40" s="25" t="s">
        <v>174</v>
      </c>
      <c r="AF40" s="26" t="s">
        <v>175</v>
      </c>
      <c r="AG40" s="32">
        <f t="shared" si="2"/>
        <v>1</v>
      </c>
      <c r="AH40" s="32">
        <v>1</v>
      </c>
      <c r="AI40" s="32">
        <v>1</v>
      </c>
      <c r="AJ40" s="32">
        <v>1</v>
      </c>
      <c r="AK40" s="30"/>
      <c r="AL40" s="32">
        <f t="shared" si="3"/>
        <v>1</v>
      </c>
      <c r="AM40" s="30"/>
      <c r="AN40" s="32">
        <v>1</v>
      </c>
      <c r="AO40" s="32"/>
      <c r="AP40" s="32">
        <v>1</v>
      </c>
      <c r="AQ40" s="32">
        <v>1</v>
      </c>
      <c r="AR40" s="32">
        <v>1</v>
      </c>
      <c r="AS40" s="32"/>
      <c r="AT40" s="32">
        <v>1</v>
      </c>
      <c r="AU40" s="129">
        <v>0.89973379629629602</v>
      </c>
      <c r="AV40" s="32"/>
      <c r="AX40" s="2" t="s">
        <v>7814</v>
      </c>
      <c r="AZ40" s="128" t="s">
        <v>7809</v>
      </c>
    </row>
    <row r="41" spans="1:52">
      <c r="A41" s="25" t="s">
        <v>7815</v>
      </c>
      <c r="B41" s="25" t="s">
        <v>4398</v>
      </c>
      <c r="C41" s="25" t="s">
        <v>68</v>
      </c>
      <c r="D41" s="25" t="s">
        <v>7816</v>
      </c>
      <c r="E41" s="258" t="s">
        <v>7817</v>
      </c>
      <c r="F41" s="25" t="s">
        <v>7818</v>
      </c>
      <c r="G41" s="25" t="s">
        <v>7497</v>
      </c>
      <c r="H41" s="124" t="s">
        <v>7765</v>
      </c>
      <c r="I41" s="26" t="s">
        <v>7499</v>
      </c>
      <c r="J41" s="26">
        <v>202606.5</v>
      </c>
      <c r="K41" s="62" t="s">
        <v>7500</v>
      </c>
      <c r="L41" s="25" t="s">
        <v>73</v>
      </c>
      <c r="M41" s="25" t="s">
        <v>7769</v>
      </c>
      <c r="N41" s="25" t="s">
        <v>7819</v>
      </c>
      <c r="O41" s="27" t="s">
        <v>7820</v>
      </c>
      <c r="P41" s="26"/>
      <c r="Q41" s="92">
        <v>4</v>
      </c>
      <c r="R41" s="92" t="s">
        <v>4409</v>
      </c>
      <c r="S41" s="92" t="s">
        <v>5074</v>
      </c>
      <c r="T41" s="26" t="s">
        <v>77</v>
      </c>
      <c r="U41" s="30" t="s">
        <v>78</v>
      </c>
      <c r="V41" s="26" t="s">
        <v>79</v>
      </c>
      <c r="W41" s="38" t="s">
        <v>4639</v>
      </c>
      <c r="X41" s="26" t="s">
        <v>7505</v>
      </c>
      <c r="Y41" s="26" t="s">
        <v>81</v>
      </c>
      <c r="Z41" s="26" t="s">
        <v>81</v>
      </c>
      <c r="AA41" s="26" t="s">
        <v>172</v>
      </c>
      <c r="AB41" s="125" t="s">
        <v>13</v>
      </c>
      <c r="AC41" s="30" t="s">
        <v>172</v>
      </c>
      <c r="AD41" s="25" t="s">
        <v>173</v>
      </c>
      <c r="AE41" s="25" t="s">
        <v>174</v>
      </c>
      <c r="AF41" s="26" t="s">
        <v>175</v>
      </c>
      <c r="AG41" s="32">
        <f t="shared" si="2"/>
        <v>1</v>
      </c>
      <c r="AH41" s="32">
        <v>1</v>
      </c>
      <c r="AI41" s="32">
        <v>1</v>
      </c>
      <c r="AJ41" s="32">
        <v>1</v>
      </c>
      <c r="AK41" s="30"/>
      <c r="AL41" s="32">
        <f t="shared" si="3"/>
        <v>1</v>
      </c>
      <c r="AM41" s="30"/>
      <c r="AN41" s="32">
        <v>1</v>
      </c>
      <c r="AO41" s="32"/>
      <c r="AP41" s="32">
        <v>1</v>
      </c>
      <c r="AQ41" s="32">
        <v>1</v>
      </c>
      <c r="AR41" s="32">
        <v>1</v>
      </c>
      <c r="AS41" s="32"/>
      <c r="AT41" s="32">
        <v>1</v>
      </c>
      <c r="AU41" s="32"/>
      <c r="AV41" s="32"/>
      <c r="AX41" s="2" t="s">
        <v>7821</v>
      </c>
      <c r="AZ41" s="128" t="s">
        <v>7816</v>
      </c>
    </row>
    <row r="42" spans="1:52">
      <c r="A42" s="25" t="s">
        <v>7822</v>
      </c>
      <c r="B42" s="25" t="s">
        <v>4398</v>
      </c>
      <c r="C42" s="25" t="s">
        <v>68</v>
      </c>
      <c r="D42" s="25" t="s">
        <v>7823</v>
      </c>
      <c r="E42" s="258" t="s">
        <v>7824</v>
      </c>
      <c r="F42" s="25" t="s">
        <v>7825</v>
      </c>
      <c r="G42" s="25" t="s">
        <v>7497</v>
      </c>
      <c r="H42" s="124" t="s">
        <v>7765</v>
      </c>
      <c r="I42" s="26" t="s">
        <v>7499</v>
      </c>
      <c r="J42" s="26">
        <v>202606.5</v>
      </c>
      <c r="K42" s="62" t="s">
        <v>7500</v>
      </c>
      <c r="L42" s="25" t="s">
        <v>73</v>
      </c>
      <c r="M42" s="25" t="s">
        <v>7826</v>
      </c>
      <c r="N42" s="25" t="s">
        <v>7827</v>
      </c>
      <c r="O42" s="27" t="s">
        <v>7828</v>
      </c>
      <c r="P42" s="26"/>
      <c r="Q42" s="92">
        <v>4</v>
      </c>
      <c r="R42" s="92" t="s">
        <v>4409</v>
      </c>
      <c r="S42" s="92" t="s">
        <v>7829</v>
      </c>
      <c r="T42" s="26" t="s">
        <v>77</v>
      </c>
      <c r="U42" s="30" t="s">
        <v>78</v>
      </c>
      <c r="V42" s="26" t="s">
        <v>79</v>
      </c>
      <c r="W42" s="38" t="s">
        <v>4639</v>
      </c>
      <c r="X42" s="26" t="s">
        <v>7505</v>
      </c>
      <c r="Y42" s="26" t="s">
        <v>81</v>
      </c>
      <c r="Z42" s="26" t="s">
        <v>81</v>
      </c>
      <c r="AA42" s="26" t="s">
        <v>172</v>
      </c>
      <c r="AB42" s="125" t="s">
        <v>13</v>
      </c>
      <c r="AC42" s="30" t="s">
        <v>172</v>
      </c>
      <c r="AD42" s="25" t="s">
        <v>173</v>
      </c>
      <c r="AE42" s="25" t="s">
        <v>174</v>
      </c>
      <c r="AF42" s="26" t="s">
        <v>175</v>
      </c>
      <c r="AG42" s="32">
        <f t="shared" si="2"/>
        <v>1</v>
      </c>
      <c r="AH42" s="32">
        <v>1</v>
      </c>
      <c r="AI42" s="32">
        <v>1</v>
      </c>
      <c r="AJ42" s="32">
        <v>1</v>
      </c>
      <c r="AK42" s="30"/>
      <c r="AL42" s="32">
        <f t="shared" si="3"/>
        <v>1</v>
      </c>
      <c r="AM42" s="30"/>
      <c r="AN42" s="32">
        <v>1</v>
      </c>
      <c r="AO42" s="32"/>
      <c r="AP42" s="32">
        <v>1</v>
      </c>
      <c r="AQ42" s="32">
        <v>1</v>
      </c>
      <c r="AR42" s="32">
        <v>1</v>
      </c>
      <c r="AS42" s="32"/>
      <c r="AT42" s="32">
        <v>1</v>
      </c>
      <c r="AU42" s="32"/>
      <c r="AV42" s="32"/>
      <c r="AX42" s="2" t="s">
        <v>7736</v>
      </c>
      <c r="AZ42" s="128" t="s">
        <v>7823</v>
      </c>
    </row>
    <row r="43" spans="1:52">
      <c r="A43" s="25" t="s">
        <v>7830</v>
      </c>
      <c r="B43" s="25" t="s">
        <v>4398</v>
      </c>
      <c r="C43" s="25" t="s">
        <v>68</v>
      </c>
      <c r="D43" s="25" t="s">
        <v>7831</v>
      </c>
      <c r="E43" s="258" t="s">
        <v>7832</v>
      </c>
      <c r="F43" s="25" t="s">
        <v>7833</v>
      </c>
      <c r="G43" s="25" t="s">
        <v>7497</v>
      </c>
      <c r="H43" s="124" t="s">
        <v>7765</v>
      </c>
      <c r="I43" s="26" t="s">
        <v>7499</v>
      </c>
      <c r="J43" s="26">
        <v>202606.5</v>
      </c>
      <c r="K43" s="62" t="s">
        <v>7500</v>
      </c>
      <c r="L43" s="25" t="s">
        <v>73</v>
      </c>
      <c r="M43" s="25" t="s">
        <v>7558</v>
      </c>
      <c r="N43" s="25" t="s">
        <v>7834</v>
      </c>
      <c r="O43" s="27" t="s">
        <v>7835</v>
      </c>
      <c r="P43" s="26"/>
      <c r="Q43" s="92">
        <v>4</v>
      </c>
      <c r="R43" s="92" t="s">
        <v>4409</v>
      </c>
      <c r="S43" s="92" t="s">
        <v>4622</v>
      </c>
      <c r="T43" s="26" t="s">
        <v>77</v>
      </c>
      <c r="U43" s="30" t="s">
        <v>78</v>
      </c>
      <c r="V43" s="26" t="s">
        <v>79</v>
      </c>
      <c r="W43" s="38" t="s">
        <v>4639</v>
      </c>
      <c r="X43" s="26" t="s">
        <v>7505</v>
      </c>
      <c r="Y43" s="26" t="s">
        <v>81</v>
      </c>
      <c r="Z43" s="26" t="s">
        <v>81</v>
      </c>
      <c r="AA43" s="26" t="s">
        <v>172</v>
      </c>
      <c r="AB43" s="125" t="s">
        <v>13</v>
      </c>
      <c r="AC43" s="30" t="s">
        <v>172</v>
      </c>
      <c r="AD43" s="25" t="s">
        <v>173</v>
      </c>
      <c r="AE43" s="25" t="s">
        <v>174</v>
      </c>
      <c r="AF43" s="26" t="s">
        <v>175</v>
      </c>
      <c r="AG43" s="32">
        <f t="shared" si="2"/>
        <v>1</v>
      </c>
      <c r="AH43" s="32">
        <v>1</v>
      </c>
      <c r="AI43" s="32">
        <v>1</v>
      </c>
      <c r="AJ43" s="32">
        <v>1</v>
      </c>
      <c r="AK43" s="30"/>
      <c r="AL43" s="32">
        <f t="shared" si="3"/>
        <v>1</v>
      </c>
      <c r="AM43" s="30"/>
      <c r="AN43" s="32">
        <v>1</v>
      </c>
      <c r="AO43" s="32"/>
      <c r="AP43" s="32">
        <v>1</v>
      </c>
      <c r="AQ43" s="32">
        <v>1</v>
      </c>
      <c r="AR43" s="32">
        <v>1</v>
      </c>
      <c r="AS43" s="32"/>
      <c r="AT43" s="32">
        <v>1</v>
      </c>
      <c r="AU43" s="32"/>
      <c r="AV43" s="32"/>
      <c r="AX43" s="2" t="s">
        <v>7836</v>
      </c>
      <c r="AZ43" s="128" t="s">
        <v>7831</v>
      </c>
    </row>
    <row r="44" spans="1:52">
      <c r="A44" s="25" t="s">
        <v>7837</v>
      </c>
      <c r="B44" s="25" t="s">
        <v>4398</v>
      </c>
      <c r="C44" s="25" t="s">
        <v>68</v>
      </c>
      <c r="D44" s="25" t="s">
        <v>7838</v>
      </c>
      <c r="E44" s="258" t="s">
        <v>7839</v>
      </c>
      <c r="F44" s="25" t="s">
        <v>7840</v>
      </c>
      <c r="G44" s="25" t="s">
        <v>7497</v>
      </c>
      <c r="H44" s="124" t="s">
        <v>7765</v>
      </c>
      <c r="I44" s="26" t="s">
        <v>7499</v>
      </c>
      <c r="J44" s="26">
        <v>202606.5</v>
      </c>
      <c r="K44" s="62" t="s">
        <v>7500</v>
      </c>
      <c r="L44" s="25" t="s">
        <v>73</v>
      </c>
      <c r="M44" s="25" t="s">
        <v>7798</v>
      </c>
      <c r="N44" s="25" t="s">
        <v>7841</v>
      </c>
      <c r="O44" s="27" t="s">
        <v>7842</v>
      </c>
      <c r="P44" s="26"/>
      <c r="Q44" s="92">
        <v>4</v>
      </c>
      <c r="R44" s="92" t="s">
        <v>4409</v>
      </c>
      <c r="S44" s="92" t="s">
        <v>4604</v>
      </c>
      <c r="T44" s="26" t="s">
        <v>77</v>
      </c>
      <c r="U44" s="30" t="s">
        <v>78</v>
      </c>
      <c r="V44" s="26" t="s">
        <v>79</v>
      </c>
      <c r="W44" s="38" t="s">
        <v>4639</v>
      </c>
      <c r="X44" s="26" t="s">
        <v>7505</v>
      </c>
      <c r="Y44" s="26" t="s">
        <v>81</v>
      </c>
      <c r="Z44" s="26" t="s">
        <v>81</v>
      </c>
      <c r="AA44" s="26" t="s">
        <v>172</v>
      </c>
      <c r="AB44" s="125" t="s">
        <v>13</v>
      </c>
      <c r="AC44" s="30" t="s">
        <v>172</v>
      </c>
      <c r="AD44" s="25" t="s">
        <v>173</v>
      </c>
      <c r="AE44" s="25" t="s">
        <v>174</v>
      </c>
      <c r="AF44" s="26" t="s">
        <v>175</v>
      </c>
      <c r="AG44" s="32">
        <f t="shared" si="2"/>
        <v>1</v>
      </c>
      <c r="AH44" s="32">
        <v>1</v>
      </c>
      <c r="AI44" s="32">
        <v>1</v>
      </c>
      <c r="AJ44" s="32">
        <v>1</v>
      </c>
      <c r="AK44" s="30"/>
      <c r="AL44" s="32">
        <f t="shared" si="3"/>
        <v>1</v>
      </c>
      <c r="AM44" s="30"/>
      <c r="AN44" s="32">
        <v>1</v>
      </c>
      <c r="AO44" s="32"/>
      <c r="AP44" s="32">
        <v>1</v>
      </c>
      <c r="AQ44" s="32">
        <v>1</v>
      </c>
      <c r="AR44" s="32">
        <v>1</v>
      </c>
      <c r="AS44" s="32"/>
      <c r="AT44" s="32">
        <v>1</v>
      </c>
      <c r="AU44" s="32"/>
      <c r="AV44" s="32"/>
      <c r="AX44" s="2" t="s">
        <v>7501</v>
      </c>
      <c r="AZ44" s="128" t="s">
        <v>7843</v>
      </c>
    </row>
    <row r="45" spans="1:52">
      <c r="A45" s="25" t="s">
        <v>7844</v>
      </c>
      <c r="B45" s="25" t="s">
        <v>4398</v>
      </c>
      <c r="C45" s="25" t="s">
        <v>68</v>
      </c>
      <c r="D45" s="25" t="s">
        <v>7843</v>
      </c>
      <c r="E45" s="258" t="s">
        <v>7845</v>
      </c>
      <c r="F45" s="25" t="s">
        <v>7846</v>
      </c>
      <c r="G45" s="25" t="s">
        <v>7497</v>
      </c>
      <c r="H45" s="124" t="s">
        <v>7765</v>
      </c>
      <c r="I45" s="26" t="s">
        <v>7499</v>
      </c>
      <c r="J45" s="26">
        <v>202606.5</v>
      </c>
      <c r="K45" s="62" t="s">
        <v>7500</v>
      </c>
      <c r="L45" s="25" t="s">
        <v>73</v>
      </c>
      <c r="M45" s="25" t="s">
        <v>7807</v>
      </c>
      <c r="N45" s="25" t="s">
        <v>7847</v>
      </c>
      <c r="O45" s="27" t="s">
        <v>7848</v>
      </c>
      <c r="P45" s="26"/>
      <c r="Q45" s="92">
        <v>4</v>
      </c>
      <c r="R45" s="92" t="s">
        <v>4409</v>
      </c>
      <c r="S45" s="92" t="s">
        <v>7829</v>
      </c>
      <c r="T45" s="26" t="s">
        <v>77</v>
      </c>
      <c r="U45" s="30" t="s">
        <v>78</v>
      </c>
      <c r="V45" s="26" t="s">
        <v>79</v>
      </c>
      <c r="W45" s="38" t="s">
        <v>4639</v>
      </c>
      <c r="X45" s="26" t="s">
        <v>7505</v>
      </c>
      <c r="Y45" s="26" t="s">
        <v>81</v>
      </c>
      <c r="Z45" s="26" t="s">
        <v>81</v>
      </c>
      <c r="AA45" s="26" t="s">
        <v>172</v>
      </c>
      <c r="AB45" s="125" t="s">
        <v>13</v>
      </c>
      <c r="AC45" s="30" t="s">
        <v>172</v>
      </c>
      <c r="AD45" s="25" t="s">
        <v>173</v>
      </c>
      <c r="AE45" s="25" t="s">
        <v>174</v>
      </c>
      <c r="AF45" s="26" t="s">
        <v>175</v>
      </c>
      <c r="AG45" s="32">
        <f t="shared" si="2"/>
        <v>1</v>
      </c>
      <c r="AH45" s="32">
        <v>1</v>
      </c>
      <c r="AI45" s="32">
        <v>1</v>
      </c>
      <c r="AJ45" s="32">
        <v>1</v>
      </c>
      <c r="AK45" s="30"/>
      <c r="AL45" s="32">
        <f t="shared" si="3"/>
        <v>1</v>
      </c>
      <c r="AM45" s="30"/>
      <c r="AN45" s="32">
        <v>1</v>
      </c>
      <c r="AO45" s="32"/>
      <c r="AP45" s="32">
        <v>1</v>
      </c>
      <c r="AQ45" s="32">
        <v>1</v>
      </c>
      <c r="AR45" s="32">
        <v>1</v>
      </c>
      <c r="AS45" s="32"/>
      <c r="AT45" s="32">
        <v>1</v>
      </c>
      <c r="AU45" s="32"/>
      <c r="AV45" s="32"/>
      <c r="AX45" s="2" t="s">
        <v>7849</v>
      </c>
      <c r="AZ45" s="128" t="s">
        <v>7850</v>
      </c>
    </row>
    <row r="46" spans="1:52">
      <c r="A46" s="25" t="s">
        <v>7851</v>
      </c>
      <c r="B46" s="25" t="s">
        <v>4398</v>
      </c>
      <c r="C46" s="25" t="s">
        <v>68</v>
      </c>
      <c r="D46" s="25" t="s">
        <v>7850</v>
      </c>
      <c r="E46" s="258" t="s">
        <v>7852</v>
      </c>
      <c r="F46" s="25" t="s">
        <v>7853</v>
      </c>
      <c r="G46" s="25" t="s">
        <v>7497</v>
      </c>
      <c r="H46" s="124" t="s">
        <v>7765</v>
      </c>
      <c r="I46" s="26" t="s">
        <v>7499</v>
      </c>
      <c r="J46" s="26">
        <v>202606.5</v>
      </c>
      <c r="K46" s="62" t="s">
        <v>7500</v>
      </c>
      <c r="L46" s="25" t="s">
        <v>73</v>
      </c>
      <c r="M46" s="25" t="s">
        <v>7854</v>
      </c>
      <c r="N46" s="25" t="s">
        <v>7855</v>
      </c>
      <c r="O46" s="27" t="s">
        <v>7856</v>
      </c>
      <c r="P46" s="26"/>
      <c r="Q46" s="92">
        <v>4</v>
      </c>
      <c r="R46" s="92" t="s">
        <v>4409</v>
      </c>
      <c r="S46" s="92" t="s">
        <v>7857</v>
      </c>
      <c r="T46" s="26" t="s">
        <v>77</v>
      </c>
      <c r="U46" s="30" t="s">
        <v>78</v>
      </c>
      <c r="V46" s="26" t="s">
        <v>79</v>
      </c>
      <c r="W46" s="38" t="s">
        <v>4639</v>
      </c>
      <c r="X46" s="26" t="s">
        <v>7505</v>
      </c>
      <c r="Y46" s="26" t="s">
        <v>81</v>
      </c>
      <c r="Z46" s="26" t="s">
        <v>81</v>
      </c>
      <c r="AA46" s="26" t="s">
        <v>172</v>
      </c>
      <c r="AB46" s="125" t="s">
        <v>13</v>
      </c>
      <c r="AC46" s="30" t="s">
        <v>172</v>
      </c>
      <c r="AD46" s="25" t="s">
        <v>173</v>
      </c>
      <c r="AE46" s="25" t="s">
        <v>174</v>
      </c>
      <c r="AF46" s="26" t="s">
        <v>175</v>
      </c>
      <c r="AG46" s="32">
        <f t="shared" si="2"/>
        <v>1</v>
      </c>
      <c r="AH46" s="32">
        <v>1</v>
      </c>
      <c r="AI46" s="32">
        <v>1</v>
      </c>
      <c r="AJ46" s="32">
        <v>1</v>
      </c>
      <c r="AK46" s="30"/>
      <c r="AL46" s="32">
        <f t="shared" si="3"/>
        <v>1</v>
      </c>
      <c r="AM46" s="30"/>
      <c r="AN46" s="32">
        <v>1</v>
      </c>
      <c r="AO46" s="32"/>
      <c r="AP46" s="32">
        <v>1</v>
      </c>
      <c r="AQ46" s="32">
        <v>1</v>
      </c>
      <c r="AR46" s="32">
        <v>1</v>
      </c>
      <c r="AS46" s="32"/>
      <c r="AT46" s="32">
        <v>1</v>
      </c>
      <c r="AU46" s="32"/>
      <c r="AV46" s="32"/>
      <c r="AX46" s="2" t="s">
        <v>7520</v>
      </c>
      <c r="AZ46" s="126" t="s">
        <v>7858</v>
      </c>
    </row>
    <row r="47" spans="1:52">
      <c r="A47" s="25" t="s">
        <v>7859</v>
      </c>
      <c r="B47" s="25" t="s">
        <v>4398</v>
      </c>
      <c r="C47" s="25" t="s">
        <v>68</v>
      </c>
      <c r="D47" s="25" t="s">
        <v>7860</v>
      </c>
      <c r="E47" s="258" t="s">
        <v>7861</v>
      </c>
      <c r="F47" s="25" t="s">
        <v>7862</v>
      </c>
      <c r="G47" s="25" t="s">
        <v>7497</v>
      </c>
      <c r="H47" s="124" t="s">
        <v>7765</v>
      </c>
      <c r="I47" s="26" t="s">
        <v>7499</v>
      </c>
      <c r="J47" s="26">
        <v>202606.5</v>
      </c>
      <c r="K47" s="62" t="s">
        <v>7500</v>
      </c>
      <c r="L47" s="25" t="s">
        <v>73</v>
      </c>
      <c r="M47" s="25" t="s">
        <v>7863</v>
      </c>
      <c r="N47" s="25" t="s">
        <v>7864</v>
      </c>
      <c r="O47" s="27" t="s">
        <v>7865</v>
      </c>
      <c r="P47" s="26"/>
      <c r="Q47" s="92">
        <v>4</v>
      </c>
      <c r="R47" s="92" t="s">
        <v>4409</v>
      </c>
      <c r="S47" s="92" t="s">
        <v>7573</v>
      </c>
      <c r="T47" s="26" t="s">
        <v>77</v>
      </c>
      <c r="U47" s="30" t="s">
        <v>78</v>
      </c>
      <c r="V47" s="26" t="s">
        <v>79</v>
      </c>
      <c r="W47" s="38" t="s">
        <v>4869</v>
      </c>
      <c r="X47" s="26" t="s">
        <v>7505</v>
      </c>
      <c r="Y47" s="26" t="s">
        <v>81</v>
      </c>
      <c r="Z47" s="26" t="s">
        <v>81</v>
      </c>
      <c r="AA47" s="26" t="s">
        <v>172</v>
      </c>
      <c r="AB47" s="125" t="s">
        <v>15</v>
      </c>
      <c r="AC47" s="30" t="s">
        <v>172</v>
      </c>
      <c r="AD47" s="25" t="s">
        <v>173</v>
      </c>
      <c r="AE47" s="25" t="s">
        <v>174</v>
      </c>
      <c r="AF47" s="26" t="s">
        <v>175</v>
      </c>
      <c r="AG47" s="32">
        <f t="shared" si="2"/>
        <v>1</v>
      </c>
      <c r="AH47" s="32">
        <v>1</v>
      </c>
      <c r="AI47" s="32">
        <v>1</v>
      </c>
      <c r="AJ47" s="32">
        <v>1</v>
      </c>
      <c r="AK47" s="30">
        <v>1</v>
      </c>
      <c r="AL47" s="32">
        <f t="shared" si="3"/>
        <v>1</v>
      </c>
      <c r="AM47" s="30"/>
      <c r="AN47" s="32">
        <v>1</v>
      </c>
      <c r="AO47" s="32">
        <v>1</v>
      </c>
      <c r="AP47" s="32">
        <v>1</v>
      </c>
      <c r="AQ47" s="32">
        <v>1</v>
      </c>
      <c r="AR47" s="32">
        <v>1</v>
      </c>
      <c r="AS47" s="30"/>
      <c r="AT47" s="32">
        <v>1</v>
      </c>
      <c r="AU47" s="30"/>
      <c r="AV47" s="30"/>
      <c r="AX47" s="2" t="s">
        <v>7866</v>
      </c>
      <c r="AZ47" s="126" t="s">
        <v>7867</v>
      </c>
    </row>
    <row r="48" spans="1:52">
      <c r="A48" s="25" t="s">
        <v>7868</v>
      </c>
      <c r="B48" s="25" t="s">
        <v>4398</v>
      </c>
      <c r="C48" s="25" t="s">
        <v>68</v>
      </c>
      <c r="D48" s="25" t="s">
        <v>7869</v>
      </c>
      <c r="E48" s="258" t="s">
        <v>7870</v>
      </c>
      <c r="F48" s="25" t="s">
        <v>7871</v>
      </c>
      <c r="G48" s="25" t="s">
        <v>7497</v>
      </c>
      <c r="H48" s="124" t="s">
        <v>7765</v>
      </c>
      <c r="I48" s="26" t="s">
        <v>7499</v>
      </c>
      <c r="J48" s="26">
        <v>202606.5</v>
      </c>
      <c r="K48" s="62" t="s">
        <v>7500</v>
      </c>
      <c r="L48" s="25" t="s">
        <v>73</v>
      </c>
      <c r="M48" s="25" t="s">
        <v>7872</v>
      </c>
      <c r="N48" s="25" t="s">
        <v>7873</v>
      </c>
      <c r="O48" s="27" t="s">
        <v>7874</v>
      </c>
      <c r="P48" s="26"/>
      <c r="Q48" s="92">
        <v>4</v>
      </c>
      <c r="R48" s="92" t="s">
        <v>4409</v>
      </c>
      <c r="S48" s="92" t="s">
        <v>7857</v>
      </c>
      <c r="T48" s="26" t="s">
        <v>77</v>
      </c>
      <c r="U48" s="30" t="s">
        <v>78</v>
      </c>
      <c r="V48" s="26" t="s">
        <v>79</v>
      </c>
      <c r="W48" s="38" t="s">
        <v>4869</v>
      </c>
      <c r="X48" s="26" t="s">
        <v>7505</v>
      </c>
      <c r="Y48" s="26" t="s">
        <v>81</v>
      </c>
      <c r="Z48" s="26" t="s">
        <v>81</v>
      </c>
      <c r="AA48" s="26" t="s">
        <v>172</v>
      </c>
      <c r="AB48" s="125" t="s">
        <v>15</v>
      </c>
      <c r="AC48" s="30" t="s">
        <v>172</v>
      </c>
      <c r="AD48" s="25" t="s">
        <v>173</v>
      </c>
      <c r="AE48" s="25" t="s">
        <v>174</v>
      </c>
      <c r="AF48" s="26" t="s">
        <v>175</v>
      </c>
      <c r="AG48" s="32">
        <f t="shared" si="2"/>
        <v>1</v>
      </c>
      <c r="AH48" s="32">
        <v>1</v>
      </c>
      <c r="AI48" s="32">
        <v>1</v>
      </c>
      <c r="AJ48" s="32">
        <v>1</v>
      </c>
      <c r="AK48" s="30">
        <v>1</v>
      </c>
      <c r="AL48" s="32">
        <f t="shared" si="3"/>
        <v>1</v>
      </c>
      <c r="AM48" s="30"/>
      <c r="AN48" s="32">
        <v>1</v>
      </c>
      <c r="AO48" s="32">
        <v>1</v>
      </c>
      <c r="AP48" s="32">
        <v>1</v>
      </c>
      <c r="AQ48" s="32">
        <v>1</v>
      </c>
      <c r="AR48" s="32">
        <v>1</v>
      </c>
      <c r="AS48" s="30"/>
      <c r="AT48" s="32">
        <v>1</v>
      </c>
      <c r="AU48" s="30"/>
      <c r="AV48" s="30"/>
      <c r="AX48" s="2" t="s">
        <v>7527</v>
      </c>
      <c r="AZ48" s="128" t="s">
        <v>7875</v>
      </c>
    </row>
    <row r="49" spans="1:52">
      <c r="A49" s="25" t="s">
        <v>7876</v>
      </c>
      <c r="B49" s="25" t="s">
        <v>4398</v>
      </c>
      <c r="C49" s="25" t="s">
        <v>68</v>
      </c>
      <c r="D49" s="25" t="s">
        <v>7877</v>
      </c>
      <c r="E49" s="258" t="s">
        <v>7878</v>
      </c>
      <c r="F49" s="25" t="s">
        <v>7879</v>
      </c>
      <c r="G49" s="25" t="s">
        <v>7497</v>
      </c>
      <c r="H49" s="124" t="s">
        <v>7765</v>
      </c>
      <c r="I49" s="26" t="s">
        <v>7499</v>
      </c>
      <c r="J49" s="26">
        <v>202606.5</v>
      </c>
      <c r="K49" s="62" t="s">
        <v>7500</v>
      </c>
      <c r="L49" s="25" t="s">
        <v>73</v>
      </c>
      <c r="M49" s="25" t="s">
        <v>7880</v>
      </c>
      <c r="N49" s="25" t="s">
        <v>7881</v>
      </c>
      <c r="O49" s="27" t="s">
        <v>7882</v>
      </c>
      <c r="P49" s="26"/>
      <c r="Q49" s="92">
        <v>4</v>
      </c>
      <c r="R49" s="92" t="s">
        <v>4409</v>
      </c>
      <c r="S49" s="92" t="s">
        <v>7883</v>
      </c>
      <c r="T49" s="26" t="s">
        <v>77</v>
      </c>
      <c r="U49" s="30" t="s">
        <v>78</v>
      </c>
      <c r="V49" s="26" t="s">
        <v>79</v>
      </c>
      <c r="W49" s="38" t="s">
        <v>4869</v>
      </c>
      <c r="X49" s="26" t="s">
        <v>7505</v>
      </c>
      <c r="Y49" s="26" t="s">
        <v>81</v>
      </c>
      <c r="Z49" s="26" t="s">
        <v>81</v>
      </c>
      <c r="AA49" s="26" t="s">
        <v>172</v>
      </c>
      <c r="AB49" s="125" t="s">
        <v>15</v>
      </c>
      <c r="AC49" s="30" t="s">
        <v>172</v>
      </c>
      <c r="AD49" s="25" t="s">
        <v>173</v>
      </c>
      <c r="AE49" s="25" t="s">
        <v>174</v>
      </c>
      <c r="AF49" s="26" t="s">
        <v>175</v>
      </c>
      <c r="AG49" s="32">
        <f t="shared" si="2"/>
        <v>1</v>
      </c>
      <c r="AH49" s="32">
        <v>1</v>
      </c>
      <c r="AI49" s="32">
        <v>1</v>
      </c>
      <c r="AJ49" s="32">
        <v>1</v>
      </c>
      <c r="AK49" s="30">
        <v>1</v>
      </c>
      <c r="AL49" s="32">
        <f t="shared" si="3"/>
        <v>1</v>
      </c>
      <c r="AM49" s="30"/>
      <c r="AN49" s="32">
        <v>1</v>
      </c>
      <c r="AO49" s="32">
        <v>1</v>
      </c>
      <c r="AP49" s="32">
        <v>1</v>
      </c>
      <c r="AQ49" s="32">
        <v>1</v>
      </c>
      <c r="AR49" s="32">
        <v>1</v>
      </c>
      <c r="AS49" s="30"/>
      <c r="AT49" s="32">
        <v>1</v>
      </c>
      <c r="AU49" s="30"/>
      <c r="AV49" s="30"/>
      <c r="AX49" s="2" t="s">
        <v>7884</v>
      </c>
      <c r="AZ49" s="128" t="s">
        <v>7885</v>
      </c>
    </row>
    <row r="50" spans="1:52">
      <c r="A50" s="25" t="s">
        <v>7886</v>
      </c>
      <c r="B50" s="25" t="s">
        <v>4398</v>
      </c>
      <c r="C50" s="25" t="s">
        <v>68</v>
      </c>
      <c r="D50" s="25" t="s">
        <v>7887</v>
      </c>
      <c r="E50" s="258" t="s">
        <v>7888</v>
      </c>
      <c r="F50" s="25" t="s">
        <v>7889</v>
      </c>
      <c r="G50" s="25" t="s">
        <v>7497</v>
      </c>
      <c r="H50" s="124" t="s">
        <v>7765</v>
      </c>
      <c r="I50" s="26" t="s">
        <v>7499</v>
      </c>
      <c r="J50" s="26">
        <v>202606.5</v>
      </c>
      <c r="K50" s="62" t="s">
        <v>7500</v>
      </c>
      <c r="L50" s="25" t="s">
        <v>73</v>
      </c>
      <c r="M50" s="25" t="s">
        <v>7620</v>
      </c>
      <c r="N50" s="25" t="s">
        <v>7890</v>
      </c>
      <c r="O50" s="27" t="s">
        <v>7891</v>
      </c>
      <c r="P50" s="26"/>
      <c r="Q50" s="92">
        <v>4</v>
      </c>
      <c r="R50" s="92" t="s">
        <v>4409</v>
      </c>
      <c r="S50" s="92" t="s">
        <v>5206</v>
      </c>
      <c r="T50" s="26" t="s">
        <v>77</v>
      </c>
      <c r="U50" s="30" t="s">
        <v>78</v>
      </c>
      <c r="V50" s="26" t="s">
        <v>79</v>
      </c>
      <c r="W50" s="38" t="s">
        <v>4869</v>
      </c>
      <c r="X50" s="26" t="s">
        <v>7505</v>
      </c>
      <c r="Y50" s="26" t="s">
        <v>81</v>
      </c>
      <c r="Z50" s="26" t="s">
        <v>81</v>
      </c>
      <c r="AA50" s="26" t="s">
        <v>172</v>
      </c>
      <c r="AB50" s="125" t="s">
        <v>15</v>
      </c>
      <c r="AC50" s="30" t="s">
        <v>172</v>
      </c>
      <c r="AD50" s="25" t="s">
        <v>173</v>
      </c>
      <c r="AE50" s="25" t="s">
        <v>174</v>
      </c>
      <c r="AF50" s="26" t="s">
        <v>175</v>
      </c>
      <c r="AG50" s="32">
        <f t="shared" si="2"/>
        <v>1</v>
      </c>
      <c r="AH50" s="32">
        <v>1</v>
      </c>
      <c r="AI50" s="32">
        <v>1</v>
      </c>
      <c r="AJ50" s="32">
        <v>1</v>
      </c>
      <c r="AK50" s="30">
        <v>1</v>
      </c>
      <c r="AL50" s="32">
        <f t="shared" si="3"/>
        <v>1</v>
      </c>
      <c r="AM50" s="30"/>
      <c r="AN50" s="32">
        <v>1</v>
      </c>
      <c r="AO50" s="32">
        <v>1</v>
      </c>
      <c r="AP50" s="32">
        <v>1</v>
      </c>
      <c r="AQ50" s="32">
        <v>1</v>
      </c>
      <c r="AR50" s="32">
        <v>1</v>
      </c>
      <c r="AS50" s="30"/>
      <c r="AT50" s="32">
        <v>1</v>
      </c>
      <c r="AU50" s="30"/>
      <c r="AV50" s="30"/>
      <c r="AX50" s="2" t="s">
        <v>7562</v>
      </c>
      <c r="AZ50" s="128" t="s">
        <v>7892</v>
      </c>
    </row>
    <row r="51" spans="1:52">
      <c r="A51" s="25" t="s">
        <v>7893</v>
      </c>
      <c r="B51" s="25" t="s">
        <v>4398</v>
      </c>
      <c r="C51" s="25" t="s">
        <v>73</v>
      </c>
      <c r="D51" s="25" t="s">
        <v>7894</v>
      </c>
      <c r="E51" s="258" t="s">
        <v>7895</v>
      </c>
      <c r="F51" s="25" t="s">
        <v>7896</v>
      </c>
      <c r="G51" s="25" t="s">
        <v>7497</v>
      </c>
      <c r="H51" s="124" t="s">
        <v>7765</v>
      </c>
      <c r="I51" s="26" t="s">
        <v>7499</v>
      </c>
      <c r="J51" s="26">
        <v>202606.5</v>
      </c>
      <c r="K51" s="62" t="s">
        <v>7500</v>
      </c>
      <c r="L51" s="25" t="s">
        <v>73</v>
      </c>
      <c r="M51" s="25" t="s">
        <v>7574</v>
      </c>
      <c r="N51" s="25" t="s">
        <v>7897</v>
      </c>
      <c r="O51" s="27" t="s">
        <v>7898</v>
      </c>
      <c r="P51" s="26"/>
      <c r="Q51" s="32">
        <v>4</v>
      </c>
      <c r="R51" s="32">
        <v>16</v>
      </c>
      <c r="S51" s="32">
        <v>275.27999999999997</v>
      </c>
      <c r="T51" s="26" t="s">
        <v>77</v>
      </c>
      <c r="U51" s="30" t="s">
        <v>78</v>
      </c>
      <c r="V51" s="26" t="s">
        <v>79</v>
      </c>
      <c r="W51" s="38" t="s">
        <v>4869</v>
      </c>
      <c r="X51" s="26" t="s">
        <v>7505</v>
      </c>
      <c r="Y51" s="26" t="s">
        <v>81</v>
      </c>
      <c r="Z51" s="26" t="s">
        <v>81</v>
      </c>
      <c r="AA51" s="26" t="s">
        <v>172</v>
      </c>
      <c r="AB51" s="125" t="s">
        <v>15</v>
      </c>
      <c r="AC51" s="30" t="s">
        <v>172</v>
      </c>
      <c r="AD51" s="25" t="s">
        <v>7629</v>
      </c>
      <c r="AE51" s="117" t="s">
        <v>174</v>
      </c>
      <c r="AF51" s="26" t="s">
        <v>175</v>
      </c>
      <c r="AG51" s="32">
        <f t="shared" si="2"/>
        <v>1</v>
      </c>
      <c r="AH51" s="32">
        <v>1</v>
      </c>
      <c r="AI51" s="32">
        <v>1</v>
      </c>
      <c r="AJ51" s="32">
        <v>1</v>
      </c>
      <c r="AK51" s="30">
        <v>1</v>
      </c>
      <c r="AL51" s="32">
        <f t="shared" si="3"/>
        <v>1</v>
      </c>
      <c r="AM51" s="30"/>
      <c r="AN51" s="32">
        <v>1</v>
      </c>
      <c r="AO51" s="32">
        <v>1</v>
      </c>
      <c r="AP51" s="32">
        <v>1</v>
      </c>
      <c r="AQ51" s="32">
        <v>1</v>
      </c>
      <c r="AR51" s="32">
        <v>1</v>
      </c>
      <c r="AS51" s="30"/>
      <c r="AT51" s="32">
        <v>1</v>
      </c>
      <c r="AU51" s="30"/>
      <c r="AV51" s="30"/>
      <c r="AX51" s="2" t="s">
        <v>7663</v>
      </c>
      <c r="AZ51" s="128" t="s">
        <v>7899</v>
      </c>
    </row>
    <row r="52" spans="1:52">
      <c r="A52" s="25" t="s">
        <v>7900</v>
      </c>
      <c r="B52" s="25" t="s">
        <v>4398</v>
      </c>
      <c r="C52" s="25" t="s">
        <v>68</v>
      </c>
      <c r="D52" s="25" t="s">
        <v>7858</v>
      </c>
      <c r="E52" s="258" t="s">
        <v>7901</v>
      </c>
      <c r="F52" s="25" t="s">
        <v>7902</v>
      </c>
      <c r="G52" s="25" t="s">
        <v>7497</v>
      </c>
      <c r="H52" s="124" t="s">
        <v>7903</v>
      </c>
      <c r="I52" s="26" t="s">
        <v>7499</v>
      </c>
      <c r="J52" s="26">
        <v>202606.5</v>
      </c>
      <c r="K52" s="62" t="s">
        <v>7500</v>
      </c>
      <c r="L52" s="25" t="s">
        <v>73</v>
      </c>
      <c r="M52" s="25" t="s">
        <v>7904</v>
      </c>
      <c r="N52" s="25" t="s">
        <v>7905</v>
      </c>
      <c r="O52" s="27" t="s">
        <v>7906</v>
      </c>
      <c r="P52" s="26"/>
      <c r="Q52" s="92">
        <v>4</v>
      </c>
      <c r="R52" s="92" t="s">
        <v>4409</v>
      </c>
      <c r="S52" s="92" t="s">
        <v>7907</v>
      </c>
      <c r="T52" s="26" t="s">
        <v>77</v>
      </c>
      <c r="U52" s="30" t="s">
        <v>78</v>
      </c>
      <c r="V52" s="26" t="s">
        <v>79</v>
      </c>
      <c r="W52" s="38" t="s">
        <v>4869</v>
      </c>
      <c r="X52" s="26" t="s">
        <v>7505</v>
      </c>
      <c r="Y52" s="26" t="s">
        <v>81</v>
      </c>
      <c r="Z52" s="26" t="s">
        <v>81</v>
      </c>
      <c r="AA52" s="26" t="s">
        <v>172</v>
      </c>
      <c r="AB52" s="125" t="s">
        <v>15</v>
      </c>
      <c r="AC52" s="30" t="s">
        <v>172</v>
      </c>
      <c r="AD52" s="25" t="s">
        <v>173</v>
      </c>
      <c r="AE52" s="25" t="s">
        <v>174</v>
      </c>
      <c r="AF52" s="26" t="s">
        <v>175</v>
      </c>
      <c r="AG52" s="32">
        <f t="shared" si="2"/>
        <v>1</v>
      </c>
      <c r="AH52" s="32">
        <v>1</v>
      </c>
      <c r="AI52" s="32">
        <v>1</v>
      </c>
      <c r="AJ52" s="32">
        <v>1</v>
      </c>
      <c r="AK52" s="30">
        <v>1</v>
      </c>
      <c r="AL52" s="32">
        <f t="shared" si="3"/>
        <v>1</v>
      </c>
      <c r="AM52" s="30"/>
      <c r="AN52" s="32">
        <v>1</v>
      </c>
      <c r="AO52" s="32">
        <v>1</v>
      </c>
      <c r="AP52" s="32">
        <v>1</v>
      </c>
      <c r="AQ52" s="32">
        <v>1</v>
      </c>
      <c r="AR52" s="32">
        <v>1</v>
      </c>
      <c r="AS52" s="30"/>
      <c r="AT52" s="32">
        <v>1</v>
      </c>
      <c r="AU52" s="30"/>
      <c r="AV52" s="30"/>
      <c r="AX52" s="2" t="s">
        <v>7670</v>
      </c>
      <c r="AZ52" s="128" t="s">
        <v>7908</v>
      </c>
    </row>
    <row r="53" spans="1:52">
      <c r="A53" s="25" t="s">
        <v>7909</v>
      </c>
      <c r="B53" s="25" t="s">
        <v>4398</v>
      </c>
      <c r="C53" s="25" t="s">
        <v>68</v>
      </c>
      <c r="D53" s="25" t="s">
        <v>7867</v>
      </c>
      <c r="E53" s="258" t="s">
        <v>7910</v>
      </c>
      <c r="F53" s="25" t="s">
        <v>7911</v>
      </c>
      <c r="G53" s="25" t="s">
        <v>7497</v>
      </c>
      <c r="H53" s="124" t="s">
        <v>7903</v>
      </c>
      <c r="I53" s="26" t="s">
        <v>7499</v>
      </c>
      <c r="J53" s="26">
        <v>202606.5</v>
      </c>
      <c r="K53" s="62" t="s">
        <v>7500</v>
      </c>
      <c r="L53" s="25" t="s">
        <v>73</v>
      </c>
      <c r="M53" s="25" t="s">
        <v>7515</v>
      </c>
      <c r="N53" s="25" t="s">
        <v>7912</v>
      </c>
      <c r="O53" s="27" t="s">
        <v>7913</v>
      </c>
      <c r="P53" s="26"/>
      <c r="Q53" s="92">
        <v>4</v>
      </c>
      <c r="R53" s="92" t="s">
        <v>4409</v>
      </c>
      <c r="S53" s="92" t="s">
        <v>7914</v>
      </c>
      <c r="T53" s="26" t="s">
        <v>77</v>
      </c>
      <c r="U53" s="30" t="s">
        <v>78</v>
      </c>
      <c r="V53" s="26" t="s">
        <v>79</v>
      </c>
      <c r="W53" s="38" t="s">
        <v>4869</v>
      </c>
      <c r="X53" s="26" t="s">
        <v>7505</v>
      </c>
      <c r="Y53" s="26" t="s">
        <v>81</v>
      </c>
      <c r="Z53" s="26" t="s">
        <v>81</v>
      </c>
      <c r="AA53" s="26" t="s">
        <v>172</v>
      </c>
      <c r="AB53" s="125" t="s">
        <v>15</v>
      </c>
      <c r="AC53" s="30" t="s">
        <v>172</v>
      </c>
      <c r="AD53" s="25" t="s">
        <v>173</v>
      </c>
      <c r="AE53" s="25" t="s">
        <v>174</v>
      </c>
      <c r="AF53" s="26" t="s">
        <v>175</v>
      </c>
      <c r="AG53" s="32">
        <f t="shared" si="2"/>
        <v>1</v>
      </c>
      <c r="AH53" s="32">
        <v>1</v>
      </c>
      <c r="AI53" s="32">
        <v>1</v>
      </c>
      <c r="AJ53" s="32">
        <v>1</v>
      </c>
      <c r="AK53" s="30">
        <v>1</v>
      </c>
      <c r="AL53" s="32">
        <f t="shared" si="3"/>
        <v>1</v>
      </c>
      <c r="AM53" s="30"/>
      <c r="AN53" s="32">
        <v>1</v>
      </c>
      <c r="AO53" s="32">
        <v>1</v>
      </c>
      <c r="AP53" s="32">
        <v>1</v>
      </c>
      <c r="AQ53" s="32">
        <v>1</v>
      </c>
      <c r="AR53" s="32">
        <v>1</v>
      </c>
      <c r="AS53" s="30"/>
      <c r="AT53" s="32">
        <v>1</v>
      </c>
      <c r="AU53" s="30"/>
      <c r="AV53" s="30"/>
      <c r="AX53" s="2" t="s">
        <v>7915</v>
      </c>
      <c r="AZ53" s="128" t="s">
        <v>7916</v>
      </c>
    </row>
    <row r="54" spans="1:52">
      <c r="A54" s="25" t="s">
        <v>7917</v>
      </c>
      <c r="B54" s="25" t="s">
        <v>4398</v>
      </c>
      <c r="C54" s="25" t="s">
        <v>68</v>
      </c>
      <c r="D54" s="25" t="s">
        <v>7875</v>
      </c>
      <c r="E54" s="258" t="s">
        <v>7918</v>
      </c>
      <c r="F54" s="25" t="s">
        <v>7919</v>
      </c>
      <c r="G54" s="25" t="s">
        <v>7497</v>
      </c>
      <c r="H54" s="124" t="s">
        <v>7903</v>
      </c>
      <c r="I54" s="26" t="s">
        <v>7499</v>
      </c>
      <c r="J54" s="26">
        <v>202606.5</v>
      </c>
      <c r="K54" s="62" t="s">
        <v>7500</v>
      </c>
      <c r="L54" s="25" t="s">
        <v>73</v>
      </c>
      <c r="M54" s="25" t="s">
        <v>7666</v>
      </c>
      <c r="N54" s="25" t="s">
        <v>7920</v>
      </c>
      <c r="O54" s="27" t="s">
        <v>7921</v>
      </c>
      <c r="P54" s="26"/>
      <c r="Q54" s="92">
        <v>4</v>
      </c>
      <c r="R54" s="92" t="s">
        <v>4409</v>
      </c>
      <c r="S54" s="92" t="s">
        <v>4832</v>
      </c>
      <c r="T54" s="26" t="s">
        <v>77</v>
      </c>
      <c r="U54" s="30" t="s">
        <v>78</v>
      </c>
      <c r="V54" s="26" t="s">
        <v>79</v>
      </c>
      <c r="W54" s="38" t="s">
        <v>4869</v>
      </c>
      <c r="X54" s="26" t="s">
        <v>7505</v>
      </c>
      <c r="Y54" s="26" t="s">
        <v>81</v>
      </c>
      <c r="Z54" s="26" t="s">
        <v>81</v>
      </c>
      <c r="AA54" s="26" t="s">
        <v>172</v>
      </c>
      <c r="AB54" s="125" t="s">
        <v>15</v>
      </c>
      <c r="AC54" s="30" t="s">
        <v>172</v>
      </c>
      <c r="AD54" s="25" t="s">
        <v>173</v>
      </c>
      <c r="AE54" s="25" t="s">
        <v>174</v>
      </c>
      <c r="AF54" s="26" t="s">
        <v>175</v>
      </c>
      <c r="AG54" s="32">
        <f t="shared" si="2"/>
        <v>1</v>
      </c>
      <c r="AH54" s="32">
        <v>1</v>
      </c>
      <c r="AI54" s="32">
        <v>1</v>
      </c>
      <c r="AJ54" s="32">
        <v>1</v>
      </c>
      <c r="AK54" s="30">
        <v>1</v>
      </c>
      <c r="AL54" s="32">
        <f t="shared" si="3"/>
        <v>1</v>
      </c>
      <c r="AM54" s="30"/>
      <c r="AN54" s="32">
        <v>1</v>
      </c>
      <c r="AO54" s="32">
        <v>1</v>
      </c>
      <c r="AP54" s="32">
        <v>1</v>
      </c>
      <c r="AQ54" s="32">
        <v>1</v>
      </c>
      <c r="AR54" s="32">
        <v>1</v>
      </c>
      <c r="AS54" s="30"/>
      <c r="AT54" s="32">
        <v>1</v>
      </c>
      <c r="AU54" s="30"/>
      <c r="AV54" s="30"/>
      <c r="AX54" s="2" t="s">
        <v>7570</v>
      </c>
      <c r="AZ54" s="128" t="s">
        <v>7860</v>
      </c>
    </row>
    <row r="55" spans="1:52">
      <c r="A55" s="25" t="s">
        <v>7922</v>
      </c>
      <c r="B55" s="25" t="s">
        <v>4398</v>
      </c>
      <c r="C55" s="25" t="s">
        <v>68</v>
      </c>
      <c r="D55" s="25" t="s">
        <v>7885</v>
      </c>
      <c r="E55" s="258" t="s">
        <v>7923</v>
      </c>
      <c r="F55" s="25" t="s">
        <v>7924</v>
      </c>
      <c r="G55" s="25" t="s">
        <v>7497</v>
      </c>
      <c r="H55" s="124" t="s">
        <v>7903</v>
      </c>
      <c r="I55" s="26" t="s">
        <v>7499</v>
      </c>
      <c r="J55" s="26">
        <v>202606.5</v>
      </c>
      <c r="K55" s="62" t="s">
        <v>7500</v>
      </c>
      <c r="L55" s="25" t="s">
        <v>73</v>
      </c>
      <c r="M55" s="25" t="s">
        <v>7925</v>
      </c>
      <c r="N55" s="25" t="s">
        <v>7926</v>
      </c>
      <c r="O55" s="27" t="s">
        <v>7927</v>
      </c>
      <c r="P55" s="26"/>
      <c r="Q55" s="92">
        <v>4</v>
      </c>
      <c r="R55" s="92" t="s">
        <v>4409</v>
      </c>
      <c r="S55" s="92" t="s">
        <v>7928</v>
      </c>
      <c r="T55" s="26" t="s">
        <v>77</v>
      </c>
      <c r="U55" s="30" t="s">
        <v>78</v>
      </c>
      <c r="V55" s="26" t="s">
        <v>79</v>
      </c>
      <c r="W55" s="38" t="s">
        <v>4869</v>
      </c>
      <c r="X55" s="26" t="s">
        <v>7505</v>
      </c>
      <c r="Y55" s="26" t="s">
        <v>81</v>
      </c>
      <c r="Z55" s="26" t="s">
        <v>81</v>
      </c>
      <c r="AA55" s="26" t="s">
        <v>172</v>
      </c>
      <c r="AB55" s="125" t="s">
        <v>15</v>
      </c>
      <c r="AC55" s="30" t="s">
        <v>172</v>
      </c>
      <c r="AD55" s="25" t="s">
        <v>173</v>
      </c>
      <c r="AE55" s="25" t="s">
        <v>174</v>
      </c>
      <c r="AF55" s="26" t="s">
        <v>175</v>
      </c>
      <c r="AG55" s="32">
        <f t="shared" si="2"/>
        <v>1</v>
      </c>
      <c r="AH55" s="32">
        <v>1</v>
      </c>
      <c r="AI55" s="32">
        <v>1</v>
      </c>
      <c r="AJ55" s="32">
        <v>1</v>
      </c>
      <c r="AK55" s="30">
        <v>1</v>
      </c>
      <c r="AL55" s="32">
        <f t="shared" si="3"/>
        <v>1</v>
      </c>
      <c r="AM55" s="30"/>
      <c r="AN55" s="32">
        <v>1</v>
      </c>
      <c r="AO55" s="32">
        <v>1</v>
      </c>
      <c r="AP55" s="32">
        <v>1</v>
      </c>
      <c r="AQ55" s="32">
        <v>1</v>
      </c>
      <c r="AR55" s="32">
        <v>1</v>
      </c>
      <c r="AS55" s="30"/>
      <c r="AT55" s="32">
        <v>1</v>
      </c>
      <c r="AU55" s="30"/>
      <c r="AV55" s="30"/>
      <c r="AX55" s="2" t="s">
        <v>7579</v>
      </c>
      <c r="AZ55" s="128" t="s">
        <v>7877</v>
      </c>
    </row>
    <row r="56" spans="1:52">
      <c r="A56" s="25" t="s">
        <v>7929</v>
      </c>
      <c r="B56" s="25" t="s">
        <v>4398</v>
      </c>
      <c r="C56" s="25" t="s">
        <v>68</v>
      </c>
      <c r="D56" s="25" t="s">
        <v>7892</v>
      </c>
      <c r="E56" s="258" t="s">
        <v>7930</v>
      </c>
      <c r="F56" s="25" t="s">
        <v>7931</v>
      </c>
      <c r="G56" s="25" t="s">
        <v>7497</v>
      </c>
      <c r="H56" s="124" t="s">
        <v>7903</v>
      </c>
      <c r="I56" s="26" t="s">
        <v>7499</v>
      </c>
      <c r="J56" s="26">
        <v>202606.5</v>
      </c>
      <c r="K56" s="62" t="s">
        <v>7500</v>
      </c>
      <c r="L56" s="25" t="s">
        <v>73</v>
      </c>
      <c r="M56" s="25" t="s">
        <v>7932</v>
      </c>
      <c r="N56" s="25" t="s">
        <v>7933</v>
      </c>
      <c r="O56" s="27" t="s">
        <v>7934</v>
      </c>
      <c r="P56" s="26"/>
      <c r="Q56" s="92">
        <v>4</v>
      </c>
      <c r="R56" s="92" t="s">
        <v>4409</v>
      </c>
      <c r="S56" s="92" t="s">
        <v>7935</v>
      </c>
      <c r="T56" s="26" t="s">
        <v>77</v>
      </c>
      <c r="U56" s="30" t="s">
        <v>78</v>
      </c>
      <c r="V56" s="26" t="s">
        <v>79</v>
      </c>
      <c r="W56" s="38" t="s">
        <v>4869</v>
      </c>
      <c r="X56" s="26" t="s">
        <v>7505</v>
      </c>
      <c r="Y56" s="26" t="s">
        <v>81</v>
      </c>
      <c r="Z56" s="26" t="s">
        <v>81</v>
      </c>
      <c r="AA56" s="26" t="s">
        <v>172</v>
      </c>
      <c r="AB56" s="125" t="s">
        <v>15</v>
      </c>
      <c r="AC56" s="30" t="s">
        <v>172</v>
      </c>
      <c r="AD56" s="25" t="s">
        <v>173</v>
      </c>
      <c r="AE56" s="25" t="s">
        <v>174</v>
      </c>
      <c r="AF56" s="26" t="s">
        <v>175</v>
      </c>
      <c r="AG56" s="32">
        <f t="shared" si="2"/>
        <v>1</v>
      </c>
      <c r="AH56" s="32">
        <v>1</v>
      </c>
      <c r="AI56" s="32">
        <v>1</v>
      </c>
      <c r="AJ56" s="32">
        <v>1</v>
      </c>
      <c r="AK56" s="30">
        <v>1</v>
      </c>
      <c r="AL56" s="32">
        <f t="shared" si="3"/>
        <v>1</v>
      </c>
      <c r="AM56" s="30"/>
      <c r="AN56" s="32">
        <v>1</v>
      </c>
      <c r="AO56" s="32">
        <v>1</v>
      </c>
      <c r="AP56" s="32">
        <v>1</v>
      </c>
      <c r="AQ56" s="32">
        <v>1</v>
      </c>
      <c r="AR56" s="32">
        <v>1</v>
      </c>
      <c r="AS56" s="30"/>
      <c r="AT56" s="32">
        <v>1</v>
      </c>
      <c r="AU56" s="30"/>
      <c r="AV56" s="30"/>
      <c r="AX56" s="2" t="s">
        <v>7599</v>
      </c>
      <c r="AZ56" s="128" t="s">
        <v>7894</v>
      </c>
    </row>
    <row r="57" spans="1:52">
      <c r="A57" s="25" t="s">
        <v>7936</v>
      </c>
      <c r="B57" s="25" t="s">
        <v>4398</v>
      </c>
      <c r="C57" s="25" t="s">
        <v>68</v>
      </c>
      <c r="D57" s="25" t="s">
        <v>7899</v>
      </c>
      <c r="E57" s="258" t="s">
        <v>7937</v>
      </c>
      <c r="F57" s="25" t="s">
        <v>7938</v>
      </c>
      <c r="G57" s="25" t="s">
        <v>7497</v>
      </c>
      <c r="H57" s="124" t="s">
        <v>7903</v>
      </c>
      <c r="I57" s="26" t="s">
        <v>7499</v>
      </c>
      <c r="J57" s="26">
        <v>202606.5</v>
      </c>
      <c r="K57" s="62" t="s">
        <v>7500</v>
      </c>
      <c r="L57" s="25" t="s">
        <v>73</v>
      </c>
      <c r="M57" s="25" t="s">
        <v>7866</v>
      </c>
      <c r="N57" s="25" t="s">
        <v>7939</v>
      </c>
      <c r="O57" s="27" t="s">
        <v>7940</v>
      </c>
      <c r="P57" s="26"/>
      <c r="Q57" s="92">
        <v>4</v>
      </c>
      <c r="R57" s="92" t="s">
        <v>4409</v>
      </c>
      <c r="S57" s="92" t="s">
        <v>7941</v>
      </c>
      <c r="T57" s="26" t="s">
        <v>77</v>
      </c>
      <c r="U57" s="30" t="s">
        <v>78</v>
      </c>
      <c r="V57" s="26" t="s">
        <v>79</v>
      </c>
      <c r="W57" s="38" t="s">
        <v>4869</v>
      </c>
      <c r="X57" s="26" t="s">
        <v>7505</v>
      </c>
      <c r="Y57" s="26" t="s">
        <v>81</v>
      </c>
      <c r="Z57" s="26" t="s">
        <v>81</v>
      </c>
      <c r="AA57" s="26" t="s">
        <v>172</v>
      </c>
      <c r="AB57" s="125" t="s">
        <v>15</v>
      </c>
      <c r="AC57" s="30" t="s">
        <v>172</v>
      </c>
      <c r="AD57" s="25" t="s">
        <v>173</v>
      </c>
      <c r="AE57" s="25" t="s">
        <v>174</v>
      </c>
      <c r="AF57" s="26" t="s">
        <v>175</v>
      </c>
      <c r="AG57" s="32">
        <f t="shared" si="2"/>
        <v>1</v>
      </c>
      <c r="AH57" s="32">
        <v>1</v>
      </c>
      <c r="AI57" s="32">
        <v>1</v>
      </c>
      <c r="AJ57" s="32">
        <v>1</v>
      </c>
      <c r="AK57" s="30">
        <v>1</v>
      </c>
      <c r="AL57" s="32">
        <f t="shared" si="3"/>
        <v>1</v>
      </c>
      <c r="AM57" s="30"/>
      <c r="AN57" s="32">
        <v>1</v>
      </c>
      <c r="AO57" s="32">
        <v>1</v>
      </c>
      <c r="AP57" s="32">
        <v>1</v>
      </c>
      <c r="AQ57" s="32">
        <v>1</v>
      </c>
      <c r="AR57" s="32">
        <v>1</v>
      </c>
      <c r="AS57" s="30"/>
      <c r="AT57" s="32">
        <v>1</v>
      </c>
      <c r="AU57" s="30"/>
      <c r="AV57" s="30"/>
      <c r="AX57" s="2" t="s">
        <v>7942</v>
      </c>
      <c r="AZ57" s="121" t="s">
        <v>7943</v>
      </c>
    </row>
    <row r="58" spans="1:52">
      <c r="A58" s="25" t="s">
        <v>7944</v>
      </c>
      <c r="B58" s="25" t="s">
        <v>4398</v>
      </c>
      <c r="C58" s="25" t="s">
        <v>68</v>
      </c>
      <c r="D58" s="25" t="s">
        <v>7908</v>
      </c>
      <c r="E58" s="258" t="s">
        <v>7945</v>
      </c>
      <c r="F58" s="25" t="s">
        <v>7946</v>
      </c>
      <c r="G58" s="25" t="s">
        <v>7497</v>
      </c>
      <c r="H58" s="124" t="s">
        <v>7903</v>
      </c>
      <c r="I58" s="26" t="s">
        <v>7499</v>
      </c>
      <c r="J58" s="26">
        <v>202606.5</v>
      </c>
      <c r="K58" s="62" t="s">
        <v>7500</v>
      </c>
      <c r="L58" s="25" t="s">
        <v>73</v>
      </c>
      <c r="M58" s="25" t="s">
        <v>7884</v>
      </c>
      <c r="N58" s="25" t="s">
        <v>7947</v>
      </c>
      <c r="O58" s="27" t="s">
        <v>7948</v>
      </c>
      <c r="P58" s="26"/>
      <c r="Q58" s="92">
        <v>4</v>
      </c>
      <c r="R58" s="92" t="s">
        <v>4409</v>
      </c>
      <c r="S58" s="92" t="s">
        <v>7949</v>
      </c>
      <c r="T58" s="26" t="s">
        <v>77</v>
      </c>
      <c r="U58" s="30" t="s">
        <v>78</v>
      </c>
      <c r="V58" s="26" t="s">
        <v>79</v>
      </c>
      <c r="W58" s="38" t="s">
        <v>4869</v>
      </c>
      <c r="X58" s="26" t="s">
        <v>7505</v>
      </c>
      <c r="Y58" s="26" t="s">
        <v>81</v>
      </c>
      <c r="Z58" s="26" t="s">
        <v>81</v>
      </c>
      <c r="AA58" s="26" t="s">
        <v>172</v>
      </c>
      <c r="AB58" s="125" t="s">
        <v>15</v>
      </c>
      <c r="AC58" s="30" t="s">
        <v>172</v>
      </c>
      <c r="AD58" s="25" t="s">
        <v>173</v>
      </c>
      <c r="AE58" s="25" t="s">
        <v>174</v>
      </c>
      <c r="AF58" s="26" t="s">
        <v>175</v>
      </c>
      <c r="AG58" s="32">
        <f t="shared" si="2"/>
        <v>1</v>
      </c>
      <c r="AH58" s="32">
        <v>1</v>
      </c>
      <c r="AI58" s="32">
        <v>1</v>
      </c>
      <c r="AJ58" s="32">
        <v>1</v>
      </c>
      <c r="AK58" s="30">
        <v>1</v>
      </c>
      <c r="AL58" s="32">
        <f t="shared" si="3"/>
        <v>1</v>
      </c>
      <c r="AM58" s="30"/>
      <c r="AN58" s="32">
        <v>1</v>
      </c>
      <c r="AO58" s="32">
        <v>1</v>
      </c>
      <c r="AP58" s="32">
        <v>1</v>
      </c>
      <c r="AQ58" s="32">
        <v>1</v>
      </c>
      <c r="AR58" s="32">
        <v>1</v>
      </c>
      <c r="AS58" s="30"/>
      <c r="AT58" s="32">
        <v>1</v>
      </c>
      <c r="AU58" s="30"/>
      <c r="AV58" s="30"/>
      <c r="AX58" s="2" t="s">
        <v>7950</v>
      </c>
      <c r="AZ58" s="128" t="s">
        <v>7951</v>
      </c>
    </row>
    <row r="59" spans="1:52" ht="87">
      <c r="A59" s="25" t="s">
        <v>7952</v>
      </c>
      <c r="B59" s="25" t="s">
        <v>4398</v>
      </c>
      <c r="C59" s="25" t="s">
        <v>68</v>
      </c>
      <c r="D59" s="25" t="s">
        <v>7916</v>
      </c>
      <c r="E59" s="258" t="s">
        <v>7953</v>
      </c>
      <c r="F59" s="25" t="s">
        <v>7954</v>
      </c>
      <c r="G59" s="25" t="s">
        <v>7497</v>
      </c>
      <c r="H59" s="124" t="s">
        <v>7903</v>
      </c>
      <c r="I59" s="26" t="s">
        <v>7499</v>
      </c>
      <c r="J59" s="26">
        <v>202606.5</v>
      </c>
      <c r="K59" s="62" t="s">
        <v>7500</v>
      </c>
      <c r="L59" s="25" t="s">
        <v>73</v>
      </c>
      <c r="M59" s="25" t="s">
        <v>7705</v>
      </c>
      <c r="N59" s="25" t="s">
        <v>7955</v>
      </c>
      <c r="O59" s="27" t="s">
        <v>7956</v>
      </c>
      <c r="P59" s="26"/>
      <c r="Q59" s="92">
        <v>4</v>
      </c>
      <c r="R59" s="92" t="s">
        <v>4409</v>
      </c>
      <c r="S59" s="92" t="s">
        <v>7957</v>
      </c>
      <c r="T59" s="26" t="s">
        <v>77</v>
      </c>
      <c r="U59" s="30" t="s">
        <v>78</v>
      </c>
      <c r="V59" s="26" t="s">
        <v>79</v>
      </c>
      <c r="W59" s="38" t="s">
        <v>4869</v>
      </c>
      <c r="X59" s="26" t="s">
        <v>7505</v>
      </c>
      <c r="Y59" s="26" t="s">
        <v>81</v>
      </c>
      <c r="Z59" s="26" t="s">
        <v>81</v>
      </c>
      <c r="AA59" s="26" t="s">
        <v>172</v>
      </c>
      <c r="AB59" s="125" t="s">
        <v>15</v>
      </c>
      <c r="AC59" s="30" t="s">
        <v>172</v>
      </c>
      <c r="AD59" s="25" t="s">
        <v>173</v>
      </c>
      <c r="AE59" s="25" t="s">
        <v>174</v>
      </c>
      <c r="AF59" s="26" t="s">
        <v>175</v>
      </c>
      <c r="AG59" s="32">
        <f t="shared" si="2"/>
        <v>1</v>
      </c>
      <c r="AH59" s="32">
        <v>1</v>
      </c>
      <c r="AI59" s="32">
        <v>1</v>
      </c>
      <c r="AJ59" s="32">
        <v>1</v>
      </c>
      <c r="AK59" s="30">
        <v>1</v>
      </c>
      <c r="AL59" s="32">
        <f t="shared" si="3"/>
        <v>1</v>
      </c>
      <c r="AM59" s="30"/>
      <c r="AN59" s="69" t="s">
        <v>7958</v>
      </c>
      <c r="AO59" s="32">
        <v>1</v>
      </c>
      <c r="AP59" s="32">
        <v>1</v>
      </c>
      <c r="AQ59" s="32">
        <v>1</v>
      </c>
      <c r="AR59" s="32">
        <v>1</v>
      </c>
      <c r="AS59" s="30"/>
      <c r="AT59" s="32">
        <v>1</v>
      </c>
      <c r="AU59" s="30"/>
      <c r="AV59" s="30"/>
      <c r="AX59" s="2" t="s">
        <v>7694</v>
      </c>
      <c r="AZ59" s="128" t="s">
        <v>7959</v>
      </c>
    </row>
    <row r="60" spans="1:52">
      <c r="A60" s="25" t="s">
        <v>7960</v>
      </c>
      <c r="B60" s="25" t="s">
        <v>4398</v>
      </c>
      <c r="C60" s="25" t="s">
        <v>68</v>
      </c>
      <c r="D60" s="25" t="s">
        <v>7961</v>
      </c>
      <c r="E60" s="258" t="s">
        <v>7962</v>
      </c>
      <c r="F60" s="25" t="s">
        <v>7963</v>
      </c>
      <c r="G60" s="25" t="s">
        <v>7497</v>
      </c>
      <c r="H60" s="124" t="s">
        <v>7903</v>
      </c>
      <c r="I60" s="26" t="s">
        <v>7499</v>
      </c>
      <c r="J60" s="26">
        <v>202606.5</v>
      </c>
      <c r="K60" s="62" t="s">
        <v>7500</v>
      </c>
      <c r="L60" s="25" t="s">
        <v>73</v>
      </c>
      <c r="M60" s="25" t="s">
        <v>7713</v>
      </c>
      <c r="N60" s="25" t="s">
        <v>7964</v>
      </c>
      <c r="O60" s="27" t="s">
        <v>7965</v>
      </c>
      <c r="P60" s="26"/>
      <c r="Q60" s="92">
        <v>4</v>
      </c>
      <c r="R60" s="92" t="s">
        <v>4409</v>
      </c>
      <c r="S60" s="92" t="s">
        <v>5045</v>
      </c>
      <c r="T60" s="26" t="s">
        <v>77</v>
      </c>
      <c r="U60" s="30" t="s">
        <v>78</v>
      </c>
      <c r="V60" s="26" t="s">
        <v>79</v>
      </c>
      <c r="W60" s="38" t="s">
        <v>4997</v>
      </c>
      <c r="X60" s="26" t="s">
        <v>7505</v>
      </c>
      <c r="Y60" s="26" t="s">
        <v>81</v>
      </c>
      <c r="Z60" s="26" t="s">
        <v>81</v>
      </c>
      <c r="AA60" s="26" t="s">
        <v>172</v>
      </c>
      <c r="AB60" s="125" t="s">
        <v>17</v>
      </c>
      <c r="AC60" s="30" t="s">
        <v>172</v>
      </c>
      <c r="AD60" s="25" t="s">
        <v>173</v>
      </c>
      <c r="AE60" s="25" t="s">
        <v>174</v>
      </c>
      <c r="AF60" s="26" t="s">
        <v>175</v>
      </c>
      <c r="AG60" s="32">
        <f t="shared" si="2"/>
        <v>1</v>
      </c>
      <c r="AH60" s="32">
        <v>1</v>
      </c>
      <c r="AI60" s="32">
        <v>1</v>
      </c>
      <c r="AJ60" s="32">
        <v>1</v>
      </c>
      <c r="AK60" s="30">
        <v>1</v>
      </c>
      <c r="AL60" s="32">
        <f t="shared" si="3"/>
        <v>1</v>
      </c>
      <c r="AM60" s="30"/>
      <c r="AN60" s="32">
        <v>1</v>
      </c>
      <c r="AO60" s="32">
        <v>1</v>
      </c>
      <c r="AP60" s="32">
        <v>1</v>
      </c>
      <c r="AQ60" s="32">
        <v>1</v>
      </c>
      <c r="AR60" s="32">
        <v>1</v>
      </c>
      <c r="AS60" s="30"/>
      <c r="AT60" s="32">
        <v>1</v>
      </c>
      <c r="AU60" s="30"/>
      <c r="AV60" s="30"/>
      <c r="AX60" s="2" t="s">
        <v>7966</v>
      </c>
      <c r="AZ60" s="128" t="s">
        <v>7967</v>
      </c>
    </row>
    <row r="61" spans="1:52">
      <c r="A61" s="25" t="s">
        <v>7968</v>
      </c>
      <c r="B61" s="25" t="s">
        <v>4398</v>
      </c>
      <c r="C61" s="25" t="s">
        <v>68</v>
      </c>
      <c r="D61" s="25" t="s">
        <v>7969</v>
      </c>
      <c r="E61" s="258" t="s">
        <v>7970</v>
      </c>
      <c r="F61" s="25" t="s">
        <v>7971</v>
      </c>
      <c r="G61" s="25" t="s">
        <v>7497</v>
      </c>
      <c r="H61" s="124" t="s">
        <v>7903</v>
      </c>
      <c r="I61" s="26" t="s">
        <v>7499</v>
      </c>
      <c r="J61" s="26">
        <v>202606.5</v>
      </c>
      <c r="K61" s="62" t="s">
        <v>7500</v>
      </c>
      <c r="L61" s="25" t="s">
        <v>73</v>
      </c>
      <c r="M61" s="25" t="s">
        <v>7972</v>
      </c>
      <c r="N61" s="25" t="s">
        <v>7973</v>
      </c>
      <c r="O61" s="27" t="s">
        <v>7974</v>
      </c>
      <c r="P61" s="26"/>
      <c r="Q61" s="92">
        <v>4</v>
      </c>
      <c r="R61" s="92" t="s">
        <v>4409</v>
      </c>
      <c r="S61" s="92" t="s">
        <v>7975</v>
      </c>
      <c r="T61" s="26" t="s">
        <v>77</v>
      </c>
      <c r="U61" s="30" t="s">
        <v>78</v>
      </c>
      <c r="V61" s="26" t="s">
        <v>79</v>
      </c>
      <c r="W61" s="38" t="s">
        <v>4997</v>
      </c>
      <c r="X61" s="26" t="s">
        <v>7505</v>
      </c>
      <c r="Y61" s="26" t="s">
        <v>81</v>
      </c>
      <c r="Z61" s="26" t="s">
        <v>81</v>
      </c>
      <c r="AA61" s="26" t="s">
        <v>172</v>
      </c>
      <c r="AB61" s="125" t="s">
        <v>17</v>
      </c>
      <c r="AC61" s="30" t="s">
        <v>172</v>
      </c>
      <c r="AD61" s="25" t="s">
        <v>173</v>
      </c>
      <c r="AE61" s="25" t="s">
        <v>174</v>
      </c>
      <c r="AF61" s="26" t="s">
        <v>175</v>
      </c>
      <c r="AG61" s="32">
        <f t="shared" si="2"/>
        <v>1</v>
      </c>
      <c r="AH61" s="32">
        <v>1</v>
      </c>
      <c r="AI61" s="32">
        <v>1</v>
      </c>
      <c r="AJ61" s="32">
        <v>1</v>
      </c>
      <c r="AK61" s="30">
        <v>1</v>
      </c>
      <c r="AL61" s="32">
        <f t="shared" si="3"/>
        <v>1</v>
      </c>
      <c r="AM61" s="30"/>
      <c r="AN61" s="32">
        <v>1</v>
      </c>
      <c r="AO61" s="32">
        <v>1</v>
      </c>
      <c r="AP61" s="32">
        <v>1</v>
      </c>
      <c r="AQ61" s="32">
        <v>1</v>
      </c>
      <c r="AR61" s="32">
        <v>1</v>
      </c>
      <c r="AS61" s="30"/>
      <c r="AT61" s="32">
        <v>1</v>
      </c>
      <c r="AU61" s="30"/>
      <c r="AV61" s="30"/>
      <c r="AX61" s="2" t="s">
        <v>7880</v>
      </c>
      <c r="AZ61" s="128" t="s">
        <v>7961</v>
      </c>
    </row>
    <row r="62" spans="1:52">
      <c r="A62" s="25" t="s">
        <v>7976</v>
      </c>
      <c r="B62" s="25" t="s">
        <v>4398</v>
      </c>
      <c r="C62" s="25" t="s">
        <v>68</v>
      </c>
      <c r="D62" s="25" t="s">
        <v>7977</v>
      </c>
      <c r="E62" s="258" t="s">
        <v>7978</v>
      </c>
      <c r="F62" s="25" t="s">
        <v>7979</v>
      </c>
      <c r="G62" s="25" t="s">
        <v>7497</v>
      </c>
      <c r="H62" s="124" t="s">
        <v>7903</v>
      </c>
      <c r="I62" s="26" t="s">
        <v>7499</v>
      </c>
      <c r="J62" s="26">
        <v>202606.5</v>
      </c>
      <c r="K62" s="62" t="s">
        <v>7500</v>
      </c>
      <c r="L62" s="25" t="s">
        <v>73</v>
      </c>
      <c r="M62" s="25" t="s">
        <v>7966</v>
      </c>
      <c r="N62" s="25" t="s">
        <v>7980</v>
      </c>
      <c r="O62" s="27" t="s">
        <v>7981</v>
      </c>
      <c r="P62" s="26"/>
      <c r="Q62" s="92">
        <v>4</v>
      </c>
      <c r="R62" s="92" t="s">
        <v>4409</v>
      </c>
      <c r="S62" s="92" t="s">
        <v>7557</v>
      </c>
      <c r="T62" s="26" t="s">
        <v>77</v>
      </c>
      <c r="U62" s="30" t="s">
        <v>78</v>
      </c>
      <c r="V62" s="26" t="s">
        <v>79</v>
      </c>
      <c r="W62" s="38" t="s">
        <v>4997</v>
      </c>
      <c r="X62" s="26" t="s">
        <v>7505</v>
      </c>
      <c r="Y62" s="26" t="s">
        <v>81</v>
      </c>
      <c r="Z62" s="26" t="s">
        <v>81</v>
      </c>
      <c r="AA62" s="26" t="s">
        <v>172</v>
      </c>
      <c r="AB62" s="125" t="s">
        <v>17</v>
      </c>
      <c r="AC62" s="30" t="s">
        <v>172</v>
      </c>
      <c r="AD62" s="25" t="s">
        <v>173</v>
      </c>
      <c r="AE62" s="25" t="s">
        <v>174</v>
      </c>
      <c r="AF62" s="26" t="s">
        <v>175</v>
      </c>
      <c r="AG62" s="32">
        <f t="shared" si="2"/>
        <v>1</v>
      </c>
      <c r="AH62" s="32">
        <v>1</v>
      </c>
      <c r="AI62" s="32">
        <v>1</v>
      </c>
      <c r="AJ62" s="32">
        <v>1</v>
      </c>
      <c r="AK62" s="30">
        <v>1</v>
      </c>
      <c r="AL62" s="32">
        <f t="shared" si="3"/>
        <v>1</v>
      </c>
      <c r="AM62" s="30"/>
      <c r="AN62" s="32">
        <v>1</v>
      </c>
      <c r="AO62" s="32">
        <v>1</v>
      </c>
      <c r="AP62" s="32">
        <v>1</v>
      </c>
      <c r="AQ62" s="32">
        <v>1</v>
      </c>
      <c r="AR62" s="32">
        <v>1</v>
      </c>
      <c r="AS62" s="30"/>
      <c r="AT62" s="32">
        <v>1</v>
      </c>
      <c r="AU62" s="30"/>
      <c r="AV62" s="30"/>
      <c r="AX62" s="2" t="s">
        <v>7727</v>
      </c>
      <c r="AZ62" s="128" t="s">
        <v>7982</v>
      </c>
    </row>
    <row r="63" spans="1:52">
      <c r="A63" s="25" t="s">
        <v>7983</v>
      </c>
      <c r="B63" s="25" t="s">
        <v>4398</v>
      </c>
      <c r="C63" s="25" t="s">
        <v>68</v>
      </c>
      <c r="D63" s="25" t="s">
        <v>7984</v>
      </c>
      <c r="E63" s="258" t="s">
        <v>7985</v>
      </c>
      <c r="F63" s="25" t="s">
        <v>7986</v>
      </c>
      <c r="G63" s="25" t="s">
        <v>7497</v>
      </c>
      <c r="H63" s="124" t="s">
        <v>7903</v>
      </c>
      <c r="I63" s="26" t="s">
        <v>7499</v>
      </c>
      <c r="J63" s="26">
        <v>202606.5</v>
      </c>
      <c r="K63" s="62" t="s">
        <v>7500</v>
      </c>
      <c r="L63" s="25" t="s">
        <v>73</v>
      </c>
      <c r="M63" s="25" t="s">
        <v>7987</v>
      </c>
      <c r="N63" s="25" t="s">
        <v>7988</v>
      </c>
      <c r="O63" s="27" t="s">
        <v>7989</v>
      </c>
      <c r="P63" s="26"/>
      <c r="Q63" s="92">
        <v>4</v>
      </c>
      <c r="R63" s="92" t="s">
        <v>4409</v>
      </c>
      <c r="S63" s="92" t="s">
        <v>7990</v>
      </c>
      <c r="T63" s="26" t="s">
        <v>77</v>
      </c>
      <c r="U63" s="30" t="s">
        <v>78</v>
      </c>
      <c r="V63" s="26" t="s">
        <v>79</v>
      </c>
      <c r="W63" s="38" t="s">
        <v>4997</v>
      </c>
      <c r="X63" s="26" t="s">
        <v>7505</v>
      </c>
      <c r="Y63" s="26" t="s">
        <v>81</v>
      </c>
      <c r="Z63" s="26" t="s">
        <v>81</v>
      </c>
      <c r="AA63" s="26" t="s">
        <v>172</v>
      </c>
      <c r="AB63" s="125" t="s">
        <v>17</v>
      </c>
      <c r="AC63" s="30" t="s">
        <v>172</v>
      </c>
      <c r="AD63" s="25" t="s">
        <v>173</v>
      </c>
      <c r="AE63" s="25" t="s">
        <v>174</v>
      </c>
      <c r="AF63" s="26" t="s">
        <v>175</v>
      </c>
      <c r="AG63" s="32">
        <f t="shared" si="2"/>
        <v>1</v>
      </c>
      <c r="AH63" s="32">
        <v>1</v>
      </c>
      <c r="AI63" s="32">
        <v>1</v>
      </c>
      <c r="AJ63" s="32">
        <v>1</v>
      </c>
      <c r="AK63" s="30">
        <v>1</v>
      </c>
      <c r="AL63" s="32">
        <f t="shared" si="3"/>
        <v>1</v>
      </c>
      <c r="AM63" s="30"/>
      <c r="AN63" s="32">
        <v>1</v>
      </c>
      <c r="AO63" s="32">
        <v>1</v>
      </c>
      <c r="AP63" s="32">
        <v>1</v>
      </c>
      <c r="AQ63" s="32">
        <v>1</v>
      </c>
      <c r="AR63" s="32">
        <v>1</v>
      </c>
      <c r="AS63" s="30"/>
      <c r="AT63" s="32">
        <v>1</v>
      </c>
      <c r="AU63" s="30"/>
      <c r="AV63" s="30"/>
      <c r="AX63" s="2" t="s">
        <v>7991</v>
      </c>
      <c r="AZ63" s="128" t="s">
        <v>7969</v>
      </c>
    </row>
    <row r="64" spans="1:52">
      <c r="A64" s="25" t="s">
        <v>7992</v>
      </c>
      <c r="B64" s="25" t="s">
        <v>4398</v>
      </c>
      <c r="C64" s="25" t="s">
        <v>68</v>
      </c>
      <c r="D64" s="25" t="s">
        <v>7993</v>
      </c>
      <c r="E64" s="258" t="s">
        <v>7994</v>
      </c>
      <c r="F64" s="25" t="s">
        <v>7995</v>
      </c>
      <c r="G64" s="25" t="s">
        <v>7497</v>
      </c>
      <c r="H64" s="124" t="s">
        <v>7903</v>
      </c>
      <c r="I64" s="26" t="s">
        <v>7499</v>
      </c>
      <c r="J64" s="26">
        <v>202606.5</v>
      </c>
      <c r="K64" s="62" t="s">
        <v>7500</v>
      </c>
      <c r="L64" s="25" t="s">
        <v>73</v>
      </c>
      <c r="M64" s="25" t="s">
        <v>7996</v>
      </c>
      <c r="N64" s="25" t="s">
        <v>7997</v>
      </c>
      <c r="O64" s="27" t="s">
        <v>7998</v>
      </c>
      <c r="P64" s="26"/>
      <c r="Q64" s="92">
        <v>4</v>
      </c>
      <c r="R64" s="92" t="s">
        <v>4409</v>
      </c>
      <c r="S64" s="92" t="s">
        <v>7999</v>
      </c>
      <c r="T64" s="26" t="s">
        <v>77</v>
      </c>
      <c r="U64" s="30" t="s">
        <v>78</v>
      </c>
      <c r="V64" s="26" t="s">
        <v>79</v>
      </c>
      <c r="W64" s="38" t="s">
        <v>4997</v>
      </c>
      <c r="X64" s="26" t="s">
        <v>7505</v>
      </c>
      <c r="Y64" s="26" t="s">
        <v>81</v>
      </c>
      <c r="Z64" s="26" t="s">
        <v>81</v>
      </c>
      <c r="AA64" s="26" t="s">
        <v>172</v>
      </c>
      <c r="AB64" s="125" t="s">
        <v>17</v>
      </c>
      <c r="AC64" s="30" t="s">
        <v>172</v>
      </c>
      <c r="AD64" s="25" t="s">
        <v>173</v>
      </c>
      <c r="AE64" s="25" t="s">
        <v>174</v>
      </c>
      <c r="AF64" s="26" t="s">
        <v>175</v>
      </c>
      <c r="AG64" s="32">
        <f t="shared" si="2"/>
        <v>1</v>
      </c>
      <c r="AH64" s="32">
        <v>1</v>
      </c>
      <c r="AI64" s="32">
        <v>1</v>
      </c>
      <c r="AJ64" s="32">
        <v>1</v>
      </c>
      <c r="AK64" s="30">
        <v>1</v>
      </c>
      <c r="AL64" s="32">
        <f t="shared" si="3"/>
        <v>1</v>
      </c>
      <c r="AM64" s="30"/>
      <c r="AN64" s="32">
        <v>1</v>
      </c>
      <c r="AO64" s="32">
        <v>1</v>
      </c>
      <c r="AP64" s="32">
        <v>1</v>
      </c>
      <c r="AQ64" s="32">
        <v>1</v>
      </c>
      <c r="AR64" s="32">
        <v>1</v>
      </c>
      <c r="AS64" s="30"/>
      <c r="AT64" s="32">
        <v>1</v>
      </c>
      <c r="AU64" s="30"/>
      <c r="AV64" s="30"/>
      <c r="AX64" s="2" t="s">
        <v>7932</v>
      </c>
      <c r="AZ64" s="128" t="s">
        <v>8000</v>
      </c>
    </row>
    <row r="65" spans="1:52">
      <c r="A65" s="25" t="s">
        <v>8001</v>
      </c>
      <c r="B65" s="25" t="s">
        <v>4398</v>
      </c>
      <c r="C65" s="25" t="s">
        <v>68</v>
      </c>
      <c r="D65" s="25" t="s">
        <v>8002</v>
      </c>
      <c r="E65" s="258" t="s">
        <v>8003</v>
      </c>
      <c r="F65" s="25" t="s">
        <v>8004</v>
      </c>
      <c r="G65" s="25" t="s">
        <v>7497</v>
      </c>
      <c r="H65" s="124" t="s">
        <v>7903</v>
      </c>
      <c r="I65" s="26" t="s">
        <v>7499</v>
      </c>
      <c r="J65" s="26">
        <v>202606.5</v>
      </c>
      <c r="K65" s="62" t="s">
        <v>7500</v>
      </c>
      <c r="L65" s="25" t="s">
        <v>73</v>
      </c>
      <c r="M65" s="25" t="s">
        <v>7821</v>
      </c>
      <c r="N65" s="25" t="s">
        <v>8005</v>
      </c>
      <c r="O65" s="27" t="s">
        <v>8006</v>
      </c>
      <c r="P65" s="26"/>
      <c r="Q65" s="92">
        <v>4</v>
      </c>
      <c r="R65" s="92" t="s">
        <v>4409</v>
      </c>
      <c r="S65" s="92" t="s">
        <v>8007</v>
      </c>
      <c r="T65" s="26" t="s">
        <v>77</v>
      </c>
      <c r="U65" s="30" t="s">
        <v>78</v>
      </c>
      <c r="V65" s="26" t="s">
        <v>79</v>
      </c>
      <c r="W65" s="38" t="s">
        <v>4997</v>
      </c>
      <c r="X65" s="26" t="s">
        <v>7505</v>
      </c>
      <c r="Y65" s="26" t="s">
        <v>81</v>
      </c>
      <c r="Z65" s="26" t="s">
        <v>81</v>
      </c>
      <c r="AA65" s="26" t="s">
        <v>172</v>
      </c>
      <c r="AB65" s="125" t="s">
        <v>17</v>
      </c>
      <c r="AC65" s="30" t="s">
        <v>172</v>
      </c>
      <c r="AD65" s="25" t="s">
        <v>173</v>
      </c>
      <c r="AE65" s="25" t="s">
        <v>174</v>
      </c>
      <c r="AF65" s="26" t="s">
        <v>175</v>
      </c>
      <c r="AG65" s="32">
        <f t="shared" si="2"/>
        <v>1</v>
      </c>
      <c r="AH65" s="32">
        <v>1</v>
      </c>
      <c r="AI65" s="32">
        <v>1</v>
      </c>
      <c r="AJ65" s="32">
        <v>1</v>
      </c>
      <c r="AK65" s="30">
        <v>1</v>
      </c>
      <c r="AL65" s="32">
        <f t="shared" si="3"/>
        <v>1</v>
      </c>
      <c r="AM65" s="30"/>
      <c r="AN65" s="32">
        <v>1</v>
      </c>
      <c r="AO65" s="32">
        <v>1</v>
      </c>
      <c r="AP65" s="32">
        <v>1</v>
      </c>
      <c r="AQ65" s="32">
        <v>1</v>
      </c>
      <c r="AR65" s="32">
        <v>1</v>
      </c>
      <c r="AS65" s="30"/>
      <c r="AT65" s="32">
        <v>1</v>
      </c>
      <c r="AU65" s="30"/>
      <c r="AV65" s="30"/>
      <c r="AX65" s="2" t="s">
        <v>8008</v>
      </c>
      <c r="AZ65" s="128" t="s">
        <v>7977</v>
      </c>
    </row>
    <row r="66" spans="1:52">
      <c r="A66" s="25" t="s">
        <v>8009</v>
      </c>
      <c r="B66" s="25" t="s">
        <v>4398</v>
      </c>
      <c r="C66" s="25" t="s">
        <v>73</v>
      </c>
      <c r="D66" s="25" t="s">
        <v>8010</v>
      </c>
      <c r="E66" s="258" t="s">
        <v>8011</v>
      </c>
      <c r="F66" s="25" t="s">
        <v>8012</v>
      </c>
      <c r="G66" s="25" t="s">
        <v>7497</v>
      </c>
      <c r="H66" s="124" t="s">
        <v>7903</v>
      </c>
      <c r="I66" s="26" t="s">
        <v>7499</v>
      </c>
      <c r="J66" s="26">
        <v>202606.5</v>
      </c>
      <c r="K66" s="62" t="s">
        <v>7500</v>
      </c>
      <c r="L66" s="25" t="s">
        <v>73</v>
      </c>
      <c r="M66" s="25" t="s">
        <v>8013</v>
      </c>
      <c r="N66" s="25" t="s">
        <v>8014</v>
      </c>
      <c r="O66" s="27" t="s">
        <v>8015</v>
      </c>
      <c r="P66" s="26"/>
      <c r="Q66" s="32">
        <v>4</v>
      </c>
      <c r="R66" s="32">
        <v>16</v>
      </c>
      <c r="S66" s="32">
        <v>266.73</v>
      </c>
      <c r="T66" s="26" t="s">
        <v>77</v>
      </c>
      <c r="U66" s="30" t="s">
        <v>78</v>
      </c>
      <c r="V66" s="26" t="s">
        <v>79</v>
      </c>
      <c r="W66" s="38" t="s">
        <v>4997</v>
      </c>
      <c r="X66" s="26" t="s">
        <v>7505</v>
      </c>
      <c r="Y66" s="26" t="s">
        <v>81</v>
      </c>
      <c r="Z66" s="26" t="s">
        <v>81</v>
      </c>
      <c r="AA66" s="26" t="s">
        <v>172</v>
      </c>
      <c r="AB66" s="125" t="s">
        <v>17</v>
      </c>
      <c r="AC66" s="30" t="s">
        <v>172</v>
      </c>
      <c r="AD66" s="25" t="s">
        <v>7629</v>
      </c>
      <c r="AE66" s="117" t="s">
        <v>174</v>
      </c>
      <c r="AF66" s="26" t="s">
        <v>175</v>
      </c>
      <c r="AG66" s="32">
        <f t="shared" si="2"/>
        <v>1</v>
      </c>
      <c r="AH66" s="32">
        <v>1</v>
      </c>
      <c r="AI66" s="32">
        <v>1</v>
      </c>
      <c r="AJ66" s="32">
        <v>1</v>
      </c>
      <c r="AK66" s="30">
        <v>1</v>
      </c>
      <c r="AL66" s="32">
        <f t="shared" si="3"/>
        <v>1</v>
      </c>
      <c r="AM66" s="30"/>
      <c r="AN66" s="32">
        <v>1</v>
      </c>
      <c r="AO66" s="32">
        <v>1</v>
      </c>
      <c r="AP66" s="32">
        <v>1</v>
      </c>
      <c r="AQ66" s="32">
        <v>1</v>
      </c>
      <c r="AR66" s="32">
        <v>1</v>
      </c>
      <c r="AS66" s="30"/>
      <c r="AT66" s="32">
        <v>1</v>
      </c>
      <c r="AU66" s="30"/>
      <c r="AV66" s="30"/>
      <c r="AX66" s="2" t="s">
        <v>7788</v>
      </c>
      <c r="AZ66" s="128" t="s">
        <v>7984</v>
      </c>
    </row>
    <row r="67" spans="1:52">
      <c r="A67" s="25" t="s">
        <v>8016</v>
      </c>
      <c r="B67" s="25" t="s">
        <v>4398</v>
      </c>
      <c r="C67" s="25" t="s">
        <v>73</v>
      </c>
      <c r="D67" s="25" t="s">
        <v>8017</v>
      </c>
      <c r="E67" s="258" t="s">
        <v>8018</v>
      </c>
      <c r="F67" s="25" t="s">
        <v>8019</v>
      </c>
      <c r="G67" s="25" t="s">
        <v>7497</v>
      </c>
      <c r="H67" s="124" t="s">
        <v>7903</v>
      </c>
      <c r="I67" s="26" t="s">
        <v>7499</v>
      </c>
      <c r="J67" s="26">
        <v>202606.5</v>
      </c>
      <c r="K67" s="62" t="s">
        <v>7500</v>
      </c>
      <c r="L67" s="25" t="s">
        <v>73</v>
      </c>
      <c r="M67" s="25" t="s">
        <v>7814</v>
      </c>
      <c r="N67" s="25" t="s">
        <v>8020</v>
      </c>
      <c r="O67" s="27" t="s">
        <v>8021</v>
      </c>
      <c r="P67" s="26"/>
      <c r="Q67" s="32">
        <v>4</v>
      </c>
      <c r="R67" s="32">
        <v>16</v>
      </c>
      <c r="S67" s="32">
        <v>267.02999999999997</v>
      </c>
      <c r="T67" s="26" t="s">
        <v>77</v>
      </c>
      <c r="U67" s="30" t="s">
        <v>78</v>
      </c>
      <c r="V67" s="26" t="s">
        <v>79</v>
      </c>
      <c r="W67" s="38" t="s">
        <v>4997</v>
      </c>
      <c r="X67" s="26" t="s">
        <v>7505</v>
      </c>
      <c r="Y67" s="26" t="s">
        <v>81</v>
      </c>
      <c r="Z67" s="26" t="s">
        <v>81</v>
      </c>
      <c r="AA67" s="26" t="s">
        <v>172</v>
      </c>
      <c r="AB67" s="125" t="s">
        <v>17</v>
      </c>
      <c r="AC67" s="30" t="s">
        <v>172</v>
      </c>
      <c r="AD67" s="25" t="s">
        <v>7629</v>
      </c>
      <c r="AE67" s="117" t="s">
        <v>174</v>
      </c>
      <c r="AF67" s="26" t="s">
        <v>175</v>
      </c>
      <c r="AG67" s="32">
        <f t="shared" ref="AG67:AG96" si="4">IF(COUNTIF(AZ:AZ,D67)&gt;0,1,0)</f>
        <v>1</v>
      </c>
      <c r="AH67" s="32">
        <v>1</v>
      </c>
      <c r="AI67" s="32">
        <v>1</v>
      </c>
      <c r="AJ67" s="32">
        <v>1</v>
      </c>
      <c r="AK67" s="30">
        <v>1</v>
      </c>
      <c r="AL67" s="32">
        <f t="shared" ref="AL67:AL97" si="5">IF(COUNTIF(AX:AX,"*"&amp;M67&amp;"*")&gt;0,1,0)</f>
        <v>1</v>
      </c>
      <c r="AM67" s="30"/>
      <c r="AN67" s="32">
        <v>1</v>
      </c>
      <c r="AO67" s="32">
        <v>1</v>
      </c>
      <c r="AP67" s="32">
        <v>1</v>
      </c>
      <c r="AQ67" s="32">
        <v>1</v>
      </c>
      <c r="AR67" s="32">
        <v>1</v>
      </c>
      <c r="AS67" s="30"/>
      <c r="AT67" s="32">
        <v>1</v>
      </c>
      <c r="AU67" s="30"/>
      <c r="AV67" s="30"/>
      <c r="AX67" s="2" t="s">
        <v>7545</v>
      </c>
      <c r="AZ67" s="128" t="s">
        <v>7993</v>
      </c>
    </row>
    <row r="68" spans="1:52">
      <c r="A68" s="25" t="s">
        <v>8022</v>
      </c>
      <c r="B68" s="25" t="s">
        <v>4398</v>
      </c>
      <c r="C68" s="25" t="s">
        <v>68</v>
      </c>
      <c r="D68" s="25" t="s">
        <v>7951</v>
      </c>
      <c r="E68" s="258" t="s">
        <v>8023</v>
      </c>
      <c r="F68" s="25" t="s">
        <v>8024</v>
      </c>
      <c r="G68" s="25" t="s">
        <v>7497</v>
      </c>
      <c r="H68" s="124" t="s">
        <v>8025</v>
      </c>
      <c r="I68" s="26" t="s">
        <v>7499</v>
      </c>
      <c r="J68" s="26">
        <v>202606.5</v>
      </c>
      <c r="K68" s="62" t="s">
        <v>7500</v>
      </c>
      <c r="L68" s="25" t="s">
        <v>73</v>
      </c>
      <c r="M68" s="25" t="s">
        <v>7991</v>
      </c>
      <c r="N68" s="25" t="s">
        <v>8026</v>
      </c>
      <c r="O68" s="27" t="s">
        <v>8027</v>
      </c>
      <c r="P68" s="26"/>
      <c r="Q68" s="92">
        <v>4</v>
      </c>
      <c r="R68" s="92" t="s">
        <v>4409</v>
      </c>
      <c r="S68" s="92" t="s">
        <v>7806</v>
      </c>
      <c r="T68" s="26" t="s">
        <v>77</v>
      </c>
      <c r="U68" s="30" t="s">
        <v>78</v>
      </c>
      <c r="V68" s="26" t="s">
        <v>79</v>
      </c>
      <c r="W68" s="38" t="s">
        <v>4997</v>
      </c>
      <c r="X68" s="26" t="s">
        <v>7505</v>
      </c>
      <c r="Y68" s="26" t="s">
        <v>81</v>
      </c>
      <c r="Z68" s="26" t="s">
        <v>81</v>
      </c>
      <c r="AA68" s="26" t="s">
        <v>172</v>
      </c>
      <c r="AB68" s="125" t="s">
        <v>17</v>
      </c>
      <c r="AC68" s="30" t="s">
        <v>172</v>
      </c>
      <c r="AD68" s="25" t="s">
        <v>173</v>
      </c>
      <c r="AE68" s="25" t="s">
        <v>174</v>
      </c>
      <c r="AF68" s="26" t="s">
        <v>175</v>
      </c>
      <c r="AG68" s="32">
        <f t="shared" si="4"/>
        <v>1</v>
      </c>
      <c r="AH68" s="32">
        <v>1</v>
      </c>
      <c r="AI68" s="32">
        <v>1</v>
      </c>
      <c r="AJ68" s="32">
        <v>1</v>
      </c>
      <c r="AK68" s="30">
        <v>1</v>
      </c>
      <c r="AL68" s="32">
        <f t="shared" si="5"/>
        <v>1</v>
      </c>
      <c r="AM68" s="30"/>
      <c r="AN68" s="32">
        <v>1</v>
      </c>
      <c r="AO68" s="32">
        <v>1</v>
      </c>
      <c r="AP68" s="32">
        <v>1</v>
      </c>
      <c r="AQ68" s="32">
        <v>1</v>
      </c>
      <c r="AR68" s="32">
        <v>1</v>
      </c>
      <c r="AS68" s="30"/>
      <c r="AT68" s="32">
        <v>1</v>
      </c>
      <c r="AU68" s="30"/>
      <c r="AV68" s="30"/>
      <c r="AX68" s="2" t="s">
        <v>7803</v>
      </c>
      <c r="AZ68" s="128" t="s">
        <v>8002</v>
      </c>
    </row>
    <row r="69" spans="1:52">
      <c r="A69" s="25" t="s">
        <v>8028</v>
      </c>
      <c r="B69" s="25" t="s">
        <v>4398</v>
      </c>
      <c r="C69" s="25" t="s">
        <v>68</v>
      </c>
      <c r="D69" s="25" t="s">
        <v>7959</v>
      </c>
      <c r="E69" s="258" t="s">
        <v>8029</v>
      </c>
      <c r="F69" s="25" t="s">
        <v>8030</v>
      </c>
      <c r="G69" s="25" t="s">
        <v>7497</v>
      </c>
      <c r="H69" s="124" t="s">
        <v>8025</v>
      </c>
      <c r="I69" s="26" t="s">
        <v>7499</v>
      </c>
      <c r="J69" s="26">
        <v>202606.5</v>
      </c>
      <c r="K69" s="62" t="s">
        <v>7500</v>
      </c>
      <c r="L69" s="25" t="s">
        <v>73</v>
      </c>
      <c r="M69" s="25" t="s">
        <v>8008</v>
      </c>
      <c r="N69" s="25" t="s">
        <v>8031</v>
      </c>
      <c r="O69" s="27" t="s">
        <v>8032</v>
      </c>
      <c r="P69" s="26"/>
      <c r="Q69" s="92">
        <v>4</v>
      </c>
      <c r="R69" s="92" t="s">
        <v>4409</v>
      </c>
      <c r="S69" s="92" t="s">
        <v>8033</v>
      </c>
      <c r="T69" s="26" t="s">
        <v>77</v>
      </c>
      <c r="U69" s="30" t="s">
        <v>78</v>
      </c>
      <c r="V69" s="26" t="s">
        <v>79</v>
      </c>
      <c r="W69" s="38" t="s">
        <v>4997</v>
      </c>
      <c r="X69" s="26" t="s">
        <v>7505</v>
      </c>
      <c r="Y69" s="26" t="s">
        <v>81</v>
      </c>
      <c r="Z69" s="26" t="s">
        <v>81</v>
      </c>
      <c r="AA69" s="26" t="s">
        <v>172</v>
      </c>
      <c r="AB69" s="125" t="s">
        <v>17</v>
      </c>
      <c r="AC69" s="30" t="s">
        <v>172</v>
      </c>
      <c r="AD69" s="25" t="s">
        <v>173</v>
      </c>
      <c r="AE69" s="25" t="s">
        <v>174</v>
      </c>
      <c r="AF69" s="26" t="s">
        <v>175</v>
      </c>
      <c r="AG69" s="32">
        <f t="shared" si="4"/>
        <v>1</v>
      </c>
      <c r="AH69" s="32">
        <v>1</v>
      </c>
      <c r="AI69" s="32">
        <v>1</v>
      </c>
      <c r="AJ69" s="32">
        <v>1</v>
      </c>
      <c r="AK69" s="30">
        <v>1</v>
      </c>
      <c r="AL69" s="32">
        <f t="shared" si="5"/>
        <v>1</v>
      </c>
      <c r="AM69" s="30"/>
      <c r="AN69" s="32">
        <v>1</v>
      </c>
      <c r="AO69" s="32">
        <v>1</v>
      </c>
      <c r="AP69" s="32">
        <v>1</v>
      </c>
      <c r="AQ69" s="32">
        <v>1</v>
      </c>
      <c r="AR69" s="32">
        <v>1</v>
      </c>
      <c r="AS69" s="30"/>
      <c r="AT69" s="32">
        <v>1</v>
      </c>
      <c r="AU69" s="30"/>
      <c r="AV69" s="30"/>
      <c r="AX69" s="2" t="s">
        <v>7811</v>
      </c>
      <c r="AZ69" s="128" t="s">
        <v>8010</v>
      </c>
    </row>
    <row r="70" spans="1:52">
      <c r="A70" s="25" t="s">
        <v>8034</v>
      </c>
      <c r="B70" s="25" t="s">
        <v>4398</v>
      </c>
      <c r="C70" s="25" t="s">
        <v>68</v>
      </c>
      <c r="D70" s="25" t="s">
        <v>8035</v>
      </c>
      <c r="E70" s="258" t="s">
        <v>8036</v>
      </c>
      <c r="F70" s="25" t="s">
        <v>8037</v>
      </c>
      <c r="G70" s="25" t="s">
        <v>7497</v>
      </c>
      <c r="H70" s="124" t="s">
        <v>8025</v>
      </c>
      <c r="I70" s="26" t="s">
        <v>7499</v>
      </c>
      <c r="J70" s="26">
        <v>202606.5</v>
      </c>
      <c r="K70" s="62" t="s">
        <v>7500</v>
      </c>
      <c r="L70" s="25" t="s">
        <v>73</v>
      </c>
      <c r="M70" s="25" t="s">
        <v>8038</v>
      </c>
      <c r="N70" s="25" t="s">
        <v>8039</v>
      </c>
      <c r="O70" s="27" t="s">
        <v>8040</v>
      </c>
      <c r="P70" s="26"/>
      <c r="Q70" s="92">
        <v>4</v>
      </c>
      <c r="R70" s="92" t="s">
        <v>4409</v>
      </c>
      <c r="S70" s="92" t="s">
        <v>7739</v>
      </c>
      <c r="T70" s="26" t="s">
        <v>77</v>
      </c>
      <c r="U70" s="30" t="s">
        <v>78</v>
      </c>
      <c r="V70" s="26" t="s">
        <v>79</v>
      </c>
      <c r="W70" s="38" t="s">
        <v>4997</v>
      </c>
      <c r="X70" s="26" t="s">
        <v>7505</v>
      </c>
      <c r="Y70" s="26" t="s">
        <v>81</v>
      </c>
      <c r="Z70" s="26" t="s">
        <v>81</v>
      </c>
      <c r="AA70" s="26" t="s">
        <v>172</v>
      </c>
      <c r="AB70" s="125" t="s">
        <v>17</v>
      </c>
      <c r="AC70" s="30" t="s">
        <v>172</v>
      </c>
      <c r="AD70" s="25" t="s">
        <v>173</v>
      </c>
      <c r="AE70" s="25" t="s">
        <v>174</v>
      </c>
      <c r="AF70" s="26" t="s">
        <v>175</v>
      </c>
      <c r="AG70" s="32">
        <f t="shared" si="4"/>
        <v>1</v>
      </c>
      <c r="AH70" s="32">
        <v>1</v>
      </c>
      <c r="AI70" s="32">
        <v>1</v>
      </c>
      <c r="AJ70" s="32">
        <v>1</v>
      </c>
      <c r="AK70" s="30">
        <v>1</v>
      </c>
      <c r="AL70" s="32">
        <f t="shared" si="5"/>
        <v>1</v>
      </c>
      <c r="AM70" s="30"/>
      <c r="AN70" s="32">
        <v>1</v>
      </c>
      <c r="AO70" s="32">
        <v>1</v>
      </c>
      <c r="AP70" s="32">
        <v>1</v>
      </c>
      <c r="AQ70" s="32">
        <v>1</v>
      </c>
      <c r="AR70" s="32">
        <v>1</v>
      </c>
      <c r="AS70" s="30"/>
      <c r="AT70" s="32">
        <v>1</v>
      </c>
      <c r="AU70" s="30"/>
      <c r="AV70" s="30"/>
      <c r="AX70" s="2" t="s">
        <v>8041</v>
      </c>
      <c r="AZ70" s="128" t="s">
        <v>8017</v>
      </c>
    </row>
    <row r="71" spans="1:52">
      <c r="A71" s="25" t="s">
        <v>8042</v>
      </c>
      <c r="B71" s="25" t="s">
        <v>4398</v>
      </c>
      <c r="C71" s="25" t="s">
        <v>68</v>
      </c>
      <c r="D71" s="25" t="s">
        <v>7967</v>
      </c>
      <c r="E71" s="258" t="s">
        <v>8043</v>
      </c>
      <c r="F71" s="25" t="s">
        <v>8044</v>
      </c>
      <c r="G71" s="25" t="s">
        <v>7497</v>
      </c>
      <c r="H71" s="124" t="s">
        <v>8025</v>
      </c>
      <c r="I71" s="26" t="s">
        <v>7499</v>
      </c>
      <c r="J71" s="26">
        <v>202606.5</v>
      </c>
      <c r="K71" s="62" t="s">
        <v>7500</v>
      </c>
      <c r="L71" s="25" t="s">
        <v>73</v>
      </c>
      <c r="M71" s="25" t="s">
        <v>7698</v>
      </c>
      <c r="N71" s="25" t="s">
        <v>8045</v>
      </c>
      <c r="O71" s="27" t="s">
        <v>8046</v>
      </c>
      <c r="P71" s="26"/>
      <c r="Q71" s="92">
        <v>4</v>
      </c>
      <c r="R71" s="92" t="s">
        <v>4409</v>
      </c>
      <c r="S71" s="92" t="s">
        <v>4448</v>
      </c>
      <c r="T71" s="26" t="s">
        <v>77</v>
      </c>
      <c r="U71" s="30" t="s">
        <v>78</v>
      </c>
      <c r="V71" s="26" t="s">
        <v>79</v>
      </c>
      <c r="W71" s="38" t="s">
        <v>4997</v>
      </c>
      <c r="X71" s="26" t="s">
        <v>7505</v>
      </c>
      <c r="Y71" s="26" t="s">
        <v>81</v>
      </c>
      <c r="Z71" s="26" t="s">
        <v>81</v>
      </c>
      <c r="AA71" s="26" t="s">
        <v>172</v>
      </c>
      <c r="AB71" s="125" t="s">
        <v>17</v>
      </c>
      <c r="AC71" s="30" t="s">
        <v>172</v>
      </c>
      <c r="AD71" s="25" t="s">
        <v>173</v>
      </c>
      <c r="AE71" s="25" t="s">
        <v>174</v>
      </c>
      <c r="AF71" s="26" t="s">
        <v>175</v>
      </c>
      <c r="AG71" s="32">
        <f t="shared" si="4"/>
        <v>1</v>
      </c>
      <c r="AH71" s="32">
        <v>1</v>
      </c>
      <c r="AI71" s="32">
        <v>1</v>
      </c>
      <c r="AJ71" s="32">
        <v>1</v>
      </c>
      <c r="AK71" s="30">
        <v>1</v>
      </c>
      <c r="AL71" s="32">
        <f t="shared" si="5"/>
        <v>1</v>
      </c>
      <c r="AM71" s="30"/>
      <c r="AN71" s="32">
        <v>1</v>
      </c>
      <c r="AO71" s="32">
        <v>1</v>
      </c>
      <c r="AP71" s="32">
        <v>1</v>
      </c>
      <c r="AQ71" s="32">
        <v>1</v>
      </c>
      <c r="AR71" s="32">
        <v>1</v>
      </c>
      <c r="AS71" s="30"/>
      <c r="AT71" s="32">
        <v>1</v>
      </c>
      <c r="AU71" s="30"/>
      <c r="AV71" s="30"/>
      <c r="AX71" s="2" t="s">
        <v>7702</v>
      </c>
      <c r="AZ71" s="128" t="s">
        <v>8047</v>
      </c>
    </row>
    <row r="72" spans="1:52">
      <c r="A72" s="25" t="s">
        <v>8048</v>
      </c>
      <c r="B72" s="25" t="s">
        <v>4398</v>
      </c>
      <c r="C72" s="25" t="s">
        <v>68</v>
      </c>
      <c r="D72" s="25" t="s">
        <v>7982</v>
      </c>
      <c r="E72" s="258" t="s">
        <v>8049</v>
      </c>
      <c r="F72" s="25" t="s">
        <v>8050</v>
      </c>
      <c r="G72" s="25" t="s">
        <v>7497</v>
      </c>
      <c r="H72" s="124" t="s">
        <v>8025</v>
      </c>
      <c r="I72" s="26" t="s">
        <v>7499</v>
      </c>
      <c r="J72" s="26">
        <v>202606.5</v>
      </c>
      <c r="K72" s="62" t="s">
        <v>7500</v>
      </c>
      <c r="L72" s="25" t="s">
        <v>73</v>
      </c>
      <c r="M72" s="25" t="s">
        <v>8051</v>
      </c>
      <c r="N72" s="25" t="s">
        <v>8052</v>
      </c>
      <c r="O72" s="27" t="s">
        <v>8053</v>
      </c>
      <c r="P72" s="26"/>
      <c r="Q72" s="92">
        <v>4</v>
      </c>
      <c r="R72" s="92" t="s">
        <v>4409</v>
      </c>
      <c r="S72" s="92" t="s">
        <v>8054</v>
      </c>
      <c r="T72" s="26" t="s">
        <v>77</v>
      </c>
      <c r="U72" s="30" t="s">
        <v>78</v>
      </c>
      <c r="V72" s="26" t="s">
        <v>79</v>
      </c>
      <c r="W72" s="38" t="s">
        <v>4997</v>
      </c>
      <c r="X72" s="26" t="s">
        <v>7505</v>
      </c>
      <c r="Y72" s="26" t="s">
        <v>81</v>
      </c>
      <c r="Z72" s="26" t="s">
        <v>81</v>
      </c>
      <c r="AA72" s="26" t="s">
        <v>172</v>
      </c>
      <c r="AB72" s="125" t="s">
        <v>17</v>
      </c>
      <c r="AC72" s="30" t="s">
        <v>172</v>
      </c>
      <c r="AD72" s="25" t="s">
        <v>173</v>
      </c>
      <c r="AE72" s="25" t="s">
        <v>174</v>
      </c>
      <c r="AF72" s="26" t="s">
        <v>175</v>
      </c>
      <c r="AG72" s="32">
        <f t="shared" si="4"/>
        <v>1</v>
      </c>
      <c r="AH72" s="32">
        <v>1</v>
      </c>
      <c r="AI72" s="32">
        <v>1</v>
      </c>
      <c r="AJ72" s="32">
        <v>1</v>
      </c>
      <c r="AK72" s="30">
        <v>1</v>
      </c>
      <c r="AL72" s="32">
        <f t="shared" si="5"/>
        <v>1</v>
      </c>
      <c r="AM72" s="30"/>
      <c r="AN72" s="32">
        <v>1</v>
      </c>
      <c r="AO72" s="32">
        <v>1</v>
      </c>
      <c r="AP72" s="32">
        <v>1</v>
      </c>
      <c r="AQ72" s="32">
        <v>1</v>
      </c>
      <c r="AR72" s="32">
        <v>1</v>
      </c>
      <c r="AS72" s="30"/>
      <c r="AT72" s="32">
        <v>1</v>
      </c>
      <c r="AU72" s="30"/>
      <c r="AV72" s="30"/>
      <c r="AX72" s="2" t="s">
        <v>7710</v>
      </c>
      <c r="AZ72" s="128" t="s">
        <v>8055</v>
      </c>
    </row>
    <row r="73" spans="1:52">
      <c r="A73" s="25" t="s">
        <v>8056</v>
      </c>
      <c r="B73" s="25" t="s">
        <v>4398</v>
      </c>
      <c r="C73" s="25" t="s">
        <v>68</v>
      </c>
      <c r="D73" s="25" t="s">
        <v>8000</v>
      </c>
      <c r="E73" s="258" t="s">
        <v>8057</v>
      </c>
      <c r="F73" s="25" t="s">
        <v>8058</v>
      </c>
      <c r="G73" s="25" t="s">
        <v>7497</v>
      </c>
      <c r="H73" s="124" t="s">
        <v>8025</v>
      </c>
      <c r="I73" s="26" t="s">
        <v>7499</v>
      </c>
      <c r="J73" s="26">
        <v>202606.5</v>
      </c>
      <c r="K73" s="62" t="s">
        <v>7500</v>
      </c>
      <c r="L73" s="25" t="s">
        <v>73</v>
      </c>
      <c r="M73" s="25" t="s">
        <v>8059</v>
      </c>
      <c r="N73" s="25" t="s">
        <v>8060</v>
      </c>
      <c r="O73" s="27" t="s">
        <v>8061</v>
      </c>
      <c r="P73" s="26"/>
      <c r="Q73" s="92">
        <v>4</v>
      </c>
      <c r="R73" s="92" t="s">
        <v>4409</v>
      </c>
      <c r="S73" s="92" t="s">
        <v>8062</v>
      </c>
      <c r="T73" s="26" t="s">
        <v>77</v>
      </c>
      <c r="U73" s="30" t="s">
        <v>78</v>
      </c>
      <c r="V73" s="26" t="s">
        <v>79</v>
      </c>
      <c r="W73" s="38" t="s">
        <v>4997</v>
      </c>
      <c r="X73" s="26" t="s">
        <v>7505</v>
      </c>
      <c r="Y73" s="26" t="s">
        <v>81</v>
      </c>
      <c r="Z73" s="26" t="s">
        <v>81</v>
      </c>
      <c r="AA73" s="26" t="s">
        <v>172</v>
      </c>
      <c r="AB73" s="125" t="s">
        <v>17</v>
      </c>
      <c r="AC73" s="30" t="s">
        <v>172</v>
      </c>
      <c r="AD73" s="25" t="s">
        <v>173</v>
      </c>
      <c r="AE73" s="25" t="s">
        <v>174</v>
      </c>
      <c r="AF73" s="26" t="s">
        <v>175</v>
      </c>
      <c r="AG73" s="32">
        <f t="shared" si="4"/>
        <v>1</v>
      </c>
      <c r="AH73" s="32">
        <v>1</v>
      </c>
      <c r="AI73" s="32">
        <v>1</v>
      </c>
      <c r="AJ73" s="32">
        <v>1</v>
      </c>
      <c r="AK73" s="30">
        <v>1</v>
      </c>
      <c r="AL73" s="32">
        <f t="shared" si="5"/>
        <v>1</v>
      </c>
      <c r="AM73" s="30"/>
      <c r="AN73" s="32">
        <v>1</v>
      </c>
      <c r="AO73" s="32">
        <v>1</v>
      </c>
      <c r="AP73" s="32">
        <v>1</v>
      </c>
      <c r="AQ73" s="32">
        <v>1</v>
      </c>
      <c r="AR73" s="32">
        <v>1</v>
      </c>
      <c r="AS73" s="30"/>
      <c r="AT73" s="32">
        <v>1</v>
      </c>
      <c r="AU73" s="30"/>
      <c r="AV73" s="30"/>
      <c r="AX73" s="2" t="s">
        <v>7854</v>
      </c>
      <c r="AZ73" s="128" t="s">
        <v>8063</v>
      </c>
    </row>
    <row r="74" spans="1:52">
      <c r="A74" s="25" t="s">
        <v>8064</v>
      </c>
      <c r="B74" s="25" t="s">
        <v>4398</v>
      </c>
      <c r="C74" s="25" t="s">
        <v>68</v>
      </c>
      <c r="D74" s="25" t="s">
        <v>8065</v>
      </c>
      <c r="E74" s="258" t="s">
        <v>8066</v>
      </c>
      <c r="F74" s="25" t="s">
        <v>8067</v>
      </c>
      <c r="G74" s="25" t="s">
        <v>7497</v>
      </c>
      <c r="H74" s="124" t="s">
        <v>8025</v>
      </c>
      <c r="I74" s="26" t="s">
        <v>7499</v>
      </c>
      <c r="J74" s="26">
        <v>202606.5</v>
      </c>
      <c r="K74" s="62" t="s">
        <v>7500</v>
      </c>
      <c r="L74" s="25" t="s">
        <v>73</v>
      </c>
      <c r="M74" s="25" t="s">
        <v>7747</v>
      </c>
      <c r="N74" s="25" t="s">
        <v>8068</v>
      </c>
      <c r="O74" s="27" t="s">
        <v>8069</v>
      </c>
      <c r="P74" s="26"/>
      <c r="Q74" s="92">
        <v>4</v>
      </c>
      <c r="R74" s="92" t="s">
        <v>4409</v>
      </c>
      <c r="S74" s="92" t="s">
        <v>8070</v>
      </c>
      <c r="T74" s="26" t="s">
        <v>77</v>
      </c>
      <c r="U74" s="30" t="s">
        <v>78</v>
      </c>
      <c r="V74" s="26" t="s">
        <v>79</v>
      </c>
      <c r="W74" s="38" t="s">
        <v>5168</v>
      </c>
      <c r="X74" s="26" t="s">
        <v>7505</v>
      </c>
      <c r="Y74" s="26" t="s">
        <v>81</v>
      </c>
      <c r="Z74" s="26" t="s">
        <v>81</v>
      </c>
      <c r="AA74" s="26" t="s">
        <v>172</v>
      </c>
      <c r="AB74" s="125" t="s">
        <v>19</v>
      </c>
      <c r="AC74" s="30" t="s">
        <v>172</v>
      </c>
      <c r="AD74" s="25" t="s">
        <v>173</v>
      </c>
      <c r="AE74" s="25" t="s">
        <v>174</v>
      </c>
      <c r="AF74" s="26" t="s">
        <v>175</v>
      </c>
      <c r="AG74" s="32">
        <f t="shared" si="4"/>
        <v>1</v>
      </c>
      <c r="AH74" s="32">
        <v>1</v>
      </c>
      <c r="AI74" s="32">
        <v>1</v>
      </c>
      <c r="AJ74" s="32">
        <v>1</v>
      </c>
      <c r="AK74" s="30"/>
      <c r="AL74" s="32">
        <f t="shared" si="5"/>
        <v>1</v>
      </c>
      <c r="AM74" s="30"/>
      <c r="AN74" s="32">
        <v>1</v>
      </c>
      <c r="AO74" s="32">
        <v>1</v>
      </c>
      <c r="AP74" s="32">
        <v>1</v>
      </c>
      <c r="AQ74" s="32">
        <v>1</v>
      </c>
      <c r="AR74" s="32">
        <v>1</v>
      </c>
      <c r="AS74" s="30"/>
      <c r="AT74" s="32">
        <v>1</v>
      </c>
      <c r="AU74" s="30"/>
      <c r="AV74" s="30"/>
      <c r="AX74" s="2" t="s">
        <v>7718</v>
      </c>
      <c r="AZ74" s="128" t="s">
        <v>8071</v>
      </c>
    </row>
    <row r="75" spans="1:52">
      <c r="A75" s="25" t="s">
        <v>8072</v>
      </c>
      <c r="B75" s="25" t="s">
        <v>4398</v>
      </c>
      <c r="C75" s="25" t="s">
        <v>68</v>
      </c>
      <c r="D75" s="25" t="s">
        <v>8073</v>
      </c>
      <c r="E75" s="258" t="s">
        <v>8074</v>
      </c>
      <c r="F75" s="25" t="s">
        <v>8075</v>
      </c>
      <c r="G75" s="25" t="s">
        <v>7497</v>
      </c>
      <c r="H75" s="124" t="s">
        <v>8025</v>
      </c>
      <c r="I75" s="26" t="s">
        <v>7499</v>
      </c>
      <c r="J75" s="26">
        <v>202606.5</v>
      </c>
      <c r="K75" s="62" t="s">
        <v>7500</v>
      </c>
      <c r="L75" s="25" t="s">
        <v>73</v>
      </c>
      <c r="M75" s="25" t="s">
        <v>7754</v>
      </c>
      <c r="N75" s="25" t="s">
        <v>8076</v>
      </c>
      <c r="O75" s="27" t="s">
        <v>8077</v>
      </c>
      <c r="P75" s="26"/>
      <c r="Q75" s="92">
        <v>4</v>
      </c>
      <c r="R75" s="92" t="s">
        <v>4409</v>
      </c>
      <c r="S75" s="92" t="s">
        <v>8078</v>
      </c>
      <c r="T75" s="26" t="s">
        <v>77</v>
      </c>
      <c r="U75" s="30" t="s">
        <v>78</v>
      </c>
      <c r="V75" s="26" t="s">
        <v>79</v>
      </c>
      <c r="W75" s="38" t="s">
        <v>5168</v>
      </c>
      <c r="X75" s="26" t="s">
        <v>7505</v>
      </c>
      <c r="Y75" s="26" t="s">
        <v>81</v>
      </c>
      <c r="Z75" s="26" t="s">
        <v>81</v>
      </c>
      <c r="AA75" s="26" t="s">
        <v>172</v>
      </c>
      <c r="AB75" s="125" t="s">
        <v>19</v>
      </c>
      <c r="AC75" s="30" t="s">
        <v>172</v>
      </c>
      <c r="AD75" s="25" t="s">
        <v>173</v>
      </c>
      <c r="AE75" s="25" t="s">
        <v>174</v>
      </c>
      <c r="AF75" s="26" t="s">
        <v>175</v>
      </c>
      <c r="AG75" s="32">
        <f t="shared" si="4"/>
        <v>1</v>
      </c>
      <c r="AH75" s="32">
        <v>1</v>
      </c>
      <c r="AI75" s="32">
        <v>1</v>
      </c>
      <c r="AJ75" s="32">
        <v>1</v>
      </c>
      <c r="AK75" s="30"/>
      <c r="AL75" s="32">
        <f t="shared" si="5"/>
        <v>1</v>
      </c>
      <c r="AM75" s="30"/>
      <c r="AN75" s="32">
        <v>1</v>
      </c>
      <c r="AO75" s="32">
        <v>1</v>
      </c>
      <c r="AP75" s="32">
        <v>1</v>
      </c>
      <c r="AQ75" s="32">
        <v>1</v>
      </c>
      <c r="AR75" s="32">
        <v>1</v>
      </c>
      <c r="AS75" s="30"/>
      <c r="AT75" s="32">
        <v>1</v>
      </c>
      <c r="AU75" s="30"/>
      <c r="AV75" s="30"/>
      <c r="AX75" s="2" t="s">
        <v>7872</v>
      </c>
      <c r="AZ75" s="128" t="s">
        <v>8079</v>
      </c>
    </row>
    <row r="76" spans="1:52">
      <c r="A76" s="25" t="s">
        <v>8080</v>
      </c>
      <c r="B76" s="25" t="s">
        <v>4398</v>
      </c>
      <c r="C76" s="25" t="s">
        <v>68</v>
      </c>
      <c r="D76" s="25" t="s">
        <v>8081</v>
      </c>
      <c r="E76" s="258" t="s">
        <v>8082</v>
      </c>
      <c r="F76" s="25" t="s">
        <v>8083</v>
      </c>
      <c r="G76" s="25" t="s">
        <v>7497</v>
      </c>
      <c r="H76" s="124" t="s">
        <v>8025</v>
      </c>
      <c r="I76" s="26" t="s">
        <v>7499</v>
      </c>
      <c r="J76" s="26">
        <v>202606.5</v>
      </c>
      <c r="K76" s="62" t="s">
        <v>7500</v>
      </c>
      <c r="L76" s="25" t="s">
        <v>73</v>
      </c>
      <c r="M76" s="25" t="s">
        <v>8041</v>
      </c>
      <c r="N76" s="25" t="s">
        <v>8084</v>
      </c>
      <c r="O76" s="27" t="s">
        <v>8085</v>
      </c>
      <c r="P76" s="26"/>
      <c r="Q76" s="92">
        <v>4</v>
      </c>
      <c r="R76" s="92" t="s">
        <v>4409</v>
      </c>
      <c r="S76" s="92" t="s">
        <v>8033</v>
      </c>
      <c r="T76" s="26" t="s">
        <v>77</v>
      </c>
      <c r="U76" s="30" t="s">
        <v>78</v>
      </c>
      <c r="V76" s="26" t="s">
        <v>79</v>
      </c>
      <c r="W76" s="38" t="s">
        <v>5168</v>
      </c>
      <c r="X76" s="26" t="s">
        <v>7505</v>
      </c>
      <c r="Y76" s="26" t="s">
        <v>81</v>
      </c>
      <c r="Z76" s="26" t="s">
        <v>81</v>
      </c>
      <c r="AA76" s="26" t="s">
        <v>172</v>
      </c>
      <c r="AB76" s="125" t="s">
        <v>19</v>
      </c>
      <c r="AC76" s="30" t="s">
        <v>172</v>
      </c>
      <c r="AD76" s="25" t="s">
        <v>173</v>
      </c>
      <c r="AE76" s="25" t="s">
        <v>174</v>
      </c>
      <c r="AF76" s="26" t="s">
        <v>175</v>
      </c>
      <c r="AG76" s="32">
        <f t="shared" si="4"/>
        <v>1</v>
      </c>
      <c r="AH76" s="32">
        <v>1</v>
      </c>
      <c r="AI76" s="32">
        <v>1</v>
      </c>
      <c r="AJ76" s="32">
        <v>1</v>
      </c>
      <c r="AK76" s="30"/>
      <c r="AL76" s="32">
        <f t="shared" si="5"/>
        <v>1</v>
      </c>
      <c r="AM76" s="30"/>
      <c r="AN76" s="32">
        <v>1</v>
      </c>
      <c r="AO76" s="32">
        <v>1</v>
      </c>
      <c r="AP76" s="32">
        <v>1</v>
      </c>
      <c r="AQ76" s="32">
        <v>1</v>
      </c>
      <c r="AR76" s="32">
        <v>1</v>
      </c>
      <c r="AS76" s="30"/>
      <c r="AT76" s="32">
        <v>1</v>
      </c>
      <c r="AU76" s="30"/>
      <c r="AV76" s="30"/>
      <c r="AX76" s="2" t="s">
        <v>7987</v>
      </c>
      <c r="AZ76" s="128" t="s">
        <v>8086</v>
      </c>
    </row>
    <row r="77" spans="1:52">
      <c r="A77" s="25" t="s">
        <v>8087</v>
      </c>
      <c r="B77" s="25" t="s">
        <v>4398</v>
      </c>
      <c r="C77" s="25" t="s">
        <v>68</v>
      </c>
      <c r="D77" s="25" t="s">
        <v>8088</v>
      </c>
      <c r="E77" s="258" t="s">
        <v>8089</v>
      </c>
      <c r="F77" s="25" t="s">
        <v>8090</v>
      </c>
      <c r="G77" s="25" t="s">
        <v>7497</v>
      </c>
      <c r="H77" s="124" t="s">
        <v>8025</v>
      </c>
      <c r="I77" s="26" t="s">
        <v>7499</v>
      </c>
      <c r="J77" s="26">
        <v>202606.5</v>
      </c>
      <c r="K77" s="62" t="s">
        <v>7500</v>
      </c>
      <c r="L77" s="25" t="s">
        <v>73</v>
      </c>
      <c r="M77" s="25" t="s">
        <v>7761</v>
      </c>
      <c r="N77" s="25" t="s">
        <v>8091</v>
      </c>
      <c r="O77" s="27" t="s">
        <v>8092</v>
      </c>
      <c r="P77" s="26"/>
      <c r="Q77" s="92">
        <v>4</v>
      </c>
      <c r="R77" s="92" t="s">
        <v>4409</v>
      </c>
      <c r="S77" s="92" t="s">
        <v>4689</v>
      </c>
      <c r="T77" s="26" t="s">
        <v>77</v>
      </c>
      <c r="U77" s="30" t="s">
        <v>78</v>
      </c>
      <c r="V77" s="26" t="s">
        <v>79</v>
      </c>
      <c r="W77" s="38" t="s">
        <v>5168</v>
      </c>
      <c r="X77" s="26" t="s">
        <v>7505</v>
      </c>
      <c r="Y77" s="26" t="s">
        <v>81</v>
      </c>
      <c r="Z77" s="26" t="s">
        <v>81</v>
      </c>
      <c r="AA77" s="26" t="s">
        <v>172</v>
      </c>
      <c r="AB77" s="125" t="s">
        <v>19</v>
      </c>
      <c r="AC77" s="30" t="s">
        <v>172</v>
      </c>
      <c r="AD77" s="25" t="s">
        <v>173</v>
      </c>
      <c r="AE77" s="25" t="s">
        <v>174</v>
      </c>
      <c r="AF77" s="26" t="s">
        <v>175</v>
      </c>
      <c r="AG77" s="32">
        <f t="shared" si="4"/>
        <v>1</v>
      </c>
      <c r="AH77" s="32">
        <v>1</v>
      </c>
      <c r="AI77" s="32">
        <v>1</v>
      </c>
      <c r="AJ77" s="32">
        <v>1</v>
      </c>
      <c r="AK77" s="30"/>
      <c r="AL77" s="32">
        <f t="shared" si="5"/>
        <v>1</v>
      </c>
      <c r="AM77" s="30"/>
      <c r="AN77" s="32">
        <v>1</v>
      </c>
      <c r="AO77" s="32">
        <v>1</v>
      </c>
      <c r="AP77" s="32">
        <v>1</v>
      </c>
      <c r="AQ77" s="32">
        <v>1</v>
      </c>
      <c r="AR77" s="32">
        <v>1</v>
      </c>
      <c r="AS77" s="30"/>
      <c r="AT77" s="32">
        <v>1</v>
      </c>
      <c r="AU77" s="30"/>
      <c r="AV77" s="30"/>
      <c r="AX77" s="2" t="s">
        <v>7996</v>
      </c>
      <c r="AZ77" s="128" t="s">
        <v>8093</v>
      </c>
    </row>
    <row r="78" spans="1:52">
      <c r="A78" s="25" t="s">
        <v>8094</v>
      </c>
      <c r="B78" s="25" t="s">
        <v>4398</v>
      </c>
      <c r="C78" s="25" t="s">
        <v>68</v>
      </c>
      <c r="D78" s="25" t="s">
        <v>8095</v>
      </c>
      <c r="E78" s="258" t="s">
        <v>8096</v>
      </c>
      <c r="F78" s="25" t="s">
        <v>8097</v>
      </c>
      <c r="G78" s="25" t="s">
        <v>7497</v>
      </c>
      <c r="H78" s="124" t="s">
        <v>8025</v>
      </c>
      <c r="I78" s="26" t="s">
        <v>7499</v>
      </c>
      <c r="J78" s="26">
        <v>202606.5</v>
      </c>
      <c r="K78" s="62" t="s">
        <v>7500</v>
      </c>
      <c r="L78" s="25" t="s">
        <v>73</v>
      </c>
      <c r="M78" s="25" t="s">
        <v>7776</v>
      </c>
      <c r="N78" s="25" t="s">
        <v>8098</v>
      </c>
      <c r="O78" s="27" t="s">
        <v>8099</v>
      </c>
      <c r="P78" s="26"/>
      <c r="Q78" s="92">
        <v>4</v>
      </c>
      <c r="R78" s="92" t="s">
        <v>4409</v>
      </c>
      <c r="S78" s="92" t="s">
        <v>8100</v>
      </c>
      <c r="T78" s="26" t="s">
        <v>77</v>
      </c>
      <c r="U78" s="30" t="s">
        <v>78</v>
      </c>
      <c r="V78" s="26" t="s">
        <v>79</v>
      </c>
      <c r="W78" s="38" t="s">
        <v>5168</v>
      </c>
      <c r="X78" s="26" t="s">
        <v>7505</v>
      </c>
      <c r="Y78" s="26" t="s">
        <v>81</v>
      </c>
      <c r="Z78" s="26" t="s">
        <v>81</v>
      </c>
      <c r="AA78" s="26" t="s">
        <v>172</v>
      </c>
      <c r="AB78" s="125" t="s">
        <v>19</v>
      </c>
      <c r="AC78" s="30" t="s">
        <v>172</v>
      </c>
      <c r="AD78" s="25" t="s">
        <v>173</v>
      </c>
      <c r="AE78" s="25" t="s">
        <v>174</v>
      </c>
      <c r="AF78" s="26" t="s">
        <v>175</v>
      </c>
      <c r="AG78" s="32">
        <f t="shared" si="4"/>
        <v>1</v>
      </c>
      <c r="AH78" s="32">
        <v>1</v>
      </c>
      <c r="AI78" s="32">
        <v>1</v>
      </c>
      <c r="AJ78" s="32">
        <v>1</v>
      </c>
      <c r="AK78" s="30"/>
      <c r="AL78" s="32">
        <f t="shared" si="5"/>
        <v>1</v>
      </c>
      <c r="AM78" s="30"/>
      <c r="AN78" s="32">
        <v>1</v>
      </c>
      <c r="AO78" s="32">
        <v>1</v>
      </c>
      <c r="AP78" s="32">
        <v>1</v>
      </c>
      <c r="AQ78" s="32">
        <v>1</v>
      </c>
      <c r="AR78" s="32">
        <v>1</v>
      </c>
      <c r="AS78" s="30"/>
      <c r="AT78" s="32">
        <v>1</v>
      </c>
      <c r="AU78" s="30"/>
      <c r="AV78" s="30"/>
      <c r="AX78" s="2" t="s">
        <v>7904</v>
      </c>
      <c r="AZ78" s="128" t="s">
        <v>8101</v>
      </c>
    </row>
    <row r="79" spans="1:52">
      <c r="A79" s="25" t="s">
        <v>8102</v>
      </c>
      <c r="B79" s="25" t="s">
        <v>4398</v>
      </c>
      <c r="C79" s="25" t="s">
        <v>68</v>
      </c>
      <c r="D79" s="25" t="s">
        <v>8103</v>
      </c>
      <c r="E79" s="259" t="s">
        <v>8104</v>
      </c>
      <c r="F79" s="48" t="s">
        <v>8105</v>
      </c>
      <c r="G79" s="25" t="s">
        <v>7497</v>
      </c>
      <c r="H79" s="124" t="s">
        <v>8025</v>
      </c>
      <c r="I79" s="26" t="s">
        <v>7499</v>
      </c>
      <c r="J79" s="26">
        <v>202606.5</v>
      </c>
      <c r="K79" s="62" t="s">
        <v>7500</v>
      </c>
      <c r="L79" s="25" t="s">
        <v>73</v>
      </c>
      <c r="M79" s="25" t="s">
        <v>8106</v>
      </c>
      <c r="N79" s="25" t="s">
        <v>8107</v>
      </c>
      <c r="O79" s="27" t="s">
        <v>8108</v>
      </c>
      <c r="P79" s="26"/>
      <c r="Q79" s="92">
        <v>4</v>
      </c>
      <c r="R79" s="92" t="s">
        <v>4409</v>
      </c>
      <c r="S79" s="92" t="s">
        <v>7928</v>
      </c>
      <c r="T79" s="26" t="s">
        <v>77</v>
      </c>
      <c r="U79" s="30" t="s">
        <v>78</v>
      </c>
      <c r="V79" s="26" t="s">
        <v>79</v>
      </c>
      <c r="W79" s="38" t="s">
        <v>5168</v>
      </c>
      <c r="X79" s="26" t="s">
        <v>7505</v>
      </c>
      <c r="Y79" s="26" t="s">
        <v>81</v>
      </c>
      <c r="Z79" s="26" t="s">
        <v>81</v>
      </c>
      <c r="AA79" s="26" t="s">
        <v>172</v>
      </c>
      <c r="AB79" s="125" t="s">
        <v>19</v>
      </c>
      <c r="AC79" s="30" t="s">
        <v>172</v>
      </c>
      <c r="AD79" s="25" t="s">
        <v>173</v>
      </c>
      <c r="AE79" s="25" t="s">
        <v>174</v>
      </c>
      <c r="AF79" s="26" t="s">
        <v>175</v>
      </c>
      <c r="AG79" s="32">
        <f t="shared" si="4"/>
        <v>1</v>
      </c>
      <c r="AH79" s="32">
        <v>1</v>
      </c>
      <c r="AI79" s="32">
        <v>1</v>
      </c>
      <c r="AJ79" s="32">
        <v>1</v>
      </c>
      <c r="AK79" s="30"/>
      <c r="AL79" s="32">
        <f t="shared" si="5"/>
        <v>1</v>
      </c>
      <c r="AM79" s="30"/>
      <c r="AN79" s="32">
        <v>1</v>
      </c>
      <c r="AO79" s="32">
        <v>1</v>
      </c>
      <c r="AP79" s="32">
        <v>1</v>
      </c>
      <c r="AQ79" s="32">
        <v>1</v>
      </c>
      <c r="AR79" s="32">
        <v>1</v>
      </c>
      <c r="AS79" s="30"/>
      <c r="AT79" s="32">
        <v>1</v>
      </c>
      <c r="AU79" s="127">
        <v>0.92466435185185203</v>
      </c>
      <c r="AV79" s="30"/>
      <c r="AX79" s="2" t="s">
        <v>7925</v>
      </c>
      <c r="AZ79" s="128" t="s">
        <v>8109</v>
      </c>
    </row>
    <row r="80" spans="1:52">
      <c r="A80" s="25" t="s">
        <v>8110</v>
      </c>
      <c r="B80" s="25" t="s">
        <v>4398</v>
      </c>
      <c r="C80" s="25" t="s">
        <v>68</v>
      </c>
      <c r="D80" s="25" t="s">
        <v>8111</v>
      </c>
      <c r="E80" s="258" t="s">
        <v>8112</v>
      </c>
      <c r="F80" s="25" t="s">
        <v>8113</v>
      </c>
      <c r="G80" s="25" t="s">
        <v>7497</v>
      </c>
      <c r="H80" s="124" t="s">
        <v>8025</v>
      </c>
      <c r="I80" s="26" t="s">
        <v>7499</v>
      </c>
      <c r="J80" s="26">
        <v>202606.5</v>
      </c>
      <c r="K80" s="62" t="s">
        <v>7500</v>
      </c>
      <c r="L80" s="25" t="s">
        <v>73</v>
      </c>
      <c r="M80" s="25" t="s">
        <v>7942</v>
      </c>
      <c r="N80" s="25" t="s">
        <v>8114</v>
      </c>
      <c r="O80" s="27" t="s">
        <v>8115</v>
      </c>
      <c r="P80" s="26"/>
      <c r="Q80" s="92">
        <v>4</v>
      </c>
      <c r="R80" s="92" t="s">
        <v>4409</v>
      </c>
      <c r="S80" s="92" t="s">
        <v>5206</v>
      </c>
      <c r="T80" s="26" t="s">
        <v>77</v>
      </c>
      <c r="U80" s="30" t="s">
        <v>78</v>
      </c>
      <c r="V80" s="26" t="s">
        <v>79</v>
      </c>
      <c r="W80" s="38" t="s">
        <v>5168</v>
      </c>
      <c r="X80" s="26" t="s">
        <v>7505</v>
      </c>
      <c r="Y80" s="26" t="s">
        <v>81</v>
      </c>
      <c r="Z80" s="26" t="s">
        <v>81</v>
      </c>
      <c r="AA80" s="26" t="s">
        <v>172</v>
      </c>
      <c r="AB80" s="125" t="s">
        <v>19</v>
      </c>
      <c r="AC80" s="30" t="s">
        <v>172</v>
      </c>
      <c r="AD80" s="25" t="s">
        <v>173</v>
      </c>
      <c r="AE80" s="25" t="s">
        <v>174</v>
      </c>
      <c r="AF80" s="26" t="s">
        <v>175</v>
      </c>
      <c r="AG80" s="32">
        <f t="shared" si="4"/>
        <v>1</v>
      </c>
      <c r="AH80" s="32">
        <v>1</v>
      </c>
      <c r="AI80" s="32">
        <v>1</v>
      </c>
      <c r="AJ80" s="32">
        <v>1</v>
      </c>
      <c r="AK80" s="30"/>
      <c r="AL80" s="32">
        <f t="shared" si="5"/>
        <v>1</v>
      </c>
      <c r="AM80" s="30"/>
      <c r="AN80" s="32">
        <v>1</v>
      </c>
      <c r="AO80" s="32">
        <v>1</v>
      </c>
      <c r="AP80" s="32">
        <v>1</v>
      </c>
      <c r="AQ80" s="32">
        <v>1</v>
      </c>
      <c r="AR80" s="32">
        <v>1</v>
      </c>
      <c r="AS80" s="30"/>
      <c r="AT80" s="32">
        <v>1</v>
      </c>
      <c r="AU80" s="30"/>
      <c r="AV80" s="30"/>
      <c r="AX80" s="2" t="s">
        <v>8116</v>
      </c>
      <c r="AZ80" s="128" t="s">
        <v>8117</v>
      </c>
    </row>
    <row r="81" spans="1:52">
      <c r="A81" s="25" t="s">
        <v>8118</v>
      </c>
      <c r="B81" s="25" t="s">
        <v>4398</v>
      </c>
      <c r="C81" s="25" t="s">
        <v>68</v>
      </c>
      <c r="D81" s="25" t="s">
        <v>8119</v>
      </c>
      <c r="E81" s="258" t="s">
        <v>8120</v>
      </c>
      <c r="F81" s="25" t="s">
        <v>8121</v>
      </c>
      <c r="G81" s="25" t="s">
        <v>7497</v>
      </c>
      <c r="H81" s="124" t="s">
        <v>8025</v>
      </c>
      <c r="I81" s="26" t="s">
        <v>7499</v>
      </c>
      <c r="J81" s="26">
        <v>202606.5</v>
      </c>
      <c r="K81" s="62" t="s">
        <v>7500</v>
      </c>
      <c r="L81" s="25" t="s">
        <v>73</v>
      </c>
      <c r="M81" s="25" t="s">
        <v>8122</v>
      </c>
      <c r="N81" s="25" t="s">
        <v>8123</v>
      </c>
      <c r="O81" s="27" t="s">
        <v>8124</v>
      </c>
      <c r="P81" s="26"/>
      <c r="Q81" s="92">
        <v>4</v>
      </c>
      <c r="R81" s="92" t="s">
        <v>4409</v>
      </c>
      <c r="S81" s="92" t="s">
        <v>7658</v>
      </c>
      <c r="T81" s="26" t="s">
        <v>77</v>
      </c>
      <c r="U81" s="30" t="s">
        <v>78</v>
      </c>
      <c r="V81" s="26" t="s">
        <v>79</v>
      </c>
      <c r="W81" s="38" t="s">
        <v>5168</v>
      </c>
      <c r="X81" s="26" t="s">
        <v>7505</v>
      </c>
      <c r="Y81" s="26" t="s">
        <v>81</v>
      </c>
      <c r="Z81" s="26" t="s">
        <v>81</v>
      </c>
      <c r="AA81" s="26" t="s">
        <v>172</v>
      </c>
      <c r="AB81" s="125" t="s">
        <v>19</v>
      </c>
      <c r="AC81" s="30" t="s">
        <v>172</v>
      </c>
      <c r="AD81" s="25" t="s">
        <v>173</v>
      </c>
      <c r="AE81" s="25" t="s">
        <v>174</v>
      </c>
      <c r="AF81" s="26" t="s">
        <v>175</v>
      </c>
      <c r="AG81" s="32">
        <f t="shared" si="4"/>
        <v>1</v>
      </c>
      <c r="AH81" s="32">
        <v>1</v>
      </c>
      <c r="AI81" s="32">
        <v>1</v>
      </c>
      <c r="AJ81" s="32">
        <v>1</v>
      </c>
      <c r="AK81" s="30"/>
      <c r="AL81" s="32">
        <f t="shared" si="5"/>
        <v>1</v>
      </c>
      <c r="AM81" s="30"/>
      <c r="AN81" s="32">
        <v>1</v>
      </c>
      <c r="AO81" s="32">
        <v>1</v>
      </c>
      <c r="AP81" s="32">
        <v>1</v>
      </c>
      <c r="AQ81" s="32">
        <v>1</v>
      </c>
      <c r="AR81" s="32">
        <v>1</v>
      </c>
      <c r="AS81" s="30"/>
      <c r="AT81" s="32">
        <v>1</v>
      </c>
      <c r="AU81" s="30"/>
      <c r="AV81" s="30"/>
      <c r="AX81" s="2" t="s">
        <v>8125</v>
      </c>
      <c r="AZ81" s="128" t="s">
        <v>8126</v>
      </c>
    </row>
    <row r="82" spans="1:52">
      <c r="A82" s="25" t="s">
        <v>8127</v>
      </c>
      <c r="B82" s="25" t="s">
        <v>4398</v>
      </c>
      <c r="C82" s="25" t="s">
        <v>68</v>
      </c>
      <c r="D82" s="25" t="s">
        <v>8071</v>
      </c>
      <c r="E82" s="258" t="s">
        <v>8128</v>
      </c>
      <c r="F82" s="25" t="s">
        <v>8129</v>
      </c>
      <c r="G82" s="25" t="s">
        <v>7497</v>
      </c>
      <c r="H82" s="124" t="s">
        <v>8130</v>
      </c>
      <c r="I82" s="26" t="s">
        <v>7499</v>
      </c>
      <c r="J82" s="26">
        <v>202606.5</v>
      </c>
      <c r="K82" s="62" t="s">
        <v>7500</v>
      </c>
      <c r="L82" s="25" t="s">
        <v>73</v>
      </c>
      <c r="M82" s="25" t="s">
        <v>7836</v>
      </c>
      <c r="N82" s="25" t="s">
        <v>8131</v>
      </c>
      <c r="O82" s="27" t="s">
        <v>8132</v>
      </c>
      <c r="P82" s="26"/>
      <c r="Q82" s="92">
        <v>4</v>
      </c>
      <c r="R82" s="92" t="s">
        <v>4409</v>
      </c>
      <c r="S82" s="92" t="s">
        <v>8133</v>
      </c>
      <c r="T82" s="26" t="s">
        <v>77</v>
      </c>
      <c r="U82" s="30" t="s">
        <v>78</v>
      </c>
      <c r="V82" s="26" t="s">
        <v>79</v>
      </c>
      <c r="W82" s="38" t="s">
        <v>5168</v>
      </c>
      <c r="X82" s="26" t="s">
        <v>7505</v>
      </c>
      <c r="Y82" s="26" t="s">
        <v>81</v>
      </c>
      <c r="Z82" s="26" t="s">
        <v>81</v>
      </c>
      <c r="AA82" s="26" t="s">
        <v>172</v>
      </c>
      <c r="AB82" s="125" t="s">
        <v>19</v>
      </c>
      <c r="AC82" s="30" t="s">
        <v>172</v>
      </c>
      <c r="AD82" s="25" t="s">
        <v>173</v>
      </c>
      <c r="AE82" s="25" t="s">
        <v>174</v>
      </c>
      <c r="AF82" s="26" t="s">
        <v>175</v>
      </c>
      <c r="AG82" s="32">
        <f t="shared" si="4"/>
        <v>1</v>
      </c>
      <c r="AH82" s="32">
        <v>1</v>
      </c>
      <c r="AI82" s="32">
        <v>1</v>
      </c>
      <c r="AJ82" s="32">
        <v>1</v>
      </c>
      <c r="AK82" s="30"/>
      <c r="AL82" s="32">
        <f t="shared" si="5"/>
        <v>1</v>
      </c>
      <c r="AM82" s="30"/>
      <c r="AN82" s="32">
        <v>1</v>
      </c>
      <c r="AO82" s="32">
        <v>1</v>
      </c>
      <c r="AP82" s="32">
        <v>1</v>
      </c>
      <c r="AQ82" s="32">
        <v>1</v>
      </c>
      <c r="AR82" s="32">
        <v>1</v>
      </c>
      <c r="AS82" s="30"/>
      <c r="AT82" s="32">
        <v>1</v>
      </c>
      <c r="AU82" s="30"/>
      <c r="AV82" s="30"/>
      <c r="AX82" s="2" t="s">
        <v>7590</v>
      </c>
      <c r="AZ82" s="128" t="s">
        <v>8065</v>
      </c>
    </row>
    <row r="83" spans="1:52">
      <c r="A83" s="25" t="s">
        <v>8134</v>
      </c>
      <c r="B83" s="25" t="s">
        <v>4398</v>
      </c>
      <c r="C83" s="25" t="s">
        <v>68</v>
      </c>
      <c r="D83" s="25" t="s">
        <v>8079</v>
      </c>
      <c r="E83" s="258" t="s">
        <v>8135</v>
      </c>
      <c r="F83" s="25" t="s">
        <v>8136</v>
      </c>
      <c r="G83" s="25" t="s">
        <v>7497</v>
      </c>
      <c r="H83" s="124" t="s">
        <v>8130</v>
      </c>
      <c r="I83" s="26" t="s">
        <v>7499</v>
      </c>
      <c r="J83" s="26">
        <v>202606.5</v>
      </c>
      <c r="K83" s="62" t="s">
        <v>7500</v>
      </c>
      <c r="L83" s="25" t="s">
        <v>73</v>
      </c>
      <c r="M83" s="25" t="s">
        <v>7659</v>
      </c>
      <c r="N83" s="25" t="s">
        <v>8137</v>
      </c>
      <c r="O83" s="27" t="s">
        <v>8138</v>
      </c>
      <c r="P83" s="26"/>
      <c r="Q83" s="92">
        <v>4</v>
      </c>
      <c r="R83" s="92" t="s">
        <v>4409</v>
      </c>
      <c r="S83" s="92" t="s">
        <v>8139</v>
      </c>
      <c r="T83" s="26" t="s">
        <v>77</v>
      </c>
      <c r="U83" s="30" t="s">
        <v>78</v>
      </c>
      <c r="V83" s="26" t="s">
        <v>79</v>
      </c>
      <c r="W83" s="38" t="s">
        <v>5168</v>
      </c>
      <c r="X83" s="26" t="s">
        <v>7505</v>
      </c>
      <c r="Y83" s="26" t="s">
        <v>81</v>
      </c>
      <c r="Z83" s="26" t="s">
        <v>81</v>
      </c>
      <c r="AA83" s="26" t="s">
        <v>172</v>
      </c>
      <c r="AB83" s="125" t="s">
        <v>19</v>
      </c>
      <c r="AC83" s="30" t="s">
        <v>172</v>
      </c>
      <c r="AD83" s="25" t="s">
        <v>173</v>
      </c>
      <c r="AE83" s="25" t="s">
        <v>174</v>
      </c>
      <c r="AF83" s="26" t="s">
        <v>175</v>
      </c>
      <c r="AG83" s="32">
        <f t="shared" si="4"/>
        <v>1</v>
      </c>
      <c r="AH83" s="32">
        <v>1</v>
      </c>
      <c r="AI83" s="32">
        <v>1</v>
      </c>
      <c r="AJ83" s="32">
        <v>1</v>
      </c>
      <c r="AK83" s="30"/>
      <c r="AL83" s="32">
        <f t="shared" si="5"/>
        <v>1</v>
      </c>
      <c r="AM83" s="30"/>
      <c r="AN83" s="32">
        <v>1</v>
      </c>
      <c r="AO83" s="32">
        <v>1</v>
      </c>
      <c r="AP83" s="32">
        <v>1</v>
      </c>
      <c r="AQ83" s="32">
        <v>1</v>
      </c>
      <c r="AR83" s="32">
        <v>1</v>
      </c>
      <c r="AS83" s="30"/>
      <c r="AT83" s="32">
        <v>1</v>
      </c>
      <c r="AU83" s="30"/>
      <c r="AV83" s="30"/>
      <c r="AX83" s="2" t="s">
        <v>7826</v>
      </c>
      <c r="AZ83" s="128" t="s">
        <v>8073</v>
      </c>
    </row>
    <row r="84" spans="1:52">
      <c r="A84" s="25" t="s">
        <v>8140</v>
      </c>
      <c r="B84" s="25" t="s">
        <v>4398</v>
      </c>
      <c r="C84" s="25" t="s">
        <v>68</v>
      </c>
      <c r="D84" s="25" t="s">
        <v>8086</v>
      </c>
      <c r="E84" s="258" t="s">
        <v>8141</v>
      </c>
      <c r="F84" s="25" t="s">
        <v>8142</v>
      </c>
      <c r="G84" s="25" t="s">
        <v>7497</v>
      </c>
      <c r="H84" s="124" t="s">
        <v>8130</v>
      </c>
      <c r="I84" s="26" t="s">
        <v>7499</v>
      </c>
      <c r="J84" s="26">
        <v>202606.5</v>
      </c>
      <c r="K84" s="62" t="s">
        <v>7500</v>
      </c>
      <c r="L84" s="25" t="s">
        <v>73</v>
      </c>
      <c r="M84" s="25" t="s">
        <v>7849</v>
      </c>
      <c r="N84" s="25" t="s">
        <v>8143</v>
      </c>
      <c r="O84" s="27" t="s">
        <v>8144</v>
      </c>
      <c r="P84" s="26"/>
      <c r="Q84" s="92">
        <v>4</v>
      </c>
      <c r="R84" s="92" t="s">
        <v>4409</v>
      </c>
      <c r="S84" s="92" t="s">
        <v>8145</v>
      </c>
      <c r="T84" s="26" t="s">
        <v>77</v>
      </c>
      <c r="U84" s="30" t="s">
        <v>78</v>
      </c>
      <c r="V84" s="26" t="s">
        <v>79</v>
      </c>
      <c r="W84" s="38" t="s">
        <v>5168</v>
      </c>
      <c r="X84" s="26" t="s">
        <v>7505</v>
      </c>
      <c r="Y84" s="26" t="s">
        <v>81</v>
      </c>
      <c r="Z84" s="26" t="s">
        <v>81</v>
      </c>
      <c r="AA84" s="26" t="s">
        <v>172</v>
      </c>
      <c r="AB84" s="125" t="s">
        <v>19</v>
      </c>
      <c r="AC84" s="30" t="s">
        <v>172</v>
      </c>
      <c r="AD84" s="25" t="s">
        <v>173</v>
      </c>
      <c r="AE84" s="25" t="s">
        <v>174</v>
      </c>
      <c r="AF84" s="26" t="s">
        <v>175</v>
      </c>
      <c r="AG84" s="32">
        <f t="shared" si="4"/>
        <v>1</v>
      </c>
      <c r="AH84" s="32">
        <v>1</v>
      </c>
      <c r="AI84" s="32">
        <v>1</v>
      </c>
      <c r="AJ84" s="32">
        <v>1</v>
      </c>
      <c r="AK84" s="30"/>
      <c r="AL84" s="32">
        <f t="shared" si="5"/>
        <v>1</v>
      </c>
      <c r="AM84" s="30"/>
      <c r="AN84" s="32">
        <v>1</v>
      </c>
      <c r="AO84" s="32">
        <v>1</v>
      </c>
      <c r="AP84" s="32">
        <v>1</v>
      </c>
      <c r="AQ84" s="32">
        <v>1</v>
      </c>
      <c r="AR84" s="32">
        <v>1</v>
      </c>
      <c r="AS84" s="30"/>
      <c r="AT84" s="32">
        <v>1</v>
      </c>
      <c r="AU84" s="30"/>
      <c r="AV84" s="30"/>
      <c r="AX84" s="2" t="s">
        <v>8106</v>
      </c>
      <c r="AZ84" s="128" t="s">
        <v>8081</v>
      </c>
    </row>
    <row r="85" spans="1:52">
      <c r="A85" s="25" t="s">
        <v>8146</v>
      </c>
      <c r="B85" s="25" t="s">
        <v>4398</v>
      </c>
      <c r="C85" s="25" t="s">
        <v>68</v>
      </c>
      <c r="D85" s="25" t="s">
        <v>8093</v>
      </c>
      <c r="E85" s="258" t="s">
        <v>8147</v>
      </c>
      <c r="F85" s="25" t="s">
        <v>8148</v>
      </c>
      <c r="G85" s="25" t="s">
        <v>7497</v>
      </c>
      <c r="H85" s="124" t="s">
        <v>8130</v>
      </c>
      <c r="I85" s="26" t="s">
        <v>7499</v>
      </c>
      <c r="J85" s="26">
        <v>202606.5</v>
      </c>
      <c r="K85" s="62" t="s">
        <v>7500</v>
      </c>
      <c r="L85" s="25" t="s">
        <v>73</v>
      </c>
      <c r="M85" s="25" t="s">
        <v>8116</v>
      </c>
      <c r="N85" s="25" t="s">
        <v>8149</v>
      </c>
      <c r="O85" s="27" t="s">
        <v>8150</v>
      </c>
      <c r="P85" s="26"/>
      <c r="Q85" s="92">
        <v>4</v>
      </c>
      <c r="R85" s="92" t="s">
        <v>4409</v>
      </c>
      <c r="S85" s="92" t="s">
        <v>8151</v>
      </c>
      <c r="T85" s="26" t="s">
        <v>77</v>
      </c>
      <c r="U85" s="30" t="s">
        <v>78</v>
      </c>
      <c r="V85" s="26" t="s">
        <v>79</v>
      </c>
      <c r="W85" s="38" t="s">
        <v>5168</v>
      </c>
      <c r="X85" s="26" t="s">
        <v>7505</v>
      </c>
      <c r="Y85" s="26" t="s">
        <v>81</v>
      </c>
      <c r="Z85" s="26" t="s">
        <v>81</v>
      </c>
      <c r="AA85" s="26" t="s">
        <v>172</v>
      </c>
      <c r="AB85" s="125" t="s">
        <v>19</v>
      </c>
      <c r="AC85" s="30" t="s">
        <v>172</v>
      </c>
      <c r="AD85" s="25" t="s">
        <v>173</v>
      </c>
      <c r="AE85" s="25" t="s">
        <v>174</v>
      </c>
      <c r="AF85" s="26" t="s">
        <v>175</v>
      </c>
      <c r="AG85" s="32">
        <f t="shared" si="4"/>
        <v>1</v>
      </c>
      <c r="AH85" s="32">
        <v>1</v>
      </c>
      <c r="AI85" s="32">
        <v>1</v>
      </c>
      <c r="AJ85" s="32">
        <v>1</v>
      </c>
      <c r="AK85" s="30"/>
      <c r="AL85" s="32">
        <f t="shared" si="5"/>
        <v>1</v>
      </c>
      <c r="AM85" s="30"/>
      <c r="AN85" s="32">
        <v>1</v>
      </c>
      <c r="AO85" s="32">
        <v>1</v>
      </c>
      <c r="AP85" s="32">
        <v>1</v>
      </c>
      <c r="AQ85" s="32">
        <v>1</v>
      </c>
      <c r="AR85" s="32">
        <v>1</v>
      </c>
      <c r="AS85" s="30"/>
      <c r="AT85" s="32">
        <v>1</v>
      </c>
      <c r="AU85" s="30"/>
      <c r="AV85" s="30"/>
      <c r="AX85" s="2" t="s">
        <v>8122</v>
      </c>
      <c r="AZ85" s="128" t="s">
        <v>8152</v>
      </c>
    </row>
    <row r="86" spans="1:52">
      <c r="A86" s="25" t="s">
        <v>8153</v>
      </c>
      <c r="B86" s="25" t="s">
        <v>4398</v>
      </c>
      <c r="C86" s="25" t="s">
        <v>68</v>
      </c>
      <c r="D86" s="25" t="s">
        <v>8101</v>
      </c>
      <c r="E86" s="258" t="s">
        <v>8154</v>
      </c>
      <c r="F86" s="25" t="s">
        <v>8155</v>
      </c>
      <c r="G86" s="25" t="s">
        <v>7497</v>
      </c>
      <c r="H86" s="124" t="s">
        <v>8130</v>
      </c>
      <c r="I86" s="26" t="s">
        <v>7499</v>
      </c>
      <c r="J86" s="26">
        <v>202606.5</v>
      </c>
      <c r="K86" s="62" t="s">
        <v>7500</v>
      </c>
      <c r="L86" s="25" t="s">
        <v>73</v>
      </c>
      <c r="M86" s="25" t="s">
        <v>8125</v>
      </c>
      <c r="N86" s="25" t="s">
        <v>8156</v>
      </c>
      <c r="O86" s="27" t="s">
        <v>8157</v>
      </c>
      <c r="P86" s="26"/>
      <c r="Q86" s="92">
        <v>4</v>
      </c>
      <c r="R86" s="92" t="s">
        <v>4409</v>
      </c>
      <c r="S86" s="92" t="s">
        <v>8158</v>
      </c>
      <c r="T86" s="26" t="s">
        <v>77</v>
      </c>
      <c r="U86" s="30" t="s">
        <v>78</v>
      </c>
      <c r="V86" s="26" t="s">
        <v>79</v>
      </c>
      <c r="W86" s="38" t="s">
        <v>5168</v>
      </c>
      <c r="X86" s="26" t="s">
        <v>7505</v>
      </c>
      <c r="Y86" s="26" t="s">
        <v>81</v>
      </c>
      <c r="Z86" s="26" t="s">
        <v>81</v>
      </c>
      <c r="AA86" s="26" t="s">
        <v>172</v>
      </c>
      <c r="AB86" s="125" t="s">
        <v>19</v>
      </c>
      <c r="AC86" s="30" t="s">
        <v>172</v>
      </c>
      <c r="AD86" s="25" t="s">
        <v>173</v>
      </c>
      <c r="AE86" s="25" t="s">
        <v>174</v>
      </c>
      <c r="AF86" s="26" t="s">
        <v>175</v>
      </c>
      <c r="AG86" s="32">
        <f t="shared" si="4"/>
        <v>1</v>
      </c>
      <c r="AH86" s="32">
        <v>1</v>
      </c>
      <c r="AI86" s="32">
        <v>1</v>
      </c>
      <c r="AJ86" s="32">
        <v>1</v>
      </c>
      <c r="AK86" s="30"/>
      <c r="AL86" s="32">
        <f t="shared" si="5"/>
        <v>1</v>
      </c>
      <c r="AM86" s="30"/>
      <c r="AN86" s="32">
        <v>1</v>
      </c>
      <c r="AO86" s="32">
        <v>1</v>
      </c>
      <c r="AP86" s="32">
        <v>1</v>
      </c>
      <c r="AQ86" s="32">
        <v>1</v>
      </c>
      <c r="AR86" s="32">
        <v>1</v>
      </c>
      <c r="AS86" s="30"/>
      <c r="AT86" s="32">
        <v>1</v>
      </c>
      <c r="AU86" s="30"/>
      <c r="AV86" s="30"/>
      <c r="AX86" s="2" t="s">
        <v>7617</v>
      </c>
      <c r="AZ86" s="128" t="s">
        <v>8095</v>
      </c>
    </row>
    <row r="87" spans="1:52">
      <c r="A87" s="25" t="s">
        <v>8159</v>
      </c>
      <c r="B87" s="25" t="s">
        <v>4398</v>
      </c>
      <c r="C87" s="25" t="s">
        <v>68</v>
      </c>
      <c r="D87" s="25" t="s">
        <v>8109</v>
      </c>
      <c r="E87" s="258" t="s">
        <v>8160</v>
      </c>
      <c r="F87" s="25" t="s">
        <v>8161</v>
      </c>
      <c r="G87" s="25" t="s">
        <v>7497</v>
      </c>
      <c r="H87" s="124" t="s">
        <v>8130</v>
      </c>
      <c r="I87" s="26" t="s">
        <v>7499</v>
      </c>
      <c r="J87" s="26">
        <v>202606.5</v>
      </c>
      <c r="K87" s="62" t="s">
        <v>7500</v>
      </c>
      <c r="L87" s="25" t="s">
        <v>73</v>
      </c>
      <c r="M87" s="25" t="s">
        <v>7722</v>
      </c>
      <c r="N87" s="25" t="s">
        <v>8162</v>
      </c>
      <c r="O87" s="27" t="s">
        <v>8163</v>
      </c>
      <c r="P87" s="26"/>
      <c r="Q87" s="92">
        <v>4</v>
      </c>
      <c r="R87" s="92" t="s">
        <v>4409</v>
      </c>
      <c r="S87" s="92" t="s">
        <v>8164</v>
      </c>
      <c r="T87" s="26" t="s">
        <v>77</v>
      </c>
      <c r="U87" s="30" t="s">
        <v>78</v>
      </c>
      <c r="V87" s="26" t="s">
        <v>79</v>
      </c>
      <c r="W87" s="38" t="s">
        <v>5168</v>
      </c>
      <c r="X87" s="26" t="s">
        <v>7505</v>
      </c>
      <c r="Y87" s="26" t="s">
        <v>81</v>
      </c>
      <c r="Z87" s="26" t="s">
        <v>81</v>
      </c>
      <c r="AA87" s="26" t="s">
        <v>172</v>
      </c>
      <c r="AB87" s="125" t="s">
        <v>19</v>
      </c>
      <c r="AC87" s="30" t="s">
        <v>172</v>
      </c>
      <c r="AD87" s="25" t="s">
        <v>173</v>
      </c>
      <c r="AE87" s="25" t="s">
        <v>174</v>
      </c>
      <c r="AF87" s="26" t="s">
        <v>175</v>
      </c>
      <c r="AG87" s="32">
        <f t="shared" si="4"/>
        <v>1</v>
      </c>
      <c r="AH87" s="32">
        <v>1</v>
      </c>
      <c r="AI87" s="32">
        <v>1</v>
      </c>
      <c r="AJ87" s="32">
        <v>1</v>
      </c>
      <c r="AK87" s="30"/>
      <c r="AL87" s="32">
        <f t="shared" si="5"/>
        <v>1</v>
      </c>
      <c r="AM87" s="30"/>
      <c r="AN87" s="32">
        <v>1</v>
      </c>
      <c r="AO87" s="32">
        <v>1</v>
      </c>
      <c r="AP87" s="32">
        <v>1</v>
      </c>
      <c r="AQ87" s="32">
        <v>1</v>
      </c>
      <c r="AR87" s="32">
        <v>1</v>
      </c>
      <c r="AS87" s="30"/>
      <c r="AT87" s="32">
        <v>1</v>
      </c>
      <c r="AU87" s="30"/>
      <c r="AV87" s="30"/>
      <c r="AX87" s="2" t="s">
        <v>7863</v>
      </c>
      <c r="AZ87" s="128" t="s">
        <v>8165</v>
      </c>
    </row>
    <row r="88" spans="1:52">
      <c r="A88" s="25" t="s">
        <v>8166</v>
      </c>
      <c r="B88" s="25" t="s">
        <v>4398</v>
      </c>
      <c r="C88" s="25" t="s">
        <v>68</v>
      </c>
      <c r="D88" s="25" t="s">
        <v>8117</v>
      </c>
      <c r="E88" s="258" t="s">
        <v>8167</v>
      </c>
      <c r="F88" s="25" t="s">
        <v>8168</v>
      </c>
      <c r="G88" s="25" t="s">
        <v>7497</v>
      </c>
      <c r="H88" s="124" t="s">
        <v>8130</v>
      </c>
      <c r="I88" s="26" t="s">
        <v>7499</v>
      </c>
      <c r="J88" s="26">
        <v>202606.5</v>
      </c>
      <c r="K88" s="62" t="s">
        <v>7500</v>
      </c>
      <c r="L88" s="25" t="s">
        <v>73</v>
      </c>
      <c r="M88" s="25" t="s">
        <v>7915</v>
      </c>
      <c r="N88" s="25" t="s">
        <v>8169</v>
      </c>
      <c r="O88" s="27" t="s">
        <v>8170</v>
      </c>
      <c r="P88" s="26"/>
      <c r="Q88" s="92">
        <v>4</v>
      </c>
      <c r="R88" s="92" t="s">
        <v>4409</v>
      </c>
      <c r="S88" s="92" t="s">
        <v>8171</v>
      </c>
      <c r="T88" s="26" t="s">
        <v>77</v>
      </c>
      <c r="U88" s="30" t="s">
        <v>78</v>
      </c>
      <c r="V88" s="26" t="s">
        <v>79</v>
      </c>
      <c r="W88" s="38" t="s">
        <v>5168</v>
      </c>
      <c r="X88" s="26" t="s">
        <v>7505</v>
      </c>
      <c r="Y88" s="26" t="s">
        <v>81</v>
      </c>
      <c r="Z88" s="26" t="s">
        <v>81</v>
      </c>
      <c r="AA88" s="26" t="s">
        <v>172</v>
      </c>
      <c r="AB88" s="125" t="s">
        <v>19</v>
      </c>
      <c r="AC88" s="30" t="s">
        <v>172</v>
      </c>
      <c r="AD88" s="25" t="s">
        <v>173</v>
      </c>
      <c r="AE88" s="25" t="s">
        <v>174</v>
      </c>
      <c r="AF88" s="26" t="s">
        <v>175</v>
      </c>
      <c r="AG88" s="32">
        <f t="shared" si="4"/>
        <v>1</v>
      </c>
      <c r="AH88" s="32">
        <v>1</v>
      </c>
      <c r="AI88" s="32">
        <v>1</v>
      </c>
      <c r="AJ88" s="32">
        <v>1</v>
      </c>
      <c r="AK88" s="30"/>
      <c r="AL88" s="32">
        <f t="shared" si="5"/>
        <v>1</v>
      </c>
      <c r="AM88" s="30"/>
      <c r="AN88" s="32">
        <v>1</v>
      </c>
      <c r="AO88" s="32">
        <v>1</v>
      </c>
      <c r="AP88" s="32">
        <v>1</v>
      </c>
      <c r="AQ88" s="32">
        <v>1</v>
      </c>
      <c r="AR88" s="32">
        <v>1</v>
      </c>
      <c r="AS88" s="30"/>
      <c r="AT88" s="32">
        <v>1</v>
      </c>
      <c r="AU88" s="30"/>
      <c r="AV88" s="30"/>
      <c r="AX88" s="2" t="s">
        <v>8038</v>
      </c>
      <c r="AZ88" s="128" t="s">
        <v>8172</v>
      </c>
    </row>
    <row r="89" spans="1:52">
      <c r="A89" s="25" t="s">
        <v>8173</v>
      </c>
      <c r="B89" s="25" t="s">
        <v>4398</v>
      </c>
      <c r="C89" s="25" t="s">
        <v>68</v>
      </c>
      <c r="D89" s="25" t="s">
        <v>8126</v>
      </c>
      <c r="E89" s="258" t="s">
        <v>8174</v>
      </c>
      <c r="F89" s="25" t="s">
        <v>8175</v>
      </c>
      <c r="G89" s="25" t="s">
        <v>7497</v>
      </c>
      <c r="H89" s="124" t="s">
        <v>8130</v>
      </c>
      <c r="I89" s="26" t="s">
        <v>7499</v>
      </c>
      <c r="J89" s="26">
        <v>202606.5</v>
      </c>
      <c r="K89" s="62" t="s">
        <v>7500</v>
      </c>
      <c r="L89" s="25" t="s">
        <v>73</v>
      </c>
      <c r="M89" s="25" t="s">
        <v>7731</v>
      </c>
      <c r="N89" s="25" t="s">
        <v>8176</v>
      </c>
      <c r="O89" s="27" t="s">
        <v>8177</v>
      </c>
      <c r="P89" s="26"/>
      <c r="Q89" s="92">
        <v>4</v>
      </c>
      <c r="R89" s="92" t="s">
        <v>4409</v>
      </c>
      <c r="S89" s="92" t="s">
        <v>8178</v>
      </c>
      <c r="T89" s="26" t="s">
        <v>77</v>
      </c>
      <c r="U89" s="30" t="s">
        <v>78</v>
      </c>
      <c r="V89" s="26" t="s">
        <v>79</v>
      </c>
      <c r="W89" s="38" t="s">
        <v>5168</v>
      </c>
      <c r="X89" s="26" t="s">
        <v>7505</v>
      </c>
      <c r="Y89" s="26" t="s">
        <v>81</v>
      </c>
      <c r="Z89" s="26" t="s">
        <v>81</v>
      </c>
      <c r="AA89" s="26" t="s">
        <v>172</v>
      </c>
      <c r="AB89" s="125" t="s">
        <v>19</v>
      </c>
      <c r="AC89" s="30" t="s">
        <v>172</v>
      </c>
      <c r="AD89" s="25" t="s">
        <v>173</v>
      </c>
      <c r="AE89" s="25" t="s">
        <v>174</v>
      </c>
      <c r="AF89" s="26" t="s">
        <v>175</v>
      </c>
      <c r="AG89" s="32">
        <f t="shared" si="4"/>
        <v>1</v>
      </c>
      <c r="AH89" s="32">
        <v>1</v>
      </c>
      <c r="AI89" s="32">
        <v>1</v>
      </c>
      <c r="AJ89" s="32">
        <v>1</v>
      </c>
      <c r="AK89" s="30"/>
      <c r="AL89" s="32">
        <f t="shared" si="5"/>
        <v>1</v>
      </c>
      <c r="AM89" s="30"/>
      <c r="AN89" s="32">
        <v>1</v>
      </c>
      <c r="AO89" s="32">
        <v>1</v>
      </c>
      <c r="AP89" s="32">
        <v>1</v>
      </c>
      <c r="AQ89" s="32">
        <v>1</v>
      </c>
      <c r="AR89" s="32">
        <v>1</v>
      </c>
      <c r="AS89" s="30"/>
      <c r="AT89" s="32">
        <v>1</v>
      </c>
      <c r="AU89" s="30"/>
      <c r="AV89" s="30"/>
      <c r="AX89" s="2" t="s">
        <v>8051</v>
      </c>
      <c r="AZ89" s="128" t="s">
        <v>8103</v>
      </c>
    </row>
    <row r="90" spans="1:52">
      <c r="A90" s="25" t="s">
        <v>8179</v>
      </c>
      <c r="B90" s="25" t="s">
        <v>4398</v>
      </c>
      <c r="C90" s="25" t="s">
        <v>68</v>
      </c>
      <c r="D90" s="25" t="s">
        <v>8152</v>
      </c>
      <c r="E90" s="258" t="s">
        <v>8180</v>
      </c>
      <c r="F90" s="25" t="s">
        <v>8181</v>
      </c>
      <c r="G90" s="25" t="s">
        <v>7497</v>
      </c>
      <c r="H90" s="124" t="s">
        <v>8130</v>
      </c>
      <c r="I90" s="26" t="s">
        <v>7499</v>
      </c>
      <c r="J90" s="26">
        <v>202606.5</v>
      </c>
      <c r="K90" s="62" t="s">
        <v>7500</v>
      </c>
      <c r="L90" s="25" t="s">
        <v>73</v>
      </c>
      <c r="M90" s="25" t="s">
        <v>8182</v>
      </c>
      <c r="N90" s="25" t="s">
        <v>8183</v>
      </c>
      <c r="O90" s="27" t="s">
        <v>8184</v>
      </c>
      <c r="P90" s="26"/>
      <c r="Q90" s="92">
        <v>4</v>
      </c>
      <c r="R90" s="92" t="s">
        <v>4409</v>
      </c>
      <c r="S90" s="92" t="s">
        <v>8185</v>
      </c>
      <c r="T90" s="26" t="s">
        <v>77</v>
      </c>
      <c r="U90" s="30" t="s">
        <v>78</v>
      </c>
      <c r="V90" s="26" t="s">
        <v>79</v>
      </c>
      <c r="W90" s="38" t="s">
        <v>5168</v>
      </c>
      <c r="X90" s="26" t="s">
        <v>7505</v>
      </c>
      <c r="Y90" s="26" t="s">
        <v>81</v>
      </c>
      <c r="Z90" s="26" t="s">
        <v>81</v>
      </c>
      <c r="AA90" s="26" t="s">
        <v>172</v>
      </c>
      <c r="AB90" s="125" t="s">
        <v>19</v>
      </c>
      <c r="AC90" s="30" t="s">
        <v>172</v>
      </c>
      <c r="AD90" s="25" t="s">
        <v>173</v>
      </c>
      <c r="AE90" s="25" t="s">
        <v>174</v>
      </c>
      <c r="AF90" s="26" t="s">
        <v>175</v>
      </c>
      <c r="AG90" s="32">
        <f t="shared" si="4"/>
        <v>1</v>
      </c>
      <c r="AH90" s="32">
        <v>1</v>
      </c>
      <c r="AI90" s="32">
        <v>1</v>
      </c>
      <c r="AJ90" s="32">
        <v>1</v>
      </c>
      <c r="AK90" s="30"/>
      <c r="AL90" s="32">
        <f t="shared" si="5"/>
        <v>1</v>
      </c>
      <c r="AM90" s="30"/>
      <c r="AN90" s="32">
        <v>1</v>
      </c>
      <c r="AO90" s="32">
        <v>1</v>
      </c>
      <c r="AP90" s="32">
        <v>1</v>
      </c>
      <c r="AQ90" s="32">
        <v>1</v>
      </c>
      <c r="AR90" s="32">
        <v>1</v>
      </c>
      <c r="AS90" s="30"/>
      <c r="AT90" s="32">
        <v>1</v>
      </c>
      <c r="AU90" s="30"/>
      <c r="AV90" s="30"/>
      <c r="AX90" s="2" t="s">
        <v>7972</v>
      </c>
      <c r="AZ90" s="128" t="s">
        <v>8111</v>
      </c>
    </row>
    <row r="91" spans="1:52">
      <c r="A91" s="25" t="s">
        <v>8186</v>
      </c>
      <c r="B91" s="25" t="s">
        <v>4398</v>
      </c>
      <c r="C91" s="25" t="s">
        <v>68</v>
      </c>
      <c r="D91" s="25" t="s">
        <v>8165</v>
      </c>
      <c r="E91" s="258" t="s">
        <v>8187</v>
      </c>
      <c r="F91" s="25" t="s">
        <v>8188</v>
      </c>
      <c r="G91" s="25" t="s">
        <v>7497</v>
      </c>
      <c r="H91" s="124" t="s">
        <v>8130</v>
      </c>
      <c r="I91" s="26" t="s">
        <v>7499</v>
      </c>
      <c r="J91" s="26">
        <v>202606.5</v>
      </c>
      <c r="K91" s="62" t="s">
        <v>7500</v>
      </c>
      <c r="L91" s="25" t="s">
        <v>73</v>
      </c>
      <c r="M91" s="25" t="s">
        <v>7783</v>
      </c>
      <c r="N91" s="25" t="s">
        <v>8189</v>
      </c>
      <c r="O91" s="27" t="s">
        <v>8190</v>
      </c>
      <c r="P91" s="26"/>
      <c r="Q91" s="92">
        <v>4</v>
      </c>
      <c r="R91" s="92" t="s">
        <v>4409</v>
      </c>
      <c r="S91" s="92" t="s">
        <v>8191</v>
      </c>
      <c r="T91" s="26" t="s">
        <v>77</v>
      </c>
      <c r="U91" s="30" t="s">
        <v>78</v>
      </c>
      <c r="V91" s="26" t="s">
        <v>79</v>
      </c>
      <c r="W91" s="38" t="s">
        <v>5168</v>
      </c>
      <c r="X91" s="26" t="s">
        <v>7505</v>
      </c>
      <c r="Y91" s="26" t="s">
        <v>81</v>
      </c>
      <c r="Z91" s="26" t="s">
        <v>81</v>
      </c>
      <c r="AA91" s="26" t="s">
        <v>172</v>
      </c>
      <c r="AB91" s="125" t="s">
        <v>19</v>
      </c>
      <c r="AC91" s="30" t="s">
        <v>172</v>
      </c>
      <c r="AD91" s="25" t="s">
        <v>173</v>
      </c>
      <c r="AE91" s="25" t="s">
        <v>174</v>
      </c>
      <c r="AF91" s="26" t="s">
        <v>175</v>
      </c>
      <c r="AG91" s="32">
        <f t="shared" si="4"/>
        <v>1</v>
      </c>
      <c r="AH91" s="32">
        <v>1</v>
      </c>
      <c r="AI91" s="32">
        <v>1</v>
      </c>
      <c r="AJ91" s="32">
        <v>1</v>
      </c>
      <c r="AK91" s="30"/>
      <c r="AL91" s="32">
        <f t="shared" si="5"/>
        <v>1</v>
      </c>
      <c r="AM91" s="30"/>
      <c r="AN91" s="32">
        <v>1</v>
      </c>
      <c r="AO91" s="32">
        <v>1</v>
      </c>
      <c r="AP91" s="32">
        <v>1</v>
      </c>
      <c r="AQ91" s="32">
        <v>1</v>
      </c>
      <c r="AR91" s="32">
        <v>1</v>
      </c>
      <c r="AS91" s="30"/>
      <c r="AT91" s="32">
        <v>1</v>
      </c>
      <c r="AU91" s="30"/>
      <c r="AV91" s="30"/>
      <c r="AX91" s="2" t="s">
        <v>8182</v>
      </c>
      <c r="AZ91" s="128" t="s">
        <v>8119</v>
      </c>
    </row>
    <row r="92" spans="1:52">
      <c r="A92" s="25" t="s">
        <v>8192</v>
      </c>
      <c r="B92" s="25" t="s">
        <v>4398</v>
      </c>
      <c r="C92" s="25" t="s">
        <v>68</v>
      </c>
      <c r="D92" s="25" t="s">
        <v>8172</v>
      </c>
      <c r="E92" s="258" t="s">
        <v>8193</v>
      </c>
      <c r="F92" s="25" t="s">
        <v>8194</v>
      </c>
      <c r="G92" s="25" t="s">
        <v>7497</v>
      </c>
      <c r="H92" s="124" t="s">
        <v>8130</v>
      </c>
      <c r="I92" s="26" t="s">
        <v>7499</v>
      </c>
      <c r="J92" s="26">
        <v>202606.5</v>
      </c>
      <c r="K92" s="62" t="s">
        <v>7500</v>
      </c>
      <c r="L92" s="25" t="s">
        <v>73</v>
      </c>
      <c r="M92" s="25" t="s">
        <v>8195</v>
      </c>
      <c r="N92" s="25" t="s">
        <v>8196</v>
      </c>
      <c r="O92" s="27" t="s">
        <v>8197</v>
      </c>
      <c r="P92" s="26"/>
      <c r="Q92" s="92">
        <v>4</v>
      </c>
      <c r="R92" s="92" t="s">
        <v>4409</v>
      </c>
      <c r="S92" s="92" t="s">
        <v>4840</v>
      </c>
      <c r="T92" s="26" t="s">
        <v>77</v>
      </c>
      <c r="U92" s="30" t="s">
        <v>78</v>
      </c>
      <c r="V92" s="26" t="s">
        <v>79</v>
      </c>
      <c r="W92" s="38" t="s">
        <v>5168</v>
      </c>
      <c r="X92" s="26" t="s">
        <v>7505</v>
      </c>
      <c r="Y92" s="26" t="s">
        <v>81</v>
      </c>
      <c r="Z92" s="26" t="s">
        <v>81</v>
      </c>
      <c r="AA92" s="26" t="s">
        <v>172</v>
      </c>
      <c r="AB92" s="125" t="s">
        <v>19</v>
      </c>
      <c r="AC92" s="30" t="s">
        <v>172</v>
      </c>
      <c r="AD92" s="25" t="s">
        <v>173</v>
      </c>
      <c r="AE92" s="25" t="s">
        <v>174</v>
      </c>
      <c r="AF92" s="26" t="s">
        <v>175</v>
      </c>
      <c r="AG92" s="32">
        <f t="shared" si="4"/>
        <v>1</v>
      </c>
      <c r="AH92" s="32">
        <v>1</v>
      </c>
      <c r="AI92" s="32">
        <v>1</v>
      </c>
      <c r="AJ92" s="32">
        <v>1</v>
      </c>
      <c r="AK92" s="30"/>
      <c r="AL92" s="32">
        <f t="shared" si="5"/>
        <v>1</v>
      </c>
      <c r="AM92" s="30"/>
      <c r="AN92" s="32">
        <v>1</v>
      </c>
      <c r="AO92" s="32">
        <v>1</v>
      </c>
      <c r="AP92" s="32">
        <v>1</v>
      </c>
      <c r="AQ92" s="32">
        <v>1</v>
      </c>
      <c r="AR92" s="32">
        <v>1</v>
      </c>
      <c r="AS92" s="30"/>
      <c r="AT92" s="32">
        <v>1</v>
      </c>
      <c r="AU92" s="30"/>
      <c r="AV92" s="30"/>
      <c r="AX92" s="2" t="s">
        <v>7608</v>
      </c>
      <c r="AZ92" s="121" t="s">
        <v>8088</v>
      </c>
    </row>
    <row r="93" spans="1:52">
      <c r="A93" s="25" t="s">
        <v>8198</v>
      </c>
      <c r="B93" s="25" t="s">
        <v>4398</v>
      </c>
      <c r="C93" s="25" t="s">
        <v>68</v>
      </c>
      <c r="D93" s="25" t="s">
        <v>8047</v>
      </c>
      <c r="E93" s="258" t="s">
        <v>8199</v>
      </c>
      <c r="F93" s="25" t="s">
        <v>8200</v>
      </c>
      <c r="G93" s="25" t="s">
        <v>7497</v>
      </c>
      <c r="H93" s="124" t="s">
        <v>8130</v>
      </c>
      <c r="I93" s="26" t="s">
        <v>7499</v>
      </c>
      <c r="J93" s="26">
        <v>202606.5</v>
      </c>
      <c r="K93" s="62" t="s">
        <v>7500</v>
      </c>
      <c r="L93" s="25" t="s">
        <v>73</v>
      </c>
      <c r="M93" s="25" t="s">
        <v>7950</v>
      </c>
      <c r="N93" s="25" t="s">
        <v>8201</v>
      </c>
      <c r="O93" s="27" t="s">
        <v>8202</v>
      </c>
      <c r="P93" s="26"/>
      <c r="Q93" s="92">
        <v>4</v>
      </c>
      <c r="R93" s="92" t="s">
        <v>4409</v>
      </c>
      <c r="S93" s="92" t="s">
        <v>4440</v>
      </c>
      <c r="T93" s="26" t="s">
        <v>77</v>
      </c>
      <c r="U93" s="30" t="s">
        <v>78</v>
      </c>
      <c r="V93" s="26" t="s">
        <v>79</v>
      </c>
      <c r="W93" s="38" t="s">
        <v>80</v>
      </c>
      <c r="X93" s="26" t="s">
        <v>7505</v>
      </c>
      <c r="Y93" s="26" t="s">
        <v>81</v>
      </c>
      <c r="Z93" s="26" t="s">
        <v>81</v>
      </c>
      <c r="AA93" s="26" t="s">
        <v>172</v>
      </c>
      <c r="AB93" s="125" t="s">
        <v>21</v>
      </c>
      <c r="AC93" s="30" t="s">
        <v>172</v>
      </c>
      <c r="AD93" s="25" t="s">
        <v>173</v>
      </c>
      <c r="AE93" s="25" t="s">
        <v>174</v>
      </c>
      <c r="AF93" s="26" t="s">
        <v>175</v>
      </c>
      <c r="AG93" s="32">
        <f t="shared" si="4"/>
        <v>1</v>
      </c>
      <c r="AH93" s="32">
        <v>1</v>
      </c>
      <c r="AI93" s="32">
        <v>1</v>
      </c>
      <c r="AJ93" s="32">
        <v>1</v>
      </c>
      <c r="AK93" s="30"/>
      <c r="AL93" s="32">
        <f t="shared" si="5"/>
        <v>1</v>
      </c>
      <c r="AM93" s="30"/>
      <c r="AN93" s="32">
        <v>1</v>
      </c>
      <c r="AO93" s="32">
        <v>1</v>
      </c>
      <c r="AP93" s="32">
        <v>1</v>
      </c>
      <c r="AQ93" s="32">
        <v>1</v>
      </c>
      <c r="AR93" s="32">
        <v>1</v>
      </c>
      <c r="AS93" s="30"/>
      <c r="AT93" s="32">
        <v>1</v>
      </c>
      <c r="AU93" s="30"/>
      <c r="AV93" s="30"/>
      <c r="AX93" s="2" t="s">
        <v>8195</v>
      </c>
      <c r="AZ93" s="35" t="s">
        <v>7838</v>
      </c>
    </row>
    <row r="94" spans="1:52">
      <c r="A94" s="25" t="s">
        <v>8203</v>
      </c>
      <c r="B94" s="25" t="s">
        <v>4398</v>
      </c>
      <c r="C94" s="25" t="s">
        <v>73</v>
      </c>
      <c r="D94" s="25" t="s">
        <v>8055</v>
      </c>
      <c r="E94" s="258" t="s">
        <v>8204</v>
      </c>
      <c r="F94" s="25" t="s">
        <v>8205</v>
      </c>
      <c r="G94" s="25" t="s">
        <v>7497</v>
      </c>
      <c r="H94" s="124" t="s">
        <v>8130</v>
      </c>
      <c r="I94" s="26" t="s">
        <v>7499</v>
      </c>
      <c r="J94" s="26">
        <v>202606.5</v>
      </c>
      <c r="K94" s="62" t="s">
        <v>7500</v>
      </c>
      <c r="L94" s="25" t="s">
        <v>73</v>
      </c>
      <c r="M94" s="25" t="s">
        <v>8206</v>
      </c>
      <c r="N94" s="25" t="s">
        <v>8207</v>
      </c>
      <c r="O94" s="27" t="s">
        <v>8208</v>
      </c>
      <c r="P94" s="26"/>
      <c r="Q94" s="32">
        <v>4</v>
      </c>
      <c r="R94" s="32">
        <v>16</v>
      </c>
      <c r="S94" s="32">
        <v>268.27999999999997</v>
      </c>
      <c r="T94" s="26" t="s">
        <v>77</v>
      </c>
      <c r="U94" s="30" t="s">
        <v>78</v>
      </c>
      <c r="V94" s="26" t="s">
        <v>79</v>
      </c>
      <c r="W94" s="38" t="s">
        <v>80</v>
      </c>
      <c r="X94" s="26" t="s">
        <v>7505</v>
      </c>
      <c r="Y94" s="26" t="s">
        <v>81</v>
      </c>
      <c r="Z94" s="26" t="s">
        <v>81</v>
      </c>
      <c r="AA94" s="26" t="s">
        <v>172</v>
      </c>
      <c r="AB94" s="125" t="s">
        <v>21</v>
      </c>
      <c r="AC94" s="30" t="s">
        <v>172</v>
      </c>
      <c r="AD94" s="25" t="s">
        <v>7629</v>
      </c>
      <c r="AE94" s="117" t="s">
        <v>174</v>
      </c>
      <c r="AF94" s="26" t="s">
        <v>175</v>
      </c>
      <c r="AG94" s="32">
        <f t="shared" si="4"/>
        <v>1</v>
      </c>
      <c r="AH94" s="32">
        <v>1</v>
      </c>
      <c r="AI94" s="32">
        <v>1</v>
      </c>
      <c r="AJ94" s="32">
        <v>1</v>
      </c>
      <c r="AK94" s="30"/>
      <c r="AL94" s="32">
        <f t="shared" si="5"/>
        <v>1</v>
      </c>
      <c r="AM94" s="30"/>
      <c r="AN94" s="32">
        <v>1</v>
      </c>
      <c r="AO94" s="32">
        <v>1</v>
      </c>
      <c r="AP94" s="32">
        <v>1</v>
      </c>
      <c r="AQ94" s="32">
        <v>1</v>
      </c>
      <c r="AR94" s="32">
        <v>1</v>
      </c>
      <c r="AS94" s="30"/>
      <c r="AT94" s="32">
        <v>1</v>
      </c>
      <c r="AU94" s="30"/>
      <c r="AV94" s="30"/>
      <c r="AX94" s="2" t="s">
        <v>7626</v>
      </c>
      <c r="AZ94" s="35" t="s">
        <v>7887</v>
      </c>
    </row>
    <row r="95" spans="1:52">
      <c r="A95" s="25" t="s">
        <v>8209</v>
      </c>
      <c r="B95" s="25" t="s">
        <v>4398</v>
      </c>
      <c r="C95" s="25" t="s">
        <v>73</v>
      </c>
      <c r="D95" s="25" t="s">
        <v>8063</v>
      </c>
      <c r="E95" s="258" t="s">
        <v>8210</v>
      </c>
      <c r="F95" s="25" t="s">
        <v>8211</v>
      </c>
      <c r="G95" s="25" t="s">
        <v>7497</v>
      </c>
      <c r="H95" s="124" t="s">
        <v>8130</v>
      </c>
      <c r="I95" s="26" t="s">
        <v>7499</v>
      </c>
      <c r="J95" s="26">
        <v>202606.5</v>
      </c>
      <c r="K95" s="62" t="s">
        <v>7500</v>
      </c>
      <c r="L95" s="25" t="s">
        <v>73</v>
      </c>
      <c r="M95" s="25" t="s">
        <v>7602</v>
      </c>
      <c r="N95" s="25" t="s">
        <v>8212</v>
      </c>
      <c r="O95" s="27" t="s">
        <v>8213</v>
      </c>
      <c r="P95" s="26"/>
      <c r="Q95" s="32">
        <v>4</v>
      </c>
      <c r="R95" s="32">
        <v>16</v>
      </c>
      <c r="S95" s="32">
        <v>266.14999999999998</v>
      </c>
      <c r="T95" s="26" t="s">
        <v>77</v>
      </c>
      <c r="U95" s="30" t="s">
        <v>78</v>
      </c>
      <c r="V95" s="26" t="s">
        <v>79</v>
      </c>
      <c r="W95" s="38" t="s">
        <v>80</v>
      </c>
      <c r="X95" s="26" t="s">
        <v>7505</v>
      </c>
      <c r="Y95" s="26" t="s">
        <v>81</v>
      </c>
      <c r="Z95" s="26" t="s">
        <v>81</v>
      </c>
      <c r="AA95" s="26" t="s">
        <v>172</v>
      </c>
      <c r="AB95" s="125" t="s">
        <v>21</v>
      </c>
      <c r="AC95" s="30" t="s">
        <v>172</v>
      </c>
      <c r="AD95" s="25" t="s">
        <v>7629</v>
      </c>
      <c r="AE95" s="117" t="s">
        <v>174</v>
      </c>
      <c r="AF95" s="26" t="s">
        <v>175</v>
      </c>
      <c r="AG95" s="32">
        <f t="shared" si="4"/>
        <v>1</v>
      </c>
      <c r="AH95" s="32">
        <v>1</v>
      </c>
      <c r="AI95" s="32">
        <v>1</v>
      </c>
      <c r="AJ95" s="32">
        <v>1</v>
      </c>
      <c r="AK95" s="30"/>
      <c r="AL95" s="32">
        <f t="shared" si="5"/>
        <v>1</v>
      </c>
      <c r="AM95" s="30"/>
      <c r="AN95" s="32">
        <v>1</v>
      </c>
      <c r="AO95" s="32">
        <v>1</v>
      </c>
      <c r="AP95" s="32">
        <v>1</v>
      </c>
      <c r="AQ95" s="32">
        <v>1</v>
      </c>
      <c r="AR95" s="32">
        <v>1</v>
      </c>
      <c r="AS95" s="30"/>
      <c r="AT95" s="32">
        <v>1</v>
      </c>
      <c r="AU95" s="30"/>
      <c r="AV95" s="30"/>
      <c r="AX95" s="2" t="s">
        <v>8206</v>
      </c>
      <c r="AZ95" s="35" t="s">
        <v>7869</v>
      </c>
    </row>
    <row r="96" spans="1:52" ht="25.4" customHeight="1">
      <c r="A96" s="130" t="s">
        <v>8214</v>
      </c>
      <c r="B96" s="26"/>
      <c r="C96" s="25" t="s">
        <v>73</v>
      </c>
      <c r="D96" s="26" t="s">
        <v>7943</v>
      </c>
      <c r="E96" s="72" t="s">
        <v>70</v>
      </c>
      <c r="F96" s="120" t="s">
        <v>70</v>
      </c>
      <c r="G96" s="121" t="s">
        <v>7497</v>
      </c>
      <c r="H96" s="131" t="s">
        <v>72</v>
      </c>
      <c r="I96" s="122"/>
      <c r="J96" s="38">
        <v>202606.5</v>
      </c>
      <c r="K96" s="121">
        <v>6.29</v>
      </c>
      <c r="L96" s="121" t="s">
        <v>73</v>
      </c>
      <c r="M96" s="121" t="s">
        <v>7651</v>
      </c>
      <c r="N96" s="121" t="s">
        <v>8215</v>
      </c>
      <c r="O96" s="132" t="s">
        <v>8216</v>
      </c>
      <c r="P96" s="72" t="s">
        <v>125</v>
      </c>
      <c r="Q96" s="52">
        <v>4</v>
      </c>
      <c r="R96" s="52">
        <v>16</v>
      </c>
      <c r="S96" s="133" t="s">
        <v>8217</v>
      </c>
      <c r="T96" s="26" t="s">
        <v>77</v>
      </c>
      <c r="U96" s="30" t="s">
        <v>78</v>
      </c>
      <c r="V96" s="26" t="s">
        <v>79</v>
      </c>
      <c r="W96" s="38" t="s">
        <v>80</v>
      </c>
      <c r="X96" s="38" t="s">
        <v>7505</v>
      </c>
      <c r="Y96" s="26" t="s">
        <v>81</v>
      </c>
      <c r="Z96" s="26" t="s">
        <v>81</v>
      </c>
      <c r="AA96" s="26" t="s">
        <v>172</v>
      </c>
      <c r="AB96" s="125" t="s">
        <v>7</v>
      </c>
      <c r="AC96" s="30"/>
      <c r="AD96" s="30"/>
      <c r="AE96" s="32"/>
      <c r="AF96" s="30"/>
      <c r="AG96" s="32">
        <f t="shared" si="4"/>
        <v>1</v>
      </c>
      <c r="AH96" s="32">
        <v>1</v>
      </c>
      <c r="AI96" s="32">
        <v>1</v>
      </c>
      <c r="AJ96" s="32">
        <v>1</v>
      </c>
      <c r="AK96" s="30"/>
      <c r="AL96" s="32">
        <f t="shared" si="5"/>
        <v>1</v>
      </c>
      <c r="AM96" s="30"/>
      <c r="AN96" s="32">
        <v>1</v>
      </c>
      <c r="AO96" s="32"/>
      <c r="AP96" s="32">
        <v>1</v>
      </c>
      <c r="AQ96" s="32">
        <v>1</v>
      </c>
      <c r="AR96" s="32"/>
      <c r="AS96" s="30"/>
      <c r="AT96" s="32">
        <v>1</v>
      </c>
      <c r="AU96" s="127">
        <v>0.87949074074074096</v>
      </c>
      <c r="AV96" s="30"/>
      <c r="AX96" s="2" t="s">
        <v>8013</v>
      </c>
      <c r="AZ96" s="35" t="s">
        <v>8035</v>
      </c>
    </row>
    <row r="97" spans="1:53" ht="25.4" customHeight="1">
      <c r="A97" s="26" t="s">
        <v>67</v>
      </c>
      <c r="B97" s="25"/>
      <c r="C97" s="25" t="s">
        <v>68</v>
      </c>
      <c r="D97" s="26" t="s">
        <v>69</v>
      </c>
      <c r="E97" s="72" t="s">
        <v>134</v>
      </c>
      <c r="F97" s="72" t="s">
        <v>134</v>
      </c>
      <c r="G97" s="30"/>
      <c r="H97" s="131" t="s">
        <v>72</v>
      </c>
      <c r="I97" s="30"/>
      <c r="J97" s="26">
        <v>202606.5</v>
      </c>
      <c r="K97" s="121">
        <v>6.29</v>
      </c>
      <c r="L97" s="121" t="s">
        <v>73</v>
      </c>
      <c r="M97" s="26" t="s">
        <v>8218</v>
      </c>
      <c r="N97" s="25" t="s">
        <v>8219</v>
      </c>
      <c r="O97" t="s">
        <v>8220</v>
      </c>
      <c r="P97" s="72" t="s">
        <v>125</v>
      </c>
      <c r="Q97" s="52">
        <v>4</v>
      </c>
      <c r="R97" s="52">
        <v>16</v>
      </c>
      <c r="S97" s="67" t="s">
        <v>8217</v>
      </c>
      <c r="T97" s="38" t="s">
        <v>77</v>
      </c>
      <c r="U97" s="122" t="s">
        <v>78</v>
      </c>
      <c r="V97" s="38" t="s">
        <v>79</v>
      </c>
      <c r="W97" s="38" t="s">
        <v>80</v>
      </c>
      <c r="X97" s="38" t="s">
        <v>7505</v>
      </c>
      <c r="Y97" s="38" t="s">
        <v>81</v>
      </c>
      <c r="Z97" s="38" t="s">
        <v>81</v>
      </c>
      <c r="AA97" s="38" t="s">
        <v>172</v>
      </c>
      <c r="AB97" s="125" t="s">
        <v>7</v>
      </c>
      <c r="AC97" s="30"/>
      <c r="AD97" s="30"/>
      <c r="AE97" s="32"/>
      <c r="AF97" s="30"/>
      <c r="AG97" s="32">
        <v>1</v>
      </c>
      <c r="AH97" s="32">
        <v>1</v>
      </c>
      <c r="AI97" s="32">
        <v>1</v>
      </c>
      <c r="AJ97" s="32">
        <v>1</v>
      </c>
      <c r="AK97" s="30"/>
      <c r="AL97" s="32">
        <f t="shared" si="5"/>
        <v>1</v>
      </c>
      <c r="AM97" s="30"/>
      <c r="AN97" s="32">
        <v>1</v>
      </c>
      <c r="AO97" s="32"/>
      <c r="AP97" s="32">
        <v>1</v>
      </c>
      <c r="AQ97" s="32">
        <v>1</v>
      </c>
      <c r="AR97" s="32"/>
      <c r="AS97" s="30"/>
      <c r="AT97" s="32">
        <v>1</v>
      </c>
      <c r="AU97" s="127">
        <v>0.89873842592592601</v>
      </c>
      <c r="AV97" s="30"/>
      <c r="AX97" s="2" t="s">
        <v>8059</v>
      </c>
      <c r="AZ97" s="35"/>
    </row>
    <row r="98" spans="1:53">
      <c r="AZ98" s="134"/>
    </row>
    <row r="100" spans="1:53">
      <c r="AY100"/>
      <c r="AZ100"/>
      <c r="BA100"/>
    </row>
    <row r="101" spans="1:53">
      <c r="AY101"/>
      <c r="AZ101"/>
      <c r="BA101"/>
    </row>
    <row r="102" spans="1:53">
      <c r="AY102"/>
      <c r="AZ102"/>
      <c r="BA102"/>
    </row>
    <row r="103" spans="1:53">
      <c r="AY103"/>
      <c r="AZ103"/>
      <c r="BA103"/>
    </row>
    <row r="104" spans="1:53">
      <c r="AY104"/>
      <c r="AZ104"/>
      <c r="BA104"/>
    </row>
    <row r="105" spans="1:53">
      <c r="AY105"/>
      <c r="AZ105"/>
      <c r="BA105"/>
    </row>
    <row r="106" spans="1:53">
      <c r="AY106"/>
      <c r="AZ106"/>
      <c r="BA106"/>
    </row>
    <row r="107" spans="1:53">
      <c r="AY107"/>
      <c r="AZ107"/>
      <c r="BA107"/>
    </row>
    <row r="108" spans="1:53">
      <c r="AY108"/>
      <c r="AZ108"/>
      <c r="BA108"/>
    </row>
    <row r="109" spans="1:53">
      <c r="AY109"/>
      <c r="AZ109"/>
      <c r="BA109"/>
    </row>
    <row r="110" spans="1:53">
      <c r="AY110"/>
      <c r="AZ110"/>
      <c r="BA110"/>
    </row>
    <row r="111" spans="1:53">
      <c r="AY111"/>
      <c r="AZ111"/>
      <c r="BA111"/>
    </row>
    <row r="112" spans="1:53">
      <c r="AY112"/>
      <c r="AZ112"/>
      <c r="BA112"/>
    </row>
    <row r="113" spans="51:53">
      <c r="AY113"/>
      <c r="AZ113"/>
      <c r="BA113"/>
    </row>
    <row r="114" spans="51:53">
      <c r="AY114"/>
      <c r="AZ114"/>
      <c r="BA114"/>
    </row>
    <row r="115" spans="51:53">
      <c r="AY115"/>
      <c r="AZ115"/>
      <c r="BA115"/>
    </row>
    <row r="116" spans="51:53">
      <c r="AY116"/>
      <c r="AZ116"/>
      <c r="BA116"/>
    </row>
    <row r="117" spans="51:53">
      <c r="AY117"/>
      <c r="AZ117"/>
      <c r="BA117"/>
    </row>
    <row r="118" spans="51:53">
      <c r="AY118"/>
      <c r="AZ118"/>
      <c r="BA118"/>
    </row>
    <row r="119" spans="51:53">
      <c r="AY119"/>
      <c r="AZ119"/>
      <c r="BA119"/>
    </row>
    <row r="120" spans="51:53">
      <c r="AY120"/>
      <c r="AZ120"/>
      <c r="BA120"/>
    </row>
    <row r="121" spans="51:53">
      <c r="AY121"/>
      <c r="AZ121"/>
      <c r="BA121"/>
    </row>
    <row r="122" spans="51:53">
      <c r="AY122"/>
      <c r="AZ122"/>
      <c r="BA122"/>
    </row>
    <row r="123" spans="51:53">
      <c r="AY123"/>
      <c r="AZ123"/>
      <c r="BA123"/>
    </row>
    <row r="124" spans="51:53">
      <c r="AY124"/>
      <c r="AZ124"/>
      <c r="BA124"/>
    </row>
    <row r="125" spans="51:53">
      <c r="AY125"/>
      <c r="AZ125"/>
      <c r="BA125"/>
    </row>
    <row r="126" spans="51:53">
      <c r="AY126"/>
      <c r="AZ126"/>
      <c r="BA126"/>
    </row>
    <row r="127" spans="51:53">
      <c r="AY127"/>
      <c r="AZ127"/>
      <c r="BA127"/>
    </row>
    <row r="128" spans="51:53">
      <c r="AY128"/>
      <c r="AZ128"/>
      <c r="BA128"/>
    </row>
    <row r="129" spans="51:53">
      <c r="AY129"/>
      <c r="AZ129"/>
      <c r="BA129"/>
    </row>
    <row r="130" spans="51:53">
      <c r="AY130"/>
      <c r="AZ130"/>
      <c r="BA130"/>
    </row>
    <row r="131" spans="51:53">
      <c r="AY131"/>
      <c r="AZ131"/>
      <c r="BA131"/>
    </row>
    <row r="132" spans="51:53">
      <c r="AY132"/>
      <c r="AZ132"/>
      <c r="BA132"/>
    </row>
    <row r="133" spans="51:53">
      <c r="AY133"/>
      <c r="AZ133"/>
      <c r="BA133"/>
    </row>
    <row r="134" spans="51:53">
      <c r="AY134"/>
      <c r="AZ134"/>
      <c r="BA134"/>
    </row>
    <row r="135" spans="51:53">
      <c r="AY135"/>
      <c r="AZ135"/>
      <c r="BA135"/>
    </row>
    <row r="136" spans="51:53">
      <c r="AY136"/>
      <c r="AZ136"/>
      <c r="BA136"/>
    </row>
    <row r="137" spans="51:53">
      <c r="AY137"/>
      <c r="AZ137"/>
      <c r="BA137"/>
    </row>
    <row r="138" spans="51:53">
      <c r="AY138"/>
      <c r="AZ138"/>
      <c r="BA138"/>
    </row>
    <row r="139" spans="51:53">
      <c r="AY139"/>
      <c r="AZ139"/>
      <c r="BA139"/>
    </row>
    <row r="140" spans="51:53">
      <c r="AY140"/>
      <c r="AZ140"/>
      <c r="BA140"/>
    </row>
    <row r="141" spans="51:53">
      <c r="AY141"/>
      <c r="AZ141"/>
      <c r="BA141"/>
    </row>
    <row r="142" spans="51:53">
      <c r="AY142"/>
      <c r="AZ142"/>
      <c r="BA142"/>
    </row>
    <row r="143" spans="51:53">
      <c r="AY143"/>
      <c r="AZ143"/>
      <c r="BA143"/>
    </row>
    <row r="144" spans="51:53">
      <c r="AY144"/>
      <c r="AZ144"/>
      <c r="BA144"/>
    </row>
    <row r="145" spans="51:53">
      <c r="AY145"/>
      <c r="AZ145"/>
      <c r="BA145"/>
    </row>
    <row r="146" spans="51:53">
      <c r="AY146"/>
      <c r="AZ146"/>
      <c r="BA146"/>
    </row>
    <row r="147" spans="51:53">
      <c r="AY147"/>
      <c r="AZ147"/>
      <c r="BA147"/>
    </row>
    <row r="148" spans="51:53">
      <c r="AY148"/>
      <c r="AZ148"/>
      <c r="BA148"/>
    </row>
    <row r="149" spans="51:53">
      <c r="AY149"/>
      <c r="AZ149"/>
      <c r="BA149"/>
    </row>
    <row r="150" spans="51:53">
      <c r="AY150"/>
      <c r="AZ150"/>
      <c r="BA150"/>
    </row>
    <row r="151" spans="51:53">
      <c r="AY151"/>
      <c r="AZ151"/>
      <c r="BA151"/>
    </row>
    <row r="152" spans="51:53">
      <c r="AY152"/>
      <c r="AZ152"/>
      <c r="BA152"/>
    </row>
    <row r="153" spans="51:53">
      <c r="AY153"/>
      <c r="AZ153"/>
      <c r="BA153"/>
    </row>
    <row r="154" spans="51:53">
      <c r="AY154"/>
      <c r="AZ154"/>
      <c r="BA154"/>
    </row>
    <row r="155" spans="51:53">
      <c r="AY155"/>
      <c r="AZ155"/>
      <c r="BA155"/>
    </row>
    <row r="156" spans="51:53">
      <c r="AY156"/>
      <c r="AZ156"/>
      <c r="BA156"/>
    </row>
    <row r="157" spans="51:53">
      <c r="AY157"/>
      <c r="AZ157"/>
      <c r="BA157"/>
    </row>
    <row r="158" spans="51:53">
      <c r="AY158"/>
      <c r="AZ158"/>
      <c r="BA158"/>
    </row>
    <row r="159" spans="51:53">
      <c r="AY159"/>
      <c r="AZ159"/>
      <c r="BA159"/>
    </row>
    <row r="160" spans="51:53">
      <c r="AY160"/>
      <c r="AZ160"/>
      <c r="BA160"/>
    </row>
    <row r="161" spans="51:53">
      <c r="AY161"/>
      <c r="AZ161"/>
      <c r="BA161"/>
    </row>
    <row r="162" spans="51:53">
      <c r="AY162"/>
      <c r="AZ162"/>
      <c r="BA162"/>
    </row>
    <row r="163" spans="51:53">
      <c r="AY163"/>
      <c r="AZ163"/>
      <c r="BA163"/>
    </row>
    <row r="164" spans="51:53">
      <c r="AY164"/>
      <c r="AZ164"/>
      <c r="BA164"/>
    </row>
    <row r="165" spans="51:53">
      <c r="AY165"/>
      <c r="AZ165"/>
      <c r="BA165"/>
    </row>
    <row r="166" spans="51:53">
      <c r="AY166"/>
      <c r="AZ166"/>
      <c r="BA166"/>
    </row>
    <row r="167" spans="51:53">
      <c r="AY167"/>
      <c r="AZ167"/>
      <c r="BA167"/>
    </row>
    <row r="168" spans="51:53">
      <c r="AY168"/>
      <c r="AZ168"/>
      <c r="BA168"/>
    </row>
    <row r="169" spans="51:53">
      <c r="AY169"/>
      <c r="AZ169"/>
      <c r="BA169"/>
    </row>
    <row r="170" spans="51:53">
      <c r="AY170"/>
      <c r="AZ170"/>
      <c r="BA170"/>
    </row>
    <row r="171" spans="51:53">
      <c r="AY171"/>
      <c r="AZ171"/>
      <c r="BA171"/>
    </row>
    <row r="172" spans="51:53">
      <c r="AY172"/>
      <c r="AZ172"/>
      <c r="BA172"/>
    </row>
    <row r="173" spans="51:53">
      <c r="AY173"/>
      <c r="AZ173"/>
      <c r="BA173"/>
    </row>
    <row r="174" spans="51:53">
      <c r="AY174"/>
      <c r="AZ174"/>
      <c r="BA174"/>
    </row>
    <row r="175" spans="51:53">
      <c r="AY175"/>
      <c r="AZ175"/>
      <c r="BA175"/>
    </row>
    <row r="176" spans="51:53">
      <c r="AY176"/>
      <c r="AZ176"/>
      <c r="BA176"/>
    </row>
    <row r="177" spans="51:53">
      <c r="AY177"/>
      <c r="AZ177"/>
      <c r="BA177"/>
    </row>
    <row r="178" spans="51:53">
      <c r="AY178"/>
      <c r="AZ178"/>
      <c r="BA178"/>
    </row>
    <row r="179" spans="51:53">
      <c r="AY179"/>
      <c r="AZ179"/>
      <c r="BA179"/>
    </row>
    <row r="180" spans="51:53">
      <c r="AY180"/>
      <c r="AZ180"/>
      <c r="BA180"/>
    </row>
    <row r="181" spans="51:53">
      <c r="AY181"/>
      <c r="AZ181"/>
      <c r="BA181"/>
    </row>
    <row r="182" spans="51:53">
      <c r="AY182"/>
      <c r="AZ182"/>
      <c r="BA182"/>
    </row>
    <row r="183" spans="51:53">
      <c r="AY183"/>
      <c r="AZ183"/>
      <c r="BA183"/>
    </row>
    <row r="184" spans="51:53">
      <c r="AY184"/>
      <c r="AZ184"/>
      <c r="BA184"/>
    </row>
    <row r="185" spans="51:53">
      <c r="AY185"/>
      <c r="AZ185"/>
      <c r="BA185"/>
    </row>
    <row r="186" spans="51:53">
      <c r="AY186"/>
      <c r="AZ186"/>
      <c r="BA186"/>
    </row>
    <row r="187" spans="51:53">
      <c r="AY187"/>
      <c r="AZ187"/>
      <c r="BA187"/>
    </row>
    <row r="188" spans="51:53">
      <c r="AY188"/>
      <c r="AZ188"/>
      <c r="BA188"/>
    </row>
    <row r="189" spans="51:53">
      <c r="AY189"/>
      <c r="AZ189"/>
      <c r="BA189"/>
    </row>
    <row r="190" spans="51:53">
      <c r="AY190"/>
      <c r="AZ190"/>
      <c r="BA190"/>
    </row>
    <row r="191" spans="51:53">
      <c r="AY191"/>
      <c r="AZ191"/>
      <c r="BA191"/>
    </row>
    <row r="192" spans="51:53">
      <c r="AY192"/>
      <c r="AZ192"/>
      <c r="BA192"/>
    </row>
    <row r="193" spans="51:53">
      <c r="AY193"/>
      <c r="AZ193"/>
      <c r="BA193"/>
    </row>
    <row r="194" spans="51:53">
      <c r="AY194"/>
      <c r="AZ194"/>
      <c r="BA194"/>
    </row>
    <row r="195" spans="51:53">
      <c r="AY195"/>
      <c r="AZ195"/>
      <c r="BA195"/>
    </row>
    <row r="196" spans="51:53">
      <c r="AY196"/>
      <c r="AZ196"/>
      <c r="BA196"/>
    </row>
    <row r="197" spans="51:53">
      <c r="AY197"/>
      <c r="AZ197"/>
      <c r="BA197"/>
    </row>
    <row r="198" spans="51:53">
      <c r="AY198"/>
      <c r="AZ198"/>
      <c r="BA198"/>
    </row>
  </sheetData>
  <sheetProtection sheet="1" formatCells="0" formatColumns="0" formatRows="0" insertColumns="0" insertRows="0" insertHyperlinks="0" deleteColumns="0" deleteRows="0" sort="0" autoFilter="0" pivotTables="0"/>
  <protectedRanges>
    <protectedRange sqref="A1:P1048576" name="Range1"/>
  </protectedRanges>
  <autoFilter ref="A1:AV97" xr:uid="{00000000-0009-0000-0000-000008000000}"/>
  <phoneticPr fontId="67" type="noConversion"/>
  <conditionalFormatting sqref="AZ1:AZ99 AZ199:AZ1048576">
    <cfRule type="expression" dxfId="5" priority="1">
      <formula>AND(SUMPRODUCT(IFERROR(1*(($AZ$1:$AZ$99&amp;"x")=(AZ1&amp;"x")),0))+SUMPRODUCT(IFERROR(1*(($AZ$199:$AZ$1048576&amp;"x")=(AZ1&amp;"x")),0))&gt;1,NOT(ISBLANK(AZ1)))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filterMode="1"/>
  <dimension ref="A1:AZ148"/>
  <sheetViews>
    <sheetView zoomScale="50" zoomScaleNormal="50" workbookViewId="0">
      <pane xSplit="14" ySplit="1" topLeftCell="AR29" activePane="bottomRight" state="frozen"/>
      <selection pane="topRight"/>
      <selection pane="bottomLeft"/>
      <selection pane="bottomRight" sqref="A1:XFD1048576"/>
    </sheetView>
  </sheetViews>
  <sheetFormatPr defaultColWidth="9" defaultRowHeight="16.5"/>
  <cols>
    <col min="1" max="1" width="12.26953125" style="99" customWidth="1"/>
    <col min="2" max="2" width="10.1796875" style="99" customWidth="1"/>
    <col min="3" max="3" width="4.6328125" style="99" customWidth="1"/>
    <col min="4" max="4" width="13.90625" style="99" customWidth="1"/>
    <col min="5" max="5" width="10.36328125" style="99" customWidth="1"/>
    <col min="6" max="6" width="8.453125" style="99" customWidth="1"/>
    <col min="7" max="7" width="12.453125" customWidth="1"/>
    <col min="8" max="8" width="8.7265625" customWidth="1"/>
    <col min="9" max="9" width="4.36328125" style="99" customWidth="1"/>
    <col min="10" max="10" width="9.36328125" style="99" customWidth="1"/>
    <col min="11" max="11" width="5.81640625" style="99" customWidth="1"/>
    <col min="12" max="12" width="6.54296875" style="99" customWidth="1"/>
    <col min="13" max="13" width="11.36328125" style="99" customWidth="1"/>
    <col min="14" max="14" width="13.7265625" style="99" customWidth="1"/>
    <col min="15" max="15" width="17.90625" style="99" customWidth="1"/>
    <col min="16" max="16" width="8.54296875" style="99" customWidth="1"/>
    <col min="17" max="17" width="7" style="100" customWidth="1"/>
    <col min="18" max="18" width="9" style="100"/>
    <col min="19" max="19" width="11" style="100" customWidth="1"/>
    <col min="20" max="21" width="12.7265625" style="99" customWidth="1"/>
    <col min="22" max="22" width="17" style="99" customWidth="1"/>
    <col min="23" max="23" width="19.6328125" style="99" customWidth="1"/>
    <col min="24" max="24" width="9.90625" style="99" customWidth="1"/>
    <col min="25" max="26" width="19.7265625" style="99" customWidth="1"/>
    <col min="27" max="27" width="8.7265625" style="99" customWidth="1"/>
    <col min="28" max="28" width="17.26953125" style="99" customWidth="1"/>
    <col min="29" max="29" width="9" style="99" customWidth="1"/>
    <col min="30" max="31" width="9" style="100" customWidth="1"/>
    <col min="32" max="32" width="9" style="99" customWidth="1"/>
    <col min="33" max="36" width="9" style="100"/>
    <col min="37" max="37" width="7.90625" style="99" customWidth="1"/>
    <col min="38" max="38" width="9" style="100"/>
    <col min="39" max="39" width="9" style="99"/>
    <col min="40" max="44" width="9" style="100"/>
    <col min="45" max="45" width="9" style="99"/>
    <col min="46" max="46" width="8.1796875" style="100" customWidth="1"/>
    <col min="47" max="47" width="23.7265625" style="99" customWidth="1"/>
    <col min="48" max="51" width="9" style="99"/>
    <col min="52" max="52" width="15.90625" style="99" customWidth="1"/>
    <col min="53" max="16384" width="9" style="99"/>
  </cols>
  <sheetData>
    <row r="1" spans="1:52" s="98" customFormat="1" ht="58.25" customHeight="1">
      <c r="A1" s="5" t="s">
        <v>25</v>
      </c>
      <c r="B1" s="5" t="s">
        <v>26</v>
      </c>
      <c r="C1" s="5" t="s">
        <v>27</v>
      </c>
      <c r="D1" s="5" t="s">
        <v>28</v>
      </c>
      <c r="E1" s="5" t="s">
        <v>29</v>
      </c>
      <c r="F1" s="5" t="s">
        <v>30</v>
      </c>
      <c r="G1" s="5" t="s">
        <v>31</v>
      </c>
      <c r="H1" s="5" t="s">
        <v>4389</v>
      </c>
      <c r="I1" s="5" t="s">
        <v>4390</v>
      </c>
      <c r="J1" s="5" t="s">
        <v>32</v>
      </c>
      <c r="K1" s="7" t="s">
        <v>33</v>
      </c>
      <c r="L1" s="5" t="s">
        <v>34</v>
      </c>
      <c r="M1" s="5" t="s">
        <v>35</v>
      </c>
      <c r="N1" s="5" t="s">
        <v>36</v>
      </c>
      <c r="O1" s="8" t="s">
        <v>37</v>
      </c>
      <c r="P1" s="5" t="s">
        <v>38</v>
      </c>
      <c r="Q1" s="80" t="s">
        <v>4392</v>
      </c>
      <c r="R1" s="80" t="s">
        <v>5290</v>
      </c>
      <c r="S1" s="80" t="s">
        <v>5291</v>
      </c>
      <c r="T1" s="81" t="s">
        <v>39</v>
      </c>
      <c r="U1" s="81" t="s">
        <v>40</v>
      </c>
      <c r="V1" s="81" t="s">
        <v>41</v>
      </c>
      <c r="W1" s="81" t="s">
        <v>42</v>
      </c>
      <c r="X1" s="81" t="s">
        <v>43</v>
      </c>
      <c r="Y1" s="81" t="s">
        <v>44</v>
      </c>
      <c r="Z1" s="81" t="s">
        <v>45</v>
      </c>
      <c r="AA1" s="82" t="s">
        <v>6888</v>
      </c>
      <c r="AB1" s="83" t="s">
        <v>46</v>
      </c>
      <c r="AC1" s="84" t="s">
        <v>47</v>
      </c>
      <c r="AD1" s="84" t="s">
        <v>48</v>
      </c>
      <c r="AE1" s="84" t="s">
        <v>49</v>
      </c>
      <c r="AF1" s="84" t="s">
        <v>50</v>
      </c>
      <c r="AG1" s="85" t="s">
        <v>51</v>
      </c>
      <c r="AH1" s="85" t="s">
        <v>52</v>
      </c>
      <c r="AI1" s="85" t="s">
        <v>4395</v>
      </c>
      <c r="AJ1" s="86" t="s">
        <v>54</v>
      </c>
      <c r="AK1" s="85" t="s">
        <v>4396</v>
      </c>
      <c r="AL1" s="87" t="s">
        <v>57</v>
      </c>
      <c r="AM1" s="88" t="s">
        <v>58</v>
      </c>
      <c r="AN1" s="88" t="s">
        <v>59</v>
      </c>
      <c r="AO1" s="89" t="s">
        <v>60</v>
      </c>
      <c r="AP1" s="89" t="s">
        <v>61</v>
      </c>
      <c r="AQ1" s="86" t="s">
        <v>62</v>
      </c>
      <c r="AR1" s="86" t="s">
        <v>63</v>
      </c>
      <c r="AS1" s="86" t="s">
        <v>155</v>
      </c>
      <c r="AT1" s="86" t="s">
        <v>65</v>
      </c>
      <c r="AU1" s="90" t="s">
        <v>6889</v>
      </c>
      <c r="AV1" s="86" t="s">
        <v>66</v>
      </c>
      <c r="AW1" s="22"/>
      <c r="AX1" s="101" t="s">
        <v>1680</v>
      </c>
      <c r="AY1" s="102" t="s">
        <v>3133</v>
      </c>
      <c r="AZ1" s="103" t="s">
        <v>158</v>
      </c>
    </row>
    <row r="2" spans="1:52">
      <c r="A2" s="25" t="s">
        <v>8221</v>
      </c>
      <c r="B2" s="25" t="s">
        <v>4398</v>
      </c>
      <c r="C2" s="25" t="s">
        <v>68</v>
      </c>
      <c r="D2" s="25" t="s">
        <v>8222</v>
      </c>
      <c r="E2" s="258" t="s">
        <v>8223</v>
      </c>
      <c r="F2" s="25" t="s">
        <v>8224</v>
      </c>
      <c r="G2" s="25" t="s">
        <v>7497</v>
      </c>
      <c r="H2" s="25" t="s">
        <v>8225</v>
      </c>
      <c r="I2" s="26" t="s">
        <v>7499</v>
      </c>
      <c r="J2" s="26">
        <v>202606.5</v>
      </c>
      <c r="K2" s="62" t="s">
        <v>8226</v>
      </c>
      <c r="L2" s="25" t="s">
        <v>73</v>
      </c>
      <c r="M2" s="25" t="s">
        <v>8227</v>
      </c>
      <c r="N2" s="25" t="s">
        <v>8228</v>
      </c>
      <c r="O2" s="30" t="s">
        <v>8229</v>
      </c>
      <c r="P2" s="26"/>
      <c r="Q2" s="104">
        <v>4</v>
      </c>
      <c r="R2" s="104" t="s">
        <v>4409</v>
      </c>
      <c r="S2" s="104" t="s">
        <v>8230</v>
      </c>
      <c r="T2" s="26" t="s">
        <v>77</v>
      </c>
      <c r="U2" s="30" t="s">
        <v>78</v>
      </c>
      <c r="V2" s="26" t="s">
        <v>79</v>
      </c>
      <c r="W2" s="26" t="s">
        <v>4411</v>
      </c>
      <c r="X2" s="26" t="s">
        <v>7505</v>
      </c>
      <c r="Y2" s="26" t="s">
        <v>81</v>
      </c>
      <c r="Z2" s="26" t="s">
        <v>81</v>
      </c>
      <c r="AA2" s="105" t="s">
        <v>172</v>
      </c>
      <c r="AB2" s="93" t="s">
        <v>7</v>
      </c>
      <c r="AC2" s="106" t="s">
        <v>172</v>
      </c>
      <c r="AD2" s="107" t="s">
        <v>173</v>
      </c>
      <c r="AE2" s="107" t="s">
        <v>174</v>
      </c>
      <c r="AF2" s="105" t="s">
        <v>175</v>
      </c>
      <c r="AG2" s="104">
        <f>IF(COUNTIF(AZ:AZ,D2)&gt;0,1,0)</f>
        <v>1</v>
      </c>
      <c r="AH2" s="104">
        <v>1</v>
      </c>
      <c r="AI2" s="104">
        <v>1</v>
      </c>
      <c r="AJ2" s="104">
        <v>1</v>
      </c>
      <c r="AK2" s="106"/>
      <c r="AL2" s="104">
        <f>IF(COUNTIF(AX:AX,"*"&amp;M2&amp;"*")&gt;0,1,0)</f>
        <v>1</v>
      </c>
      <c r="AM2" s="106"/>
      <c r="AN2" s="104"/>
      <c r="AO2" s="104"/>
      <c r="AP2" s="104">
        <v>1</v>
      </c>
      <c r="AQ2" s="104">
        <v>1</v>
      </c>
      <c r="AR2" s="104">
        <v>1</v>
      </c>
      <c r="AS2" s="106"/>
      <c r="AT2" s="104">
        <v>1</v>
      </c>
      <c r="AU2" s="106"/>
      <c r="AV2" s="106"/>
      <c r="AX2" s="99" t="s">
        <v>8231</v>
      </c>
      <c r="AZ2" s="75" t="s">
        <v>8232</v>
      </c>
    </row>
    <row r="3" spans="1:52">
      <c r="A3" s="25" t="s">
        <v>8233</v>
      </c>
      <c r="B3" s="25" t="s">
        <v>4398</v>
      </c>
      <c r="C3" s="25" t="s">
        <v>68</v>
      </c>
      <c r="D3" s="25" t="s">
        <v>8234</v>
      </c>
      <c r="E3" s="258" t="s">
        <v>8235</v>
      </c>
      <c r="F3" s="25" t="s">
        <v>8236</v>
      </c>
      <c r="G3" s="25" t="s">
        <v>7497</v>
      </c>
      <c r="H3" s="25" t="s">
        <v>8225</v>
      </c>
      <c r="I3" s="26" t="s">
        <v>7499</v>
      </c>
      <c r="J3" s="26">
        <v>202606.5</v>
      </c>
      <c r="K3" s="62" t="s">
        <v>8226</v>
      </c>
      <c r="L3" s="25" t="s">
        <v>73</v>
      </c>
      <c r="M3" s="25" t="s">
        <v>8237</v>
      </c>
      <c r="N3" s="25" t="s">
        <v>8238</v>
      </c>
      <c r="O3" s="30" t="s">
        <v>8239</v>
      </c>
      <c r="P3" s="26"/>
      <c r="Q3" s="104">
        <v>4</v>
      </c>
      <c r="R3" s="104" t="s">
        <v>4409</v>
      </c>
      <c r="S3" s="104" t="s">
        <v>8240</v>
      </c>
      <c r="T3" s="26" t="s">
        <v>77</v>
      </c>
      <c r="U3" s="30" t="s">
        <v>78</v>
      </c>
      <c r="V3" s="26" t="s">
        <v>79</v>
      </c>
      <c r="W3" s="26" t="s">
        <v>4411</v>
      </c>
      <c r="X3" s="26" t="s">
        <v>7505</v>
      </c>
      <c r="Y3" s="26" t="s">
        <v>81</v>
      </c>
      <c r="Z3" s="26" t="s">
        <v>81</v>
      </c>
      <c r="AA3" s="105" t="s">
        <v>172</v>
      </c>
      <c r="AB3" s="93" t="s">
        <v>7</v>
      </c>
      <c r="AC3" s="106" t="s">
        <v>172</v>
      </c>
      <c r="AD3" s="107" t="s">
        <v>173</v>
      </c>
      <c r="AE3" s="107" t="s">
        <v>174</v>
      </c>
      <c r="AF3" s="105" t="s">
        <v>175</v>
      </c>
      <c r="AG3" s="104">
        <f t="shared" ref="AG3:AG34" si="0">IF(COUNTIF(AZ:AZ,D3)&gt;0,1,0)</f>
        <v>1</v>
      </c>
      <c r="AH3" s="104">
        <v>1</v>
      </c>
      <c r="AI3" s="104">
        <v>1</v>
      </c>
      <c r="AJ3" s="104">
        <v>1</v>
      </c>
      <c r="AK3" s="106"/>
      <c r="AL3" s="104">
        <f t="shared" ref="AL3:AL34" si="1">IF(COUNTIF(AX:AX,"*"&amp;M3&amp;"*")&gt;0,1,0)</f>
        <v>1</v>
      </c>
      <c r="AM3" s="106"/>
      <c r="AN3" s="104"/>
      <c r="AO3" s="104"/>
      <c r="AP3" s="104">
        <v>1</v>
      </c>
      <c r="AQ3" s="104">
        <v>1</v>
      </c>
      <c r="AR3" s="104">
        <v>1</v>
      </c>
      <c r="AS3" s="106"/>
      <c r="AT3" s="104">
        <v>1</v>
      </c>
      <c r="AU3" s="106"/>
      <c r="AV3" s="106"/>
      <c r="AX3" s="99" t="s">
        <v>8241</v>
      </c>
      <c r="AZ3" s="94" t="s">
        <v>8242</v>
      </c>
    </row>
    <row r="4" spans="1:52">
      <c r="A4" s="25" t="s">
        <v>8243</v>
      </c>
      <c r="B4" s="25" t="s">
        <v>4398</v>
      </c>
      <c r="C4" s="25" t="s">
        <v>68</v>
      </c>
      <c r="D4" s="25" t="s">
        <v>8244</v>
      </c>
      <c r="E4" s="258" t="s">
        <v>8245</v>
      </c>
      <c r="F4" s="48" t="s">
        <v>8246</v>
      </c>
      <c r="G4" s="25" t="s">
        <v>7497</v>
      </c>
      <c r="H4" s="25" t="s">
        <v>8225</v>
      </c>
      <c r="I4" s="26" t="s">
        <v>7499</v>
      </c>
      <c r="J4" s="26">
        <v>202606.5</v>
      </c>
      <c r="K4" s="62" t="s">
        <v>8226</v>
      </c>
      <c r="L4" s="25" t="s">
        <v>73</v>
      </c>
      <c r="M4" s="25" t="s">
        <v>8247</v>
      </c>
      <c r="N4" s="25" t="s">
        <v>8248</v>
      </c>
      <c r="O4" s="30" t="s">
        <v>8249</v>
      </c>
      <c r="P4" s="26"/>
      <c r="Q4" s="104">
        <v>4</v>
      </c>
      <c r="R4" s="104" t="s">
        <v>4409</v>
      </c>
      <c r="S4" s="104" t="s">
        <v>5045</v>
      </c>
      <c r="T4" s="26" t="s">
        <v>77</v>
      </c>
      <c r="U4" s="30" t="s">
        <v>78</v>
      </c>
      <c r="V4" s="26" t="s">
        <v>79</v>
      </c>
      <c r="W4" s="26" t="s">
        <v>4411</v>
      </c>
      <c r="X4" s="26" t="s">
        <v>7505</v>
      </c>
      <c r="Y4" s="26" t="s">
        <v>81</v>
      </c>
      <c r="Z4" s="26" t="s">
        <v>81</v>
      </c>
      <c r="AA4" s="105" t="s">
        <v>172</v>
      </c>
      <c r="AB4" s="93" t="s">
        <v>7</v>
      </c>
      <c r="AC4" s="106" t="s">
        <v>172</v>
      </c>
      <c r="AD4" s="107" t="s">
        <v>173</v>
      </c>
      <c r="AE4" s="107" t="s">
        <v>174</v>
      </c>
      <c r="AF4" s="105" t="s">
        <v>175</v>
      </c>
      <c r="AG4" s="104">
        <f t="shared" si="0"/>
        <v>1</v>
      </c>
      <c r="AH4" s="104">
        <v>1</v>
      </c>
      <c r="AI4" s="104">
        <v>1</v>
      </c>
      <c r="AJ4" s="104">
        <v>1</v>
      </c>
      <c r="AK4" s="106"/>
      <c r="AL4" s="104">
        <f t="shared" si="1"/>
        <v>1</v>
      </c>
      <c r="AM4" s="106"/>
      <c r="AN4" s="104"/>
      <c r="AO4" s="104"/>
      <c r="AP4" s="104">
        <v>1</v>
      </c>
      <c r="AQ4" s="104">
        <v>1</v>
      </c>
      <c r="AR4" s="104">
        <v>1</v>
      </c>
      <c r="AS4" s="106"/>
      <c r="AT4" s="104">
        <v>1</v>
      </c>
      <c r="AU4" s="106" t="s">
        <v>8250</v>
      </c>
      <c r="AV4" s="106"/>
      <c r="AX4" s="99" t="s">
        <v>8251</v>
      </c>
      <c r="AZ4" s="94" t="s">
        <v>8252</v>
      </c>
    </row>
    <row r="5" spans="1:52" ht="49.5">
      <c r="A5" s="25" t="s">
        <v>8253</v>
      </c>
      <c r="B5" s="25" t="s">
        <v>4398</v>
      </c>
      <c r="C5" s="25" t="s">
        <v>68</v>
      </c>
      <c r="D5" s="25" t="s">
        <v>8254</v>
      </c>
      <c r="E5" s="258" t="s">
        <v>8255</v>
      </c>
      <c r="F5" s="48" t="s">
        <v>8256</v>
      </c>
      <c r="G5" s="25" t="s">
        <v>7497</v>
      </c>
      <c r="H5" s="25" t="s">
        <v>8225</v>
      </c>
      <c r="I5" s="26" t="s">
        <v>7499</v>
      </c>
      <c r="J5" s="26">
        <v>202606.5</v>
      </c>
      <c r="K5" s="62" t="s">
        <v>8226</v>
      </c>
      <c r="L5" s="25" t="s">
        <v>73</v>
      </c>
      <c r="M5" s="25" t="s">
        <v>8257</v>
      </c>
      <c r="N5" s="25" t="s">
        <v>8258</v>
      </c>
      <c r="O5" s="30" t="s">
        <v>8259</v>
      </c>
      <c r="P5" s="26"/>
      <c r="Q5" s="104">
        <v>4</v>
      </c>
      <c r="R5" s="104" t="s">
        <v>4409</v>
      </c>
      <c r="S5" s="104" t="s">
        <v>8260</v>
      </c>
      <c r="T5" s="26" t="s">
        <v>77</v>
      </c>
      <c r="U5" s="30" t="s">
        <v>78</v>
      </c>
      <c r="V5" s="26" t="s">
        <v>79</v>
      </c>
      <c r="W5" s="26" t="s">
        <v>4411</v>
      </c>
      <c r="X5" s="26" t="s">
        <v>7505</v>
      </c>
      <c r="Y5" s="26" t="s">
        <v>81</v>
      </c>
      <c r="Z5" s="26" t="s">
        <v>81</v>
      </c>
      <c r="AA5" s="105" t="s">
        <v>172</v>
      </c>
      <c r="AB5" s="93" t="s">
        <v>7</v>
      </c>
      <c r="AC5" s="106" t="s">
        <v>172</v>
      </c>
      <c r="AD5" s="107" t="s">
        <v>173</v>
      </c>
      <c r="AE5" s="107" t="s">
        <v>174</v>
      </c>
      <c r="AF5" s="105" t="s">
        <v>175</v>
      </c>
      <c r="AG5" s="104">
        <f t="shared" si="0"/>
        <v>1</v>
      </c>
      <c r="AH5" s="104">
        <v>1</v>
      </c>
      <c r="AI5" s="104">
        <v>1</v>
      </c>
      <c r="AJ5" s="104">
        <v>1</v>
      </c>
      <c r="AK5" s="106"/>
      <c r="AL5" s="104">
        <f t="shared" si="1"/>
        <v>1</v>
      </c>
      <c r="AM5" s="106"/>
      <c r="AN5" s="104"/>
      <c r="AO5" s="104"/>
      <c r="AP5" s="104">
        <v>1</v>
      </c>
      <c r="AQ5" s="104">
        <v>1</v>
      </c>
      <c r="AR5" s="108" t="s">
        <v>8261</v>
      </c>
      <c r="AS5" s="105" t="s">
        <v>8262</v>
      </c>
      <c r="AT5" s="107">
        <v>1</v>
      </c>
      <c r="AU5" s="106" t="s">
        <v>8263</v>
      </c>
      <c r="AV5" s="106"/>
      <c r="AX5" s="99" t="s">
        <v>8264</v>
      </c>
      <c r="AZ5" s="94" t="s">
        <v>8265</v>
      </c>
    </row>
    <row r="6" spans="1:52">
      <c r="A6" s="25" t="s">
        <v>8266</v>
      </c>
      <c r="B6" s="25" t="s">
        <v>4398</v>
      </c>
      <c r="C6" s="25" t="s">
        <v>68</v>
      </c>
      <c r="D6" s="25" t="s">
        <v>8267</v>
      </c>
      <c r="E6" s="258" t="s">
        <v>8268</v>
      </c>
      <c r="F6" s="25" t="s">
        <v>8269</v>
      </c>
      <c r="G6" s="25" t="s">
        <v>7497</v>
      </c>
      <c r="H6" s="25" t="s">
        <v>8270</v>
      </c>
      <c r="I6" s="26" t="s">
        <v>7499</v>
      </c>
      <c r="J6" s="26">
        <v>202606.5</v>
      </c>
      <c r="K6" s="62" t="s">
        <v>8226</v>
      </c>
      <c r="L6" s="25" t="s">
        <v>73</v>
      </c>
      <c r="M6" s="25" t="s">
        <v>8264</v>
      </c>
      <c r="N6" s="25" t="s">
        <v>8271</v>
      </c>
      <c r="O6" s="30" t="s">
        <v>8272</v>
      </c>
      <c r="P6" s="26"/>
      <c r="Q6" s="104">
        <v>4</v>
      </c>
      <c r="R6" s="104" t="s">
        <v>4409</v>
      </c>
      <c r="S6" s="104" t="s">
        <v>4551</v>
      </c>
      <c r="T6" s="26" t="s">
        <v>77</v>
      </c>
      <c r="U6" s="30" t="s">
        <v>78</v>
      </c>
      <c r="V6" s="26" t="s">
        <v>79</v>
      </c>
      <c r="W6" s="26" t="s">
        <v>4411</v>
      </c>
      <c r="X6" s="26" t="s">
        <v>7505</v>
      </c>
      <c r="Y6" s="26" t="s">
        <v>81</v>
      </c>
      <c r="Z6" s="26" t="s">
        <v>81</v>
      </c>
      <c r="AA6" s="105" t="s">
        <v>172</v>
      </c>
      <c r="AB6" s="93" t="s">
        <v>7</v>
      </c>
      <c r="AC6" s="106" t="s">
        <v>172</v>
      </c>
      <c r="AD6" s="107" t="s">
        <v>173</v>
      </c>
      <c r="AE6" s="107" t="s">
        <v>174</v>
      </c>
      <c r="AF6" s="105" t="s">
        <v>175</v>
      </c>
      <c r="AG6" s="104">
        <f t="shared" si="0"/>
        <v>1</v>
      </c>
      <c r="AH6" s="104">
        <v>1</v>
      </c>
      <c r="AI6" s="104">
        <v>1</v>
      </c>
      <c r="AJ6" s="104">
        <v>1</v>
      </c>
      <c r="AK6" s="106"/>
      <c r="AL6" s="104">
        <f t="shared" si="1"/>
        <v>1</v>
      </c>
      <c r="AM6" s="106"/>
      <c r="AN6" s="104"/>
      <c r="AO6" s="104"/>
      <c r="AP6" s="104">
        <v>1</v>
      </c>
      <c r="AQ6" s="104">
        <v>1</v>
      </c>
      <c r="AR6" s="104">
        <v>1</v>
      </c>
      <c r="AS6" s="106"/>
      <c r="AT6" s="104">
        <v>1</v>
      </c>
      <c r="AU6" s="106"/>
      <c r="AV6" s="106"/>
      <c r="AX6" s="99" t="s">
        <v>8273</v>
      </c>
      <c r="AZ6" s="94" t="s">
        <v>8274</v>
      </c>
    </row>
    <row r="7" spans="1:52">
      <c r="A7" s="25" t="s">
        <v>8275</v>
      </c>
      <c r="B7" s="25" t="s">
        <v>4398</v>
      </c>
      <c r="C7" s="25" t="s">
        <v>68</v>
      </c>
      <c r="D7" s="25" t="s">
        <v>8276</v>
      </c>
      <c r="E7" s="258" t="s">
        <v>8277</v>
      </c>
      <c r="F7" s="25" t="s">
        <v>8278</v>
      </c>
      <c r="G7" s="25" t="s">
        <v>7497</v>
      </c>
      <c r="H7" s="25" t="s">
        <v>8270</v>
      </c>
      <c r="I7" s="26" t="s">
        <v>7499</v>
      </c>
      <c r="J7" s="26">
        <v>202606.5</v>
      </c>
      <c r="K7" s="62" t="s">
        <v>8226</v>
      </c>
      <c r="L7" s="25" t="s">
        <v>73</v>
      </c>
      <c r="M7" s="25" t="s">
        <v>8273</v>
      </c>
      <c r="N7" s="25" t="s">
        <v>8279</v>
      </c>
      <c r="O7" s="30" t="s">
        <v>8280</v>
      </c>
      <c r="P7" s="26"/>
      <c r="Q7" s="104">
        <v>4</v>
      </c>
      <c r="R7" s="104" t="s">
        <v>4409</v>
      </c>
      <c r="S7" s="104" t="s">
        <v>8281</v>
      </c>
      <c r="T7" s="26" t="s">
        <v>77</v>
      </c>
      <c r="U7" s="30" t="s">
        <v>78</v>
      </c>
      <c r="V7" s="26" t="s">
        <v>79</v>
      </c>
      <c r="W7" s="26" t="s">
        <v>4411</v>
      </c>
      <c r="X7" s="26" t="s">
        <v>7505</v>
      </c>
      <c r="Y7" s="26" t="s">
        <v>81</v>
      </c>
      <c r="Z7" s="26" t="s">
        <v>81</v>
      </c>
      <c r="AA7" s="105" t="s">
        <v>172</v>
      </c>
      <c r="AB7" s="93" t="s">
        <v>7</v>
      </c>
      <c r="AC7" s="106" t="s">
        <v>172</v>
      </c>
      <c r="AD7" s="107" t="s">
        <v>173</v>
      </c>
      <c r="AE7" s="107" t="s">
        <v>174</v>
      </c>
      <c r="AF7" s="105" t="s">
        <v>175</v>
      </c>
      <c r="AG7" s="104">
        <f t="shared" si="0"/>
        <v>1</v>
      </c>
      <c r="AH7" s="104">
        <v>1</v>
      </c>
      <c r="AI7" s="104">
        <v>1</v>
      </c>
      <c r="AJ7" s="104">
        <v>1</v>
      </c>
      <c r="AK7" s="106"/>
      <c r="AL7" s="104">
        <f t="shared" si="1"/>
        <v>1</v>
      </c>
      <c r="AM7" s="106"/>
      <c r="AN7" s="104"/>
      <c r="AO7" s="104"/>
      <c r="AP7" s="104">
        <v>1</v>
      </c>
      <c r="AQ7" s="104">
        <v>1</v>
      </c>
      <c r="AR7" s="104">
        <v>1</v>
      </c>
      <c r="AS7" s="106"/>
      <c r="AT7" s="104">
        <v>1</v>
      </c>
      <c r="AU7" s="106"/>
      <c r="AV7" s="106"/>
      <c r="AX7" s="99" t="s">
        <v>8282</v>
      </c>
      <c r="AZ7" s="94" t="s">
        <v>8283</v>
      </c>
    </row>
    <row r="8" spans="1:52">
      <c r="A8" s="25" t="s">
        <v>8284</v>
      </c>
      <c r="B8" s="25" t="s">
        <v>4398</v>
      </c>
      <c r="C8" s="25" t="s">
        <v>68</v>
      </c>
      <c r="D8" s="25" t="s">
        <v>8285</v>
      </c>
      <c r="E8" s="258" t="s">
        <v>8286</v>
      </c>
      <c r="F8" s="25" t="s">
        <v>8287</v>
      </c>
      <c r="G8" s="25" t="s">
        <v>7497</v>
      </c>
      <c r="H8" s="25" t="s">
        <v>8270</v>
      </c>
      <c r="I8" s="26" t="s">
        <v>7499</v>
      </c>
      <c r="J8" s="26">
        <v>202606.5</v>
      </c>
      <c r="K8" s="62" t="s">
        <v>8226</v>
      </c>
      <c r="L8" s="25" t="s">
        <v>73</v>
      </c>
      <c r="M8" s="25" t="s">
        <v>8282</v>
      </c>
      <c r="N8" s="25" t="s">
        <v>8288</v>
      </c>
      <c r="O8" s="30" t="s">
        <v>8289</v>
      </c>
      <c r="P8" s="26"/>
      <c r="Q8" s="104">
        <v>4</v>
      </c>
      <c r="R8" s="104" t="s">
        <v>4409</v>
      </c>
      <c r="S8" s="104" t="s">
        <v>4982</v>
      </c>
      <c r="T8" s="26" t="s">
        <v>77</v>
      </c>
      <c r="U8" s="30" t="s">
        <v>78</v>
      </c>
      <c r="V8" s="26" t="s">
        <v>79</v>
      </c>
      <c r="W8" s="26" t="s">
        <v>4411</v>
      </c>
      <c r="X8" s="26" t="s">
        <v>7505</v>
      </c>
      <c r="Y8" s="26" t="s">
        <v>81</v>
      </c>
      <c r="Z8" s="26" t="s">
        <v>81</v>
      </c>
      <c r="AA8" s="105" t="s">
        <v>172</v>
      </c>
      <c r="AB8" s="93" t="s">
        <v>7</v>
      </c>
      <c r="AC8" s="106" t="s">
        <v>172</v>
      </c>
      <c r="AD8" s="107" t="s">
        <v>173</v>
      </c>
      <c r="AE8" s="107" t="s">
        <v>174</v>
      </c>
      <c r="AF8" s="105" t="s">
        <v>175</v>
      </c>
      <c r="AG8" s="104">
        <f t="shared" si="0"/>
        <v>1</v>
      </c>
      <c r="AH8" s="104">
        <v>1</v>
      </c>
      <c r="AI8" s="104">
        <v>1</v>
      </c>
      <c r="AJ8" s="104">
        <v>1</v>
      </c>
      <c r="AK8" s="106"/>
      <c r="AL8" s="104">
        <f t="shared" si="1"/>
        <v>1</v>
      </c>
      <c r="AM8" s="106"/>
      <c r="AN8" s="104"/>
      <c r="AO8" s="104"/>
      <c r="AP8" s="104">
        <v>1</v>
      </c>
      <c r="AQ8" s="104">
        <v>1</v>
      </c>
      <c r="AR8" s="104">
        <v>1</v>
      </c>
      <c r="AS8" s="106"/>
      <c r="AT8" s="104">
        <v>1</v>
      </c>
      <c r="AU8" s="106"/>
      <c r="AV8" s="106"/>
      <c r="AX8" s="99" t="s">
        <v>8290</v>
      </c>
      <c r="AZ8" s="94" t="s">
        <v>8291</v>
      </c>
    </row>
    <row r="9" spans="1:52">
      <c r="A9" s="25" t="s">
        <v>8292</v>
      </c>
      <c r="B9" s="25" t="s">
        <v>4398</v>
      </c>
      <c r="C9" s="25" t="s">
        <v>68</v>
      </c>
      <c r="D9" s="25" t="s">
        <v>8293</v>
      </c>
      <c r="E9" s="258" t="s">
        <v>8294</v>
      </c>
      <c r="F9" s="25" t="s">
        <v>8295</v>
      </c>
      <c r="G9" s="25" t="s">
        <v>7497</v>
      </c>
      <c r="H9" s="25" t="s">
        <v>8270</v>
      </c>
      <c r="I9" s="26" t="s">
        <v>7499</v>
      </c>
      <c r="J9" s="26">
        <v>202606.5</v>
      </c>
      <c r="K9" s="62" t="s">
        <v>8226</v>
      </c>
      <c r="L9" s="25" t="s">
        <v>73</v>
      </c>
      <c r="M9" s="25" t="s">
        <v>8290</v>
      </c>
      <c r="N9" s="25" t="s">
        <v>8296</v>
      </c>
      <c r="O9" s="30" t="s">
        <v>8297</v>
      </c>
      <c r="P9" s="26"/>
      <c r="Q9" s="104">
        <v>4</v>
      </c>
      <c r="R9" s="104" t="s">
        <v>4409</v>
      </c>
      <c r="S9" s="104" t="s">
        <v>7730</v>
      </c>
      <c r="T9" s="26" t="s">
        <v>77</v>
      </c>
      <c r="U9" s="30" t="s">
        <v>78</v>
      </c>
      <c r="V9" s="26" t="s">
        <v>79</v>
      </c>
      <c r="W9" s="26" t="s">
        <v>4411</v>
      </c>
      <c r="X9" s="26" t="s">
        <v>7505</v>
      </c>
      <c r="Y9" s="26" t="s">
        <v>81</v>
      </c>
      <c r="Z9" s="26" t="s">
        <v>81</v>
      </c>
      <c r="AA9" s="105" t="s">
        <v>172</v>
      </c>
      <c r="AB9" s="93" t="s">
        <v>7</v>
      </c>
      <c r="AC9" s="106" t="s">
        <v>172</v>
      </c>
      <c r="AD9" s="107" t="s">
        <v>173</v>
      </c>
      <c r="AE9" s="107" t="s">
        <v>174</v>
      </c>
      <c r="AF9" s="105" t="s">
        <v>175</v>
      </c>
      <c r="AG9" s="104">
        <f t="shared" si="0"/>
        <v>1</v>
      </c>
      <c r="AH9" s="104">
        <v>1</v>
      </c>
      <c r="AI9" s="104">
        <v>1</v>
      </c>
      <c r="AJ9" s="104">
        <v>1</v>
      </c>
      <c r="AK9" s="106"/>
      <c r="AL9" s="104">
        <f t="shared" si="1"/>
        <v>1</v>
      </c>
      <c r="AM9" s="106"/>
      <c r="AN9" s="104"/>
      <c r="AO9" s="104"/>
      <c r="AP9" s="104">
        <v>1</v>
      </c>
      <c r="AQ9" s="104">
        <v>1</v>
      </c>
      <c r="AR9" s="104">
        <v>1</v>
      </c>
      <c r="AS9" s="106"/>
      <c r="AT9" s="104">
        <v>1</v>
      </c>
      <c r="AU9" s="106"/>
      <c r="AV9" s="106"/>
      <c r="AX9" s="99" t="s">
        <v>8298</v>
      </c>
      <c r="AZ9" s="94" t="s">
        <v>8299</v>
      </c>
    </row>
    <row r="10" spans="1:52">
      <c r="A10" s="25" t="s">
        <v>8300</v>
      </c>
      <c r="B10" s="25" t="s">
        <v>4398</v>
      </c>
      <c r="C10" s="25" t="s">
        <v>68</v>
      </c>
      <c r="D10" s="25" t="s">
        <v>8301</v>
      </c>
      <c r="E10" s="258" t="s">
        <v>8302</v>
      </c>
      <c r="F10" s="25" t="s">
        <v>8303</v>
      </c>
      <c r="G10" s="25" t="s">
        <v>7497</v>
      </c>
      <c r="H10" s="25" t="s">
        <v>8270</v>
      </c>
      <c r="I10" s="26" t="s">
        <v>7499</v>
      </c>
      <c r="J10" s="26">
        <v>202606.5</v>
      </c>
      <c r="K10" s="62" t="s">
        <v>8226</v>
      </c>
      <c r="L10" s="25" t="s">
        <v>73</v>
      </c>
      <c r="M10" s="25" t="s">
        <v>8298</v>
      </c>
      <c r="N10" s="25" t="s">
        <v>8304</v>
      </c>
      <c r="O10" s="30" t="s">
        <v>8305</v>
      </c>
      <c r="P10" s="26"/>
      <c r="Q10" s="104">
        <v>4</v>
      </c>
      <c r="R10" s="104" t="s">
        <v>4409</v>
      </c>
      <c r="S10" s="104" t="s">
        <v>8306</v>
      </c>
      <c r="T10" s="26" t="s">
        <v>77</v>
      </c>
      <c r="U10" s="30" t="s">
        <v>78</v>
      </c>
      <c r="V10" s="26" t="s">
        <v>79</v>
      </c>
      <c r="W10" s="26" t="s">
        <v>4411</v>
      </c>
      <c r="X10" s="26" t="s">
        <v>7505</v>
      </c>
      <c r="Y10" s="26" t="s">
        <v>81</v>
      </c>
      <c r="Z10" s="26" t="s">
        <v>81</v>
      </c>
      <c r="AA10" s="105" t="s">
        <v>172</v>
      </c>
      <c r="AB10" s="93" t="s">
        <v>7</v>
      </c>
      <c r="AC10" s="106" t="s">
        <v>172</v>
      </c>
      <c r="AD10" s="107" t="s">
        <v>173</v>
      </c>
      <c r="AE10" s="107" t="s">
        <v>174</v>
      </c>
      <c r="AF10" s="105" t="s">
        <v>175</v>
      </c>
      <c r="AG10" s="104">
        <f t="shared" si="0"/>
        <v>1</v>
      </c>
      <c r="AH10" s="104">
        <v>1</v>
      </c>
      <c r="AI10" s="104">
        <v>1</v>
      </c>
      <c r="AJ10" s="104">
        <v>1</v>
      </c>
      <c r="AK10" s="106"/>
      <c r="AL10" s="104">
        <f t="shared" si="1"/>
        <v>1</v>
      </c>
      <c r="AM10" s="106"/>
      <c r="AN10" s="104"/>
      <c r="AO10" s="104"/>
      <c r="AP10" s="104">
        <v>1</v>
      </c>
      <c r="AQ10" s="104">
        <v>1</v>
      </c>
      <c r="AR10" s="104">
        <v>1</v>
      </c>
      <c r="AS10" s="106"/>
      <c r="AT10" s="104">
        <v>1</v>
      </c>
      <c r="AU10" s="106"/>
      <c r="AV10" s="106"/>
      <c r="AX10" s="99" t="s">
        <v>8307</v>
      </c>
      <c r="AZ10" s="94" t="s">
        <v>8308</v>
      </c>
    </row>
    <row r="11" spans="1:52">
      <c r="A11" s="25" t="s">
        <v>8309</v>
      </c>
      <c r="B11" s="25" t="s">
        <v>4398</v>
      </c>
      <c r="C11" s="25" t="s">
        <v>68</v>
      </c>
      <c r="D11" s="25" t="s">
        <v>8310</v>
      </c>
      <c r="E11" s="258" t="s">
        <v>8311</v>
      </c>
      <c r="F11" s="25" t="s">
        <v>8312</v>
      </c>
      <c r="G11" s="25" t="s">
        <v>7497</v>
      </c>
      <c r="H11" s="25" t="s">
        <v>8270</v>
      </c>
      <c r="I11" s="26" t="s">
        <v>7499</v>
      </c>
      <c r="J11" s="26">
        <v>202606.5</v>
      </c>
      <c r="K11" s="62" t="s">
        <v>8226</v>
      </c>
      <c r="L11" s="25" t="s">
        <v>73</v>
      </c>
      <c r="M11" s="25" t="s">
        <v>8307</v>
      </c>
      <c r="N11" s="25" t="s">
        <v>8313</v>
      </c>
      <c r="O11" s="30" t="s">
        <v>8314</v>
      </c>
      <c r="P11" s="26"/>
      <c r="Q11" s="104">
        <v>4</v>
      </c>
      <c r="R11" s="104" t="s">
        <v>4409</v>
      </c>
      <c r="S11" s="104" t="s">
        <v>8315</v>
      </c>
      <c r="T11" s="26" t="s">
        <v>77</v>
      </c>
      <c r="U11" s="30" t="s">
        <v>78</v>
      </c>
      <c r="V11" s="26" t="s">
        <v>79</v>
      </c>
      <c r="W11" s="26" t="s">
        <v>4411</v>
      </c>
      <c r="X11" s="26" t="s">
        <v>7505</v>
      </c>
      <c r="Y11" s="26" t="s">
        <v>81</v>
      </c>
      <c r="Z11" s="26" t="s">
        <v>81</v>
      </c>
      <c r="AA11" s="105" t="s">
        <v>172</v>
      </c>
      <c r="AB11" s="93" t="s">
        <v>7</v>
      </c>
      <c r="AC11" s="106" t="s">
        <v>172</v>
      </c>
      <c r="AD11" s="107" t="s">
        <v>173</v>
      </c>
      <c r="AE11" s="107" t="s">
        <v>174</v>
      </c>
      <c r="AF11" s="105" t="s">
        <v>175</v>
      </c>
      <c r="AG11" s="104">
        <f t="shared" si="0"/>
        <v>1</v>
      </c>
      <c r="AH11" s="104">
        <v>1</v>
      </c>
      <c r="AI11" s="104">
        <v>1</v>
      </c>
      <c r="AJ11" s="104">
        <v>1</v>
      </c>
      <c r="AK11" s="106"/>
      <c r="AL11" s="104">
        <f t="shared" si="1"/>
        <v>1</v>
      </c>
      <c r="AM11" s="106"/>
      <c r="AN11" s="104"/>
      <c r="AO11" s="104"/>
      <c r="AP11" s="104">
        <v>1</v>
      </c>
      <c r="AQ11" s="104">
        <v>1</v>
      </c>
      <c r="AR11" s="104">
        <v>1</v>
      </c>
      <c r="AS11" s="106"/>
      <c r="AT11" s="104">
        <v>1</v>
      </c>
      <c r="AU11" s="106"/>
      <c r="AV11" s="106"/>
      <c r="AX11" s="99" t="s">
        <v>8316</v>
      </c>
      <c r="AZ11" s="94" t="s">
        <v>8317</v>
      </c>
    </row>
    <row r="12" spans="1:52">
      <c r="A12" s="25" t="s">
        <v>8318</v>
      </c>
      <c r="B12" s="25" t="s">
        <v>4398</v>
      </c>
      <c r="C12" s="25" t="s">
        <v>68</v>
      </c>
      <c r="D12" s="25" t="s">
        <v>8319</v>
      </c>
      <c r="E12" s="258" t="s">
        <v>8320</v>
      </c>
      <c r="F12" s="25" t="s">
        <v>8321</v>
      </c>
      <c r="G12" s="25" t="s">
        <v>7497</v>
      </c>
      <c r="H12" s="25" t="s">
        <v>8270</v>
      </c>
      <c r="I12" s="26" t="s">
        <v>7499</v>
      </c>
      <c r="J12" s="26">
        <v>202606.5</v>
      </c>
      <c r="K12" s="62" t="s">
        <v>8226</v>
      </c>
      <c r="L12" s="25" t="s">
        <v>73</v>
      </c>
      <c r="M12" s="25" t="s">
        <v>8316</v>
      </c>
      <c r="N12" s="25" t="s">
        <v>8322</v>
      </c>
      <c r="O12" s="30" t="s">
        <v>8323</v>
      </c>
      <c r="P12" s="26"/>
      <c r="Q12" s="104">
        <v>4</v>
      </c>
      <c r="R12" s="104" t="s">
        <v>4409</v>
      </c>
      <c r="S12" s="104" t="s">
        <v>8324</v>
      </c>
      <c r="T12" s="26" t="s">
        <v>77</v>
      </c>
      <c r="U12" s="30" t="s">
        <v>78</v>
      </c>
      <c r="V12" s="26" t="s">
        <v>79</v>
      </c>
      <c r="W12" s="26" t="s">
        <v>4411</v>
      </c>
      <c r="X12" s="26" t="s">
        <v>7505</v>
      </c>
      <c r="Y12" s="26" t="s">
        <v>81</v>
      </c>
      <c r="Z12" s="26" t="s">
        <v>81</v>
      </c>
      <c r="AA12" s="105" t="s">
        <v>172</v>
      </c>
      <c r="AB12" s="93" t="s">
        <v>7</v>
      </c>
      <c r="AC12" s="106" t="s">
        <v>172</v>
      </c>
      <c r="AD12" s="107" t="s">
        <v>173</v>
      </c>
      <c r="AE12" s="107" t="s">
        <v>174</v>
      </c>
      <c r="AF12" s="105" t="s">
        <v>175</v>
      </c>
      <c r="AG12" s="104">
        <f t="shared" si="0"/>
        <v>1</v>
      </c>
      <c r="AH12" s="104">
        <v>1</v>
      </c>
      <c r="AI12" s="104">
        <v>1</v>
      </c>
      <c r="AJ12" s="104">
        <v>1</v>
      </c>
      <c r="AK12" s="106"/>
      <c r="AL12" s="104">
        <f t="shared" si="1"/>
        <v>1</v>
      </c>
      <c r="AM12" s="106"/>
      <c r="AN12" s="104"/>
      <c r="AO12" s="104"/>
      <c r="AP12" s="104">
        <v>1</v>
      </c>
      <c r="AQ12" s="104">
        <v>1</v>
      </c>
      <c r="AR12" s="104">
        <v>1</v>
      </c>
      <c r="AS12" s="106"/>
      <c r="AT12" s="104">
        <v>1</v>
      </c>
      <c r="AU12" s="106"/>
      <c r="AV12" s="106"/>
      <c r="AX12" s="99" t="s">
        <v>8325</v>
      </c>
      <c r="AZ12" s="94" t="s">
        <v>8326</v>
      </c>
    </row>
    <row r="13" spans="1:52">
      <c r="A13" s="25" t="s">
        <v>8327</v>
      </c>
      <c r="B13" s="25" t="s">
        <v>4398</v>
      </c>
      <c r="C13" s="25" t="s">
        <v>68</v>
      </c>
      <c r="D13" s="25" t="s">
        <v>8328</v>
      </c>
      <c r="E13" s="258" t="s">
        <v>8329</v>
      </c>
      <c r="F13" s="25" t="s">
        <v>8330</v>
      </c>
      <c r="G13" s="25" t="s">
        <v>7497</v>
      </c>
      <c r="H13" s="25" t="s">
        <v>8270</v>
      </c>
      <c r="I13" s="26" t="s">
        <v>7499</v>
      </c>
      <c r="J13" s="26">
        <v>202606.5</v>
      </c>
      <c r="K13" s="62" t="s">
        <v>8226</v>
      </c>
      <c r="L13" s="25" t="s">
        <v>73</v>
      </c>
      <c r="M13" s="25" t="s">
        <v>8325</v>
      </c>
      <c r="N13" s="25" t="s">
        <v>8331</v>
      </c>
      <c r="O13" s="30" t="s">
        <v>8332</v>
      </c>
      <c r="P13" s="26"/>
      <c r="Q13" s="104">
        <v>4</v>
      </c>
      <c r="R13" s="104" t="s">
        <v>4409</v>
      </c>
      <c r="S13" s="104" t="s">
        <v>8333</v>
      </c>
      <c r="T13" s="26" t="s">
        <v>77</v>
      </c>
      <c r="U13" s="30" t="s">
        <v>78</v>
      </c>
      <c r="V13" s="26" t="s">
        <v>79</v>
      </c>
      <c r="W13" s="38" t="s">
        <v>4411</v>
      </c>
      <c r="X13" s="26" t="s">
        <v>7505</v>
      </c>
      <c r="Y13" s="26" t="s">
        <v>81</v>
      </c>
      <c r="Z13" s="26" t="s">
        <v>81</v>
      </c>
      <c r="AA13" s="105" t="s">
        <v>172</v>
      </c>
      <c r="AB13" s="93" t="s">
        <v>7</v>
      </c>
      <c r="AC13" s="106" t="s">
        <v>172</v>
      </c>
      <c r="AD13" s="107" t="s">
        <v>173</v>
      </c>
      <c r="AE13" s="107" t="s">
        <v>174</v>
      </c>
      <c r="AF13" s="105" t="s">
        <v>175</v>
      </c>
      <c r="AG13" s="104">
        <f t="shared" si="0"/>
        <v>1</v>
      </c>
      <c r="AH13" s="104">
        <v>1</v>
      </c>
      <c r="AI13" s="104">
        <v>1</v>
      </c>
      <c r="AJ13" s="104">
        <v>1</v>
      </c>
      <c r="AK13" s="106"/>
      <c r="AL13" s="104">
        <f t="shared" si="1"/>
        <v>1</v>
      </c>
      <c r="AM13" s="106"/>
      <c r="AN13" s="104"/>
      <c r="AO13" s="104"/>
      <c r="AP13" s="104">
        <v>1</v>
      </c>
      <c r="AQ13" s="104">
        <v>1</v>
      </c>
      <c r="AR13" s="104">
        <v>1</v>
      </c>
      <c r="AS13" s="106"/>
      <c r="AT13" s="104">
        <v>1</v>
      </c>
      <c r="AU13" s="106"/>
      <c r="AV13" s="106"/>
      <c r="AX13" s="99" t="s">
        <v>8334</v>
      </c>
      <c r="AZ13" s="94" t="s">
        <v>8335</v>
      </c>
    </row>
    <row r="14" spans="1:52">
      <c r="A14" s="25" t="s">
        <v>8336</v>
      </c>
      <c r="B14" s="25" t="s">
        <v>4398</v>
      </c>
      <c r="C14" s="25" t="s">
        <v>68</v>
      </c>
      <c r="D14" s="25" t="s">
        <v>8337</v>
      </c>
      <c r="E14" s="258" t="s">
        <v>8338</v>
      </c>
      <c r="F14" s="25" t="s">
        <v>8339</v>
      </c>
      <c r="G14" s="25" t="s">
        <v>7497</v>
      </c>
      <c r="H14" s="25" t="s">
        <v>8270</v>
      </c>
      <c r="I14" s="26" t="s">
        <v>7499</v>
      </c>
      <c r="J14" s="26">
        <v>202606.5</v>
      </c>
      <c r="K14" s="62" t="s">
        <v>8226</v>
      </c>
      <c r="L14" s="25" t="s">
        <v>73</v>
      </c>
      <c r="M14" s="25" t="s">
        <v>8334</v>
      </c>
      <c r="N14" s="25" t="s">
        <v>8340</v>
      </c>
      <c r="O14" s="30" t="s">
        <v>8341</v>
      </c>
      <c r="P14" s="26"/>
      <c r="Q14" s="104">
        <v>4</v>
      </c>
      <c r="R14" s="104" t="s">
        <v>4409</v>
      </c>
      <c r="S14" s="104" t="s">
        <v>7697</v>
      </c>
      <c r="T14" s="26" t="s">
        <v>77</v>
      </c>
      <c r="U14" s="30" t="s">
        <v>78</v>
      </c>
      <c r="V14" s="26" t="s">
        <v>79</v>
      </c>
      <c r="W14" s="38" t="s">
        <v>4411</v>
      </c>
      <c r="X14" s="26" t="s">
        <v>7505</v>
      </c>
      <c r="Y14" s="26" t="s">
        <v>81</v>
      </c>
      <c r="Z14" s="26" t="s">
        <v>81</v>
      </c>
      <c r="AA14" s="105" t="s">
        <v>172</v>
      </c>
      <c r="AB14" s="93" t="s">
        <v>7</v>
      </c>
      <c r="AC14" s="106" t="s">
        <v>172</v>
      </c>
      <c r="AD14" s="107" t="s">
        <v>173</v>
      </c>
      <c r="AE14" s="107" t="s">
        <v>174</v>
      </c>
      <c r="AF14" s="105" t="s">
        <v>175</v>
      </c>
      <c r="AG14" s="104">
        <f t="shared" si="0"/>
        <v>1</v>
      </c>
      <c r="AH14" s="104">
        <v>1</v>
      </c>
      <c r="AI14" s="104">
        <v>1</v>
      </c>
      <c r="AJ14" s="104">
        <v>1</v>
      </c>
      <c r="AK14" s="106"/>
      <c r="AL14" s="104">
        <f t="shared" si="1"/>
        <v>1</v>
      </c>
      <c r="AM14" s="106"/>
      <c r="AN14" s="104"/>
      <c r="AO14" s="104"/>
      <c r="AP14" s="104">
        <v>1</v>
      </c>
      <c r="AQ14" s="104">
        <v>1</v>
      </c>
      <c r="AR14" s="104">
        <v>1</v>
      </c>
      <c r="AS14" s="106"/>
      <c r="AT14" s="104">
        <v>1</v>
      </c>
      <c r="AU14" s="106"/>
      <c r="AV14" s="106"/>
      <c r="AX14" s="99" t="s">
        <v>8342</v>
      </c>
      <c r="AZ14" s="94" t="s">
        <v>8343</v>
      </c>
    </row>
    <row r="15" spans="1:52">
      <c r="A15" s="25" t="s">
        <v>8344</v>
      </c>
      <c r="B15" s="25" t="s">
        <v>4398</v>
      </c>
      <c r="C15" s="25" t="s">
        <v>68</v>
      </c>
      <c r="D15" s="25" t="s">
        <v>8345</v>
      </c>
      <c r="E15" s="258" t="s">
        <v>8346</v>
      </c>
      <c r="F15" s="25" t="s">
        <v>8347</v>
      </c>
      <c r="G15" s="25" t="s">
        <v>7497</v>
      </c>
      <c r="H15" s="25" t="s">
        <v>8270</v>
      </c>
      <c r="I15" s="26" t="s">
        <v>7499</v>
      </c>
      <c r="J15" s="26">
        <v>202606.5</v>
      </c>
      <c r="K15" s="62" t="s">
        <v>8226</v>
      </c>
      <c r="L15" s="25" t="s">
        <v>73</v>
      </c>
      <c r="M15" s="25" t="s">
        <v>8348</v>
      </c>
      <c r="N15" s="25" t="s">
        <v>8349</v>
      </c>
      <c r="O15" s="30" t="s">
        <v>8350</v>
      </c>
      <c r="P15" s="26"/>
      <c r="Q15" s="104">
        <v>4</v>
      </c>
      <c r="R15" s="104" t="s">
        <v>4409</v>
      </c>
      <c r="S15" s="104" t="s">
        <v>4448</v>
      </c>
      <c r="T15" s="26" t="s">
        <v>77</v>
      </c>
      <c r="U15" s="30" t="s">
        <v>78</v>
      </c>
      <c r="V15" s="26" t="s">
        <v>79</v>
      </c>
      <c r="W15" s="38" t="s">
        <v>7583</v>
      </c>
      <c r="X15" s="26" t="s">
        <v>7505</v>
      </c>
      <c r="Y15" s="26" t="s">
        <v>81</v>
      </c>
      <c r="Z15" s="26" t="s">
        <v>81</v>
      </c>
      <c r="AA15" s="105" t="s">
        <v>172</v>
      </c>
      <c r="AB15" s="93" t="s">
        <v>15</v>
      </c>
      <c r="AC15" s="106" t="s">
        <v>172</v>
      </c>
      <c r="AD15" s="107" t="s">
        <v>173</v>
      </c>
      <c r="AE15" s="107" t="s">
        <v>174</v>
      </c>
      <c r="AF15" s="105" t="s">
        <v>175</v>
      </c>
      <c r="AG15" s="104">
        <f t="shared" si="0"/>
        <v>1</v>
      </c>
      <c r="AH15" s="104">
        <v>1</v>
      </c>
      <c r="AI15" s="104">
        <v>1</v>
      </c>
      <c r="AJ15" s="104">
        <v>1</v>
      </c>
      <c r="AK15" s="106">
        <v>1</v>
      </c>
      <c r="AL15" s="104">
        <f t="shared" si="1"/>
        <v>1</v>
      </c>
      <c r="AM15" s="106"/>
      <c r="AN15" s="104">
        <v>1</v>
      </c>
      <c r="AO15" s="104">
        <v>1</v>
      </c>
      <c r="AP15" s="104">
        <v>1</v>
      </c>
      <c r="AQ15" s="104">
        <v>1</v>
      </c>
      <c r="AR15" s="104">
        <v>1</v>
      </c>
      <c r="AS15" s="106"/>
      <c r="AT15" s="104">
        <v>1</v>
      </c>
      <c r="AU15" s="106"/>
      <c r="AV15" s="106"/>
      <c r="AX15" s="99" t="s">
        <v>8227</v>
      </c>
      <c r="AZ15" s="94" t="s">
        <v>8351</v>
      </c>
    </row>
    <row r="16" spans="1:52">
      <c r="A16" s="25" t="s">
        <v>8352</v>
      </c>
      <c r="B16" s="25" t="s">
        <v>4398</v>
      </c>
      <c r="C16" s="25" t="s">
        <v>68</v>
      </c>
      <c r="D16" s="25" t="s">
        <v>8353</v>
      </c>
      <c r="E16" s="258" t="s">
        <v>8354</v>
      </c>
      <c r="F16" s="25" t="s">
        <v>8355</v>
      </c>
      <c r="G16" s="25" t="s">
        <v>7497</v>
      </c>
      <c r="H16" s="25" t="s">
        <v>8270</v>
      </c>
      <c r="I16" s="26" t="s">
        <v>7499</v>
      </c>
      <c r="J16" s="26">
        <v>202606.5</v>
      </c>
      <c r="K16" s="62" t="s">
        <v>8226</v>
      </c>
      <c r="L16" s="25" t="s">
        <v>73</v>
      </c>
      <c r="M16" s="25" t="s">
        <v>8356</v>
      </c>
      <c r="N16" s="25" t="s">
        <v>8357</v>
      </c>
      <c r="O16" s="30" t="s">
        <v>8358</v>
      </c>
      <c r="P16" s="26"/>
      <c r="Q16" s="104">
        <v>4</v>
      </c>
      <c r="R16" s="104" t="s">
        <v>4409</v>
      </c>
      <c r="S16" s="104" t="s">
        <v>8359</v>
      </c>
      <c r="T16" s="26" t="s">
        <v>77</v>
      </c>
      <c r="U16" s="30" t="s">
        <v>78</v>
      </c>
      <c r="V16" s="26" t="s">
        <v>79</v>
      </c>
      <c r="W16" s="38" t="s">
        <v>7583</v>
      </c>
      <c r="X16" s="26" t="s">
        <v>7505</v>
      </c>
      <c r="Y16" s="26" t="s">
        <v>81</v>
      </c>
      <c r="Z16" s="26" t="s">
        <v>81</v>
      </c>
      <c r="AA16" s="105" t="s">
        <v>172</v>
      </c>
      <c r="AB16" s="93" t="s">
        <v>15</v>
      </c>
      <c r="AC16" s="106" t="s">
        <v>172</v>
      </c>
      <c r="AD16" s="107" t="s">
        <v>173</v>
      </c>
      <c r="AE16" s="107" t="s">
        <v>174</v>
      </c>
      <c r="AF16" s="105" t="s">
        <v>175</v>
      </c>
      <c r="AG16" s="104">
        <f t="shared" si="0"/>
        <v>1</v>
      </c>
      <c r="AH16" s="104">
        <v>1</v>
      </c>
      <c r="AI16" s="104">
        <v>1</v>
      </c>
      <c r="AJ16" s="104">
        <v>1</v>
      </c>
      <c r="AK16" s="106">
        <v>1</v>
      </c>
      <c r="AL16" s="104">
        <f t="shared" si="1"/>
        <v>1</v>
      </c>
      <c r="AM16" s="106"/>
      <c r="AN16" s="104">
        <v>1</v>
      </c>
      <c r="AO16" s="104">
        <v>1</v>
      </c>
      <c r="AP16" s="104">
        <v>1</v>
      </c>
      <c r="AQ16" s="104">
        <v>1</v>
      </c>
      <c r="AR16" s="104">
        <v>1</v>
      </c>
      <c r="AS16" s="106"/>
      <c r="AT16" s="104">
        <v>1</v>
      </c>
      <c r="AU16" s="106"/>
      <c r="AV16" s="106"/>
      <c r="AX16" s="99" t="s">
        <v>8237</v>
      </c>
      <c r="AZ16" s="94" t="s">
        <v>8360</v>
      </c>
    </row>
    <row r="17" spans="1:52">
      <c r="A17" s="25" t="s">
        <v>8361</v>
      </c>
      <c r="B17" s="25" t="s">
        <v>4398</v>
      </c>
      <c r="C17" s="25" t="s">
        <v>68</v>
      </c>
      <c r="D17" s="25" t="s">
        <v>8362</v>
      </c>
      <c r="E17" s="258" t="s">
        <v>8363</v>
      </c>
      <c r="F17" s="25" t="s">
        <v>8364</v>
      </c>
      <c r="G17" s="25" t="s">
        <v>7497</v>
      </c>
      <c r="H17" s="25" t="s">
        <v>8270</v>
      </c>
      <c r="I17" s="26" t="s">
        <v>7499</v>
      </c>
      <c r="J17" s="26">
        <v>202606.5</v>
      </c>
      <c r="K17" s="62" t="s">
        <v>8226</v>
      </c>
      <c r="L17" s="25" t="s">
        <v>73</v>
      </c>
      <c r="M17" s="25" t="s">
        <v>8365</v>
      </c>
      <c r="N17" s="25" t="s">
        <v>8366</v>
      </c>
      <c r="O17" s="30" t="s">
        <v>8367</v>
      </c>
      <c r="P17" s="26"/>
      <c r="Q17" s="104">
        <v>4</v>
      </c>
      <c r="R17" s="104" t="s">
        <v>4409</v>
      </c>
      <c r="S17" s="104" t="s">
        <v>4551</v>
      </c>
      <c r="T17" s="26" t="s">
        <v>77</v>
      </c>
      <c r="U17" s="30" t="s">
        <v>78</v>
      </c>
      <c r="V17" s="26" t="s">
        <v>79</v>
      </c>
      <c r="W17" s="38" t="s">
        <v>7583</v>
      </c>
      <c r="X17" s="26" t="s">
        <v>7505</v>
      </c>
      <c r="Y17" s="26" t="s">
        <v>81</v>
      </c>
      <c r="Z17" s="26" t="s">
        <v>81</v>
      </c>
      <c r="AA17" s="105" t="s">
        <v>172</v>
      </c>
      <c r="AB17" s="93" t="s">
        <v>15</v>
      </c>
      <c r="AC17" s="106" t="s">
        <v>172</v>
      </c>
      <c r="AD17" s="107" t="s">
        <v>173</v>
      </c>
      <c r="AE17" s="107" t="s">
        <v>174</v>
      </c>
      <c r="AF17" s="105" t="s">
        <v>175</v>
      </c>
      <c r="AG17" s="104">
        <f t="shared" si="0"/>
        <v>1</v>
      </c>
      <c r="AH17" s="104">
        <v>1</v>
      </c>
      <c r="AI17" s="104">
        <v>1</v>
      </c>
      <c r="AJ17" s="104">
        <v>1</v>
      </c>
      <c r="AK17" s="106">
        <v>1</v>
      </c>
      <c r="AL17" s="104">
        <f t="shared" si="1"/>
        <v>1</v>
      </c>
      <c r="AM17" s="106"/>
      <c r="AN17" s="104">
        <v>1</v>
      </c>
      <c r="AO17" s="104">
        <v>1</v>
      </c>
      <c r="AP17" s="104">
        <v>1</v>
      </c>
      <c r="AQ17" s="104">
        <v>1</v>
      </c>
      <c r="AR17" s="104">
        <v>1</v>
      </c>
      <c r="AS17" s="106"/>
      <c r="AT17" s="104">
        <v>1</v>
      </c>
      <c r="AU17" s="106"/>
      <c r="AV17" s="106"/>
      <c r="AX17" s="99" t="s">
        <v>8247</v>
      </c>
      <c r="AZ17" s="94" t="s">
        <v>8368</v>
      </c>
    </row>
    <row r="18" spans="1:52">
      <c r="A18" s="25" t="s">
        <v>8369</v>
      </c>
      <c r="B18" s="25" t="s">
        <v>4398</v>
      </c>
      <c r="C18" s="25" t="s">
        <v>68</v>
      </c>
      <c r="D18" s="25" t="s">
        <v>8370</v>
      </c>
      <c r="E18" s="258" t="s">
        <v>8371</v>
      </c>
      <c r="F18" s="25" t="s">
        <v>8372</v>
      </c>
      <c r="G18" s="25" t="s">
        <v>7497</v>
      </c>
      <c r="H18" s="25" t="s">
        <v>8270</v>
      </c>
      <c r="I18" s="26" t="s">
        <v>7499</v>
      </c>
      <c r="J18" s="26">
        <v>202606.5</v>
      </c>
      <c r="K18" s="62" t="s">
        <v>8226</v>
      </c>
      <c r="L18" s="25" t="s">
        <v>73</v>
      </c>
      <c r="M18" s="25" t="s">
        <v>8373</v>
      </c>
      <c r="N18" s="25" t="s">
        <v>8374</v>
      </c>
      <c r="O18" s="30" t="s">
        <v>8375</v>
      </c>
      <c r="P18" s="26"/>
      <c r="Q18" s="104">
        <v>4</v>
      </c>
      <c r="R18" s="104" t="s">
        <v>4409</v>
      </c>
      <c r="S18" s="104" t="s">
        <v>7857</v>
      </c>
      <c r="T18" s="26" t="s">
        <v>77</v>
      </c>
      <c r="U18" s="30" t="s">
        <v>78</v>
      </c>
      <c r="V18" s="26" t="s">
        <v>79</v>
      </c>
      <c r="W18" s="38" t="s">
        <v>7583</v>
      </c>
      <c r="X18" s="26" t="s">
        <v>7505</v>
      </c>
      <c r="Y18" s="26" t="s">
        <v>81</v>
      </c>
      <c r="Z18" s="26" t="s">
        <v>81</v>
      </c>
      <c r="AA18" s="105" t="s">
        <v>172</v>
      </c>
      <c r="AB18" s="93" t="s">
        <v>15</v>
      </c>
      <c r="AC18" s="106" t="s">
        <v>172</v>
      </c>
      <c r="AD18" s="107" t="s">
        <v>173</v>
      </c>
      <c r="AE18" s="107" t="s">
        <v>174</v>
      </c>
      <c r="AF18" s="105" t="s">
        <v>175</v>
      </c>
      <c r="AG18" s="104">
        <f t="shared" si="0"/>
        <v>1</v>
      </c>
      <c r="AH18" s="104">
        <v>1</v>
      </c>
      <c r="AI18" s="104">
        <v>1</v>
      </c>
      <c r="AJ18" s="104">
        <v>1</v>
      </c>
      <c r="AK18" s="106">
        <v>1</v>
      </c>
      <c r="AL18" s="104">
        <f t="shared" si="1"/>
        <v>1</v>
      </c>
      <c r="AM18" s="106"/>
      <c r="AN18" s="104">
        <v>1</v>
      </c>
      <c r="AO18" s="104">
        <v>1</v>
      </c>
      <c r="AP18" s="104">
        <v>1</v>
      </c>
      <c r="AQ18" s="104">
        <v>1</v>
      </c>
      <c r="AR18" s="104">
        <v>1</v>
      </c>
      <c r="AS18" s="106"/>
      <c r="AT18" s="104">
        <v>1</v>
      </c>
      <c r="AU18" s="106"/>
      <c r="AV18" s="106"/>
      <c r="AX18" s="99" t="s">
        <v>8257</v>
      </c>
      <c r="AZ18" s="94" t="s">
        <v>8376</v>
      </c>
    </row>
    <row r="19" spans="1:52">
      <c r="A19" s="25" t="s">
        <v>8377</v>
      </c>
      <c r="B19" s="25" t="s">
        <v>4398</v>
      </c>
      <c r="C19" s="25" t="s">
        <v>68</v>
      </c>
      <c r="D19" s="25" t="s">
        <v>8378</v>
      </c>
      <c r="E19" s="258" t="s">
        <v>8379</v>
      </c>
      <c r="F19" s="25" t="s">
        <v>8380</v>
      </c>
      <c r="G19" s="25" t="s">
        <v>7497</v>
      </c>
      <c r="H19" s="25" t="s">
        <v>8270</v>
      </c>
      <c r="I19" s="26" t="s">
        <v>7499</v>
      </c>
      <c r="J19" s="26">
        <v>202606.5</v>
      </c>
      <c r="K19" s="62" t="s">
        <v>8226</v>
      </c>
      <c r="L19" s="25" t="s">
        <v>73</v>
      </c>
      <c r="M19" s="25" t="s">
        <v>8381</v>
      </c>
      <c r="N19" s="25" t="s">
        <v>8382</v>
      </c>
      <c r="O19" s="30" t="s">
        <v>8383</v>
      </c>
      <c r="P19" s="26"/>
      <c r="Q19" s="104">
        <v>4</v>
      </c>
      <c r="R19" s="104" t="s">
        <v>4409</v>
      </c>
      <c r="S19" s="104" t="s">
        <v>8384</v>
      </c>
      <c r="T19" s="26" t="s">
        <v>77</v>
      </c>
      <c r="U19" s="30" t="s">
        <v>78</v>
      </c>
      <c r="V19" s="26" t="s">
        <v>79</v>
      </c>
      <c r="W19" s="38" t="s">
        <v>7583</v>
      </c>
      <c r="X19" s="26" t="s">
        <v>7505</v>
      </c>
      <c r="Y19" s="26" t="s">
        <v>81</v>
      </c>
      <c r="Z19" s="26" t="s">
        <v>81</v>
      </c>
      <c r="AA19" s="105" t="s">
        <v>172</v>
      </c>
      <c r="AB19" s="93" t="s">
        <v>15</v>
      </c>
      <c r="AC19" s="106" t="s">
        <v>172</v>
      </c>
      <c r="AD19" s="107" t="s">
        <v>173</v>
      </c>
      <c r="AE19" s="107" t="s">
        <v>174</v>
      </c>
      <c r="AF19" s="105" t="s">
        <v>175</v>
      </c>
      <c r="AG19" s="104">
        <f t="shared" si="0"/>
        <v>1</v>
      </c>
      <c r="AH19" s="104">
        <v>1</v>
      </c>
      <c r="AI19" s="104">
        <v>1</v>
      </c>
      <c r="AJ19" s="104">
        <v>1</v>
      </c>
      <c r="AK19" s="106">
        <v>1</v>
      </c>
      <c r="AL19" s="104">
        <f t="shared" si="1"/>
        <v>1</v>
      </c>
      <c r="AM19" s="106"/>
      <c r="AN19" s="104">
        <v>1</v>
      </c>
      <c r="AO19" s="104">
        <v>1</v>
      </c>
      <c r="AP19" s="104">
        <v>1</v>
      </c>
      <c r="AQ19" s="104">
        <v>1</v>
      </c>
      <c r="AR19" s="104">
        <v>1</v>
      </c>
      <c r="AS19" s="106"/>
      <c r="AT19" s="104">
        <v>1</v>
      </c>
      <c r="AU19" s="106"/>
      <c r="AV19" s="106"/>
      <c r="AX19" s="99" t="s">
        <v>8385</v>
      </c>
      <c r="AZ19" s="94" t="s">
        <v>8386</v>
      </c>
    </row>
    <row r="20" spans="1:52">
      <c r="A20" s="25" t="s">
        <v>8387</v>
      </c>
      <c r="B20" s="25" t="s">
        <v>4398</v>
      </c>
      <c r="C20" s="25" t="s">
        <v>68</v>
      </c>
      <c r="D20" s="25" t="s">
        <v>8388</v>
      </c>
      <c r="E20" s="258" t="s">
        <v>8389</v>
      </c>
      <c r="F20" s="25" t="s">
        <v>8390</v>
      </c>
      <c r="G20" s="25" t="s">
        <v>7497</v>
      </c>
      <c r="H20" s="25" t="s">
        <v>8270</v>
      </c>
      <c r="I20" s="26" t="s">
        <v>7499</v>
      </c>
      <c r="J20" s="26">
        <v>202606.5</v>
      </c>
      <c r="K20" s="62" t="s">
        <v>8226</v>
      </c>
      <c r="L20" s="25" t="s">
        <v>73</v>
      </c>
      <c r="M20" s="25" t="s">
        <v>8391</v>
      </c>
      <c r="N20" s="25" t="s">
        <v>8392</v>
      </c>
      <c r="O20" s="30" t="s">
        <v>8393</v>
      </c>
      <c r="P20" s="26"/>
      <c r="Q20" s="104">
        <v>4</v>
      </c>
      <c r="R20" s="104" t="s">
        <v>4409</v>
      </c>
      <c r="S20" s="104" t="s">
        <v>7739</v>
      </c>
      <c r="T20" s="26" t="s">
        <v>77</v>
      </c>
      <c r="U20" s="30" t="s">
        <v>78</v>
      </c>
      <c r="V20" s="26" t="s">
        <v>79</v>
      </c>
      <c r="W20" s="38" t="s">
        <v>7583</v>
      </c>
      <c r="X20" s="26" t="s">
        <v>7505</v>
      </c>
      <c r="Y20" s="26" t="s">
        <v>81</v>
      </c>
      <c r="Z20" s="26" t="s">
        <v>81</v>
      </c>
      <c r="AA20" s="105" t="s">
        <v>172</v>
      </c>
      <c r="AB20" s="93" t="s">
        <v>15</v>
      </c>
      <c r="AC20" s="106" t="s">
        <v>172</v>
      </c>
      <c r="AD20" s="107" t="s">
        <v>173</v>
      </c>
      <c r="AE20" s="107" t="s">
        <v>174</v>
      </c>
      <c r="AF20" s="105" t="s">
        <v>175</v>
      </c>
      <c r="AG20" s="104">
        <f t="shared" si="0"/>
        <v>1</v>
      </c>
      <c r="AH20" s="104">
        <v>1</v>
      </c>
      <c r="AI20" s="104">
        <v>1</v>
      </c>
      <c r="AJ20" s="104">
        <v>1</v>
      </c>
      <c r="AK20" s="106">
        <v>1</v>
      </c>
      <c r="AL20" s="104">
        <f t="shared" si="1"/>
        <v>1</v>
      </c>
      <c r="AM20" s="106"/>
      <c r="AN20" s="104">
        <v>1</v>
      </c>
      <c r="AO20" s="104">
        <v>1</v>
      </c>
      <c r="AP20" s="104">
        <v>1</v>
      </c>
      <c r="AQ20" s="104">
        <v>1</v>
      </c>
      <c r="AR20" s="104">
        <v>1</v>
      </c>
      <c r="AS20" s="106"/>
      <c r="AT20" s="104">
        <v>1</v>
      </c>
      <c r="AU20" s="106"/>
      <c r="AV20" s="106"/>
      <c r="AX20" s="99" t="s">
        <v>8394</v>
      </c>
      <c r="AZ20" s="94" t="s">
        <v>8395</v>
      </c>
    </row>
    <row r="21" spans="1:52">
      <c r="A21" s="25" t="s">
        <v>8396</v>
      </c>
      <c r="B21" s="25" t="s">
        <v>4398</v>
      </c>
      <c r="C21" s="25" t="s">
        <v>68</v>
      </c>
      <c r="D21" s="25" t="s">
        <v>8397</v>
      </c>
      <c r="E21" s="258" t="s">
        <v>8398</v>
      </c>
      <c r="F21" s="25" t="s">
        <v>8399</v>
      </c>
      <c r="G21" s="25" t="s">
        <v>7497</v>
      </c>
      <c r="H21" s="25" t="s">
        <v>8270</v>
      </c>
      <c r="I21" s="26" t="s">
        <v>7499</v>
      </c>
      <c r="J21" s="26">
        <v>202606.5</v>
      </c>
      <c r="K21" s="62" t="s">
        <v>8226</v>
      </c>
      <c r="L21" s="25" t="s">
        <v>73</v>
      </c>
      <c r="M21" s="25" t="s">
        <v>8400</v>
      </c>
      <c r="N21" s="25" t="s">
        <v>8401</v>
      </c>
      <c r="O21" s="30" t="s">
        <v>8402</v>
      </c>
      <c r="P21" s="26"/>
      <c r="Q21" s="104">
        <v>4</v>
      </c>
      <c r="R21" s="104" t="s">
        <v>4409</v>
      </c>
      <c r="S21" s="104" t="s">
        <v>8403</v>
      </c>
      <c r="T21" s="26" t="s">
        <v>77</v>
      </c>
      <c r="U21" s="30" t="s">
        <v>78</v>
      </c>
      <c r="V21" s="26" t="s">
        <v>79</v>
      </c>
      <c r="W21" s="38" t="s">
        <v>7583</v>
      </c>
      <c r="X21" s="26" t="s">
        <v>7505</v>
      </c>
      <c r="Y21" s="26" t="s">
        <v>81</v>
      </c>
      <c r="Z21" s="26" t="s">
        <v>81</v>
      </c>
      <c r="AA21" s="105" t="s">
        <v>172</v>
      </c>
      <c r="AB21" s="93" t="s">
        <v>15</v>
      </c>
      <c r="AC21" s="106" t="s">
        <v>172</v>
      </c>
      <c r="AD21" s="107" t="s">
        <v>173</v>
      </c>
      <c r="AE21" s="107" t="s">
        <v>174</v>
      </c>
      <c r="AF21" s="105" t="s">
        <v>175</v>
      </c>
      <c r="AG21" s="104">
        <f t="shared" si="0"/>
        <v>1</v>
      </c>
      <c r="AH21" s="104">
        <v>1</v>
      </c>
      <c r="AI21" s="104">
        <v>1</v>
      </c>
      <c r="AJ21" s="104">
        <v>1</v>
      </c>
      <c r="AK21" s="106">
        <v>1</v>
      </c>
      <c r="AL21" s="104">
        <f t="shared" si="1"/>
        <v>1</v>
      </c>
      <c r="AM21" s="106"/>
      <c r="AN21" s="104">
        <v>1</v>
      </c>
      <c r="AO21" s="104">
        <v>1</v>
      </c>
      <c r="AP21" s="104">
        <v>1</v>
      </c>
      <c r="AQ21" s="104">
        <v>1</v>
      </c>
      <c r="AR21" s="104">
        <v>1</v>
      </c>
      <c r="AS21" s="106"/>
      <c r="AT21" s="104">
        <v>1</v>
      </c>
      <c r="AU21" s="106"/>
      <c r="AV21" s="106"/>
      <c r="AX21" s="99" t="s">
        <v>8404</v>
      </c>
      <c r="AZ21" s="94" t="s">
        <v>8405</v>
      </c>
    </row>
    <row r="22" spans="1:52">
      <c r="A22" s="25" t="s">
        <v>8406</v>
      </c>
      <c r="B22" s="25" t="s">
        <v>4398</v>
      </c>
      <c r="C22" s="25" t="s">
        <v>68</v>
      </c>
      <c r="D22" s="25" t="s">
        <v>8407</v>
      </c>
      <c r="E22" s="258" t="s">
        <v>8408</v>
      </c>
      <c r="F22" s="25" t="s">
        <v>8409</v>
      </c>
      <c r="G22" s="25" t="s">
        <v>7497</v>
      </c>
      <c r="H22" s="25" t="s">
        <v>8270</v>
      </c>
      <c r="I22" s="26" t="s">
        <v>7499</v>
      </c>
      <c r="J22" s="26">
        <v>202606.5</v>
      </c>
      <c r="K22" s="62" t="s">
        <v>8226</v>
      </c>
      <c r="L22" s="25" t="s">
        <v>73</v>
      </c>
      <c r="M22" s="25" t="s">
        <v>8410</v>
      </c>
      <c r="N22" s="25" t="s">
        <v>8411</v>
      </c>
      <c r="O22" s="30" t="s">
        <v>8412</v>
      </c>
      <c r="P22" s="26"/>
      <c r="Q22" s="104">
        <v>4</v>
      </c>
      <c r="R22" s="104" t="s">
        <v>4409</v>
      </c>
      <c r="S22" s="104" t="s">
        <v>7990</v>
      </c>
      <c r="T22" s="26" t="s">
        <v>77</v>
      </c>
      <c r="U22" s="30" t="s">
        <v>78</v>
      </c>
      <c r="V22" s="26" t="s">
        <v>79</v>
      </c>
      <c r="W22" s="38" t="s">
        <v>7583</v>
      </c>
      <c r="X22" s="26" t="s">
        <v>7505</v>
      </c>
      <c r="Y22" s="26" t="s">
        <v>81</v>
      </c>
      <c r="Z22" s="26" t="s">
        <v>81</v>
      </c>
      <c r="AA22" s="105" t="s">
        <v>172</v>
      </c>
      <c r="AB22" s="93" t="s">
        <v>15</v>
      </c>
      <c r="AC22" s="106" t="s">
        <v>172</v>
      </c>
      <c r="AD22" s="107" t="s">
        <v>173</v>
      </c>
      <c r="AE22" s="107" t="s">
        <v>174</v>
      </c>
      <c r="AF22" s="105" t="s">
        <v>175</v>
      </c>
      <c r="AG22" s="104">
        <f t="shared" si="0"/>
        <v>1</v>
      </c>
      <c r="AH22" s="104">
        <v>1</v>
      </c>
      <c r="AI22" s="104">
        <v>1</v>
      </c>
      <c r="AJ22" s="104">
        <v>1</v>
      </c>
      <c r="AK22" s="106">
        <v>1</v>
      </c>
      <c r="AL22" s="104">
        <f t="shared" si="1"/>
        <v>1</v>
      </c>
      <c r="AM22" s="106"/>
      <c r="AN22" s="104">
        <v>1</v>
      </c>
      <c r="AO22" s="104">
        <v>1</v>
      </c>
      <c r="AP22" s="104">
        <v>1</v>
      </c>
      <c r="AQ22" s="104">
        <v>1</v>
      </c>
      <c r="AR22" s="104">
        <v>1</v>
      </c>
      <c r="AS22" s="106"/>
      <c r="AT22" s="104">
        <v>1</v>
      </c>
      <c r="AU22" s="106"/>
      <c r="AV22" s="106"/>
      <c r="AX22" s="99" t="s">
        <v>8413</v>
      </c>
      <c r="AZ22" s="94" t="s">
        <v>8414</v>
      </c>
    </row>
    <row r="23" spans="1:52">
      <c r="A23" s="25" t="s">
        <v>8415</v>
      </c>
      <c r="B23" s="25" t="s">
        <v>4398</v>
      </c>
      <c r="C23" s="25" t="s">
        <v>68</v>
      </c>
      <c r="D23" s="25" t="s">
        <v>8416</v>
      </c>
      <c r="E23" s="258" t="s">
        <v>8417</v>
      </c>
      <c r="F23" s="25" t="s">
        <v>8418</v>
      </c>
      <c r="G23" s="25" t="s">
        <v>7497</v>
      </c>
      <c r="H23" s="25" t="s">
        <v>8270</v>
      </c>
      <c r="I23" s="26" t="s">
        <v>7499</v>
      </c>
      <c r="J23" s="26">
        <v>202606.5</v>
      </c>
      <c r="K23" s="62" t="s">
        <v>8226</v>
      </c>
      <c r="L23" s="25" t="s">
        <v>73</v>
      </c>
      <c r="M23" s="25" t="s">
        <v>8419</v>
      </c>
      <c r="N23" s="25" t="s">
        <v>8420</v>
      </c>
      <c r="O23" s="30" t="s">
        <v>8421</v>
      </c>
      <c r="P23" s="26"/>
      <c r="Q23" s="104">
        <v>4</v>
      </c>
      <c r="R23" s="104" t="s">
        <v>4409</v>
      </c>
      <c r="S23" s="104" t="s">
        <v>8422</v>
      </c>
      <c r="T23" s="26" t="s">
        <v>77</v>
      </c>
      <c r="U23" s="30" t="s">
        <v>78</v>
      </c>
      <c r="V23" s="26" t="s">
        <v>79</v>
      </c>
      <c r="W23" s="38" t="s">
        <v>7583</v>
      </c>
      <c r="X23" s="26" t="s">
        <v>7505</v>
      </c>
      <c r="Y23" s="26" t="s">
        <v>81</v>
      </c>
      <c r="Z23" s="26" t="s">
        <v>81</v>
      </c>
      <c r="AA23" s="105" t="s">
        <v>172</v>
      </c>
      <c r="AB23" s="93" t="s">
        <v>15</v>
      </c>
      <c r="AC23" s="106" t="s">
        <v>172</v>
      </c>
      <c r="AD23" s="107" t="s">
        <v>173</v>
      </c>
      <c r="AE23" s="107" t="s">
        <v>174</v>
      </c>
      <c r="AF23" s="105" t="s">
        <v>175</v>
      </c>
      <c r="AG23" s="104">
        <f t="shared" si="0"/>
        <v>1</v>
      </c>
      <c r="AH23" s="104">
        <v>1</v>
      </c>
      <c r="AI23" s="104">
        <v>1</v>
      </c>
      <c r="AJ23" s="104">
        <v>1</v>
      </c>
      <c r="AK23" s="106">
        <v>1</v>
      </c>
      <c r="AL23" s="104">
        <f t="shared" si="1"/>
        <v>1</v>
      </c>
      <c r="AM23" s="106"/>
      <c r="AN23" s="104">
        <v>1</v>
      </c>
      <c r="AO23" s="104">
        <v>1</v>
      </c>
      <c r="AP23" s="104">
        <v>1</v>
      </c>
      <c r="AQ23" s="104">
        <v>1</v>
      </c>
      <c r="AR23" s="104">
        <v>1</v>
      </c>
      <c r="AS23" s="106"/>
      <c r="AT23" s="104">
        <v>1</v>
      </c>
      <c r="AU23" s="106"/>
      <c r="AV23" s="106"/>
      <c r="AX23" s="99" t="s">
        <v>8423</v>
      </c>
      <c r="AZ23" s="94" t="s">
        <v>8424</v>
      </c>
    </row>
    <row r="24" spans="1:52">
      <c r="A24" s="25" t="s">
        <v>8425</v>
      </c>
      <c r="B24" s="25" t="s">
        <v>4398</v>
      </c>
      <c r="C24" s="25" t="s">
        <v>68</v>
      </c>
      <c r="D24" s="25" t="s">
        <v>8426</v>
      </c>
      <c r="E24" s="258" t="s">
        <v>8427</v>
      </c>
      <c r="F24" s="25" t="s">
        <v>8428</v>
      </c>
      <c r="G24" s="25" t="s">
        <v>7497</v>
      </c>
      <c r="H24" s="25" t="s">
        <v>8270</v>
      </c>
      <c r="I24" s="26" t="s">
        <v>7499</v>
      </c>
      <c r="J24" s="26">
        <v>202606.5</v>
      </c>
      <c r="K24" s="62" t="s">
        <v>8226</v>
      </c>
      <c r="L24" s="25" t="s">
        <v>73</v>
      </c>
      <c r="M24" s="25" t="s">
        <v>8429</v>
      </c>
      <c r="N24" s="25" t="s">
        <v>8430</v>
      </c>
      <c r="O24" s="30" t="s">
        <v>8431</v>
      </c>
      <c r="P24" s="26"/>
      <c r="Q24" s="104">
        <v>4</v>
      </c>
      <c r="R24" s="104" t="s">
        <v>4409</v>
      </c>
      <c r="S24" s="104" t="s">
        <v>7689</v>
      </c>
      <c r="T24" s="26" t="s">
        <v>77</v>
      </c>
      <c r="U24" s="30" t="s">
        <v>78</v>
      </c>
      <c r="V24" s="26" t="s">
        <v>79</v>
      </c>
      <c r="W24" s="38" t="s">
        <v>7583</v>
      </c>
      <c r="X24" s="26" t="s">
        <v>7505</v>
      </c>
      <c r="Y24" s="26" t="s">
        <v>81</v>
      </c>
      <c r="Z24" s="26" t="s">
        <v>81</v>
      </c>
      <c r="AA24" s="105" t="s">
        <v>172</v>
      </c>
      <c r="AB24" s="93" t="s">
        <v>15</v>
      </c>
      <c r="AC24" s="106" t="s">
        <v>172</v>
      </c>
      <c r="AD24" s="107" t="s">
        <v>173</v>
      </c>
      <c r="AE24" s="107" t="s">
        <v>174</v>
      </c>
      <c r="AF24" s="105" t="s">
        <v>175</v>
      </c>
      <c r="AG24" s="104">
        <f t="shared" si="0"/>
        <v>1</v>
      </c>
      <c r="AH24" s="104">
        <v>1</v>
      </c>
      <c r="AI24" s="104">
        <v>1</v>
      </c>
      <c r="AJ24" s="104">
        <v>1</v>
      </c>
      <c r="AK24" s="106">
        <v>1</v>
      </c>
      <c r="AL24" s="104">
        <f t="shared" si="1"/>
        <v>1</v>
      </c>
      <c r="AM24" s="106"/>
      <c r="AN24" s="104">
        <v>1</v>
      </c>
      <c r="AO24" s="104">
        <v>1</v>
      </c>
      <c r="AP24" s="104">
        <v>1</v>
      </c>
      <c r="AQ24" s="104">
        <v>1</v>
      </c>
      <c r="AR24" s="104">
        <v>1</v>
      </c>
      <c r="AS24" s="106"/>
      <c r="AT24" s="104">
        <v>1</v>
      </c>
      <c r="AU24" s="106"/>
      <c r="AV24" s="106"/>
      <c r="AX24" s="99" t="s">
        <v>8432</v>
      </c>
      <c r="AZ24" s="94" t="s">
        <v>8433</v>
      </c>
    </row>
    <row r="25" spans="1:52">
      <c r="A25" s="25" t="s">
        <v>8434</v>
      </c>
      <c r="B25" s="25" t="s">
        <v>4398</v>
      </c>
      <c r="C25" s="25" t="s">
        <v>68</v>
      </c>
      <c r="D25" s="25" t="s">
        <v>8435</v>
      </c>
      <c r="E25" s="258" t="s">
        <v>8436</v>
      </c>
      <c r="F25" s="25" t="s">
        <v>8437</v>
      </c>
      <c r="G25" s="25" t="s">
        <v>7497</v>
      </c>
      <c r="H25" s="25" t="s">
        <v>8270</v>
      </c>
      <c r="I25" s="26" t="s">
        <v>7499</v>
      </c>
      <c r="J25" s="26">
        <v>202606.5</v>
      </c>
      <c r="K25" s="62" t="s">
        <v>8226</v>
      </c>
      <c r="L25" s="25" t="s">
        <v>73</v>
      </c>
      <c r="M25" s="25" t="s">
        <v>8438</v>
      </c>
      <c r="N25" s="25" t="s">
        <v>8439</v>
      </c>
      <c r="O25" s="30" t="s">
        <v>8440</v>
      </c>
      <c r="P25" s="26"/>
      <c r="Q25" s="104">
        <v>4</v>
      </c>
      <c r="R25" s="104" t="s">
        <v>4409</v>
      </c>
      <c r="S25" s="104" t="s">
        <v>8441</v>
      </c>
      <c r="T25" s="26" t="s">
        <v>77</v>
      </c>
      <c r="U25" s="30" t="s">
        <v>78</v>
      </c>
      <c r="V25" s="26" t="s">
        <v>79</v>
      </c>
      <c r="W25" s="38" t="s">
        <v>7583</v>
      </c>
      <c r="X25" s="26" t="s">
        <v>7505</v>
      </c>
      <c r="Y25" s="26" t="s">
        <v>81</v>
      </c>
      <c r="Z25" s="26" t="s">
        <v>81</v>
      </c>
      <c r="AA25" s="105" t="s">
        <v>172</v>
      </c>
      <c r="AB25" s="93" t="s">
        <v>15</v>
      </c>
      <c r="AC25" s="106" t="s">
        <v>172</v>
      </c>
      <c r="AD25" s="107" t="s">
        <v>173</v>
      </c>
      <c r="AE25" s="107" t="s">
        <v>174</v>
      </c>
      <c r="AF25" s="105" t="s">
        <v>175</v>
      </c>
      <c r="AG25" s="104">
        <f t="shared" si="0"/>
        <v>1</v>
      </c>
      <c r="AH25" s="104">
        <v>1</v>
      </c>
      <c r="AI25" s="104">
        <v>1</v>
      </c>
      <c r="AJ25" s="104">
        <v>1</v>
      </c>
      <c r="AK25" s="106">
        <v>1</v>
      </c>
      <c r="AL25" s="104">
        <f t="shared" si="1"/>
        <v>1</v>
      </c>
      <c r="AM25" s="106"/>
      <c r="AN25" s="104">
        <v>1</v>
      </c>
      <c r="AO25" s="104">
        <v>1</v>
      </c>
      <c r="AP25" s="104">
        <v>1</v>
      </c>
      <c r="AQ25" s="104">
        <v>1</v>
      </c>
      <c r="AR25" s="104">
        <v>1</v>
      </c>
      <c r="AS25" s="106"/>
      <c r="AT25" s="104">
        <v>1</v>
      </c>
      <c r="AU25" s="106"/>
      <c r="AV25" s="106"/>
      <c r="AX25" s="99" t="s">
        <v>8442</v>
      </c>
      <c r="AZ25" s="94" t="s">
        <v>8443</v>
      </c>
    </row>
    <row r="26" spans="1:52">
      <c r="A26" s="25" t="s">
        <v>8444</v>
      </c>
      <c r="B26" s="25" t="s">
        <v>4398</v>
      </c>
      <c r="C26" s="25" t="s">
        <v>68</v>
      </c>
      <c r="D26" s="25" t="s">
        <v>8445</v>
      </c>
      <c r="E26" s="258" t="s">
        <v>8446</v>
      </c>
      <c r="F26" s="25" t="s">
        <v>8447</v>
      </c>
      <c r="G26" s="25" t="s">
        <v>7497</v>
      </c>
      <c r="H26" s="25" t="s">
        <v>8270</v>
      </c>
      <c r="I26" s="26" t="s">
        <v>7499</v>
      </c>
      <c r="J26" s="26">
        <v>202606.5</v>
      </c>
      <c r="K26" s="62" t="s">
        <v>8226</v>
      </c>
      <c r="L26" s="25" t="s">
        <v>73</v>
      </c>
      <c r="M26" s="25" t="s">
        <v>8448</v>
      </c>
      <c r="N26" s="25" t="s">
        <v>8449</v>
      </c>
      <c r="O26" s="30" t="s">
        <v>8450</v>
      </c>
      <c r="P26" s="26"/>
      <c r="Q26" s="104">
        <v>4</v>
      </c>
      <c r="R26" s="104" t="s">
        <v>4409</v>
      </c>
      <c r="S26" s="104" t="s">
        <v>8164</v>
      </c>
      <c r="T26" s="26" t="s">
        <v>77</v>
      </c>
      <c r="U26" s="30" t="s">
        <v>78</v>
      </c>
      <c r="V26" s="26" t="s">
        <v>79</v>
      </c>
      <c r="W26" s="38" t="s">
        <v>7583</v>
      </c>
      <c r="X26" s="26" t="s">
        <v>7505</v>
      </c>
      <c r="Y26" s="26" t="s">
        <v>81</v>
      </c>
      <c r="Z26" s="26" t="s">
        <v>81</v>
      </c>
      <c r="AA26" s="105" t="s">
        <v>172</v>
      </c>
      <c r="AB26" s="93" t="s">
        <v>15</v>
      </c>
      <c r="AC26" s="106" t="s">
        <v>172</v>
      </c>
      <c r="AD26" s="107" t="s">
        <v>173</v>
      </c>
      <c r="AE26" s="107" t="s">
        <v>174</v>
      </c>
      <c r="AF26" s="105" t="s">
        <v>175</v>
      </c>
      <c r="AG26" s="104">
        <f t="shared" si="0"/>
        <v>1</v>
      </c>
      <c r="AH26" s="104">
        <v>1</v>
      </c>
      <c r="AI26" s="104">
        <v>1</v>
      </c>
      <c r="AJ26" s="104">
        <v>1</v>
      </c>
      <c r="AK26" s="106">
        <v>1</v>
      </c>
      <c r="AL26" s="104">
        <f t="shared" si="1"/>
        <v>1</v>
      </c>
      <c r="AM26" s="106"/>
      <c r="AN26" s="104">
        <v>1</v>
      </c>
      <c r="AO26" s="104">
        <v>1</v>
      </c>
      <c r="AP26" s="104">
        <v>1</v>
      </c>
      <c r="AQ26" s="104">
        <v>1</v>
      </c>
      <c r="AR26" s="104">
        <v>1</v>
      </c>
      <c r="AS26" s="106"/>
      <c r="AT26" s="104">
        <v>1</v>
      </c>
      <c r="AU26" s="106"/>
      <c r="AV26" s="106"/>
      <c r="AX26" s="99" t="s">
        <v>8451</v>
      </c>
      <c r="AZ26" s="94" t="s">
        <v>8452</v>
      </c>
    </row>
    <row r="27" spans="1:52">
      <c r="A27" s="25" t="s">
        <v>8453</v>
      </c>
      <c r="B27" s="25" t="s">
        <v>4398</v>
      </c>
      <c r="C27" s="25" t="s">
        <v>68</v>
      </c>
      <c r="D27" s="25" t="s">
        <v>8454</v>
      </c>
      <c r="E27" s="258" t="s">
        <v>8455</v>
      </c>
      <c r="F27" s="25" t="s">
        <v>8456</v>
      </c>
      <c r="G27" s="25" t="s">
        <v>7497</v>
      </c>
      <c r="H27" s="25" t="s">
        <v>8270</v>
      </c>
      <c r="I27" s="26" t="s">
        <v>7499</v>
      </c>
      <c r="J27" s="26">
        <v>202606.5</v>
      </c>
      <c r="K27" s="62" t="s">
        <v>8226</v>
      </c>
      <c r="L27" s="25" t="s">
        <v>73</v>
      </c>
      <c r="M27" s="25" t="s">
        <v>8457</v>
      </c>
      <c r="N27" s="25" t="s">
        <v>8458</v>
      </c>
      <c r="O27" s="30" t="s">
        <v>8459</v>
      </c>
      <c r="P27" s="26"/>
      <c r="Q27" s="104">
        <v>4</v>
      </c>
      <c r="R27" s="104" t="s">
        <v>4409</v>
      </c>
      <c r="S27" s="104" t="s">
        <v>8460</v>
      </c>
      <c r="T27" s="26" t="s">
        <v>77</v>
      </c>
      <c r="U27" s="30" t="s">
        <v>78</v>
      </c>
      <c r="V27" s="26" t="s">
        <v>79</v>
      </c>
      <c r="W27" s="38" t="s">
        <v>7583</v>
      </c>
      <c r="X27" s="26" t="s">
        <v>7505</v>
      </c>
      <c r="Y27" s="26" t="s">
        <v>81</v>
      </c>
      <c r="Z27" s="26" t="s">
        <v>81</v>
      </c>
      <c r="AA27" s="105" t="s">
        <v>172</v>
      </c>
      <c r="AB27" s="93" t="s">
        <v>15</v>
      </c>
      <c r="AC27" s="106" t="s">
        <v>172</v>
      </c>
      <c r="AD27" s="107" t="s">
        <v>173</v>
      </c>
      <c r="AE27" s="107" t="s">
        <v>174</v>
      </c>
      <c r="AF27" s="105" t="s">
        <v>175</v>
      </c>
      <c r="AG27" s="104">
        <f t="shared" si="0"/>
        <v>1</v>
      </c>
      <c r="AH27" s="104">
        <v>1</v>
      </c>
      <c r="AI27" s="104">
        <v>1</v>
      </c>
      <c r="AJ27" s="104">
        <v>1</v>
      </c>
      <c r="AK27" s="106">
        <v>1</v>
      </c>
      <c r="AL27" s="104">
        <f t="shared" si="1"/>
        <v>1</v>
      </c>
      <c r="AM27" s="106"/>
      <c r="AN27" s="104">
        <v>1</v>
      </c>
      <c r="AO27" s="104">
        <v>1</v>
      </c>
      <c r="AP27" s="104">
        <v>1</v>
      </c>
      <c r="AQ27" s="104">
        <v>1</v>
      </c>
      <c r="AR27" s="104">
        <v>1</v>
      </c>
      <c r="AS27" s="106"/>
      <c r="AT27" s="104">
        <v>1</v>
      </c>
      <c r="AU27" s="106"/>
      <c r="AV27" s="106"/>
      <c r="AX27" s="99" t="s">
        <v>8461</v>
      </c>
      <c r="AZ27" s="94" t="s">
        <v>8462</v>
      </c>
    </row>
    <row r="28" spans="1:52">
      <c r="A28" s="25" t="s">
        <v>8463</v>
      </c>
      <c r="B28" s="25" t="s">
        <v>4398</v>
      </c>
      <c r="C28" s="25" t="s">
        <v>73</v>
      </c>
      <c r="D28" s="25" t="s">
        <v>8464</v>
      </c>
      <c r="E28" s="258" t="s">
        <v>8465</v>
      </c>
      <c r="F28" s="25" t="s">
        <v>8466</v>
      </c>
      <c r="G28" s="25" t="s">
        <v>7497</v>
      </c>
      <c r="H28" s="25" t="s">
        <v>8270</v>
      </c>
      <c r="I28" s="26" t="s">
        <v>7499</v>
      </c>
      <c r="J28" s="26">
        <v>202606.5</v>
      </c>
      <c r="K28" s="62" t="s">
        <v>8226</v>
      </c>
      <c r="L28" s="25" t="s">
        <v>73</v>
      </c>
      <c r="M28" s="25" t="s">
        <v>8467</v>
      </c>
      <c r="N28" s="25" t="s">
        <v>8468</v>
      </c>
      <c r="O28" s="30" t="s">
        <v>8469</v>
      </c>
      <c r="P28" s="26"/>
      <c r="Q28" s="109">
        <v>4</v>
      </c>
      <c r="R28" s="109" t="s">
        <v>4409</v>
      </c>
      <c r="S28" s="109" t="s">
        <v>8470</v>
      </c>
      <c r="T28" s="26" t="s">
        <v>77</v>
      </c>
      <c r="U28" s="30" t="s">
        <v>78</v>
      </c>
      <c r="V28" s="26" t="s">
        <v>79</v>
      </c>
      <c r="W28" s="38" t="s">
        <v>4477</v>
      </c>
      <c r="X28" s="26" t="s">
        <v>7505</v>
      </c>
      <c r="Y28" s="26" t="s">
        <v>81</v>
      </c>
      <c r="Z28" s="26" t="s">
        <v>81</v>
      </c>
      <c r="AA28" s="105" t="s">
        <v>172</v>
      </c>
      <c r="AB28" s="93" t="s">
        <v>15</v>
      </c>
      <c r="AC28" s="106" t="s">
        <v>172</v>
      </c>
      <c r="AD28" s="107" t="s">
        <v>173</v>
      </c>
      <c r="AE28" s="107" t="s">
        <v>174</v>
      </c>
      <c r="AF28" s="105" t="s">
        <v>175</v>
      </c>
      <c r="AG28" s="104">
        <f t="shared" si="0"/>
        <v>1</v>
      </c>
      <c r="AH28" s="104">
        <v>1</v>
      </c>
      <c r="AI28" s="104">
        <v>1</v>
      </c>
      <c r="AJ28" s="104">
        <v>1</v>
      </c>
      <c r="AK28" s="106">
        <v>1</v>
      </c>
      <c r="AL28" s="104">
        <f t="shared" si="1"/>
        <v>1</v>
      </c>
      <c r="AM28" s="106"/>
      <c r="AN28" s="104">
        <v>1</v>
      </c>
      <c r="AO28" s="104">
        <v>1</v>
      </c>
      <c r="AP28" s="104">
        <v>1</v>
      </c>
      <c r="AQ28" s="104">
        <v>1</v>
      </c>
      <c r="AR28" s="104">
        <v>1</v>
      </c>
      <c r="AS28" s="106"/>
      <c r="AT28" s="104">
        <v>1</v>
      </c>
      <c r="AU28" s="106"/>
      <c r="AV28" s="106"/>
      <c r="AX28" s="99" t="s">
        <v>8471</v>
      </c>
      <c r="AZ28" s="94" t="s">
        <v>8472</v>
      </c>
    </row>
    <row r="29" spans="1:52">
      <c r="A29" s="25" t="s">
        <v>8473</v>
      </c>
      <c r="B29" s="25" t="s">
        <v>4398</v>
      </c>
      <c r="C29" s="25" t="s">
        <v>73</v>
      </c>
      <c r="D29" s="25" t="s">
        <v>8474</v>
      </c>
      <c r="E29" s="258" t="s">
        <v>8475</v>
      </c>
      <c r="F29" s="48" t="s">
        <v>8476</v>
      </c>
      <c r="G29" s="25" t="s">
        <v>7497</v>
      </c>
      <c r="H29" s="25" t="s">
        <v>8270</v>
      </c>
      <c r="I29" s="26" t="s">
        <v>7499</v>
      </c>
      <c r="J29" s="26">
        <v>202606.5</v>
      </c>
      <c r="K29" s="62" t="s">
        <v>8226</v>
      </c>
      <c r="L29" s="25" t="s">
        <v>73</v>
      </c>
      <c r="M29" s="25" t="s">
        <v>8241</v>
      </c>
      <c r="N29" s="25" t="s">
        <v>8477</v>
      </c>
      <c r="O29" s="30" t="s">
        <v>8478</v>
      </c>
      <c r="P29" s="26"/>
      <c r="Q29" s="109">
        <v>4</v>
      </c>
      <c r="R29" s="109" t="s">
        <v>4409</v>
      </c>
      <c r="S29" s="109" t="s">
        <v>8479</v>
      </c>
      <c r="T29" s="26" t="s">
        <v>77</v>
      </c>
      <c r="U29" s="30" t="s">
        <v>78</v>
      </c>
      <c r="V29" s="26" t="s">
        <v>79</v>
      </c>
      <c r="W29" s="38" t="s">
        <v>4477</v>
      </c>
      <c r="X29" s="26" t="s">
        <v>7505</v>
      </c>
      <c r="Y29" s="26" t="s">
        <v>81</v>
      </c>
      <c r="Z29" s="26" t="s">
        <v>81</v>
      </c>
      <c r="AA29" s="105" t="s">
        <v>172</v>
      </c>
      <c r="AB29" s="93" t="s">
        <v>15</v>
      </c>
      <c r="AC29" s="106" t="s">
        <v>172</v>
      </c>
      <c r="AD29" s="107" t="s">
        <v>173</v>
      </c>
      <c r="AE29" s="107" t="s">
        <v>174</v>
      </c>
      <c r="AF29" s="105" t="s">
        <v>175</v>
      </c>
      <c r="AG29" s="104">
        <f t="shared" si="0"/>
        <v>1</v>
      </c>
      <c r="AH29" s="104">
        <v>1</v>
      </c>
      <c r="AI29" s="104">
        <v>1</v>
      </c>
      <c r="AJ29" s="104">
        <v>1</v>
      </c>
      <c r="AK29" s="106">
        <v>1</v>
      </c>
      <c r="AL29" s="104">
        <f t="shared" si="1"/>
        <v>1</v>
      </c>
      <c r="AM29" s="106"/>
      <c r="AN29" s="104">
        <v>1</v>
      </c>
      <c r="AO29" s="104">
        <v>1</v>
      </c>
      <c r="AP29" s="104">
        <v>1</v>
      </c>
      <c r="AQ29" s="104">
        <v>1</v>
      </c>
      <c r="AR29" s="104">
        <v>1</v>
      </c>
      <c r="AS29" s="106"/>
      <c r="AT29" s="104">
        <v>1</v>
      </c>
      <c r="AU29" s="105" t="s">
        <v>8480</v>
      </c>
      <c r="AV29" s="106"/>
      <c r="AX29" s="99" t="s">
        <v>8481</v>
      </c>
      <c r="AZ29" s="94" t="s">
        <v>8482</v>
      </c>
    </row>
    <row r="30" spans="1:52">
      <c r="A30" s="25" t="s">
        <v>8483</v>
      </c>
      <c r="B30" s="25" t="s">
        <v>4398</v>
      </c>
      <c r="C30" s="25" t="s">
        <v>68</v>
      </c>
      <c r="D30" s="25" t="s">
        <v>8484</v>
      </c>
      <c r="E30" s="258" t="s">
        <v>8485</v>
      </c>
      <c r="F30" s="25" t="s">
        <v>8486</v>
      </c>
      <c r="G30" s="25" t="s">
        <v>7497</v>
      </c>
      <c r="H30" s="25" t="s">
        <v>8487</v>
      </c>
      <c r="I30" s="26" t="s">
        <v>7499</v>
      </c>
      <c r="J30" s="26">
        <v>202606.5</v>
      </c>
      <c r="K30" s="62" t="s">
        <v>8226</v>
      </c>
      <c r="L30" s="25" t="s">
        <v>73</v>
      </c>
      <c r="M30" s="25" t="s">
        <v>8488</v>
      </c>
      <c r="N30" s="25" t="s">
        <v>8489</v>
      </c>
      <c r="O30" s="30" t="s">
        <v>8490</v>
      </c>
      <c r="P30" s="26"/>
      <c r="Q30" s="104">
        <v>4</v>
      </c>
      <c r="R30" s="104" t="s">
        <v>4409</v>
      </c>
      <c r="S30" s="104" t="s">
        <v>5221</v>
      </c>
      <c r="T30" s="26" t="s">
        <v>77</v>
      </c>
      <c r="U30" s="30" t="s">
        <v>78</v>
      </c>
      <c r="V30" s="26" t="s">
        <v>79</v>
      </c>
      <c r="W30" s="38" t="s">
        <v>4477</v>
      </c>
      <c r="X30" s="26" t="s">
        <v>7505</v>
      </c>
      <c r="Y30" s="26" t="s">
        <v>81</v>
      </c>
      <c r="Z30" s="26" t="s">
        <v>81</v>
      </c>
      <c r="AA30" s="105" t="s">
        <v>172</v>
      </c>
      <c r="AB30" s="93" t="s">
        <v>15</v>
      </c>
      <c r="AC30" s="106" t="s">
        <v>172</v>
      </c>
      <c r="AD30" s="107" t="s">
        <v>173</v>
      </c>
      <c r="AE30" s="107" t="s">
        <v>174</v>
      </c>
      <c r="AF30" s="105" t="s">
        <v>175</v>
      </c>
      <c r="AG30" s="104">
        <f t="shared" si="0"/>
        <v>1</v>
      </c>
      <c r="AH30" s="104">
        <v>1</v>
      </c>
      <c r="AI30" s="104">
        <v>1</v>
      </c>
      <c r="AJ30" s="104">
        <v>1</v>
      </c>
      <c r="AK30" s="106">
        <v>1</v>
      </c>
      <c r="AL30" s="104">
        <f t="shared" si="1"/>
        <v>1</v>
      </c>
      <c r="AM30" s="106"/>
      <c r="AN30" s="104">
        <v>1</v>
      </c>
      <c r="AO30" s="104">
        <v>1</v>
      </c>
      <c r="AP30" s="104">
        <v>1</v>
      </c>
      <c r="AQ30" s="104">
        <v>1</v>
      </c>
      <c r="AR30" s="104">
        <v>1</v>
      </c>
      <c r="AS30" s="106"/>
      <c r="AT30" s="104">
        <v>1</v>
      </c>
      <c r="AU30" s="106"/>
      <c r="AV30" s="106"/>
      <c r="AX30" s="99" t="s">
        <v>8491</v>
      </c>
      <c r="AZ30" s="94" t="s">
        <v>8492</v>
      </c>
    </row>
    <row r="31" spans="1:52">
      <c r="A31" s="25" t="s">
        <v>8493</v>
      </c>
      <c r="B31" s="25" t="s">
        <v>4398</v>
      </c>
      <c r="C31" s="25" t="s">
        <v>68</v>
      </c>
      <c r="D31" s="25" t="s">
        <v>8494</v>
      </c>
      <c r="E31" s="258" t="s">
        <v>8495</v>
      </c>
      <c r="F31" s="25" t="s">
        <v>8496</v>
      </c>
      <c r="G31" s="25" t="s">
        <v>7497</v>
      </c>
      <c r="H31" s="25" t="s">
        <v>8487</v>
      </c>
      <c r="I31" s="26" t="s">
        <v>7499</v>
      </c>
      <c r="J31" s="26">
        <v>202606.5</v>
      </c>
      <c r="K31" s="62" t="s">
        <v>8226</v>
      </c>
      <c r="L31" s="25" t="s">
        <v>73</v>
      </c>
      <c r="M31" s="25" t="s">
        <v>8497</v>
      </c>
      <c r="N31" s="25" t="s">
        <v>8498</v>
      </c>
      <c r="O31" s="30" t="s">
        <v>8499</v>
      </c>
      <c r="P31" s="26"/>
      <c r="Q31" s="104">
        <v>4</v>
      </c>
      <c r="R31" s="104" t="s">
        <v>4409</v>
      </c>
      <c r="S31" s="104" t="s">
        <v>4613</v>
      </c>
      <c r="T31" s="26" t="s">
        <v>77</v>
      </c>
      <c r="U31" s="30" t="s">
        <v>78</v>
      </c>
      <c r="V31" s="26" t="s">
        <v>79</v>
      </c>
      <c r="W31" s="38" t="s">
        <v>4477</v>
      </c>
      <c r="X31" s="26" t="s">
        <v>7505</v>
      </c>
      <c r="Y31" s="26" t="s">
        <v>81</v>
      </c>
      <c r="Z31" s="26" t="s">
        <v>81</v>
      </c>
      <c r="AA31" s="105" t="s">
        <v>172</v>
      </c>
      <c r="AB31" s="93" t="s">
        <v>15</v>
      </c>
      <c r="AC31" s="106" t="s">
        <v>172</v>
      </c>
      <c r="AD31" s="107" t="s">
        <v>173</v>
      </c>
      <c r="AE31" s="107" t="s">
        <v>174</v>
      </c>
      <c r="AF31" s="105" t="s">
        <v>175</v>
      </c>
      <c r="AG31" s="104">
        <f t="shared" si="0"/>
        <v>1</v>
      </c>
      <c r="AH31" s="104">
        <v>1</v>
      </c>
      <c r="AI31" s="104">
        <v>1</v>
      </c>
      <c r="AJ31" s="104">
        <v>1</v>
      </c>
      <c r="AK31" s="106">
        <v>1</v>
      </c>
      <c r="AL31" s="104">
        <f t="shared" si="1"/>
        <v>1</v>
      </c>
      <c r="AM31" s="106"/>
      <c r="AN31" s="104">
        <v>1</v>
      </c>
      <c r="AO31" s="104">
        <v>1</v>
      </c>
      <c r="AP31" s="104">
        <v>1</v>
      </c>
      <c r="AQ31" s="104">
        <v>1</v>
      </c>
      <c r="AR31" s="104">
        <v>1</v>
      </c>
      <c r="AS31" s="106"/>
      <c r="AT31" s="104">
        <v>1</v>
      </c>
      <c r="AU31" s="106"/>
      <c r="AV31" s="106"/>
      <c r="AX31" s="99" t="s">
        <v>8500</v>
      </c>
      <c r="AZ31" s="94" t="s">
        <v>8501</v>
      </c>
    </row>
    <row r="32" spans="1:52">
      <c r="A32" s="25" t="s">
        <v>8502</v>
      </c>
      <c r="B32" s="25" t="s">
        <v>4398</v>
      </c>
      <c r="C32" s="25" t="s">
        <v>68</v>
      </c>
      <c r="D32" s="25" t="s">
        <v>8503</v>
      </c>
      <c r="E32" s="258" t="s">
        <v>8504</v>
      </c>
      <c r="F32" s="25" t="s">
        <v>8505</v>
      </c>
      <c r="G32" s="25" t="s">
        <v>7497</v>
      </c>
      <c r="H32" s="25" t="s">
        <v>8487</v>
      </c>
      <c r="I32" s="26" t="s">
        <v>7499</v>
      </c>
      <c r="J32" s="26">
        <v>202606.5</v>
      </c>
      <c r="K32" s="62" t="s">
        <v>8226</v>
      </c>
      <c r="L32" s="25" t="s">
        <v>73</v>
      </c>
      <c r="M32" s="25" t="s">
        <v>8506</v>
      </c>
      <c r="N32" s="25" t="s">
        <v>8507</v>
      </c>
      <c r="O32" s="30" t="s">
        <v>8508</v>
      </c>
      <c r="P32" s="26"/>
      <c r="Q32" s="104">
        <v>4</v>
      </c>
      <c r="R32" s="104" t="s">
        <v>4409</v>
      </c>
      <c r="S32" s="104" t="s">
        <v>4466</v>
      </c>
      <c r="T32" s="26" t="s">
        <v>77</v>
      </c>
      <c r="U32" s="30" t="s">
        <v>78</v>
      </c>
      <c r="V32" s="26" t="s">
        <v>79</v>
      </c>
      <c r="W32" s="38" t="s">
        <v>4477</v>
      </c>
      <c r="X32" s="26" t="s">
        <v>7505</v>
      </c>
      <c r="Y32" s="26" t="s">
        <v>81</v>
      </c>
      <c r="Z32" s="26" t="s">
        <v>81</v>
      </c>
      <c r="AA32" s="105" t="s">
        <v>172</v>
      </c>
      <c r="AB32" s="93" t="s">
        <v>15</v>
      </c>
      <c r="AC32" s="106" t="s">
        <v>172</v>
      </c>
      <c r="AD32" s="107" t="s">
        <v>173</v>
      </c>
      <c r="AE32" s="107" t="s">
        <v>174</v>
      </c>
      <c r="AF32" s="105" t="s">
        <v>175</v>
      </c>
      <c r="AG32" s="104">
        <f t="shared" si="0"/>
        <v>1</v>
      </c>
      <c r="AH32" s="104">
        <v>1</v>
      </c>
      <c r="AI32" s="104">
        <v>1</v>
      </c>
      <c r="AJ32" s="104">
        <v>1</v>
      </c>
      <c r="AK32" s="106">
        <v>1</v>
      </c>
      <c r="AL32" s="104">
        <f t="shared" si="1"/>
        <v>1</v>
      </c>
      <c r="AM32" s="106"/>
      <c r="AN32" s="104">
        <v>1</v>
      </c>
      <c r="AO32" s="104">
        <v>1</v>
      </c>
      <c r="AP32" s="104">
        <v>1</v>
      </c>
      <c r="AQ32" s="104">
        <v>1</v>
      </c>
      <c r="AR32" s="104">
        <v>1</v>
      </c>
      <c r="AS32" s="106"/>
      <c r="AT32" s="104">
        <v>1</v>
      </c>
      <c r="AU32" s="106"/>
      <c r="AV32" s="106"/>
      <c r="AX32" s="99" t="s">
        <v>8509</v>
      </c>
      <c r="AZ32" s="94" t="s">
        <v>8510</v>
      </c>
    </row>
    <row r="33" spans="1:52">
      <c r="A33" s="25" t="s">
        <v>8511</v>
      </c>
      <c r="B33" s="25" t="s">
        <v>4398</v>
      </c>
      <c r="C33" s="25" t="s">
        <v>73</v>
      </c>
      <c r="D33" s="25" t="s">
        <v>8512</v>
      </c>
      <c r="E33" s="258" t="s">
        <v>8513</v>
      </c>
      <c r="F33" s="25" t="s">
        <v>8514</v>
      </c>
      <c r="G33" s="25" t="s">
        <v>7497</v>
      </c>
      <c r="H33" s="25" t="s">
        <v>8487</v>
      </c>
      <c r="I33" s="26" t="s">
        <v>7499</v>
      </c>
      <c r="J33" s="26">
        <v>202606.5</v>
      </c>
      <c r="K33" s="62" t="s">
        <v>8226</v>
      </c>
      <c r="L33" s="25" t="s">
        <v>73</v>
      </c>
      <c r="M33" s="25" t="s">
        <v>8515</v>
      </c>
      <c r="N33" s="25" t="s">
        <v>8516</v>
      </c>
      <c r="O33" s="30" t="s">
        <v>8517</v>
      </c>
      <c r="P33" s="26"/>
      <c r="Q33" s="109">
        <v>4</v>
      </c>
      <c r="R33" s="109" t="s">
        <v>4409</v>
      </c>
      <c r="S33" s="109" t="s">
        <v>8518</v>
      </c>
      <c r="T33" s="26" t="s">
        <v>77</v>
      </c>
      <c r="U33" s="30" t="s">
        <v>78</v>
      </c>
      <c r="V33" s="26" t="s">
        <v>79</v>
      </c>
      <c r="W33" s="38" t="s">
        <v>4477</v>
      </c>
      <c r="X33" s="26" t="s">
        <v>7505</v>
      </c>
      <c r="Y33" s="26" t="s">
        <v>81</v>
      </c>
      <c r="Z33" s="26" t="s">
        <v>81</v>
      </c>
      <c r="AA33" s="105" t="s">
        <v>172</v>
      </c>
      <c r="AB33" s="93" t="s">
        <v>15</v>
      </c>
      <c r="AC33" s="106" t="s">
        <v>172</v>
      </c>
      <c r="AD33" s="107" t="s">
        <v>173</v>
      </c>
      <c r="AE33" s="107" t="s">
        <v>174</v>
      </c>
      <c r="AF33" s="105" t="s">
        <v>175</v>
      </c>
      <c r="AG33" s="104">
        <f t="shared" si="0"/>
        <v>1</v>
      </c>
      <c r="AH33" s="104">
        <v>1</v>
      </c>
      <c r="AI33" s="104">
        <v>1</v>
      </c>
      <c r="AJ33" s="104">
        <v>1</v>
      </c>
      <c r="AK33" s="106">
        <v>1</v>
      </c>
      <c r="AL33" s="104">
        <f t="shared" si="1"/>
        <v>1</v>
      </c>
      <c r="AM33" s="106"/>
      <c r="AN33" s="104">
        <v>1</v>
      </c>
      <c r="AO33" s="104">
        <v>1</v>
      </c>
      <c r="AP33" s="104">
        <v>1</v>
      </c>
      <c r="AQ33" s="104">
        <v>1</v>
      </c>
      <c r="AR33" s="104">
        <v>1</v>
      </c>
      <c r="AS33" s="106"/>
      <c r="AT33" s="104">
        <v>1</v>
      </c>
      <c r="AU33" s="106"/>
      <c r="AV33" s="106"/>
      <c r="AX33" s="99" t="s">
        <v>8519</v>
      </c>
      <c r="AZ33" s="94" t="s">
        <v>8520</v>
      </c>
    </row>
    <row r="34" spans="1:52">
      <c r="A34" s="25" t="s">
        <v>8521</v>
      </c>
      <c r="B34" s="25" t="s">
        <v>4398</v>
      </c>
      <c r="C34" s="25" t="s">
        <v>68</v>
      </c>
      <c r="D34" s="25" t="s">
        <v>8522</v>
      </c>
      <c r="E34" s="258" t="s">
        <v>8523</v>
      </c>
      <c r="F34" s="25" t="s">
        <v>8524</v>
      </c>
      <c r="G34" s="25" t="s">
        <v>7497</v>
      </c>
      <c r="H34" s="25" t="s">
        <v>8525</v>
      </c>
      <c r="I34" s="26" t="s">
        <v>7499</v>
      </c>
      <c r="J34" s="26">
        <v>202606.5</v>
      </c>
      <c r="K34" s="62" t="s">
        <v>8226</v>
      </c>
      <c r="L34" s="25" t="s">
        <v>73</v>
      </c>
      <c r="M34" s="25" t="s">
        <v>8526</v>
      </c>
      <c r="N34" s="25" t="s">
        <v>8527</v>
      </c>
      <c r="O34" s="30" t="s">
        <v>8528</v>
      </c>
      <c r="P34" s="26"/>
      <c r="Q34" s="104">
        <v>4</v>
      </c>
      <c r="R34" s="104" t="s">
        <v>4409</v>
      </c>
      <c r="S34" s="104" t="s">
        <v>8529</v>
      </c>
      <c r="T34" s="26" t="s">
        <v>77</v>
      </c>
      <c r="U34" s="30" t="s">
        <v>78</v>
      </c>
      <c r="V34" s="26" t="s">
        <v>79</v>
      </c>
      <c r="W34" s="38" t="s">
        <v>4477</v>
      </c>
      <c r="X34" s="26" t="s">
        <v>7505</v>
      </c>
      <c r="Y34" s="26" t="s">
        <v>81</v>
      </c>
      <c r="Z34" s="26" t="s">
        <v>81</v>
      </c>
      <c r="AA34" s="105" t="s">
        <v>172</v>
      </c>
      <c r="AB34" s="93" t="s">
        <v>15</v>
      </c>
      <c r="AC34" s="106" t="s">
        <v>172</v>
      </c>
      <c r="AD34" s="107" t="s">
        <v>173</v>
      </c>
      <c r="AE34" s="107" t="s">
        <v>174</v>
      </c>
      <c r="AF34" s="105" t="s">
        <v>175</v>
      </c>
      <c r="AG34" s="104">
        <f t="shared" si="0"/>
        <v>1</v>
      </c>
      <c r="AH34" s="104">
        <v>1</v>
      </c>
      <c r="AI34" s="104">
        <v>1</v>
      </c>
      <c r="AJ34" s="104">
        <v>1</v>
      </c>
      <c r="AK34" s="106">
        <v>1</v>
      </c>
      <c r="AL34" s="104">
        <f t="shared" si="1"/>
        <v>1</v>
      </c>
      <c r="AM34" s="106"/>
      <c r="AN34" s="104">
        <v>1</v>
      </c>
      <c r="AO34" s="104">
        <v>1</v>
      </c>
      <c r="AP34" s="104">
        <v>1</v>
      </c>
      <c r="AQ34" s="104">
        <v>1</v>
      </c>
      <c r="AR34" s="104">
        <v>1</v>
      </c>
      <c r="AS34" s="106"/>
      <c r="AT34" s="104">
        <v>1</v>
      </c>
      <c r="AU34" s="106"/>
      <c r="AV34" s="106"/>
      <c r="AX34" s="99" t="s">
        <v>8530</v>
      </c>
      <c r="AZ34" s="94" t="s">
        <v>8531</v>
      </c>
    </row>
    <row r="35" spans="1:52">
      <c r="A35" s="25" t="s">
        <v>8532</v>
      </c>
      <c r="B35" s="25" t="s">
        <v>4398</v>
      </c>
      <c r="C35" s="25" t="s">
        <v>68</v>
      </c>
      <c r="D35" s="25" t="s">
        <v>8533</v>
      </c>
      <c r="E35" s="258" t="s">
        <v>8534</v>
      </c>
      <c r="F35" s="25" t="s">
        <v>8535</v>
      </c>
      <c r="G35" s="25" t="s">
        <v>7497</v>
      </c>
      <c r="H35" s="25" t="s">
        <v>8525</v>
      </c>
      <c r="I35" s="26" t="s">
        <v>7499</v>
      </c>
      <c r="J35" s="26">
        <v>202606.5</v>
      </c>
      <c r="K35" s="62" t="s">
        <v>8226</v>
      </c>
      <c r="L35" s="25" t="s">
        <v>73</v>
      </c>
      <c r="M35" s="25" t="s">
        <v>8536</v>
      </c>
      <c r="N35" s="25" t="s">
        <v>8537</v>
      </c>
      <c r="O35" s="30" t="s">
        <v>8538</v>
      </c>
      <c r="P35" s="26"/>
      <c r="Q35" s="104">
        <v>4</v>
      </c>
      <c r="R35" s="104" t="s">
        <v>4409</v>
      </c>
      <c r="S35" s="104" t="s">
        <v>5074</v>
      </c>
      <c r="T35" s="26" t="s">
        <v>77</v>
      </c>
      <c r="U35" s="30" t="s">
        <v>78</v>
      </c>
      <c r="V35" s="26" t="s">
        <v>79</v>
      </c>
      <c r="W35" s="38" t="s">
        <v>4477</v>
      </c>
      <c r="X35" s="26" t="s">
        <v>7505</v>
      </c>
      <c r="Y35" s="26" t="s">
        <v>81</v>
      </c>
      <c r="Z35" s="26" t="s">
        <v>81</v>
      </c>
      <c r="AA35" s="105" t="s">
        <v>172</v>
      </c>
      <c r="AB35" s="93" t="s">
        <v>15</v>
      </c>
      <c r="AC35" s="106" t="s">
        <v>172</v>
      </c>
      <c r="AD35" s="107" t="s">
        <v>173</v>
      </c>
      <c r="AE35" s="107" t="s">
        <v>174</v>
      </c>
      <c r="AF35" s="105" t="s">
        <v>175</v>
      </c>
      <c r="AG35" s="104">
        <f t="shared" ref="AG35:AG66" si="2">IF(COUNTIF(AZ:AZ,D35)&gt;0,1,0)</f>
        <v>1</v>
      </c>
      <c r="AH35" s="104">
        <v>1</v>
      </c>
      <c r="AI35" s="104">
        <v>1</v>
      </c>
      <c r="AJ35" s="104">
        <v>1</v>
      </c>
      <c r="AK35" s="106">
        <v>1</v>
      </c>
      <c r="AL35" s="104">
        <f t="shared" ref="AL35:AL73" si="3">IF(COUNTIF(AX:AX,"*"&amp;M35&amp;"*")&gt;0,1,0)</f>
        <v>1</v>
      </c>
      <c r="AM35" s="106"/>
      <c r="AN35" s="104">
        <v>1</v>
      </c>
      <c r="AO35" s="104">
        <v>1</v>
      </c>
      <c r="AP35" s="104">
        <v>1</v>
      </c>
      <c r="AQ35" s="104">
        <v>1</v>
      </c>
      <c r="AR35" s="104">
        <v>1</v>
      </c>
      <c r="AS35" s="106"/>
      <c r="AT35" s="104">
        <v>1</v>
      </c>
      <c r="AU35" s="106"/>
      <c r="AV35" s="106"/>
      <c r="AX35" s="99" t="s">
        <v>8539</v>
      </c>
      <c r="AZ35" s="94" t="s">
        <v>8540</v>
      </c>
    </row>
    <row r="36" spans="1:52">
      <c r="A36" s="25" t="s">
        <v>8541</v>
      </c>
      <c r="B36" s="25" t="s">
        <v>4398</v>
      </c>
      <c r="C36" s="25" t="s">
        <v>68</v>
      </c>
      <c r="D36" s="25" t="s">
        <v>8542</v>
      </c>
      <c r="E36" s="258" t="s">
        <v>8543</v>
      </c>
      <c r="F36" s="25" t="s">
        <v>8544</v>
      </c>
      <c r="G36" s="25" t="s">
        <v>7497</v>
      </c>
      <c r="H36" s="25" t="s">
        <v>8525</v>
      </c>
      <c r="I36" s="26" t="s">
        <v>7499</v>
      </c>
      <c r="J36" s="26">
        <v>202606.5</v>
      </c>
      <c r="K36" s="62" t="s">
        <v>8226</v>
      </c>
      <c r="L36" s="25" t="s">
        <v>73</v>
      </c>
      <c r="M36" s="25" t="s">
        <v>8545</v>
      </c>
      <c r="N36" s="25" t="s">
        <v>8546</v>
      </c>
      <c r="O36" s="30" t="s">
        <v>8547</v>
      </c>
      <c r="P36" s="26"/>
      <c r="Q36" s="104">
        <v>4</v>
      </c>
      <c r="R36" s="104" t="s">
        <v>4409</v>
      </c>
      <c r="S36" s="104" t="s">
        <v>5206</v>
      </c>
      <c r="T36" s="26" t="s">
        <v>77</v>
      </c>
      <c r="U36" s="30" t="s">
        <v>78</v>
      </c>
      <c r="V36" s="26" t="s">
        <v>79</v>
      </c>
      <c r="W36" s="38" t="s">
        <v>4477</v>
      </c>
      <c r="X36" s="26" t="s">
        <v>7505</v>
      </c>
      <c r="Y36" s="26" t="s">
        <v>81</v>
      </c>
      <c r="Z36" s="26" t="s">
        <v>81</v>
      </c>
      <c r="AA36" s="105" t="s">
        <v>172</v>
      </c>
      <c r="AB36" s="93" t="s">
        <v>15</v>
      </c>
      <c r="AC36" s="106" t="s">
        <v>172</v>
      </c>
      <c r="AD36" s="107" t="s">
        <v>173</v>
      </c>
      <c r="AE36" s="107" t="s">
        <v>174</v>
      </c>
      <c r="AF36" s="105" t="s">
        <v>175</v>
      </c>
      <c r="AG36" s="104">
        <f t="shared" si="2"/>
        <v>1</v>
      </c>
      <c r="AH36" s="104">
        <v>1</v>
      </c>
      <c r="AI36" s="104">
        <v>1</v>
      </c>
      <c r="AJ36" s="104">
        <v>1</v>
      </c>
      <c r="AK36" s="106">
        <v>1</v>
      </c>
      <c r="AL36" s="104">
        <f t="shared" si="3"/>
        <v>1</v>
      </c>
      <c r="AM36" s="106"/>
      <c r="AN36" s="104">
        <v>1</v>
      </c>
      <c r="AO36" s="104">
        <v>1</v>
      </c>
      <c r="AP36" s="104">
        <v>1</v>
      </c>
      <c r="AQ36" s="104">
        <v>1</v>
      </c>
      <c r="AR36" s="104">
        <v>1</v>
      </c>
      <c r="AS36" s="106"/>
      <c r="AT36" s="104">
        <v>1</v>
      </c>
      <c r="AU36" s="106"/>
      <c r="AV36" s="106"/>
      <c r="AX36" s="99" t="s">
        <v>8548</v>
      </c>
      <c r="AZ36" s="94" t="s">
        <v>8549</v>
      </c>
    </row>
    <row r="37" spans="1:52">
      <c r="A37" s="25" t="s">
        <v>8550</v>
      </c>
      <c r="B37" s="25" t="s">
        <v>4398</v>
      </c>
      <c r="C37" s="25" t="s">
        <v>68</v>
      </c>
      <c r="D37" s="25" t="s">
        <v>8551</v>
      </c>
      <c r="E37" s="258" t="s">
        <v>8552</v>
      </c>
      <c r="F37" s="25" t="s">
        <v>8553</v>
      </c>
      <c r="G37" s="25" t="s">
        <v>7497</v>
      </c>
      <c r="H37" s="25" t="s">
        <v>8525</v>
      </c>
      <c r="I37" s="26" t="s">
        <v>7499</v>
      </c>
      <c r="J37" s="26">
        <v>202606.5</v>
      </c>
      <c r="K37" s="62" t="s">
        <v>8226</v>
      </c>
      <c r="L37" s="25" t="s">
        <v>73</v>
      </c>
      <c r="M37" s="25" t="s">
        <v>8554</v>
      </c>
      <c r="N37" s="25" t="s">
        <v>8555</v>
      </c>
      <c r="O37" s="30" t="s">
        <v>8556</v>
      </c>
      <c r="P37" s="26"/>
      <c r="Q37" s="104">
        <v>4</v>
      </c>
      <c r="R37" s="104" t="s">
        <v>4409</v>
      </c>
      <c r="S37" s="104" t="s">
        <v>8557</v>
      </c>
      <c r="T37" s="26" t="s">
        <v>77</v>
      </c>
      <c r="U37" s="30" t="s">
        <v>78</v>
      </c>
      <c r="V37" s="26" t="s">
        <v>79</v>
      </c>
      <c r="W37" s="38" t="s">
        <v>4477</v>
      </c>
      <c r="X37" s="26" t="s">
        <v>7505</v>
      </c>
      <c r="Y37" s="26" t="s">
        <v>81</v>
      </c>
      <c r="Z37" s="26" t="s">
        <v>81</v>
      </c>
      <c r="AA37" s="105" t="s">
        <v>172</v>
      </c>
      <c r="AB37" s="93" t="s">
        <v>15</v>
      </c>
      <c r="AC37" s="106" t="s">
        <v>172</v>
      </c>
      <c r="AD37" s="107" t="s">
        <v>173</v>
      </c>
      <c r="AE37" s="107" t="s">
        <v>174</v>
      </c>
      <c r="AF37" s="105" t="s">
        <v>175</v>
      </c>
      <c r="AG37" s="104">
        <f t="shared" si="2"/>
        <v>1</v>
      </c>
      <c r="AH37" s="104">
        <v>1</v>
      </c>
      <c r="AI37" s="104">
        <v>1</v>
      </c>
      <c r="AJ37" s="104">
        <v>1</v>
      </c>
      <c r="AK37" s="106">
        <v>1</v>
      </c>
      <c r="AL37" s="104">
        <f t="shared" si="3"/>
        <v>1</v>
      </c>
      <c r="AM37" s="106"/>
      <c r="AN37" s="104">
        <v>1</v>
      </c>
      <c r="AO37" s="104">
        <v>1</v>
      </c>
      <c r="AP37" s="104">
        <v>1</v>
      </c>
      <c r="AQ37" s="104">
        <v>1</v>
      </c>
      <c r="AR37" s="104">
        <v>1</v>
      </c>
      <c r="AS37" s="106"/>
      <c r="AT37" s="104">
        <v>1</v>
      </c>
      <c r="AU37" s="106"/>
      <c r="AV37" s="106"/>
      <c r="AX37" s="99" t="s">
        <v>8558</v>
      </c>
      <c r="AZ37" s="75" t="s">
        <v>8267</v>
      </c>
    </row>
    <row r="38" spans="1:52">
      <c r="A38" s="25" t="s">
        <v>8559</v>
      </c>
      <c r="B38" s="25" t="s">
        <v>4398</v>
      </c>
      <c r="C38" s="25" t="s">
        <v>68</v>
      </c>
      <c r="D38" s="25" t="s">
        <v>8560</v>
      </c>
      <c r="E38" s="258" t="s">
        <v>8561</v>
      </c>
      <c r="F38" s="25" t="s">
        <v>8562</v>
      </c>
      <c r="G38" s="25" t="s">
        <v>7497</v>
      </c>
      <c r="H38" s="25" t="s">
        <v>8525</v>
      </c>
      <c r="I38" s="26" t="s">
        <v>7499</v>
      </c>
      <c r="J38" s="26">
        <v>202606.5</v>
      </c>
      <c r="K38" s="62" t="s">
        <v>8226</v>
      </c>
      <c r="L38" s="25" t="s">
        <v>73</v>
      </c>
      <c r="M38" s="25" t="s">
        <v>8563</v>
      </c>
      <c r="N38" s="25" t="s">
        <v>8564</v>
      </c>
      <c r="O38" s="30" t="s">
        <v>8565</v>
      </c>
      <c r="P38" s="26"/>
      <c r="Q38" s="104">
        <v>4</v>
      </c>
      <c r="R38" s="104" t="s">
        <v>4409</v>
      </c>
      <c r="S38" s="104" t="s">
        <v>7907</v>
      </c>
      <c r="T38" s="26" t="s">
        <v>77</v>
      </c>
      <c r="U38" s="30" t="s">
        <v>78</v>
      </c>
      <c r="V38" s="26" t="s">
        <v>79</v>
      </c>
      <c r="W38" s="38" t="s">
        <v>4477</v>
      </c>
      <c r="X38" s="26" t="s">
        <v>7505</v>
      </c>
      <c r="Y38" s="26" t="s">
        <v>81</v>
      </c>
      <c r="Z38" s="26" t="s">
        <v>81</v>
      </c>
      <c r="AA38" s="105" t="s">
        <v>172</v>
      </c>
      <c r="AB38" s="93" t="s">
        <v>15</v>
      </c>
      <c r="AC38" s="106" t="s">
        <v>172</v>
      </c>
      <c r="AD38" s="107" t="s">
        <v>173</v>
      </c>
      <c r="AE38" s="107" t="s">
        <v>174</v>
      </c>
      <c r="AF38" s="105" t="s">
        <v>175</v>
      </c>
      <c r="AG38" s="104">
        <f t="shared" si="2"/>
        <v>1</v>
      </c>
      <c r="AH38" s="104">
        <v>1</v>
      </c>
      <c r="AI38" s="104">
        <v>1</v>
      </c>
      <c r="AJ38" s="104">
        <v>1</v>
      </c>
      <c r="AK38" s="106">
        <v>1</v>
      </c>
      <c r="AL38" s="104">
        <f t="shared" si="3"/>
        <v>1</v>
      </c>
      <c r="AM38" s="106"/>
      <c r="AN38" s="104">
        <v>1</v>
      </c>
      <c r="AO38" s="104">
        <v>1</v>
      </c>
      <c r="AP38" s="104">
        <v>1</v>
      </c>
      <c r="AQ38" s="104">
        <v>1</v>
      </c>
      <c r="AR38" s="104">
        <v>1</v>
      </c>
      <c r="AS38" s="106"/>
      <c r="AT38" s="104">
        <v>1</v>
      </c>
      <c r="AU38" s="106"/>
      <c r="AV38" s="106"/>
      <c r="AX38" s="99" t="s">
        <v>8566</v>
      </c>
      <c r="AZ38" s="94" t="s">
        <v>8276</v>
      </c>
    </row>
    <row r="39" spans="1:52">
      <c r="A39" s="25" t="s">
        <v>8567</v>
      </c>
      <c r="B39" s="25" t="s">
        <v>4398</v>
      </c>
      <c r="C39" s="25" t="s">
        <v>68</v>
      </c>
      <c r="D39" s="25" t="s">
        <v>8568</v>
      </c>
      <c r="E39" s="258" t="s">
        <v>8569</v>
      </c>
      <c r="F39" s="25" t="s">
        <v>8570</v>
      </c>
      <c r="G39" s="25" t="s">
        <v>7497</v>
      </c>
      <c r="H39" s="25" t="s">
        <v>8525</v>
      </c>
      <c r="I39" s="26" t="s">
        <v>7499</v>
      </c>
      <c r="J39" s="26">
        <v>202606.5</v>
      </c>
      <c r="K39" s="62" t="s">
        <v>8226</v>
      </c>
      <c r="L39" s="25" t="s">
        <v>73</v>
      </c>
      <c r="M39" s="25" t="s">
        <v>8571</v>
      </c>
      <c r="N39" s="25" t="s">
        <v>8572</v>
      </c>
      <c r="O39" s="30" t="s">
        <v>8573</v>
      </c>
      <c r="P39" s="26"/>
      <c r="Q39" s="104">
        <v>4</v>
      </c>
      <c r="R39" s="104" t="s">
        <v>4409</v>
      </c>
      <c r="S39" s="104" t="s">
        <v>4551</v>
      </c>
      <c r="T39" s="26" t="s">
        <v>77</v>
      </c>
      <c r="U39" s="30" t="s">
        <v>78</v>
      </c>
      <c r="V39" s="26" t="s">
        <v>79</v>
      </c>
      <c r="W39" s="38" t="s">
        <v>4477</v>
      </c>
      <c r="X39" s="26" t="s">
        <v>7505</v>
      </c>
      <c r="Y39" s="26" t="s">
        <v>81</v>
      </c>
      <c r="Z39" s="26" t="s">
        <v>81</v>
      </c>
      <c r="AA39" s="105" t="s">
        <v>172</v>
      </c>
      <c r="AB39" s="93" t="s">
        <v>15</v>
      </c>
      <c r="AC39" s="106" t="s">
        <v>172</v>
      </c>
      <c r="AD39" s="107" t="s">
        <v>173</v>
      </c>
      <c r="AE39" s="107" t="s">
        <v>174</v>
      </c>
      <c r="AF39" s="105" t="s">
        <v>175</v>
      </c>
      <c r="AG39" s="104">
        <f t="shared" si="2"/>
        <v>1</v>
      </c>
      <c r="AH39" s="104">
        <v>1</v>
      </c>
      <c r="AI39" s="104">
        <v>1</v>
      </c>
      <c r="AJ39" s="104">
        <v>1</v>
      </c>
      <c r="AK39" s="106">
        <v>1</v>
      </c>
      <c r="AL39" s="104">
        <f t="shared" si="3"/>
        <v>1</v>
      </c>
      <c r="AM39" s="106"/>
      <c r="AN39" s="104">
        <v>1</v>
      </c>
      <c r="AO39" s="104">
        <v>1</v>
      </c>
      <c r="AP39" s="104">
        <v>1</v>
      </c>
      <c r="AQ39" s="104">
        <v>1</v>
      </c>
      <c r="AR39" s="104">
        <v>1</v>
      </c>
      <c r="AS39" s="106"/>
      <c r="AT39" s="104">
        <v>1</v>
      </c>
      <c r="AU39" s="106"/>
      <c r="AV39" s="106"/>
      <c r="AX39" s="99" t="s">
        <v>8574</v>
      </c>
      <c r="AZ39" s="94" t="s">
        <v>8285</v>
      </c>
    </row>
    <row r="40" spans="1:52">
      <c r="A40" s="25" t="s">
        <v>8575</v>
      </c>
      <c r="B40" s="25" t="s">
        <v>4398</v>
      </c>
      <c r="C40" s="25" t="s">
        <v>68</v>
      </c>
      <c r="D40" s="25" t="s">
        <v>8576</v>
      </c>
      <c r="E40" s="258" t="s">
        <v>8577</v>
      </c>
      <c r="F40" s="25" t="s">
        <v>1871</v>
      </c>
      <c r="G40" s="25" t="s">
        <v>7497</v>
      </c>
      <c r="H40" s="25" t="s">
        <v>8525</v>
      </c>
      <c r="I40" s="26" t="s">
        <v>7499</v>
      </c>
      <c r="J40" s="26">
        <v>202606.5</v>
      </c>
      <c r="K40" s="62" t="s">
        <v>8226</v>
      </c>
      <c r="L40" s="25" t="s">
        <v>73</v>
      </c>
      <c r="M40" s="25" t="s">
        <v>8530</v>
      </c>
      <c r="N40" s="25" t="s">
        <v>8578</v>
      </c>
      <c r="O40" s="30" t="s">
        <v>8579</v>
      </c>
      <c r="P40" s="26"/>
      <c r="Q40" s="104">
        <v>4</v>
      </c>
      <c r="R40" s="104" t="s">
        <v>4409</v>
      </c>
      <c r="S40" s="104" t="s">
        <v>8580</v>
      </c>
      <c r="T40" s="26" t="s">
        <v>77</v>
      </c>
      <c r="U40" s="30" t="s">
        <v>78</v>
      </c>
      <c r="V40" s="26" t="s">
        <v>79</v>
      </c>
      <c r="W40" s="38" t="s">
        <v>4639</v>
      </c>
      <c r="X40" s="26" t="s">
        <v>7505</v>
      </c>
      <c r="Y40" s="26" t="s">
        <v>81</v>
      </c>
      <c r="Z40" s="26" t="s">
        <v>81</v>
      </c>
      <c r="AA40" s="105" t="s">
        <v>172</v>
      </c>
      <c r="AB40" s="93" t="s">
        <v>13</v>
      </c>
      <c r="AC40" s="106" t="s">
        <v>172</v>
      </c>
      <c r="AD40" s="107" t="s">
        <v>173</v>
      </c>
      <c r="AE40" s="107" t="s">
        <v>174</v>
      </c>
      <c r="AF40" s="105" t="s">
        <v>175</v>
      </c>
      <c r="AG40" s="104">
        <f t="shared" si="2"/>
        <v>1</v>
      </c>
      <c r="AH40" s="104">
        <v>1</v>
      </c>
      <c r="AI40" s="104">
        <v>1</v>
      </c>
      <c r="AJ40" s="104">
        <v>1</v>
      </c>
      <c r="AK40" s="106"/>
      <c r="AL40" s="104">
        <f t="shared" si="3"/>
        <v>1</v>
      </c>
      <c r="AM40" s="106"/>
      <c r="AN40" s="104">
        <v>1</v>
      </c>
      <c r="AO40" s="104"/>
      <c r="AP40" s="104">
        <v>1</v>
      </c>
      <c r="AQ40" s="104">
        <v>1</v>
      </c>
      <c r="AR40" s="104">
        <v>1</v>
      </c>
      <c r="AS40" s="106"/>
      <c r="AT40" s="104">
        <v>1</v>
      </c>
      <c r="AU40" s="106"/>
      <c r="AV40" s="106"/>
      <c r="AX40" s="99" t="s">
        <v>8581</v>
      </c>
      <c r="AZ40" s="94" t="s">
        <v>8293</v>
      </c>
    </row>
    <row r="41" spans="1:52">
      <c r="A41" s="25" t="s">
        <v>8582</v>
      </c>
      <c r="B41" s="25" t="s">
        <v>4398</v>
      </c>
      <c r="C41" s="25" t="s">
        <v>68</v>
      </c>
      <c r="D41" s="25" t="s">
        <v>8583</v>
      </c>
      <c r="E41" s="258" t="s">
        <v>8584</v>
      </c>
      <c r="F41" s="25" t="s">
        <v>8585</v>
      </c>
      <c r="G41" s="25" t="s">
        <v>7497</v>
      </c>
      <c r="H41" s="25" t="s">
        <v>8525</v>
      </c>
      <c r="I41" s="26" t="s">
        <v>7499</v>
      </c>
      <c r="J41" s="26">
        <v>202606.5</v>
      </c>
      <c r="K41" s="62" t="s">
        <v>8226</v>
      </c>
      <c r="L41" s="25" t="s">
        <v>73</v>
      </c>
      <c r="M41" s="25" t="s">
        <v>8539</v>
      </c>
      <c r="N41" s="25" t="s">
        <v>8586</v>
      </c>
      <c r="O41" s="30" t="s">
        <v>8587</v>
      </c>
      <c r="P41" s="26"/>
      <c r="Q41" s="104">
        <v>4</v>
      </c>
      <c r="R41" s="104" t="s">
        <v>4409</v>
      </c>
      <c r="S41" s="104" t="s">
        <v>8588</v>
      </c>
      <c r="T41" s="26" t="s">
        <v>77</v>
      </c>
      <c r="U41" s="30" t="s">
        <v>78</v>
      </c>
      <c r="V41" s="26" t="s">
        <v>79</v>
      </c>
      <c r="W41" s="38" t="s">
        <v>4639</v>
      </c>
      <c r="X41" s="26" t="s">
        <v>7505</v>
      </c>
      <c r="Y41" s="26" t="s">
        <v>81</v>
      </c>
      <c r="Z41" s="26" t="s">
        <v>81</v>
      </c>
      <c r="AA41" s="105" t="s">
        <v>172</v>
      </c>
      <c r="AB41" s="93" t="s">
        <v>13</v>
      </c>
      <c r="AC41" s="106" t="s">
        <v>172</v>
      </c>
      <c r="AD41" s="107" t="s">
        <v>173</v>
      </c>
      <c r="AE41" s="107" t="s">
        <v>174</v>
      </c>
      <c r="AF41" s="105" t="s">
        <v>175</v>
      </c>
      <c r="AG41" s="104">
        <f t="shared" si="2"/>
        <v>1</v>
      </c>
      <c r="AH41" s="104">
        <v>1</v>
      </c>
      <c r="AI41" s="104">
        <v>1</v>
      </c>
      <c r="AJ41" s="104">
        <v>1</v>
      </c>
      <c r="AK41" s="106"/>
      <c r="AL41" s="104">
        <f t="shared" si="3"/>
        <v>1</v>
      </c>
      <c r="AM41" s="106"/>
      <c r="AN41" s="104">
        <v>1</v>
      </c>
      <c r="AO41" s="104"/>
      <c r="AP41" s="104">
        <v>1</v>
      </c>
      <c r="AQ41" s="104">
        <v>1</v>
      </c>
      <c r="AR41" s="104">
        <v>1</v>
      </c>
      <c r="AS41" s="106"/>
      <c r="AT41" s="104">
        <v>1</v>
      </c>
      <c r="AU41" s="106"/>
      <c r="AV41" s="106"/>
      <c r="AX41" s="99" t="s">
        <v>8589</v>
      </c>
      <c r="AZ41" s="94" t="s">
        <v>8301</v>
      </c>
    </row>
    <row r="42" spans="1:52">
      <c r="A42" s="25" t="s">
        <v>8590</v>
      </c>
      <c r="B42" s="25" t="s">
        <v>4398</v>
      </c>
      <c r="C42" s="25" t="s">
        <v>68</v>
      </c>
      <c r="D42" s="25" t="s">
        <v>8591</v>
      </c>
      <c r="E42" s="258" t="s">
        <v>8592</v>
      </c>
      <c r="F42" s="25" t="s">
        <v>8593</v>
      </c>
      <c r="G42" s="25" t="s">
        <v>7497</v>
      </c>
      <c r="H42" s="25" t="s">
        <v>8525</v>
      </c>
      <c r="I42" s="26" t="s">
        <v>7499</v>
      </c>
      <c r="J42" s="26">
        <v>202606.5</v>
      </c>
      <c r="K42" s="62" t="s">
        <v>8226</v>
      </c>
      <c r="L42" s="25" t="s">
        <v>73</v>
      </c>
      <c r="M42" s="25" t="s">
        <v>8548</v>
      </c>
      <c r="N42" s="25" t="s">
        <v>8594</v>
      </c>
      <c r="O42" s="30" t="s">
        <v>8595</v>
      </c>
      <c r="P42" s="26"/>
      <c r="Q42" s="104">
        <v>4</v>
      </c>
      <c r="R42" s="104" t="s">
        <v>4409</v>
      </c>
      <c r="S42" s="104" t="s">
        <v>4825</v>
      </c>
      <c r="T42" s="26" t="s">
        <v>77</v>
      </c>
      <c r="U42" s="30" t="s">
        <v>78</v>
      </c>
      <c r="V42" s="26" t="s">
        <v>79</v>
      </c>
      <c r="W42" s="38" t="s">
        <v>4639</v>
      </c>
      <c r="X42" s="26" t="s">
        <v>7505</v>
      </c>
      <c r="Y42" s="26" t="s">
        <v>81</v>
      </c>
      <c r="Z42" s="26" t="s">
        <v>81</v>
      </c>
      <c r="AA42" s="105" t="s">
        <v>172</v>
      </c>
      <c r="AB42" s="93" t="s">
        <v>13</v>
      </c>
      <c r="AC42" s="106" t="s">
        <v>172</v>
      </c>
      <c r="AD42" s="107" t="s">
        <v>173</v>
      </c>
      <c r="AE42" s="107" t="s">
        <v>174</v>
      </c>
      <c r="AF42" s="105" t="s">
        <v>175</v>
      </c>
      <c r="AG42" s="104">
        <f t="shared" si="2"/>
        <v>1</v>
      </c>
      <c r="AH42" s="104">
        <v>1</v>
      </c>
      <c r="AI42" s="104">
        <v>1</v>
      </c>
      <c r="AJ42" s="104">
        <v>1</v>
      </c>
      <c r="AK42" s="106"/>
      <c r="AL42" s="104">
        <f t="shared" si="3"/>
        <v>1</v>
      </c>
      <c r="AM42" s="106"/>
      <c r="AN42" s="104">
        <v>1</v>
      </c>
      <c r="AO42" s="104"/>
      <c r="AP42" s="104">
        <v>1</v>
      </c>
      <c r="AQ42" s="104">
        <v>1</v>
      </c>
      <c r="AR42" s="104">
        <v>1</v>
      </c>
      <c r="AS42" s="106"/>
      <c r="AT42" s="104">
        <v>1</v>
      </c>
      <c r="AU42" s="106"/>
      <c r="AV42" s="106"/>
      <c r="AX42" s="99" t="s">
        <v>8596</v>
      </c>
      <c r="AZ42" s="94" t="s">
        <v>8310</v>
      </c>
    </row>
    <row r="43" spans="1:52">
      <c r="A43" s="25" t="s">
        <v>8597</v>
      </c>
      <c r="B43" s="25" t="s">
        <v>4398</v>
      </c>
      <c r="C43" s="25" t="s">
        <v>68</v>
      </c>
      <c r="D43" s="25" t="s">
        <v>8598</v>
      </c>
      <c r="E43" s="258" t="s">
        <v>8599</v>
      </c>
      <c r="F43" s="25" t="s">
        <v>8600</v>
      </c>
      <c r="G43" s="25" t="s">
        <v>7497</v>
      </c>
      <c r="H43" s="25" t="s">
        <v>8601</v>
      </c>
      <c r="I43" s="26" t="s">
        <v>7499</v>
      </c>
      <c r="J43" s="26">
        <v>202606.5</v>
      </c>
      <c r="K43" s="62" t="s">
        <v>8226</v>
      </c>
      <c r="L43" s="25" t="s">
        <v>73</v>
      </c>
      <c r="M43" s="25" t="s">
        <v>8432</v>
      </c>
      <c r="N43" s="25" t="s">
        <v>8602</v>
      </c>
      <c r="O43" s="30" t="s">
        <v>8603</v>
      </c>
      <c r="P43" s="26"/>
      <c r="Q43" s="104">
        <v>4</v>
      </c>
      <c r="R43" s="104" t="s">
        <v>4409</v>
      </c>
      <c r="S43" s="104" t="s">
        <v>8604</v>
      </c>
      <c r="T43" s="26" t="s">
        <v>77</v>
      </c>
      <c r="U43" s="30" t="s">
        <v>78</v>
      </c>
      <c r="V43" s="26" t="s">
        <v>79</v>
      </c>
      <c r="W43" s="38" t="s">
        <v>4639</v>
      </c>
      <c r="X43" s="26" t="s">
        <v>7505</v>
      </c>
      <c r="Y43" s="26" t="s">
        <v>81</v>
      </c>
      <c r="Z43" s="26" t="s">
        <v>81</v>
      </c>
      <c r="AA43" s="105" t="s">
        <v>172</v>
      </c>
      <c r="AB43" s="93" t="s">
        <v>13</v>
      </c>
      <c r="AC43" s="106" t="s">
        <v>172</v>
      </c>
      <c r="AD43" s="107" t="s">
        <v>173</v>
      </c>
      <c r="AE43" s="107" t="s">
        <v>174</v>
      </c>
      <c r="AF43" s="105" t="s">
        <v>175</v>
      </c>
      <c r="AG43" s="104">
        <f t="shared" si="2"/>
        <v>1</v>
      </c>
      <c r="AH43" s="104">
        <v>1</v>
      </c>
      <c r="AI43" s="104">
        <v>1</v>
      </c>
      <c r="AJ43" s="104">
        <v>1</v>
      </c>
      <c r="AK43" s="106"/>
      <c r="AL43" s="104">
        <f t="shared" si="3"/>
        <v>1</v>
      </c>
      <c r="AM43" s="106"/>
      <c r="AN43" s="104">
        <v>1</v>
      </c>
      <c r="AO43" s="104"/>
      <c r="AP43" s="104">
        <v>1</v>
      </c>
      <c r="AQ43" s="104">
        <v>1</v>
      </c>
      <c r="AR43" s="104">
        <v>1</v>
      </c>
      <c r="AS43" s="106"/>
      <c r="AT43" s="104">
        <v>1</v>
      </c>
      <c r="AU43" s="106"/>
      <c r="AV43" s="106"/>
      <c r="AX43" s="99" t="s">
        <v>8605</v>
      </c>
      <c r="AZ43" s="94" t="s">
        <v>7551</v>
      </c>
    </row>
    <row r="44" spans="1:52">
      <c r="A44" s="25" t="s">
        <v>8606</v>
      </c>
      <c r="B44" s="25" t="s">
        <v>4398</v>
      </c>
      <c r="C44" s="25" t="s">
        <v>68</v>
      </c>
      <c r="D44" s="25" t="s">
        <v>8607</v>
      </c>
      <c r="E44" s="258" t="s">
        <v>8608</v>
      </c>
      <c r="F44" s="25" t="s">
        <v>8609</v>
      </c>
      <c r="G44" s="25" t="s">
        <v>7497</v>
      </c>
      <c r="H44" s="25" t="s">
        <v>8601</v>
      </c>
      <c r="I44" s="26" t="s">
        <v>7499</v>
      </c>
      <c r="J44" s="26">
        <v>202606.5</v>
      </c>
      <c r="K44" s="62" t="s">
        <v>8226</v>
      </c>
      <c r="L44" s="25" t="s">
        <v>73</v>
      </c>
      <c r="M44" s="25" t="s">
        <v>8461</v>
      </c>
      <c r="N44" s="25" t="s">
        <v>8610</v>
      </c>
      <c r="O44" s="30" t="s">
        <v>8611</v>
      </c>
      <c r="P44" s="26"/>
      <c r="Q44" s="104">
        <v>4</v>
      </c>
      <c r="R44" s="104" t="s">
        <v>4409</v>
      </c>
      <c r="S44" s="104" t="s">
        <v>4613</v>
      </c>
      <c r="T44" s="26" t="s">
        <v>77</v>
      </c>
      <c r="U44" s="30" t="s">
        <v>78</v>
      </c>
      <c r="V44" s="26" t="s">
        <v>79</v>
      </c>
      <c r="W44" s="38" t="s">
        <v>4639</v>
      </c>
      <c r="X44" s="26" t="s">
        <v>7505</v>
      </c>
      <c r="Y44" s="26" t="s">
        <v>81</v>
      </c>
      <c r="Z44" s="26" t="s">
        <v>81</v>
      </c>
      <c r="AA44" s="105" t="s">
        <v>172</v>
      </c>
      <c r="AB44" s="93" t="s">
        <v>13</v>
      </c>
      <c r="AC44" s="106" t="s">
        <v>172</v>
      </c>
      <c r="AD44" s="107" t="s">
        <v>173</v>
      </c>
      <c r="AE44" s="107" t="s">
        <v>174</v>
      </c>
      <c r="AF44" s="105" t="s">
        <v>175</v>
      </c>
      <c r="AG44" s="104">
        <f t="shared" si="2"/>
        <v>1</v>
      </c>
      <c r="AH44" s="104">
        <v>1</v>
      </c>
      <c r="AI44" s="104">
        <v>1</v>
      </c>
      <c r="AJ44" s="104">
        <v>1</v>
      </c>
      <c r="AK44" s="106"/>
      <c r="AL44" s="104">
        <f t="shared" si="3"/>
        <v>1</v>
      </c>
      <c r="AM44" s="106"/>
      <c r="AN44" s="104">
        <v>1</v>
      </c>
      <c r="AO44" s="104"/>
      <c r="AP44" s="104">
        <v>1</v>
      </c>
      <c r="AQ44" s="104">
        <v>1</v>
      </c>
      <c r="AR44" s="104">
        <v>1</v>
      </c>
      <c r="AS44" s="106"/>
      <c r="AT44" s="104">
        <v>1</v>
      </c>
      <c r="AU44" s="106"/>
      <c r="AV44" s="106"/>
      <c r="AX44" s="99" t="s">
        <v>8612</v>
      </c>
      <c r="AZ44" s="94" t="s">
        <v>8319</v>
      </c>
    </row>
    <row r="45" spans="1:52">
      <c r="A45" s="25" t="s">
        <v>8613</v>
      </c>
      <c r="B45" s="25" t="s">
        <v>4398</v>
      </c>
      <c r="C45" s="25" t="s">
        <v>68</v>
      </c>
      <c r="D45" s="25" t="s">
        <v>8614</v>
      </c>
      <c r="E45" s="258" t="s">
        <v>8615</v>
      </c>
      <c r="F45" s="25" t="s">
        <v>8616</v>
      </c>
      <c r="G45" s="25" t="s">
        <v>7497</v>
      </c>
      <c r="H45" s="25" t="s">
        <v>8601</v>
      </c>
      <c r="I45" s="26" t="s">
        <v>7499</v>
      </c>
      <c r="J45" s="26">
        <v>202606.5</v>
      </c>
      <c r="K45" s="62" t="s">
        <v>8226</v>
      </c>
      <c r="L45" s="25" t="s">
        <v>73</v>
      </c>
      <c r="M45" s="25" t="s">
        <v>8471</v>
      </c>
      <c r="N45" s="25" t="s">
        <v>8617</v>
      </c>
      <c r="O45" s="30" t="s">
        <v>8618</v>
      </c>
      <c r="P45" s="26"/>
      <c r="Q45" s="104">
        <v>4</v>
      </c>
      <c r="R45" s="104" t="s">
        <v>4409</v>
      </c>
      <c r="S45" s="104" t="s">
        <v>8619</v>
      </c>
      <c r="T45" s="26" t="s">
        <v>77</v>
      </c>
      <c r="U45" s="30" t="s">
        <v>78</v>
      </c>
      <c r="V45" s="26" t="s">
        <v>79</v>
      </c>
      <c r="W45" s="38" t="s">
        <v>4639</v>
      </c>
      <c r="X45" s="26" t="s">
        <v>7505</v>
      </c>
      <c r="Y45" s="26" t="s">
        <v>81</v>
      </c>
      <c r="Z45" s="26" t="s">
        <v>81</v>
      </c>
      <c r="AA45" s="105" t="s">
        <v>172</v>
      </c>
      <c r="AB45" s="93" t="s">
        <v>13</v>
      </c>
      <c r="AC45" s="106" t="s">
        <v>172</v>
      </c>
      <c r="AD45" s="107" t="s">
        <v>173</v>
      </c>
      <c r="AE45" s="107" t="s">
        <v>174</v>
      </c>
      <c r="AF45" s="105" t="s">
        <v>175</v>
      </c>
      <c r="AG45" s="104">
        <f t="shared" si="2"/>
        <v>1</v>
      </c>
      <c r="AH45" s="104">
        <v>1</v>
      </c>
      <c r="AI45" s="104">
        <v>1</v>
      </c>
      <c r="AJ45" s="104">
        <v>1</v>
      </c>
      <c r="AK45" s="106"/>
      <c r="AL45" s="104">
        <f t="shared" si="3"/>
        <v>1</v>
      </c>
      <c r="AM45" s="106"/>
      <c r="AN45" s="104">
        <v>1</v>
      </c>
      <c r="AO45" s="104"/>
      <c r="AP45" s="104">
        <v>1</v>
      </c>
      <c r="AQ45" s="104">
        <v>1</v>
      </c>
      <c r="AR45" s="104">
        <v>1</v>
      </c>
      <c r="AS45" s="106"/>
      <c r="AT45" s="104">
        <v>1</v>
      </c>
      <c r="AU45" s="106"/>
      <c r="AV45" s="106"/>
      <c r="AX45" s="99" t="s">
        <v>8620</v>
      </c>
      <c r="AZ45" s="94" t="s">
        <v>8328</v>
      </c>
    </row>
    <row r="46" spans="1:52">
      <c r="A46" s="25" t="s">
        <v>8621</v>
      </c>
      <c r="B46" s="25" t="s">
        <v>4398</v>
      </c>
      <c r="C46" s="25" t="s">
        <v>68</v>
      </c>
      <c r="D46" s="25" t="s">
        <v>8622</v>
      </c>
      <c r="E46" s="258" t="s">
        <v>8623</v>
      </c>
      <c r="F46" s="25" t="s">
        <v>8624</v>
      </c>
      <c r="G46" s="25" t="s">
        <v>7497</v>
      </c>
      <c r="H46" s="25" t="s">
        <v>8601</v>
      </c>
      <c r="I46" s="26" t="s">
        <v>7499</v>
      </c>
      <c r="J46" s="26">
        <v>202606.5</v>
      </c>
      <c r="K46" s="62" t="s">
        <v>8226</v>
      </c>
      <c r="L46" s="25" t="s">
        <v>73</v>
      </c>
      <c r="M46" s="25" t="s">
        <v>8481</v>
      </c>
      <c r="N46" s="25" t="s">
        <v>8625</v>
      </c>
      <c r="O46" s="30" t="s">
        <v>8626</v>
      </c>
      <c r="P46" s="26"/>
      <c r="Q46" s="104">
        <v>4</v>
      </c>
      <c r="R46" s="104" t="s">
        <v>4409</v>
      </c>
      <c r="S46" s="104" t="s">
        <v>8627</v>
      </c>
      <c r="T46" s="26" t="s">
        <v>77</v>
      </c>
      <c r="U46" s="30" t="s">
        <v>78</v>
      </c>
      <c r="V46" s="26" t="s">
        <v>79</v>
      </c>
      <c r="W46" s="38" t="s">
        <v>4639</v>
      </c>
      <c r="X46" s="26" t="s">
        <v>7505</v>
      </c>
      <c r="Y46" s="26" t="s">
        <v>81</v>
      </c>
      <c r="Z46" s="26" t="s">
        <v>81</v>
      </c>
      <c r="AA46" s="105" t="s">
        <v>172</v>
      </c>
      <c r="AB46" s="93" t="s">
        <v>13</v>
      </c>
      <c r="AC46" s="106" t="s">
        <v>172</v>
      </c>
      <c r="AD46" s="107" t="s">
        <v>173</v>
      </c>
      <c r="AE46" s="107" t="s">
        <v>174</v>
      </c>
      <c r="AF46" s="105" t="s">
        <v>175</v>
      </c>
      <c r="AG46" s="104">
        <f t="shared" si="2"/>
        <v>1</v>
      </c>
      <c r="AH46" s="104">
        <v>1</v>
      </c>
      <c r="AI46" s="104">
        <v>1</v>
      </c>
      <c r="AJ46" s="104">
        <v>1</v>
      </c>
      <c r="AK46" s="106"/>
      <c r="AL46" s="104">
        <f t="shared" si="3"/>
        <v>1</v>
      </c>
      <c r="AM46" s="106"/>
      <c r="AN46" s="104">
        <v>1</v>
      </c>
      <c r="AO46" s="104"/>
      <c r="AP46" s="104">
        <v>1</v>
      </c>
      <c r="AQ46" s="104">
        <v>1</v>
      </c>
      <c r="AR46" s="104">
        <v>1</v>
      </c>
      <c r="AS46" s="106"/>
      <c r="AT46" s="104">
        <v>1</v>
      </c>
      <c r="AU46" s="106"/>
      <c r="AV46" s="106"/>
      <c r="AX46" s="99" t="s">
        <v>8628</v>
      </c>
      <c r="AZ46" s="94" t="s">
        <v>8337</v>
      </c>
    </row>
    <row r="47" spans="1:52">
      <c r="A47" s="25" t="s">
        <v>8629</v>
      </c>
      <c r="B47" s="25" t="s">
        <v>4398</v>
      </c>
      <c r="C47" s="25" t="s">
        <v>68</v>
      </c>
      <c r="D47" s="25" t="s">
        <v>8630</v>
      </c>
      <c r="E47" s="258" t="s">
        <v>8631</v>
      </c>
      <c r="F47" s="25" t="s">
        <v>8632</v>
      </c>
      <c r="G47" s="25" t="s">
        <v>7497</v>
      </c>
      <c r="H47" s="25" t="s">
        <v>8601</v>
      </c>
      <c r="I47" s="26" t="s">
        <v>7499</v>
      </c>
      <c r="J47" s="26">
        <v>202606.5</v>
      </c>
      <c r="K47" s="62" t="s">
        <v>8226</v>
      </c>
      <c r="L47" s="25" t="s">
        <v>73</v>
      </c>
      <c r="M47" s="25" t="s">
        <v>8491</v>
      </c>
      <c r="N47" s="25" t="s">
        <v>8633</v>
      </c>
      <c r="O47" s="30" t="s">
        <v>8634</v>
      </c>
      <c r="P47" s="26"/>
      <c r="Q47" s="104">
        <v>4</v>
      </c>
      <c r="R47" s="104" t="s">
        <v>4409</v>
      </c>
      <c r="S47" s="104" t="s">
        <v>7673</v>
      </c>
      <c r="T47" s="26" t="s">
        <v>77</v>
      </c>
      <c r="U47" s="30" t="s">
        <v>78</v>
      </c>
      <c r="V47" s="26" t="s">
        <v>79</v>
      </c>
      <c r="W47" s="38" t="s">
        <v>4639</v>
      </c>
      <c r="X47" s="26" t="s">
        <v>7505</v>
      </c>
      <c r="Y47" s="26" t="s">
        <v>81</v>
      </c>
      <c r="Z47" s="26" t="s">
        <v>81</v>
      </c>
      <c r="AA47" s="105" t="s">
        <v>172</v>
      </c>
      <c r="AB47" s="93" t="s">
        <v>13</v>
      </c>
      <c r="AC47" s="106" t="s">
        <v>172</v>
      </c>
      <c r="AD47" s="107" t="s">
        <v>173</v>
      </c>
      <c r="AE47" s="107" t="s">
        <v>174</v>
      </c>
      <c r="AF47" s="105" t="s">
        <v>175</v>
      </c>
      <c r="AG47" s="104">
        <f t="shared" si="2"/>
        <v>1</v>
      </c>
      <c r="AH47" s="104">
        <v>1</v>
      </c>
      <c r="AI47" s="104">
        <v>1</v>
      </c>
      <c r="AJ47" s="104">
        <v>1</v>
      </c>
      <c r="AK47" s="106"/>
      <c r="AL47" s="104">
        <f t="shared" si="3"/>
        <v>1</v>
      </c>
      <c r="AM47" s="106"/>
      <c r="AN47" s="104">
        <v>1</v>
      </c>
      <c r="AO47" s="104"/>
      <c r="AP47" s="104">
        <v>1</v>
      </c>
      <c r="AQ47" s="104">
        <v>1</v>
      </c>
      <c r="AR47" s="104">
        <v>1</v>
      </c>
      <c r="AS47" s="106"/>
      <c r="AT47" s="104">
        <v>1</v>
      </c>
      <c r="AU47" s="106"/>
      <c r="AV47" s="106"/>
      <c r="AX47" s="99" t="s">
        <v>8488</v>
      </c>
      <c r="AZ47" s="94" t="s">
        <v>8222</v>
      </c>
    </row>
    <row r="48" spans="1:52">
      <c r="A48" s="25" t="s">
        <v>8635</v>
      </c>
      <c r="B48" s="25" t="s">
        <v>4398</v>
      </c>
      <c r="C48" s="25" t="s">
        <v>68</v>
      </c>
      <c r="D48" s="25" t="s">
        <v>8636</v>
      </c>
      <c r="E48" s="258" t="s">
        <v>8637</v>
      </c>
      <c r="F48" s="25" t="s">
        <v>8638</v>
      </c>
      <c r="G48" s="25" t="s">
        <v>7497</v>
      </c>
      <c r="H48" s="25" t="s">
        <v>8601</v>
      </c>
      <c r="I48" s="26" t="s">
        <v>7499</v>
      </c>
      <c r="J48" s="26">
        <v>202606.5</v>
      </c>
      <c r="K48" s="62" t="s">
        <v>8226</v>
      </c>
      <c r="L48" s="25" t="s">
        <v>73</v>
      </c>
      <c r="M48" s="25" t="s">
        <v>8500</v>
      </c>
      <c r="N48" s="25" t="s">
        <v>8639</v>
      </c>
      <c r="O48" s="30" t="s">
        <v>8640</v>
      </c>
      <c r="P48" s="26"/>
      <c r="Q48" s="104">
        <v>4</v>
      </c>
      <c r="R48" s="104" t="s">
        <v>4409</v>
      </c>
      <c r="S48" s="104" t="s">
        <v>8641</v>
      </c>
      <c r="T48" s="26" t="s">
        <v>77</v>
      </c>
      <c r="U48" s="30" t="s">
        <v>78</v>
      </c>
      <c r="V48" s="26" t="s">
        <v>79</v>
      </c>
      <c r="W48" s="38" t="s">
        <v>4639</v>
      </c>
      <c r="X48" s="26" t="s">
        <v>7505</v>
      </c>
      <c r="Y48" s="26" t="s">
        <v>81</v>
      </c>
      <c r="Z48" s="26" t="s">
        <v>81</v>
      </c>
      <c r="AA48" s="105" t="s">
        <v>172</v>
      </c>
      <c r="AB48" s="93" t="s">
        <v>13</v>
      </c>
      <c r="AC48" s="106" t="s">
        <v>172</v>
      </c>
      <c r="AD48" s="107" t="s">
        <v>173</v>
      </c>
      <c r="AE48" s="107" t="s">
        <v>174</v>
      </c>
      <c r="AF48" s="105" t="s">
        <v>175</v>
      </c>
      <c r="AG48" s="104">
        <f t="shared" si="2"/>
        <v>1</v>
      </c>
      <c r="AH48" s="104">
        <v>1</v>
      </c>
      <c r="AI48" s="104">
        <v>1</v>
      </c>
      <c r="AJ48" s="104">
        <v>1</v>
      </c>
      <c r="AK48" s="106"/>
      <c r="AL48" s="104">
        <f t="shared" si="3"/>
        <v>1</v>
      </c>
      <c r="AM48" s="106"/>
      <c r="AN48" s="104">
        <v>1</v>
      </c>
      <c r="AO48" s="104"/>
      <c r="AP48" s="104">
        <v>1</v>
      </c>
      <c r="AQ48" s="104">
        <v>1</v>
      </c>
      <c r="AR48" s="104">
        <v>1</v>
      </c>
      <c r="AS48" s="106"/>
      <c r="AT48" s="104">
        <v>1</v>
      </c>
      <c r="AU48" s="106"/>
      <c r="AV48" s="106"/>
      <c r="AX48" s="99" t="s">
        <v>8536</v>
      </c>
      <c r="AZ48" s="94" t="s">
        <v>8234</v>
      </c>
    </row>
    <row r="49" spans="1:52">
      <c r="A49" s="25" t="s">
        <v>8642</v>
      </c>
      <c r="B49" s="25" t="s">
        <v>4398</v>
      </c>
      <c r="C49" s="25" t="s">
        <v>68</v>
      </c>
      <c r="D49" s="25" t="s">
        <v>8643</v>
      </c>
      <c r="E49" s="258" t="s">
        <v>8644</v>
      </c>
      <c r="F49" s="25" t="s">
        <v>8645</v>
      </c>
      <c r="G49" s="25" t="s">
        <v>7497</v>
      </c>
      <c r="H49" s="25" t="s">
        <v>8601</v>
      </c>
      <c r="I49" s="26" t="s">
        <v>7499</v>
      </c>
      <c r="J49" s="26">
        <v>202606.5</v>
      </c>
      <c r="K49" s="62" t="s">
        <v>8226</v>
      </c>
      <c r="L49" s="25" t="s">
        <v>73</v>
      </c>
      <c r="M49" s="25" t="s">
        <v>8509</v>
      </c>
      <c r="N49" s="25" t="s">
        <v>8646</v>
      </c>
      <c r="O49" s="30" t="s">
        <v>8647</v>
      </c>
      <c r="P49" s="26"/>
      <c r="Q49" s="104">
        <v>4</v>
      </c>
      <c r="R49" s="104" t="s">
        <v>4409</v>
      </c>
      <c r="S49" s="104" t="s">
        <v>8648</v>
      </c>
      <c r="T49" s="26" t="s">
        <v>77</v>
      </c>
      <c r="U49" s="30" t="s">
        <v>78</v>
      </c>
      <c r="V49" s="26" t="s">
        <v>79</v>
      </c>
      <c r="W49" s="38" t="s">
        <v>4639</v>
      </c>
      <c r="X49" s="26" t="s">
        <v>7505</v>
      </c>
      <c r="Y49" s="26" t="s">
        <v>81</v>
      </c>
      <c r="Z49" s="26" t="s">
        <v>81</v>
      </c>
      <c r="AA49" s="105" t="s">
        <v>172</v>
      </c>
      <c r="AB49" s="93" t="s">
        <v>13</v>
      </c>
      <c r="AC49" s="106" t="s">
        <v>172</v>
      </c>
      <c r="AD49" s="107" t="s">
        <v>173</v>
      </c>
      <c r="AE49" s="107" t="s">
        <v>174</v>
      </c>
      <c r="AF49" s="105" t="s">
        <v>175</v>
      </c>
      <c r="AG49" s="104">
        <f t="shared" si="2"/>
        <v>1</v>
      </c>
      <c r="AH49" s="104">
        <v>1</v>
      </c>
      <c r="AI49" s="104">
        <v>1</v>
      </c>
      <c r="AJ49" s="104">
        <v>1</v>
      </c>
      <c r="AK49" s="106"/>
      <c r="AL49" s="104">
        <f t="shared" si="3"/>
        <v>1</v>
      </c>
      <c r="AM49" s="106"/>
      <c r="AN49" s="104">
        <v>1</v>
      </c>
      <c r="AO49" s="104"/>
      <c r="AP49" s="104">
        <v>1</v>
      </c>
      <c r="AQ49" s="104">
        <v>1</v>
      </c>
      <c r="AR49" s="104">
        <v>1</v>
      </c>
      <c r="AS49" s="106"/>
      <c r="AT49" s="104">
        <v>1</v>
      </c>
      <c r="AU49" s="106"/>
      <c r="AV49" s="106"/>
      <c r="AX49" s="99" t="s">
        <v>8545</v>
      </c>
      <c r="AZ49" s="94" t="s">
        <v>8244</v>
      </c>
    </row>
    <row r="50" spans="1:52">
      <c r="A50" s="25" t="s">
        <v>8649</v>
      </c>
      <c r="B50" s="25" t="s">
        <v>4398</v>
      </c>
      <c r="C50" s="25" t="s">
        <v>68</v>
      </c>
      <c r="D50" s="25" t="s">
        <v>8650</v>
      </c>
      <c r="E50" s="258" t="s">
        <v>8651</v>
      </c>
      <c r="F50" s="25" t="s">
        <v>8652</v>
      </c>
      <c r="G50" s="25" t="s">
        <v>7497</v>
      </c>
      <c r="H50" s="25" t="s">
        <v>8601</v>
      </c>
      <c r="I50" s="26" t="s">
        <v>7499</v>
      </c>
      <c r="J50" s="26">
        <v>202606.5</v>
      </c>
      <c r="K50" s="62" t="s">
        <v>8226</v>
      </c>
      <c r="L50" s="25" t="s">
        <v>73</v>
      </c>
      <c r="M50" s="25" t="s">
        <v>8519</v>
      </c>
      <c r="N50" s="25" t="s">
        <v>8653</v>
      </c>
      <c r="O50" s="30" t="s">
        <v>8654</v>
      </c>
      <c r="P50" s="26"/>
      <c r="Q50" s="104">
        <v>4</v>
      </c>
      <c r="R50" s="104" t="s">
        <v>4409</v>
      </c>
      <c r="S50" s="104" t="s">
        <v>8588</v>
      </c>
      <c r="T50" s="26" t="s">
        <v>77</v>
      </c>
      <c r="U50" s="30" t="s">
        <v>78</v>
      </c>
      <c r="V50" s="26" t="s">
        <v>79</v>
      </c>
      <c r="W50" s="38" t="s">
        <v>4639</v>
      </c>
      <c r="X50" s="26" t="s">
        <v>7505</v>
      </c>
      <c r="Y50" s="26" t="s">
        <v>81</v>
      </c>
      <c r="Z50" s="26" t="s">
        <v>81</v>
      </c>
      <c r="AA50" s="105" t="s">
        <v>172</v>
      </c>
      <c r="AB50" s="93" t="s">
        <v>13</v>
      </c>
      <c r="AC50" s="106" t="s">
        <v>172</v>
      </c>
      <c r="AD50" s="107" t="s">
        <v>173</v>
      </c>
      <c r="AE50" s="107" t="s">
        <v>174</v>
      </c>
      <c r="AF50" s="105" t="s">
        <v>175</v>
      </c>
      <c r="AG50" s="104">
        <f t="shared" si="2"/>
        <v>1</v>
      </c>
      <c r="AH50" s="104">
        <v>1</v>
      </c>
      <c r="AI50" s="104">
        <v>1</v>
      </c>
      <c r="AJ50" s="104">
        <v>1</v>
      </c>
      <c r="AK50" s="106"/>
      <c r="AL50" s="104">
        <f t="shared" si="3"/>
        <v>1</v>
      </c>
      <c r="AM50" s="106"/>
      <c r="AN50" s="104">
        <v>1</v>
      </c>
      <c r="AO50" s="104"/>
      <c r="AP50" s="104">
        <v>1</v>
      </c>
      <c r="AQ50" s="104">
        <v>1</v>
      </c>
      <c r="AR50" s="104">
        <v>1</v>
      </c>
      <c r="AS50" s="106"/>
      <c r="AT50" s="104">
        <v>1</v>
      </c>
      <c r="AU50" s="106"/>
      <c r="AV50" s="106"/>
      <c r="AX50" s="99" t="s">
        <v>8554</v>
      </c>
      <c r="AZ50" s="94" t="s">
        <v>8254</v>
      </c>
    </row>
    <row r="51" spans="1:52">
      <c r="A51" s="25" t="s">
        <v>8655</v>
      </c>
      <c r="B51" s="25" t="s">
        <v>4398</v>
      </c>
      <c r="C51" s="25" t="s">
        <v>68</v>
      </c>
      <c r="D51" s="25" t="s">
        <v>8656</v>
      </c>
      <c r="E51" s="258" t="s">
        <v>8657</v>
      </c>
      <c r="F51" s="48" t="s">
        <v>8658</v>
      </c>
      <c r="G51" s="25" t="s">
        <v>7497</v>
      </c>
      <c r="H51" s="25" t="s">
        <v>8601</v>
      </c>
      <c r="I51" s="26" t="s">
        <v>7499</v>
      </c>
      <c r="J51" s="26">
        <v>202606.5</v>
      </c>
      <c r="K51" s="62" t="s">
        <v>8226</v>
      </c>
      <c r="L51" s="25" t="s">
        <v>73</v>
      </c>
      <c r="M51" s="25" t="s">
        <v>8251</v>
      </c>
      <c r="N51" s="25" t="s">
        <v>8659</v>
      </c>
      <c r="O51" s="30" t="s">
        <v>8660</v>
      </c>
      <c r="P51" s="26"/>
      <c r="Q51" s="104">
        <v>4</v>
      </c>
      <c r="R51" s="104" t="s">
        <v>4409</v>
      </c>
      <c r="S51" s="104" t="s">
        <v>7643</v>
      </c>
      <c r="T51" s="26" t="s">
        <v>77</v>
      </c>
      <c r="U51" s="30" t="s">
        <v>78</v>
      </c>
      <c r="V51" s="26" t="s">
        <v>79</v>
      </c>
      <c r="W51" s="38" t="s">
        <v>4639</v>
      </c>
      <c r="X51" s="26" t="s">
        <v>7505</v>
      </c>
      <c r="Y51" s="26" t="s">
        <v>81</v>
      </c>
      <c r="Z51" s="26" t="s">
        <v>81</v>
      </c>
      <c r="AA51" s="105" t="s">
        <v>172</v>
      </c>
      <c r="AB51" s="93" t="s">
        <v>13</v>
      </c>
      <c r="AC51" s="106" t="s">
        <v>172</v>
      </c>
      <c r="AD51" s="107" t="s">
        <v>173</v>
      </c>
      <c r="AE51" s="107" t="s">
        <v>174</v>
      </c>
      <c r="AF51" s="105" t="s">
        <v>175</v>
      </c>
      <c r="AG51" s="104">
        <f t="shared" si="2"/>
        <v>1</v>
      </c>
      <c r="AH51" s="104">
        <v>1</v>
      </c>
      <c r="AI51" s="104">
        <v>1</v>
      </c>
      <c r="AJ51" s="104">
        <v>1</v>
      </c>
      <c r="AK51" s="106"/>
      <c r="AL51" s="104">
        <f t="shared" si="3"/>
        <v>1</v>
      </c>
      <c r="AM51" s="106"/>
      <c r="AN51" s="104">
        <v>1</v>
      </c>
      <c r="AO51" s="104">
        <v>1</v>
      </c>
      <c r="AP51" s="104">
        <v>1</v>
      </c>
      <c r="AQ51" s="104">
        <v>1</v>
      </c>
      <c r="AR51" s="104">
        <v>1</v>
      </c>
      <c r="AS51" s="106"/>
      <c r="AT51" s="104">
        <v>1</v>
      </c>
      <c r="AU51" s="105" t="s">
        <v>8661</v>
      </c>
      <c r="AV51" s="106"/>
      <c r="AX51" s="99" t="s">
        <v>8348</v>
      </c>
      <c r="AZ51" s="75" t="s">
        <v>8662</v>
      </c>
    </row>
    <row r="52" spans="1:52">
      <c r="A52" s="25" t="s">
        <v>8663</v>
      </c>
      <c r="B52" s="25" t="s">
        <v>4398</v>
      </c>
      <c r="C52" s="25" t="s">
        <v>68</v>
      </c>
      <c r="D52" s="25" t="s">
        <v>8664</v>
      </c>
      <c r="E52" s="258" t="s">
        <v>8665</v>
      </c>
      <c r="F52" s="25" t="s">
        <v>8666</v>
      </c>
      <c r="G52" s="25" t="s">
        <v>7497</v>
      </c>
      <c r="H52" s="25" t="s">
        <v>8601</v>
      </c>
      <c r="I52" s="26" t="s">
        <v>7499</v>
      </c>
      <c r="J52" s="26">
        <v>202606.5</v>
      </c>
      <c r="K52" s="62" t="s">
        <v>8226</v>
      </c>
      <c r="L52" s="25" t="s">
        <v>73</v>
      </c>
      <c r="M52" s="25" t="s">
        <v>8589</v>
      </c>
      <c r="N52" s="25" t="s">
        <v>8667</v>
      </c>
      <c r="O52" s="30" t="s">
        <v>8668</v>
      </c>
      <c r="P52" s="26"/>
      <c r="Q52" s="104">
        <v>4</v>
      </c>
      <c r="R52" s="104" t="s">
        <v>4409</v>
      </c>
      <c r="S52" s="104" t="s">
        <v>4551</v>
      </c>
      <c r="T52" s="26" t="s">
        <v>77</v>
      </c>
      <c r="U52" s="30" t="s">
        <v>78</v>
      </c>
      <c r="V52" s="26" t="s">
        <v>79</v>
      </c>
      <c r="W52" s="38" t="s">
        <v>4639</v>
      </c>
      <c r="X52" s="26" t="s">
        <v>7505</v>
      </c>
      <c r="Y52" s="26" t="s">
        <v>81</v>
      </c>
      <c r="Z52" s="26" t="s">
        <v>81</v>
      </c>
      <c r="AA52" s="105" t="s">
        <v>172</v>
      </c>
      <c r="AB52" s="93" t="s">
        <v>13</v>
      </c>
      <c r="AC52" s="106" t="s">
        <v>172</v>
      </c>
      <c r="AD52" s="107" t="s">
        <v>173</v>
      </c>
      <c r="AE52" s="107" t="s">
        <v>174</v>
      </c>
      <c r="AF52" s="105" t="s">
        <v>175</v>
      </c>
      <c r="AG52" s="104">
        <f t="shared" si="2"/>
        <v>1</v>
      </c>
      <c r="AH52" s="104">
        <v>1</v>
      </c>
      <c r="AI52" s="104">
        <v>1</v>
      </c>
      <c r="AJ52" s="104">
        <v>1</v>
      </c>
      <c r="AK52" s="106"/>
      <c r="AL52" s="104">
        <f t="shared" si="3"/>
        <v>1</v>
      </c>
      <c r="AM52" s="106"/>
      <c r="AN52" s="104">
        <v>1</v>
      </c>
      <c r="AO52" s="104"/>
      <c r="AP52" s="104">
        <v>1</v>
      </c>
      <c r="AQ52" s="104">
        <v>1</v>
      </c>
      <c r="AR52" s="104">
        <v>1</v>
      </c>
      <c r="AS52" s="106"/>
      <c r="AT52" s="104">
        <v>1</v>
      </c>
      <c r="AU52" s="106"/>
      <c r="AV52" s="106"/>
      <c r="AX52" s="99" t="s">
        <v>8365</v>
      </c>
      <c r="AZ52" s="94" t="s">
        <v>8669</v>
      </c>
    </row>
    <row r="53" spans="1:52">
      <c r="A53" s="25" t="s">
        <v>8670</v>
      </c>
      <c r="B53" s="25" t="s">
        <v>4398</v>
      </c>
      <c r="C53" s="25" t="s">
        <v>68</v>
      </c>
      <c r="D53" s="25" t="s">
        <v>8671</v>
      </c>
      <c r="E53" s="258" t="s">
        <v>8672</v>
      </c>
      <c r="F53" s="25" t="s">
        <v>8673</v>
      </c>
      <c r="G53" s="25" t="s">
        <v>7497</v>
      </c>
      <c r="H53" s="25" t="s">
        <v>8601</v>
      </c>
      <c r="I53" s="26" t="s">
        <v>7499</v>
      </c>
      <c r="J53" s="26">
        <v>202606.5</v>
      </c>
      <c r="K53" s="62" t="s">
        <v>8226</v>
      </c>
      <c r="L53" s="25" t="s">
        <v>73</v>
      </c>
      <c r="M53" s="25" t="s">
        <v>8620</v>
      </c>
      <c r="N53" s="25" t="s">
        <v>8674</v>
      </c>
      <c r="O53" s="30" t="s">
        <v>8675</v>
      </c>
      <c r="P53" s="26"/>
      <c r="Q53" s="104">
        <v>4</v>
      </c>
      <c r="R53" s="104" t="s">
        <v>4409</v>
      </c>
      <c r="S53" s="104" t="s">
        <v>7673</v>
      </c>
      <c r="T53" s="26" t="s">
        <v>77</v>
      </c>
      <c r="U53" s="30" t="s">
        <v>78</v>
      </c>
      <c r="V53" s="26" t="s">
        <v>79</v>
      </c>
      <c r="W53" s="38" t="s">
        <v>4639</v>
      </c>
      <c r="X53" s="26" t="s">
        <v>7505</v>
      </c>
      <c r="Y53" s="26" t="s">
        <v>81</v>
      </c>
      <c r="Z53" s="26" t="s">
        <v>81</v>
      </c>
      <c r="AA53" s="105" t="s">
        <v>172</v>
      </c>
      <c r="AB53" s="93" t="s">
        <v>13</v>
      </c>
      <c r="AC53" s="106" t="s">
        <v>172</v>
      </c>
      <c r="AD53" s="107" t="s">
        <v>173</v>
      </c>
      <c r="AE53" s="107" t="s">
        <v>174</v>
      </c>
      <c r="AF53" s="105" t="s">
        <v>175</v>
      </c>
      <c r="AG53" s="104">
        <f t="shared" si="2"/>
        <v>1</v>
      </c>
      <c r="AH53" s="104">
        <v>1</v>
      </c>
      <c r="AI53" s="104">
        <v>1</v>
      </c>
      <c r="AJ53" s="104">
        <v>1</v>
      </c>
      <c r="AK53" s="106"/>
      <c r="AL53" s="104">
        <f t="shared" si="3"/>
        <v>1</v>
      </c>
      <c r="AM53" s="106"/>
      <c r="AN53" s="104">
        <v>1</v>
      </c>
      <c r="AO53" s="104"/>
      <c r="AP53" s="104">
        <v>1</v>
      </c>
      <c r="AQ53" s="104">
        <v>1</v>
      </c>
      <c r="AR53" s="104">
        <v>1</v>
      </c>
      <c r="AS53" s="106"/>
      <c r="AT53" s="104">
        <v>1</v>
      </c>
      <c r="AU53" s="106"/>
      <c r="AV53" s="106"/>
      <c r="AX53" s="99" t="s">
        <v>8497</v>
      </c>
      <c r="AZ53" s="94" t="s">
        <v>8676</v>
      </c>
    </row>
    <row r="54" spans="1:52">
      <c r="A54" s="25" t="s">
        <v>8677</v>
      </c>
      <c r="B54" s="25" t="s">
        <v>4398</v>
      </c>
      <c r="C54" s="25" t="s">
        <v>73</v>
      </c>
      <c r="D54" s="25" t="s">
        <v>8678</v>
      </c>
      <c r="E54" s="258" t="s">
        <v>8679</v>
      </c>
      <c r="F54" s="25" t="s">
        <v>8680</v>
      </c>
      <c r="G54" s="25" t="s">
        <v>7497</v>
      </c>
      <c r="H54" s="25" t="s">
        <v>8601</v>
      </c>
      <c r="I54" s="26" t="s">
        <v>7499</v>
      </c>
      <c r="J54" s="26">
        <v>202606.5</v>
      </c>
      <c r="K54" s="62" t="s">
        <v>8226</v>
      </c>
      <c r="L54" s="25" t="s">
        <v>73</v>
      </c>
      <c r="M54" s="25" t="s">
        <v>8596</v>
      </c>
      <c r="N54" s="25" t="s">
        <v>8681</v>
      </c>
      <c r="O54" s="30" t="s">
        <v>8682</v>
      </c>
      <c r="P54" s="26"/>
      <c r="Q54" s="110">
        <v>4</v>
      </c>
      <c r="R54" s="110" t="s">
        <v>4409</v>
      </c>
      <c r="S54" s="110" t="s">
        <v>4551</v>
      </c>
      <c r="T54" s="26" t="s">
        <v>77</v>
      </c>
      <c r="U54" s="30" t="s">
        <v>78</v>
      </c>
      <c r="V54" s="26" t="s">
        <v>79</v>
      </c>
      <c r="W54" s="38" t="s">
        <v>4869</v>
      </c>
      <c r="X54" s="26" t="s">
        <v>7505</v>
      </c>
      <c r="Y54" s="26" t="s">
        <v>81</v>
      </c>
      <c r="Z54" s="26" t="s">
        <v>81</v>
      </c>
      <c r="AA54" s="105" t="s">
        <v>172</v>
      </c>
      <c r="AB54" s="93" t="s">
        <v>13</v>
      </c>
      <c r="AC54" s="106" t="s">
        <v>172</v>
      </c>
      <c r="AD54" s="107" t="s">
        <v>173</v>
      </c>
      <c r="AE54" s="107" t="s">
        <v>174</v>
      </c>
      <c r="AF54" s="105" t="s">
        <v>175</v>
      </c>
      <c r="AG54" s="104">
        <f t="shared" si="2"/>
        <v>1</v>
      </c>
      <c r="AH54" s="104">
        <v>1</v>
      </c>
      <c r="AI54" s="104">
        <v>1</v>
      </c>
      <c r="AJ54" s="104">
        <v>1</v>
      </c>
      <c r="AK54" s="106"/>
      <c r="AL54" s="104">
        <f t="shared" si="3"/>
        <v>1</v>
      </c>
      <c r="AM54" s="106"/>
      <c r="AN54" s="104">
        <v>1</v>
      </c>
      <c r="AO54" s="104"/>
      <c r="AP54" s="104">
        <v>1</v>
      </c>
      <c r="AQ54" s="104">
        <v>1</v>
      </c>
      <c r="AR54" s="104">
        <v>1</v>
      </c>
      <c r="AS54" s="106"/>
      <c r="AT54" s="104">
        <v>1</v>
      </c>
      <c r="AU54" s="106"/>
      <c r="AV54" s="106"/>
      <c r="AX54" s="99" t="s">
        <v>8381</v>
      </c>
      <c r="AZ54" s="94" t="s">
        <v>8683</v>
      </c>
    </row>
    <row r="55" spans="1:52">
      <c r="A55" s="25" t="s">
        <v>8684</v>
      </c>
      <c r="B55" s="25" t="s">
        <v>4398</v>
      </c>
      <c r="C55" s="25" t="s">
        <v>73</v>
      </c>
      <c r="D55" s="25" t="s">
        <v>8685</v>
      </c>
      <c r="E55" s="258" t="s">
        <v>8686</v>
      </c>
      <c r="F55" s="25" t="s">
        <v>8687</v>
      </c>
      <c r="G55" s="25" t="s">
        <v>7497</v>
      </c>
      <c r="H55" s="25" t="s">
        <v>8601</v>
      </c>
      <c r="I55" s="26" t="s">
        <v>7499</v>
      </c>
      <c r="J55" s="26">
        <v>202606.5</v>
      </c>
      <c r="K55" s="62" t="s">
        <v>8226</v>
      </c>
      <c r="L55" s="25" t="s">
        <v>73</v>
      </c>
      <c r="M55" s="25" t="s">
        <v>8605</v>
      </c>
      <c r="N55" s="25" t="s">
        <v>8688</v>
      </c>
      <c r="O55" s="30" t="s">
        <v>8689</v>
      </c>
      <c r="P55" s="26"/>
      <c r="Q55" s="110">
        <v>4</v>
      </c>
      <c r="R55" s="110" t="s">
        <v>4409</v>
      </c>
      <c r="S55" s="110" t="s">
        <v>4551</v>
      </c>
      <c r="T55" s="26" t="s">
        <v>77</v>
      </c>
      <c r="U55" s="30" t="s">
        <v>78</v>
      </c>
      <c r="V55" s="26" t="s">
        <v>79</v>
      </c>
      <c r="W55" s="38" t="s">
        <v>4869</v>
      </c>
      <c r="X55" s="26" t="s">
        <v>7505</v>
      </c>
      <c r="Y55" s="26" t="s">
        <v>81</v>
      </c>
      <c r="Z55" s="26" t="s">
        <v>81</v>
      </c>
      <c r="AA55" s="105" t="s">
        <v>172</v>
      </c>
      <c r="AB55" s="93" t="s">
        <v>13</v>
      </c>
      <c r="AC55" s="106" t="s">
        <v>172</v>
      </c>
      <c r="AD55" s="107" t="s">
        <v>173</v>
      </c>
      <c r="AE55" s="107" t="s">
        <v>174</v>
      </c>
      <c r="AF55" s="105" t="s">
        <v>175</v>
      </c>
      <c r="AG55" s="104">
        <f t="shared" si="2"/>
        <v>1</v>
      </c>
      <c r="AH55" s="104">
        <v>1</v>
      </c>
      <c r="AI55" s="104">
        <v>1</v>
      </c>
      <c r="AJ55" s="104">
        <v>1</v>
      </c>
      <c r="AK55" s="106"/>
      <c r="AL55" s="104">
        <f t="shared" si="3"/>
        <v>1</v>
      </c>
      <c r="AM55" s="106"/>
      <c r="AN55" s="104">
        <v>1</v>
      </c>
      <c r="AO55" s="104"/>
      <c r="AP55" s="104">
        <v>1</v>
      </c>
      <c r="AQ55" s="104">
        <v>1</v>
      </c>
      <c r="AR55" s="104">
        <v>1</v>
      </c>
      <c r="AS55" s="106"/>
      <c r="AT55" s="104">
        <v>1</v>
      </c>
      <c r="AU55" s="106"/>
      <c r="AV55" s="106"/>
      <c r="AX55" s="99" t="s">
        <v>8391</v>
      </c>
      <c r="AZ55" s="94" t="s">
        <v>8690</v>
      </c>
    </row>
    <row r="56" spans="1:52">
      <c r="A56" s="25" t="s">
        <v>8691</v>
      </c>
      <c r="B56" s="25" t="s">
        <v>4398</v>
      </c>
      <c r="C56" s="25" t="s">
        <v>73</v>
      </c>
      <c r="D56" s="25" t="s">
        <v>8692</v>
      </c>
      <c r="E56" s="258" t="s">
        <v>8693</v>
      </c>
      <c r="F56" s="25" t="s">
        <v>8694</v>
      </c>
      <c r="G56" s="25" t="s">
        <v>7497</v>
      </c>
      <c r="H56" s="25" t="s">
        <v>8601</v>
      </c>
      <c r="I56" s="26" t="s">
        <v>7499</v>
      </c>
      <c r="J56" s="26">
        <v>202606.5</v>
      </c>
      <c r="K56" s="62" t="s">
        <v>8226</v>
      </c>
      <c r="L56" s="25" t="s">
        <v>73</v>
      </c>
      <c r="M56" s="25" t="s">
        <v>8612</v>
      </c>
      <c r="N56" s="25" t="s">
        <v>8695</v>
      </c>
      <c r="O56" s="30" t="s">
        <v>8696</v>
      </c>
      <c r="P56" s="26"/>
      <c r="Q56" s="110">
        <v>4</v>
      </c>
      <c r="R56" s="110" t="s">
        <v>4409</v>
      </c>
      <c r="S56" s="110" t="s">
        <v>4551</v>
      </c>
      <c r="T56" s="26" t="s">
        <v>77</v>
      </c>
      <c r="U56" s="30" t="s">
        <v>78</v>
      </c>
      <c r="V56" s="26" t="s">
        <v>79</v>
      </c>
      <c r="W56" s="38" t="s">
        <v>4869</v>
      </c>
      <c r="X56" s="26" t="s">
        <v>7505</v>
      </c>
      <c r="Y56" s="26" t="s">
        <v>81</v>
      </c>
      <c r="Z56" s="26" t="s">
        <v>81</v>
      </c>
      <c r="AA56" s="105" t="s">
        <v>172</v>
      </c>
      <c r="AB56" s="93" t="s">
        <v>13</v>
      </c>
      <c r="AC56" s="106" t="s">
        <v>172</v>
      </c>
      <c r="AD56" s="107" t="s">
        <v>173</v>
      </c>
      <c r="AE56" s="107" t="s">
        <v>174</v>
      </c>
      <c r="AF56" s="105" t="s">
        <v>175</v>
      </c>
      <c r="AG56" s="104">
        <f t="shared" si="2"/>
        <v>1</v>
      </c>
      <c r="AH56" s="104">
        <v>1</v>
      </c>
      <c r="AI56" s="104">
        <v>1</v>
      </c>
      <c r="AJ56" s="104">
        <v>1</v>
      </c>
      <c r="AK56" s="106"/>
      <c r="AL56" s="104">
        <f t="shared" si="3"/>
        <v>1</v>
      </c>
      <c r="AM56" s="106"/>
      <c r="AN56" s="104">
        <v>1</v>
      </c>
      <c r="AO56" s="104"/>
      <c r="AP56" s="104">
        <v>1</v>
      </c>
      <c r="AQ56" s="104">
        <v>1</v>
      </c>
      <c r="AR56" s="104">
        <v>1</v>
      </c>
      <c r="AS56" s="106"/>
      <c r="AT56" s="104">
        <v>1</v>
      </c>
      <c r="AU56" s="106"/>
      <c r="AV56" s="106"/>
      <c r="AX56" s="99" t="s">
        <v>8400</v>
      </c>
      <c r="AZ56" s="94" t="s">
        <v>8697</v>
      </c>
    </row>
    <row r="57" spans="1:52" ht="49.5">
      <c r="A57" s="25" t="s">
        <v>8698</v>
      </c>
      <c r="B57" s="25" t="s">
        <v>4398</v>
      </c>
      <c r="C57" s="25" t="s">
        <v>68</v>
      </c>
      <c r="D57" s="25" t="s">
        <v>8699</v>
      </c>
      <c r="E57" s="258" t="s">
        <v>8700</v>
      </c>
      <c r="F57" s="25" t="s">
        <v>8701</v>
      </c>
      <c r="G57" s="25" t="s">
        <v>7497</v>
      </c>
      <c r="H57" s="25" t="s">
        <v>8702</v>
      </c>
      <c r="I57" s="26" t="s">
        <v>7499</v>
      </c>
      <c r="J57" s="26">
        <v>202606.5</v>
      </c>
      <c r="K57" s="62" t="s">
        <v>8226</v>
      </c>
      <c r="L57" s="25" t="s">
        <v>73</v>
      </c>
      <c r="M57" s="25" t="s">
        <v>8413</v>
      </c>
      <c r="N57" s="25" t="s">
        <v>8703</v>
      </c>
      <c r="O57" s="30" t="s">
        <v>8704</v>
      </c>
      <c r="P57" s="26"/>
      <c r="Q57" s="104">
        <v>4</v>
      </c>
      <c r="R57" s="104" t="s">
        <v>4409</v>
      </c>
      <c r="S57" s="104" t="s">
        <v>7857</v>
      </c>
      <c r="T57" s="26" t="s">
        <v>77</v>
      </c>
      <c r="U57" s="30" t="s">
        <v>78</v>
      </c>
      <c r="V57" s="26" t="s">
        <v>79</v>
      </c>
      <c r="W57" s="38" t="s">
        <v>4869</v>
      </c>
      <c r="X57" s="26" t="s">
        <v>7505</v>
      </c>
      <c r="Y57" s="26" t="s">
        <v>81</v>
      </c>
      <c r="Z57" s="26" t="s">
        <v>81</v>
      </c>
      <c r="AA57" s="105" t="s">
        <v>172</v>
      </c>
      <c r="AB57" s="93" t="s">
        <v>13</v>
      </c>
      <c r="AC57" s="106" t="s">
        <v>172</v>
      </c>
      <c r="AD57" s="107" t="s">
        <v>173</v>
      </c>
      <c r="AE57" s="107" t="s">
        <v>174</v>
      </c>
      <c r="AF57" s="105" t="s">
        <v>175</v>
      </c>
      <c r="AG57" s="104">
        <f t="shared" si="2"/>
        <v>1</v>
      </c>
      <c r="AH57" s="104">
        <v>1</v>
      </c>
      <c r="AI57" s="104">
        <v>1</v>
      </c>
      <c r="AJ57" s="104">
        <v>1</v>
      </c>
      <c r="AK57" s="106"/>
      <c r="AL57" s="104">
        <f t="shared" si="3"/>
        <v>1</v>
      </c>
      <c r="AM57" s="106"/>
      <c r="AN57" s="104">
        <v>1</v>
      </c>
      <c r="AO57" s="104"/>
      <c r="AP57" s="104">
        <v>1</v>
      </c>
      <c r="AQ57" s="104">
        <v>1</v>
      </c>
      <c r="AR57" s="108" t="s">
        <v>8261</v>
      </c>
      <c r="AS57" s="107" t="s">
        <v>8705</v>
      </c>
      <c r="AT57" s="107">
        <v>1</v>
      </c>
      <c r="AU57" s="106"/>
      <c r="AV57" s="106"/>
      <c r="AX57" s="99" t="s">
        <v>8410</v>
      </c>
      <c r="AZ57" s="94" t="s">
        <v>8706</v>
      </c>
    </row>
    <row r="58" spans="1:52">
      <c r="A58" s="25" t="s">
        <v>8707</v>
      </c>
      <c r="B58" s="25" t="s">
        <v>4398</v>
      </c>
      <c r="C58" s="25" t="s">
        <v>68</v>
      </c>
      <c r="D58" s="25" t="s">
        <v>8708</v>
      </c>
      <c r="E58" s="258" t="s">
        <v>8709</v>
      </c>
      <c r="F58" s="25" t="s">
        <v>8710</v>
      </c>
      <c r="G58" s="25" t="s">
        <v>7497</v>
      </c>
      <c r="H58" s="25" t="s">
        <v>8702</v>
      </c>
      <c r="I58" s="26" t="s">
        <v>7499</v>
      </c>
      <c r="J58" s="26">
        <v>202606.5</v>
      </c>
      <c r="K58" s="62" t="s">
        <v>8226</v>
      </c>
      <c r="L58" s="25" t="s">
        <v>73</v>
      </c>
      <c r="M58" s="25" t="s">
        <v>8423</v>
      </c>
      <c r="N58" s="25" t="s">
        <v>8711</v>
      </c>
      <c r="O58" s="30" t="s">
        <v>8712</v>
      </c>
      <c r="P58" s="26"/>
      <c r="Q58" s="104">
        <v>4</v>
      </c>
      <c r="R58" s="104" t="s">
        <v>4409</v>
      </c>
      <c r="S58" s="104" t="s">
        <v>5206</v>
      </c>
      <c r="T58" s="26" t="s">
        <v>77</v>
      </c>
      <c r="U58" s="30" t="s">
        <v>78</v>
      </c>
      <c r="V58" s="26" t="s">
        <v>79</v>
      </c>
      <c r="W58" s="38" t="s">
        <v>4869</v>
      </c>
      <c r="X58" s="26" t="s">
        <v>7505</v>
      </c>
      <c r="Y58" s="26" t="s">
        <v>81</v>
      </c>
      <c r="Z58" s="26" t="s">
        <v>81</v>
      </c>
      <c r="AA58" s="105" t="s">
        <v>172</v>
      </c>
      <c r="AB58" s="93" t="s">
        <v>13</v>
      </c>
      <c r="AC58" s="106" t="s">
        <v>172</v>
      </c>
      <c r="AD58" s="107" t="s">
        <v>173</v>
      </c>
      <c r="AE58" s="107" t="s">
        <v>174</v>
      </c>
      <c r="AF58" s="105" t="s">
        <v>175</v>
      </c>
      <c r="AG58" s="104">
        <f t="shared" si="2"/>
        <v>1</v>
      </c>
      <c r="AH58" s="104">
        <v>1</v>
      </c>
      <c r="AI58" s="104">
        <v>1</v>
      </c>
      <c r="AJ58" s="104">
        <v>1</v>
      </c>
      <c r="AK58" s="106"/>
      <c r="AL58" s="104">
        <f t="shared" si="3"/>
        <v>1</v>
      </c>
      <c r="AM58" s="106"/>
      <c r="AN58" s="104">
        <v>1</v>
      </c>
      <c r="AO58" s="104"/>
      <c r="AP58" s="104">
        <v>1</v>
      </c>
      <c r="AQ58" s="104">
        <v>1</v>
      </c>
      <c r="AR58" s="104">
        <v>1</v>
      </c>
      <c r="AS58" s="106"/>
      <c r="AT58" s="104">
        <v>1</v>
      </c>
      <c r="AU58" s="106"/>
      <c r="AV58" s="106"/>
      <c r="AX58" s="99" t="s">
        <v>8571</v>
      </c>
      <c r="AZ58" s="94" t="s">
        <v>8713</v>
      </c>
    </row>
    <row r="59" spans="1:52">
      <c r="A59" s="25" t="s">
        <v>8714</v>
      </c>
      <c r="B59" s="25" t="s">
        <v>4398</v>
      </c>
      <c r="C59" s="25" t="s">
        <v>68</v>
      </c>
      <c r="D59" s="25" t="s">
        <v>8715</v>
      </c>
      <c r="E59" s="258" t="s">
        <v>8716</v>
      </c>
      <c r="F59" s="25"/>
      <c r="G59" s="25" t="s">
        <v>7497</v>
      </c>
      <c r="H59" s="25" t="s">
        <v>8702</v>
      </c>
      <c r="I59" s="26" t="s">
        <v>7499</v>
      </c>
      <c r="J59" s="26">
        <v>202606.5</v>
      </c>
      <c r="K59" s="62" t="s">
        <v>8226</v>
      </c>
      <c r="L59" s="25" t="s">
        <v>73</v>
      </c>
      <c r="M59" s="25" t="s">
        <v>8558</v>
      </c>
      <c r="N59" s="25" t="s">
        <v>8717</v>
      </c>
      <c r="O59" s="30" t="s">
        <v>8718</v>
      </c>
      <c r="P59" s="26"/>
      <c r="Q59" s="104">
        <v>4</v>
      </c>
      <c r="R59" s="104" t="s">
        <v>4409</v>
      </c>
      <c r="S59" s="104" t="s">
        <v>8719</v>
      </c>
      <c r="T59" s="26" t="s">
        <v>77</v>
      </c>
      <c r="U59" s="30" t="s">
        <v>78</v>
      </c>
      <c r="V59" s="26" t="s">
        <v>79</v>
      </c>
      <c r="W59" s="38" t="s">
        <v>4869</v>
      </c>
      <c r="X59" s="26" t="s">
        <v>7505</v>
      </c>
      <c r="Y59" s="26" t="s">
        <v>81</v>
      </c>
      <c r="Z59" s="26" t="s">
        <v>81</v>
      </c>
      <c r="AA59" s="105" t="s">
        <v>172</v>
      </c>
      <c r="AB59" s="93" t="s">
        <v>13</v>
      </c>
      <c r="AC59" s="106" t="s">
        <v>172</v>
      </c>
      <c r="AD59" s="107" t="s">
        <v>173</v>
      </c>
      <c r="AE59" s="107" t="s">
        <v>174</v>
      </c>
      <c r="AF59" s="105" t="s">
        <v>175</v>
      </c>
      <c r="AG59" s="104">
        <f t="shared" si="2"/>
        <v>1</v>
      </c>
      <c r="AH59" s="104">
        <v>1</v>
      </c>
      <c r="AI59" s="104">
        <v>1</v>
      </c>
      <c r="AJ59" s="104">
        <v>1</v>
      </c>
      <c r="AK59" s="106"/>
      <c r="AL59" s="104">
        <f t="shared" si="3"/>
        <v>1</v>
      </c>
      <c r="AM59" s="106"/>
      <c r="AN59" s="104">
        <v>1</v>
      </c>
      <c r="AO59" s="104"/>
      <c r="AP59" s="104">
        <v>1</v>
      </c>
      <c r="AQ59" s="104">
        <v>1</v>
      </c>
      <c r="AR59" s="104">
        <v>1</v>
      </c>
      <c r="AS59" s="106"/>
      <c r="AT59" s="104">
        <v>1</v>
      </c>
      <c r="AU59" s="106"/>
      <c r="AV59" s="106"/>
      <c r="AX59" s="99" t="s">
        <v>8506</v>
      </c>
      <c r="AZ59" s="94" t="s">
        <v>8720</v>
      </c>
    </row>
    <row r="60" spans="1:52">
      <c r="A60" s="25" t="s">
        <v>8721</v>
      </c>
      <c r="B60" s="25" t="s">
        <v>4398</v>
      </c>
      <c r="C60" s="25" t="s">
        <v>68</v>
      </c>
      <c r="D60" s="25" t="s">
        <v>8722</v>
      </c>
      <c r="E60" s="258" t="s">
        <v>8723</v>
      </c>
      <c r="F60" s="25" t="s">
        <v>8724</v>
      </c>
      <c r="G60" s="25" t="s">
        <v>7497</v>
      </c>
      <c r="H60" s="25" t="s">
        <v>8702</v>
      </c>
      <c r="I60" s="26" t="s">
        <v>7499</v>
      </c>
      <c r="J60" s="26">
        <v>202606.5</v>
      </c>
      <c r="K60" s="62" t="s">
        <v>8226</v>
      </c>
      <c r="L60" s="25" t="s">
        <v>73</v>
      </c>
      <c r="M60" s="25" t="s">
        <v>8566</v>
      </c>
      <c r="N60" s="25" t="s">
        <v>8725</v>
      </c>
      <c r="O60" s="30" t="s">
        <v>8726</v>
      </c>
      <c r="P60" s="26"/>
      <c r="Q60" s="104">
        <v>4</v>
      </c>
      <c r="R60" s="104" t="s">
        <v>4409</v>
      </c>
      <c r="S60" s="104" t="s">
        <v>7673</v>
      </c>
      <c r="T60" s="26" t="s">
        <v>77</v>
      </c>
      <c r="U60" s="30" t="s">
        <v>78</v>
      </c>
      <c r="V60" s="26" t="s">
        <v>79</v>
      </c>
      <c r="W60" s="38" t="s">
        <v>4869</v>
      </c>
      <c r="X60" s="26" t="s">
        <v>7505</v>
      </c>
      <c r="Y60" s="26" t="s">
        <v>81</v>
      </c>
      <c r="Z60" s="26" t="s">
        <v>81</v>
      </c>
      <c r="AA60" s="105" t="s">
        <v>172</v>
      </c>
      <c r="AB60" s="93" t="s">
        <v>13</v>
      </c>
      <c r="AC60" s="106" t="s">
        <v>172</v>
      </c>
      <c r="AD60" s="107" t="s">
        <v>173</v>
      </c>
      <c r="AE60" s="107" t="s">
        <v>174</v>
      </c>
      <c r="AF60" s="105" t="s">
        <v>175</v>
      </c>
      <c r="AG60" s="104">
        <f t="shared" si="2"/>
        <v>1</v>
      </c>
      <c r="AH60" s="104">
        <v>1</v>
      </c>
      <c r="AI60" s="104">
        <v>1</v>
      </c>
      <c r="AJ60" s="104">
        <v>1</v>
      </c>
      <c r="AK60" s="106"/>
      <c r="AL60" s="104">
        <f t="shared" si="3"/>
        <v>1</v>
      </c>
      <c r="AM60" s="106"/>
      <c r="AN60" s="104">
        <v>1</v>
      </c>
      <c r="AO60" s="104"/>
      <c r="AP60" s="104">
        <v>1</v>
      </c>
      <c r="AQ60" s="104">
        <v>1</v>
      </c>
      <c r="AR60" s="104">
        <v>1</v>
      </c>
      <c r="AS60" s="106"/>
      <c r="AT60" s="104">
        <v>1</v>
      </c>
      <c r="AU60" s="106"/>
      <c r="AV60" s="106"/>
      <c r="AX60" s="99" t="s">
        <v>8419</v>
      </c>
      <c r="AZ60" s="94" t="s">
        <v>8727</v>
      </c>
    </row>
    <row r="61" spans="1:52">
      <c r="A61" s="25" t="s">
        <v>8728</v>
      </c>
      <c r="B61" s="25" t="s">
        <v>4398</v>
      </c>
      <c r="C61" s="25" t="s">
        <v>68</v>
      </c>
      <c r="D61" s="25" t="s">
        <v>8729</v>
      </c>
      <c r="E61" s="258" t="s">
        <v>8730</v>
      </c>
      <c r="F61" s="25" t="s">
        <v>8731</v>
      </c>
      <c r="G61" s="25" t="s">
        <v>7497</v>
      </c>
      <c r="H61" s="25" t="s">
        <v>8702</v>
      </c>
      <c r="I61" s="26" t="s">
        <v>7499</v>
      </c>
      <c r="J61" s="26">
        <v>202606.5</v>
      </c>
      <c r="K61" s="62" t="s">
        <v>8226</v>
      </c>
      <c r="L61" s="25" t="s">
        <v>73</v>
      </c>
      <c r="M61" s="25" t="s">
        <v>8574</v>
      </c>
      <c r="N61" s="25" t="s">
        <v>8732</v>
      </c>
      <c r="O61" s="30" t="s">
        <v>8733</v>
      </c>
      <c r="P61" s="26"/>
      <c r="Q61" s="104">
        <v>4</v>
      </c>
      <c r="R61" s="104" t="s">
        <v>4409</v>
      </c>
      <c r="S61" s="104" t="s">
        <v>8734</v>
      </c>
      <c r="T61" s="26" t="s">
        <v>77</v>
      </c>
      <c r="U61" s="30" t="s">
        <v>78</v>
      </c>
      <c r="V61" s="26" t="s">
        <v>79</v>
      </c>
      <c r="W61" s="38" t="s">
        <v>4869</v>
      </c>
      <c r="X61" s="26" t="s">
        <v>7505</v>
      </c>
      <c r="Y61" s="26" t="s">
        <v>81</v>
      </c>
      <c r="Z61" s="26" t="s">
        <v>81</v>
      </c>
      <c r="AA61" s="105" t="s">
        <v>172</v>
      </c>
      <c r="AB61" s="93" t="s">
        <v>13</v>
      </c>
      <c r="AC61" s="106" t="s">
        <v>172</v>
      </c>
      <c r="AD61" s="107" t="s">
        <v>173</v>
      </c>
      <c r="AE61" s="107" t="s">
        <v>174</v>
      </c>
      <c r="AF61" s="105" t="s">
        <v>175</v>
      </c>
      <c r="AG61" s="104">
        <f t="shared" si="2"/>
        <v>1</v>
      </c>
      <c r="AH61" s="104">
        <v>1</v>
      </c>
      <c r="AI61" s="104">
        <v>1</v>
      </c>
      <c r="AJ61" s="104">
        <v>1</v>
      </c>
      <c r="AK61" s="106"/>
      <c r="AL61" s="104">
        <f t="shared" si="3"/>
        <v>1</v>
      </c>
      <c r="AM61" s="106"/>
      <c r="AN61" s="104">
        <v>1</v>
      </c>
      <c r="AO61" s="104"/>
      <c r="AP61" s="104">
        <v>1</v>
      </c>
      <c r="AQ61" s="104">
        <v>1</v>
      </c>
      <c r="AR61" s="104">
        <v>1</v>
      </c>
      <c r="AS61" s="106"/>
      <c r="AT61" s="104">
        <v>1</v>
      </c>
      <c r="AU61" s="106"/>
      <c r="AV61" s="106"/>
      <c r="AX61" s="99" t="s">
        <v>8429</v>
      </c>
      <c r="AZ61" s="94" t="s">
        <v>8735</v>
      </c>
    </row>
    <row r="62" spans="1:52">
      <c r="A62" s="25" t="s">
        <v>8736</v>
      </c>
      <c r="B62" s="25" t="s">
        <v>4398</v>
      </c>
      <c r="C62" s="25" t="s">
        <v>68</v>
      </c>
      <c r="D62" s="25" t="s">
        <v>8737</v>
      </c>
      <c r="E62" s="258" t="s">
        <v>8738</v>
      </c>
      <c r="F62" s="25" t="s">
        <v>8739</v>
      </c>
      <c r="G62" s="25" t="s">
        <v>7497</v>
      </c>
      <c r="H62" s="25" t="s">
        <v>8702</v>
      </c>
      <c r="I62" s="26" t="s">
        <v>7499</v>
      </c>
      <c r="J62" s="26">
        <v>202606.5</v>
      </c>
      <c r="K62" s="62" t="s">
        <v>8226</v>
      </c>
      <c r="L62" s="25" t="s">
        <v>73</v>
      </c>
      <c r="M62" s="25" t="s">
        <v>8581</v>
      </c>
      <c r="N62" s="25" t="s">
        <v>8740</v>
      </c>
      <c r="O62" s="30" t="s">
        <v>8741</v>
      </c>
      <c r="P62" s="26"/>
      <c r="Q62" s="104">
        <v>4</v>
      </c>
      <c r="R62" s="104" t="s">
        <v>4409</v>
      </c>
      <c r="S62" s="104" t="s">
        <v>8742</v>
      </c>
      <c r="T62" s="26" t="s">
        <v>77</v>
      </c>
      <c r="U62" s="30" t="s">
        <v>78</v>
      </c>
      <c r="V62" s="26" t="s">
        <v>79</v>
      </c>
      <c r="W62" s="38" t="s">
        <v>4869</v>
      </c>
      <c r="X62" s="26" t="s">
        <v>7505</v>
      </c>
      <c r="Y62" s="26" t="s">
        <v>81</v>
      </c>
      <c r="Z62" s="26" t="s">
        <v>81</v>
      </c>
      <c r="AA62" s="105" t="s">
        <v>172</v>
      </c>
      <c r="AB62" s="93" t="s">
        <v>13</v>
      </c>
      <c r="AC62" s="106" t="s">
        <v>172</v>
      </c>
      <c r="AD62" s="107" t="s">
        <v>173</v>
      </c>
      <c r="AE62" s="107" t="s">
        <v>174</v>
      </c>
      <c r="AF62" s="105" t="s">
        <v>175</v>
      </c>
      <c r="AG62" s="104">
        <f t="shared" si="2"/>
        <v>1</v>
      </c>
      <c r="AH62" s="104">
        <v>1</v>
      </c>
      <c r="AI62" s="104">
        <v>1</v>
      </c>
      <c r="AJ62" s="104">
        <v>1</v>
      </c>
      <c r="AK62" s="106"/>
      <c r="AL62" s="104">
        <f t="shared" si="3"/>
        <v>1</v>
      </c>
      <c r="AM62" s="106"/>
      <c r="AN62" s="104">
        <v>1</v>
      </c>
      <c r="AO62" s="104"/>
      <c r="AP62" s="104">
        <v>1</v>
      </c>
      <c r="AQ62" s="104">
        <v>1</v>
      </c>
      <c r="AR62" s="104">
        <v>1</v>
      </c>
      <c r="AS62" s="106"/>
      <c r="AT62" s="104">
        <v>1</v>
      </c>
      <c r="AU62" s="106"/>
      <c r="AV62" s="106"/>
      <c r="AX62" s="99" t="s">
        <v>8457</v>
      </c>
      <c r="AZ62" s="94" t="s">
        <v>8743</v>
      </c>
    </row>
    <row r="63" spans="1:52">
      <c r="A63" s="25" t="s">
        <v>8744</v>
      </c>
      <c r="B63" s="25" t="s">
        <v>4398</v>
      </c>
      <c r="C63" s="25" t="s">
        <v>68</v>
      </c>
      <c r="D63" s="25" t="s">
        <v>8745</v>
      </c>
      <c r="E63" s="258" t="s">
        <v>8746</v>
      </c>
      <c r="F63" s="25" t="s">
        <v>8747</v>
      </c>
      <c r="G63" s="25" t="s">
        <v>7497</v>
      </c>
      <c r="H63" s="25" t="s">
        <v>8748</v>
      </c>
      <c r="I63" s="26" t="s">
        <v>7499</v>
      </c>
      <c r="J63" s="26">
        <v>202606.5</v>
      </c>
      <c r="K63" s="62" t="s">
        <v>8226</v>
      </c>
      <c r="L63" s="25" t="s">
        <v>73</v>
      </c>
      <c r="M63" s="25" t="s">
        <v>8404</v>
      </c>
      <c r="N63" s="25" t="s">
        <v>8749</v>
      </c>
      <c r="O63" s="30" t="s">
        <v>8750</v>
      </c>
      <c r="P63" s="26"/>
      <c r="Q63" s="104">
        <v>4</v>
      </c>
      <c r="R63" s="104" t="s">
        <v>4409</v>
      </c>
      <c r="S63" s="104" t="s">
        <v>4551</v>
      </c>
      <c r="T63" s="26" t="s">
        <v>77</v>
      </c>
      <c r="U63" s="30" t="s">
        <v>78</v>
      </c>
      <c r="V63" s="26" t="s">
        <v>79</v>
      </c>
      <c r="W63" s="38" t="s">
        <v>4869</v>
      </c>
      <c r="X63" s="26" t="s">
        <v>7505</v>
      </c>
      <c r="Y63" s="26" t="s">
        <v>81</v>
      </c>
      <c r="Z63" s="26" t="s">
        <v>81</v>
      </c>
      <c r="AA63" s="105" t="s">
        <v>172</v>
      </c>
      <c r="AB63" s="93" t="s">
        <v>13</v>
      </c>
      <c r="AC63" s="106" t="s">
        <v>172</v>
      </c>
      <c r="AD63" s="107" t="s">
        <v>173</v>
      </c>
      <c r="AE63" s="107" t="s">
        <v>174</v>
      </c>
      <c r="AF63" s="105" t="s">
        <v>175</v>
      </c>
      <c r="AG63" s="104">
        <f t="shared" si="2"/>
        <v>1</v>
      </c>
      <c r="AH63" s="104">
        <v>1</v>
      </c>
      <c r="AI63" s="104">
        <v>1</v>
      </c>
      <c r="AJ63" s="104">
        <v>1</v>
      </c>
      <c r="AK63" s="106"/>
      <c r="AL63" s="104">
        <f t="shared" si="3"/>
        <v>1</v>
      </c>
      <c r="AM63" s="106"/>
      <c r="AN63" s="104">
        <v>1</v>
      </c>
      <c r="AO63" s="104"/>
      <c r="AP63" s="104">
        <v>1</v>
      </c>
      <c r="AQ63" s="104">
        <v>1</v>
      </c>
      <c r="AR63" s="104">
        <v>1</v>
      </c>
      <c r="AS63" s="106"/>
      <c r="AT63" s="104">
        <v>1</v>
      </c>
      <c r="AU63" s="106"/>
      <c r="AV63" s="106"/>
      <c r="AX63" s="99" t="s">
        <v>8467</v>
      </c>
      <c r="AZ63" s="94" t="s">
        <v>8751</v>
      </c>
    </row>
    <row r="64" spans="1:52">
      <c r="A64" s="25" t="s">
        <v>8752</v>
      </c>
      <c r="B64" s="25" t="s">
        <v>4398</v>
      </c>
      <c r="C64" s="25" t="s">
        <v>68</v>
      </c>
      <c r="D64" s="25" t="s">
        <v>8753</v>
      </c>
      <c r="E64" s="258" t="s">
        <v>8754</v>
      </c>
      <c r="F64" s="25" t="s">
        <v>8755</v>
      </c>
      <c r="G64" s="25" t="s">
        <v>7497</v>
      </c>
      <c r="H64" s="25" t="s">
        <v>8748</v>
      </c>
      <c r="I64" s="26" t="s">
        <v>7499</v>
      </c>
      <c r="J64" s="26">
        <v>202606.5</v>
      </c>
      <c r="K64" s="62" t="s">
        <v>8226</v>
      </c>
      <c r="L64" s="25" t="s">
        <v>73</v>
      </c>
      <c r="M64" s="25" t="s">
        <v>8442</v>
      </c>
      <c r="N64" s="25" t="s">
        <v>8756</v>
      </c>
      <c r="O64" s="30" t="s">
        <v>8757</v>
      </c>
      <c r="P64" s="26"/>
      <c r="Q64" s="104">
        <v>4</v>
      </c>
      <c r="R64" s="104" t="s">
        <v>4409</v>
      </c>
      <c r="S64" s="104" t="s">
        <v>8070</v>
      </c>
      <c r="T64" s="26" t="s">
        <v>77</v>
      </c>
      <c r="U64" s="30" t="s">
        <v>78</v>
      </c>
      <c r="V64" s="26" t="s">
        <v>79</v>
      </c>
      <c r="W64" s="38" t="s">
        <v>4869</v>
      </c>
      <c r="X64" s="26" t="s">
        <v>7505</v>
      </c>
      <c r="Y64" s="26" t="s">
        <v>81</v>
      </c>
      <c r="Z64" s="26" t="s">
        <v>81</v>
      </c>
      <c r="AA64" s="105" t="s">
        <v>172</v>
      </c>
      <c r="AB64" s="93" t="s">
        <v>13</v>
      </c>
      <c r="AC64" s="106" t="s">
        <v>172</v>
      </c>
      <c r="AD64" s="107" t="s">
        <v>173</v>
      </c>
      <c r="AE64" s="107" t="s">
        <v>174</v>
      </c>
      <c r="AF64" s="105" t="s">
        <v>175</v>
      </c>
      <c r="AG64" s="104">
        <f t="shared" si="2"/>
        <v>1</v>
      </c>
      <c r="AH64" s="104">
        <v>1</v>
      </c>
      <c r="AI64" s="104">
        <v>1</v>
      </c>
      <c r="AJ64" s="104">
        <v>1</v>
      </c>
      <c r="AK64" s="106"/>
      <c r="AL64" s="104">
        <f t="shared" si="3"/>
        <v>1</v>
      </c>
      <c r="AM64" s="106"/>
      <c r="AN64" s="104">
        <v>1</v>
      </c>
      <c r="AO64" s="104"/>
      <c r="AP64" s="104">
        <v>1</v>
      </c>
      <c r="AQ64" s="104">
        <v>1</v>
      </c>
      <c r="AR64" s="104">
        <v>1</v>
      </c>
      <c r="AS64" s="106"/>
      <c r="AT64" s="104">
        <v>1</v>
      </c>
      <c r="AU64" s="106"/>
      <c r="AV64" s="106"/>
      <c r="AX64" s="99" t="s">
        <v>8515</v>
      </c>
      <c r="AZ64" s="94" t="s">
        <v>8758</v>
      </c>
    </row>
    <row r="65" spans="1:52">
      <c r="A65" s="25" t="s">
        <v>8759</v>
      </c>
      <c r="B65" s="25" t="s">
        <v>4398</v>
      </c>
      <c r="C65" s="25" t="s">
        <v>68</v>
      </c>
      <c r="D65" s="25" t="s">
        <v>8760</v>
      </c>
      <c r="E65" s="258" t="s">
        <v>8761</v>
      </c>
      <c r="F65" s="25" t="s">
        <v>8762</v>
      </c>
      <c r="G65" s="25" t="s">
        <v>7497</v>
      </c>
      <c r="H65" s="25" t="s">
        <v>8748</v>
      </c>
      <c r="I65" s="26" t="s">
        <v>7499</v>
      </c>
      <c r="J65" s="26">
        <v>202606.5</v>
      </c>
      <c r="K65" s="62" t="s">
        <v>8226</v>
      </c>
      <c r="L65" s="25" t="s">
        <v>73</v>
      </c>
      <c r="M65" s="25" t="s">
        <v>8451</v>
      </c>
      <c r="N65" s="25" t="s">
        <v>8763</v>
      </c>
      <c r="O65" s="30" t="s">
        <v>8764</v>
      </c>
      <c r="P65" s="26"/>
      <c r="Q65" s="104">
        <v>4</v>
      </c>
      <c r="R65" s="104" t="s">
        <v>4409</v>
      </c>
      <c r="S65" s="104" t="s">
        <v>4905</v>
      </c>
      <c r="T65" s="26" t="s">
        <v>77</v>
      </c>
      <c r="U65" s="30" t="s">
        <v>78</v>
      </c>
      <c r="V65" s="26" t="s">
        <v>79</v>
      </c>
      <c r="W65" s="38" t="s">
        <v>4869</v>
      </c>
      <c r="X65" s="26" t="s">
        <v>7505</v>
      </c>
      <c r="Y65" s="26" t="s">
        <v>81</v>
      </c>
      <c r="Z65" s="26" t="s">
        <v>81</v>
      </c>
      <c r="AA65" s="105" t="s">
        <v>172</v>
      </c>
      <c r="AB65" s="93" t="s">
        <v>13</v>
      </c>
      <c r="AC65" s="106" t="s">
        <v>172</v>
      </c>
      <c r="AD65" s="107" t="s">
        <v>173</v>
      </c>
      <c r="AE65" s="107" t="s">
        <v>174</v>
      </c>
      <c r="AF65" s="105" t="s">
        <v>175</v>
      </c>
      <c r="AG65" s="104">
        <f t="shared" si="2"/>
        <v>1</v>
      </c>
      <c r="AH65" s="104">
        <v>1</v>
      </c>
      <c r="AI65" s="104">
        <v>1</v>
      </c>
      <c r="AJ65" s="104">
        <v>1</v>
      </c>
      <c r="AK65" s="106"/>
      <c r="AL65" s="104">
        <f t="shared" si="3"/>
        <v>1</v>
      </c>
      <c r="AM65" s="106"/>
      <c r="AN65" s="104">
        <v>1</v>
      </c>
      <c r="AO65" s="104"/>
      <c r="AP65" s="104">
        <v>1</v>
      </c>
      <c r="AQ65" s="104">
        <v>1</v>
      </c>
      <c r="AR65" s="104">
        <v>1</v>
      </c>
      <c r="AS65" s="106"/>
      <c r="AT65" s="104">
        <v>1</v>
      </c>
      <c r="AU65" s="106"/>
      <c r="AV65" s="106"/>
      <c r="AX65" s="99" t="s">
        <v>8526</v>
      </c>
      <c r="AZ65" s="94" t="s">
        <v>8765</v>
      </c>
    </row>
    <row r="66" spans="1:52">
      <c r="A66" s="25" t="s">
        <v>8766</v>
      </c>
      <c r="B66" s="25" t="s">
        <v>4398</v>
      </c>
      <c r="C66" s="25" t="s">
        <v>68</v>
      </c>
      <c r="D66" s="25" t="s">
        <v>8767</v>
      </c>
      <c r="E66" s="258" t="s">
        <v>8768</v>
      </c>
      <c r="F66" s="25" t="s">
        <v>8769</v>
      </c>
      <c r="G66" s="25" t="s">
        <v>7497</v>
      </c>
      <c r="H66" s="25" t="s">
        <v>8748</v>
      </c>
      <c r="I66" s="26" t="s">
        <v>7499</v>
      </c>
      <c r="J66" s="26">
        <v>202606.5</v>
      </c>
      <c r="K66" s="62" t="s">
        <v>8226</v>
      </c>
      <c r="L66" s="25" t="s">
        <v>73</v>
      </c>
      <c r="M66" s="25" t="s">
        <v>8628</v>
      </c>
      <c r="N66" s="25" t="s">
        <v>8770</v>
      </c>
      <c r="O66" s="30" t="s">
        <v>8771</v>
      </c>
      <c r="P66" s="26"/>
      <c r="Q66" s="104">
        <v>4</v>
      </c>
      <c r="R66" s="104" t="s">
        <v>4409</v>
      </c>
      <c r="S66" s="104" t="s">
        <v>8772</v>
      </c>
      <c r="T66" s="26" t="s">
        <v>77</v>
      </c>
      <c r="U66" s="30" t="s">
        <v>78</v>
      </c>
      <c r="V66" s="26" t="s">
        <v>79</v>
      </c>
      <c r="W66" s="38" t="s">
        <v>4869</v>
      </c>
      <c r="X66" s="26" t="s">
        <v>7505</v>
      </c>
      <c r="Y66" s="26" t="s">
        <v>81</v>
      </c>
      <c r="Z66" s="26" t="s">
        <v>81</v>
      </c>
      <c r="AA66" s="105" t="s">
        <v>172</v>
      </c>
      <c r="AB66" s="93" t="s">
        <v>13</v>
      </c>
      <c r="AC66" s="106" t="s">
        <v>172</v>
      </c>
      <c r="AD66" s="107" t="s">
        <v>173</v>
      </c>
      <c r="AE66" s="107" t="s">
        <v>174</v>
      </c>
      <c r="AF66" s="105" t="s">
        <v>175</v>
      </c>
      <c r="AG66" s="104">
        <f t="shared" si="2"/>
        <v>1</v>
      </c>
      <c r="AH66" s="104">
        <v>1</v>
      </c>
      <c r="AI66" s="104">
        <v>1</v>
      </c>
      <c r="AJ66" s="104">
        <v>1</v>
      </c>
      <c r="AK66" s="106"/>
      <c r="AL66" s="104">
        <f t="shared" si="3"/>
        <v>1</v>
      </c>
      <c r="AM66" s="106"/>
      <c r="AN66" s="104">
        <v>1</v>
      </c>
      <c r="AO66" s="104"/>
      <c r="AP66" s="104">
        <v>1</v>
      </c>
      <c r="AQ66" s="104">
        <v>1</v>
      </c>
      <c r="AR66" s="104">
        <v>1</v>
      </c>
      <c r="AS66" s="106"/>
      <c r="AT66" s="104">
        <v>1</v>
      </c>
      <c r="AU66" s="106"/>
      <c r="AV66" s="106"/>
      <c r="AX66" s="99" t="s">
        <v>8373</v>
      </c>
      <c r="AZ66" s="94" t="s">
        <v>8773</v>
      </c>
    </row>
    <row r="67" spans="1:52">
      <c r="A67" s="25" t="s">
        <v>8774</v>
      </c>
      <c r="B67" s="25" t="s">
        <v>4398</v>
      </c>
      <c r="C67" s="25" t="s">
        <v>68</v>
      </c>
      <c r="D67" s="25" t="s">
        <v>8775</v>
      </c>
      <c r="E67" s="258" t="s">
        <v>8776</v>
      </c>
      <c r="F67" s="25" t="s">
        <v>8777</v>
      </c>
      <c r="G67" s="25" t="s">
        <v>7497</v>
      </c>
      <c r="H67" s="25" t="s">
        <v>8748</v>
      </c>
      <c r="I67" s="26" t="s">
        <v>7499</v>
      </c>
      <c r="J67" s="26">
        <v>202606.5</v>
      </c>
      <c r="K67" s="62" t="s">
        <v>8226</v>
      </c>
      <c r="L67" s="25" t="s">
        <v>73</v>
      </c>
      <c r="M67" s="25" t="s">
        <v>8778</v>
      </c>
      <c r="N67" s="25" t="s">
        <v>8779</v>
      </c>
      <c r="O67" s="30" t="s">
        <v>8780</v>
      </c>
      <c r="P67" s="26"/>
      <c r="Q67" s="104">
        <v>4</v>
      </c>
      <c r="R67" s="104" t="s">
        <v>4409</v>
      </c>
      <c r="S67" s="104" t="s">
        <v>7857</v>
      </c>
      <c r="T67" s="26" t="s">
        <v>77</v>
      </c>
      <c r="U67" s="30" t="s">
        <v>78</v>
      </c>
      <c r="V67" s="26" t="s">
        <v>79</v>
      </c>
      <c r="W67" s="38" t="s">
        <v>4997</v>
      </c>
      <c r="X67" s="26" t="s">
        <v>7505</v>
      </c>
      <c r="Y67" s="26" t="s">
        <v>81</v>
      </c>
      <c r="Z67" s="26" t="s">
        <v>81</v>
      </c>
      <c r="AA67" s="105" t="s">
        <v>172</v>
      </c>
      <c r="AB67" s="93" t="s">
        <v>17</v>
      </c>
      <c r="AC67" s="106" t="s">
        <v>172</v>
      </c>
      <c r="AD67" s="107" t="s">
        <v>173</v>
      </c>
      <c r="AE67" s="107" t="s">
        <v>174</v>
      </c>
      <c r="AF67" s="105" t="s">
        <v>175</v>
      </c>
      <c r="AG67" s="104">
        <f t="shared" ref="AG67:AG98" si="4">IF(COUNTIF(AZ:AZ,D67)&gt;0,1,0)</f>
        <v>1</v>
      </c>
      <c r="AH67" s="104">
        <v>1</v>
      </c>
      <c r="AI67" s="104">
        <v>1</v>
      </c>
      <c r="AJ67" s="104">
        <v>1</v>
      </c>
      <c r="AK67" s="106"/>
      <c r="AL67" s="104">
        <f t="shared" si="3"/>
        <v>1</v>
      </c>
      <c r="AM67" s="106"/>
      <c r="AN67" s="104"/>
      <c r="AO67" s="104"/>
      <c r="AP67" s="104">
        <v>1</v>
      </c>
      <c r="AQ67" s="104">
        <v>1</v>
      </c>
      <c r="AR67" s="104">
        <v>1</v>
      </c>
      <c r="AS67" s="106"/>
      <c r="AT67" s="104">
        <v>1</v>
      </c>
      <c r="AU67" s="106"/>
      <c r="AV67" s="106"/>
      <c r="AX67" s="99" t="s">
        <v>8563</v>
      </c>
      <c r="AZ67" s="94" t="s">
        <v>8035</v>
      </c>
    </row>
    <row r="68" spans="1:52">
      <c r="A68" s="25" t="s">
        <v>8781</v>
      </c>
      <c r="B68" s="25" t="s">
        <v>4398</v>
      </c>
      <c r="C68" s="25" t="s">
        <v>68</v>
      </c>
      <c r="D68" s="25" t="s">
        <v>8782</v>
      </c>
      <c r="E68" s="258" t="s">
        <v>8783</v>
      </c>
      <c r="F68" s="25" t="s">
        <v>8784</v>
      </c>
      <c r="G68" s="25" t="s">
        <v>7497</v>
      </c>
      <c r="H68" s="25" t="s">
        <v>8748</v>
      </c>
      <c r="I68" s="26" t="s">
        <v>7499</v>
      </c>
      <c r="J68" s="26">
        <v>202606.5</v>
      </c>
      <c r="K68" s="62" t="s">
        <v>8226</v>
      </c>
      <c r="L68" s="25" t="s">
        <v>73</v>
      </c>
      <c r="M68" s="25" t="s">
        <v>8785</v>
      </c>
      <c r="N68" s="25" t="s">
        <v>8786</v>
      </c>
      <c r="O68" s="30" t="s">
        <v>8787</v>
      </c>
      <c r="P68" s="26"/>
      <c r="Q68" s="104">
        <v>4</v>
      </c>
      <c r="R68" s="104" t="s">
        <v>4409</v>
      </c>
      <c r="S68" s="104" t="s">
        <v>5074</v>
      </c>
      <c r="T68" s="26" t="s">
        <v>77</v>
      </c>
      <c r="U68" s="30" t="s">
        <v>78</v>
      </c>
      <c r="V68" s="26" t="s">
        <v>79</v>
      </c>
      <c r="W68" s="38" t="s">
        <v>4997</v>
      </c>
      <c r="X68" s="26" t="s">
        <v>7505</v>
      </c>
      <c r="Y68" s="26" t="s">
        <v>81</v>
      </c>
      <c r="Z68" s="26" t="s">
        <v>81</v>
      </c>
      <c r="AA68" s="105" t="s">
        <v>172</v>
      </c>
      <c r="AB68" s="93" t="s">
        <v>17</v>
      </c>
      <c r="AC68" s="106" t="s">
        <v>172</v>
      </c>
      <c r="AD68" s="107" t="s">
        <v>173</v>
      </c>
      <c r="AE68" s="107" t="s">
        <v>174</v>
      </c>
      <c r="AF68" s="105" t="s">
        <v>175</v>
      </c>
      <c r="AG68" s="104">
        <f t="shared" si="4"/>
        <v>1</v>
      </c>
      <c r="AH68" s="104">
        <v>1</v>
      </c>
      <c r="AI68" s="104">
        <v>1</v>
      </c>
      <c r="AJ68" s="104">
        <v>1</v>
      </c>
      <c r="AK68" s="106"/>
      <c r="AL68" s="104">
        <f t="shared" si="3"/>
        <v>1</v>
      </c>
      <c r="AM68" s="106"/>
      <c r="AN68" s="104"/>
      <c r="AO68" s="104"/>
      <c r="AP68" s="104">
        <v>1</v>
      </c>
      <c r="AQ68" s="104">
        <v>1</v>
      </c>
      <c r="AR68" s="104">
        <v>1</v>
      </c>
      <c r="AS68" s="106"/>
      <c r="AT68" s="104">
        <v>1</v>
      </c>
      <c r="AU68" s="106"/>
      <c r="AV68" s="106"/>
      <c r="AX68" s="99" t="s">
        <v>8438</v>
      </c>
      <c r="AZ68" s="94" t="s">
        <v>8788</v>
      </c>
    </row>
    <row r="69" spans="1:52">
      <c r="A69" s="25" t="s">
        <v>8789</v>
      </c>
      <c r="B69" s="25" t="s">
        <v>4398</v>
      </c>
      <c r="C69" s="25" t="s">
        <v>68</v>
      </c>
      <c r="D69" s="25" t="s">
        <v>8790</v>
      </c>
      <c r="E69" s="258" t="s">
        <v>8791</v>
      </c>
      <c r="F69" s="25" t="s">
        <v>8792</v>
      </c>
      <c r="G69" s="25" t="s">
        <v>7497</v>
      </c>
      <c r="H69" s="25" t="s">
        <v>8748</v>
      </c>
      <c r="I69" s="26" t="s">
        <v>7499</v>
      </c>
      <c r="J69" s="26">
        <v>202606.5</v>
      </c>
      <c r="K69" s="62" t="s">
        <v>8226</v>
      </c>
      <c r="L69" s="25" t="s">
        <v>73</v>
      </c>
      <c r="M69" s="25" t="s">
        <v>8793</v>
      </c>
      <c r="N69" s="25" t="s">
        <v>8794</v>
      </c>
      <c r="O69" s="30" t="s">
        <v>8795</v>
      </c>
      <c r="P69" s="26"/>
      <c r="Q69" s="104">
        <v>4</v>
      </c>
      <c r="R69" s="104" t="s">
        <v>4409</v>
      </c>
      <c r="S69" s="104" t="s">
        <v>8518</v>
      </c>
      <c r="T69" s="26" t="s">
        <v>77</v>
      </c>
      <c r="U69" s="30" t="s">
        <v>78</v>
      </c>
      <c r="V69" s="26" t="s">
        <v>79</v>
      </c>
      <c r="W69" s="38" t="s">
        <v>4997</v>
      </c>
      <c r="X69" s="26" t="s">
        <v>7505</v>
      </c>
      <c r="Y69" s="26" t="s">
        <v>81</v>
      </c>
      <c r="Z69" s="26" t="s">
        <v>81</v>
      </c>
      <c r="AA69" s="105" t="s">
        <v>172</v>
      </c>
      <c r="AB69" s="93" t="s">
        <v>17</v>
      </c>
      <c r="AC69" s="106" t="s">
        <v>172</v>
      </c>
      <c r="AD69" s="107" t="s">
        <v>173</v>
      </c>
      <c r="AE69" s="107" t="s">
        <v>174</v>
      </c>
      <c r="AF69" s="105" t="s">
        <v>175</v>
      </c>
      <c r="AG69" s="104">
        <f t="shared" si="4"/>
        <v>1</v>
      </c>
      <c r="AH69" s="104">
        <v>1</v>
      </c>
      <c r="AI69" s="104">
        <v>1</v>
      </c>
      <c r="AJ69" s="104">
        <v>1</v>
      </c>
      <c r="AK69" s="106"/>
      <c r="AL69" s="104">
        <f t="shared" si="3"/>
        <v>1</v>
      </c>
      <c r="AM69" s="106"/>
      <c r="AN69" s="104"/>
      <c r="AO69" s="104"/>
      <c r="AP69" s="104">
        <v>1</v>
      </c>
      <c r="AQ69" s="104">
        <v>1</v>
      </c>
      <c r="AR69" s="104">
        <v>1</v>
      </c>
      <c r="AS69" s="106"/>
      <c r="AT69" s="104">
        <v>1</v>
      </c>
      <c r="AU69" s="106"/>
      <c r="AV69" s="106"/>
      <c r="AX69" s="99" t="s">
        <v>8448</v>
      </c>
      <c r="AZ69" s="94" t="s">
        <v>8796</v>
      </c>
    </row>
    <row r="70" spans="1:52">
      <c r="A70" s="25" t="s">
        <v>8797</v>
      </c>
      <c r="B70" s="25" t="s">
        <v>4398</v>
      </c>
      <c r="C70" s="25" t="s">
        <v>68</v>
      </c>
      <c r="D70" s="25" t="s">
        <v>8798</v>
      </c>
      <c r="E70" s="258" t="s">
        <v>8799</v>
      </c>
      <c r="F70" s="25" t="s">
        <v>8800</v>
      </c>
      <c r="G70" s="25" t="s">
        <v>7497</v>
      </c>
      <c r="H70" s="25" t="s">
        <v>8748</v>
      </c>
      <c r="I70" s="26" t="s">
        <v>7499</v>
      </c>
      <c r="J70" s="26">
        <v>202606.5</v>
      </c>
      <c r="K70" s="62" t="s">
        <v>8226</v>
      </c>
      <c r="L70" s="25" t="s">
        <v>73</v>
      </c>
      <c r="M70" s="25" t="s">
        <v>8801</v>
      </c>
      <c r="N70" s="25" t="s">
        <v>8802</v>
      </c>
      <c r="O70" s="30" t="s">
        <v>8803</v>
      </c>
      <c r="P70" s="26"/>
      <c r="Q70" s="104">
        <v>4</v>
      </c>
      <c r="R70" s="104" t="s">
        <v>4409</v>
      </c>
      <c r="S70" s="104" t="s">
        <v>8619</v>
      </c>
      <c r="T70" s="26" t="s">
        <v>77</v>
      </c>
      <c r="U70" s="30" t="s">
        <v>78</v>
      </c>
      <c r="V70" s="26" t="s">
        <v>79</v>
      </c>
      <c r="W70" s="38" t="s">
        <v>4997</v>
      </c>
      <c r="X70" s="26" t="s">
        <v>7505</v>
      </c>
      <c r="Y70" s="26" t="s">
        <v>81</v>
      </c>
      <c r="Z70" s="26" t="s">
        <v>81</v>
      </c>
      <c r="AA70" s="105" t="s">
        <v>172</v>
      </c>
      <c r="AB70" s="93" t="s">
        <v>17</v>
      </c>
      <c r="AC70" s="106" t="s">
        <v>172</v>
      </c>
      <c r="AD70" s="107" t="s">
        <v>173</v>
      </c>
      <c r="AE70" s="107" t="s">
        <v>174</v>
      </c>
      <c r="AF70" s="105" t="s">
        <v>175</v>
      </c>
      <c r="AG70" s="104">
        <f t="shared" si="4"/>
        <v>1</v>
      </c>
      <c r="AH70" s="104">
        <v>1</v>
      </c>
      <c r="AI70" s="104">
        <v>1</v>
      </c>
      <c r="AJ70" s="104">
        <v>1</v>
      </c>
      <c r="AK70" s="106"/>
      <c r="AL70" s="104">
        <f t="shared" si="3"/>
        <v>1</v>
      </c>
      <c r="AM70" s="106"/>
      <c r="AN70" s="104"/>
      <c r="AO70" s="104"/>
      <c r="AP70" s="104">
        <v>1</v>
      </c>
      <c r="AQ70" s="104">
        <v>1</v>
      </c>
      <c r="AR70" s="104">
        <v>1</v>
      </c>
      <c r="AS70" s="106"/>
      <c r="AT70" s="104">
        <v>1</v>
      </c>
      <c r="AU70" s="106"/>
      <c r="AV70" s="106"/>
      <c r="AX70" s="99" t="s">
        <v>8804</v>
      </c>
      <c r="AZ70" s="94" t="s">
        <v>8805</v>
      </c>
    </row>
    <row r="71" spans="1:52">
      <c r="A71" s="25" t="s">
        <v>8806</v>
      </c>
      <c r="B71" s="25" t="s">
        <v>4398</v>
      </c>
      <c r="C71" s="25" t="s">
        <v>68</v>
      </c>
      <c r="D71" s="25" t="s">
        <v>8807</v>
      </c>
      <c r="E71" s="258" t="s">
        <v>8808</v>
      </c>
      <c r="F71" s="25" t="s">
        <v>8809</v>
      </c>
      <c r="G71" s="25" t="s">
        <v>7497</v>
      </c>
      <c r="H71" s="25" t="s">
        <v>8748</v>
      </c>
      <c r="I71" s="26" t="s">
        <v>7499</v>
      </c>
      <c r="J71" s="26">
        <v>202606.5</v>
      </c>
      <c r="K71" s="62" t="s">
        <v>8226</v>
      </c>
      <c r="L71" s="25" t="s">
        <v>73</v>
      </c>
      <c r="M71" s="25" t="s">
        <v>8810</v>
      </c>
      <c r="N71" s="25" t="s">
        <v>8811</v>
      </c>
      <c r="O71" s="30" t="s">
        <v>8812</v>
      </c>
      <c r="P71" s="26"/>
      <c r="Q71" s="104">
        <v>4</v>
      </c>
      <c r="R71" s="104" t="s">
        <v>4409</v>
      </c>
      <c r="S71" s="104" t="s">
        <v>8158</v>
      </c>
      <c r="T71" s="26" t="s">
        <v>77</v>
      </c>
      <c r="U71" s="30" t="s">
        <v>78</v>
      </c>
      <c r="V71" s="26" t="s">
        <v>79</v>
      </c>
      <c r="W71" s="38" t="s">
        <v>4997</v>
      </c>
      <c r="X71" s="26" t="s">
        <v>7505</v>
      </c>
      <c r="Y71" s="26" t="s">
        <v>81</v>
      </c>
      <c r="Z71" s="26" t="s">
        <v>81</v>
      </c>
      <c r="AA71" s="105" t="s">
        <v>172</v>
      </c>
      <c r="AB71" s="93" t="s">
        <v>17</v>
      </c>
      <c r="AC71" s="106" t="s">
        <v>172</v>
      </c>
      <c r="AD71" s="107" t="s">
        <v>173</v>
      </c>
      <c r="AE71" s="107" t="s">
        <v>174</v>
      </c>
      <c r="AF71" s="105" t="s">
        <v>175</v>
      </c>
      <c r="AG71" s="104">
        <f t="shared" si="4"/>
        <v>1</v>
      </c>
      <c r="AH71" s="104">
        <v>1</v>
      </c>
      <c r="AI71" s="104">
        <v>1</v>
      </c>
      <c r="AJ71" s="104">
        <v>1</v>
      </c>
      <c r="AK71" s="106"/>
      <c r="AL71" s="104">
        <f t="shared" si="3"/>
        <v>1</v>
      </c>
      <c r="AM71" s="106"/>
      <c r="AN71" s="104"/>
      <c r="AO71" s="104"/>
      <c r="AP71" s="104">
        <v>1</v>
      </c>
      <c r="AQ71" s="104">
        <v>1</v>
      </c>
      <c r="AR71" s="104">
        <v>1</v>
      </c>
      <c r="AS71" s="106"/>
      <c r="AT71" s="104">
        <v>1</v>
      </c>
      <c r="AU71" s="106"/>
      <c r="AV71" s="106"/>
      <c r="AX71" s="99" t="s">
        <v>8813</v>
      </c>
      <c r="AZ71" s="94" t="s">
        <v>8814</v>
      </c>
    </row>
    <row r="72" spans="1:52">
      <c r="A72" s="25" t="s">
        <v>8815</v>
      </c>
      <c r="B72" s="25" t="s">
        <v>4398</v>
      </c>
      <c r="C72" s="25" t="s">
        <v>68</v>
      </c>
      <c r="D72" s="25" t="s">
        <v>8816</v>
      </c>
      <c r="E72" s="258" t="s">
        <v>8817</v>
      </c>
      <c r="F72" s="25" t="s">
        <v>8818</v>
      </c>
      <c r="G72" s="25" t="s">
        <v>7497</v>
      </c>
      <c r="H72" s="25" t="s">
        <v>8748</v>
      </c>
      <c r="I72" s="26" t="s">
        <v>7499</v>
      </c>
      <c r="J72" s="26">
        <v>202606.5</v>
      </c>
      <c r="K72" s="62" t="s">
        <v>8226</v>
      </c>
      <c r="L72" s="25" t="s">
        <v>73</v>
      </c>
      <c r="M72" s="25" t="s">
        <v>8819</v>
      </c>
      <c r="N72" s="25" t="s">
        <v>8820</v>
      </c>
      <c r="O72" s="30" t="s">
        <v>8821</v>
      </c>
      <c r="P72" s="26"/>
      <c r="Q72" s="104">
        <v>4</v>
      </c>
      <c r="R72" s="104" t="s">
        <v>4409</v>
      </c>
      <c r="S72" s="104" t="s">
        <v>8822</v>
      </c>
      <c r="T72" s="26" t="s">
        <v>77</v>
      </c>
      <c r="U72" s="30" t="s">
        <v>78</v>
      </c>
      <c r="V72" s="26" t="s">
        <v>79</v>
      </c>
      <c r="W72" s="38" t="s">
        <v>4997</v>
      </c>
      <c r="X72" s="26" t="s">
        <v>7505</v>
      </c>
      <c r="Y72" s="26" t="s">
        <v>81</v>
      </c>
      <c r="Z72" s="26" t="s">
        <v>81</v>
      </c>
      <c r="AA72" s="105" t="s">
        <v>172</v>
      </c>
      <c r="AB72" s="93" t="s">
        <v>17</v>
      </c>
      <c r="AC72" s="106" t="s">
        <v>172</v>
      </c>
      <c r="AD72" s="107" t="s">
        <v>173</v>
      </c>
      <c r="AE72" s="107" t="s">
        <v>174</v>
      </c>
      <c r="AF72" s="105" t="s">
        <v>175</v>
      </c>
      <c r="AG72" s="104">
        <f t="shared" si="4"/>
        <v>1</v>
      </c>
      <c r="AH72" s="104">
        <v>1</v>
      </c>
      <c r="AI72" s="104">
        <v>1</v>
      </c>
      <c r="AJ72" s="104">
        <v>1</v>
      </c>
      <c r="AK72" s="106"/>
      <c r="AL72" s="104">
        <f t="shared" si="3"/>
        <v>1</v>
      </c>
      <c r="AM72" s="106"/>
      <c r="AN72" s="104"/>
      <c r="AO72" s="104"/>
      <c r="AP72" s="104">
        <v>1</v>
      </c>
      <c r="AQ72" s="104">
        <v>1</v>
      </c>
      <c r="AR72" s="104">
        <v>1</v>
      </c>
      <c r="AS72" s="106"/>
      <c r="AT72" s="104">
        <v>1</v>
      </c>
      <c r="AU72" s="106"/>
      <c r="AV72" s="106"/>
      <c r="AX72" s="99" t="s">
        <v>8823</v>
      </c>
      <c r="AZ72" s="94" t="s">
        <v>8775</v>
      </c>
    </row>
    <row r="73" spans="1:52">
      <c r="A73" s="25" t="s">
        <v>8824</v>
      </c>
      <c r="B73" s="25" t="s">
        <v>4398</v>
      </c>
      <c r="C73" s="25" t="s">
        <v>68</v>
      </c>
      <c r="D73" s="25" t="s">
        <v>8825</v>
      </c>
      <c r="E73" s="258" t="s">
        <v>8826</v>
      </c>
      <c r="F73" s="25" t="s">
        <v>8827</v>
      </c>
      <c r="G73" s="25" t="s">
        <v>7497</v>
      </c>
      <c r="H73" s="25" t="s">
        <v>8748</v>
      </c>
      <c r="I73" s="26" t="s">
        <v>7499</v>
      </c>
      <c r="J73" s="26">
        <v>202606.5</v>
      </c>
      <c r="K73" s="62" t="s">
        <v>8226</v>
      </c>
      <c r="L73" s="25" t="s">
        <v>73</v>
      </c>
      <c r="M73" s="25" t="s">
        <v>8828</v>
      </c>
      <c r="N73" s="25" t="s">
        <v>8829</v>
      </c>
      <c r="O73" s="30" t="s">
        <v>8830</v>
      </c>
      <c r="P73" s="26"/>
      <c r="Q73" s="104">
        <v>4</v>
      </c>
      <c r="R73" s="104" t="s">
        <v>4409</v>
      </c>
      <c r="S73" s="104" t="s">
        <v>7673</v>
      </c>
      <c r="T73" s="26" t="s">
        <v>77</v>
      </c>
      <c r="U73" s="30" t="s">
        <v>78</v>
      </c>
      <c r="V73" s="26" t="s">
        <v>79</v>
      </c>
      <c r="W73" s="38" t="s">
        <v>4997</v>
      </c>
      <c r="X73" s="26" t="s">
        <v>7505</v>
      </c>
      <c r="Y73" s="26" t="s">
        <v>81</v>
      </c>
      <c r="Z73" s="26" t="s">
        <v>81</v>
      </c>
      <c r="AA73" s="105" t="s">
        <v>172</v>
      </c>
      <c r="AB73" s="93" t="s">
        <v>17</v>
      </c>
      <c r="AC73" s="106" t="s">
        <v>172</v>
      </c>
      <c r="AD73" s="107" t="s">
        <v>173</v>
      </c>
      <c r="AE73" s="107" t="s">
        <v>174</v>
      </c>
      <c r="AF73" s="105" t="s">
        <v>175</v>
      </c>
      <c r="AG73" s="104">
        <f t="shared" si="4"/>
        <v>1</v>
      </c>
      <c r="AH73" s="104">
        <v>1</v>
      </c>
      <c r="AI73" s="104">
        <v>1</v>
      </c>
      <c r="AJ73" s="104">
        <v>1</v>
      </c>
      <c r="AK73" s="106"/>
      <c r="AL73" s="104">
        <f t="shared" si="3"/>
        <v>1</v>
      </c>
      <c r="AM73" s="106"/>
      <c r="AN73" s="104"/>
      <c r="AO73" s="104"/>
      <c r="AP73" s="104">
        <v>1</v>
      </c>
      <c r="AQ73" s="104">
        <v>1</v>
      </c>
      <c r="AR73" s="104">
        <v>1</v>
      </c>
      <c r="AS73" s="106"/>
      <c r="AT73" s="104">
        <v>1</v>
      </c>
      <c r="AU73" s="106"/>
      <c r="AV73" s="106"/>
      <c r="AX73" s="99" t="s">
        <v>8831</v>
      </c>
      <c r="AZ73" s="94" t="s">
        <v>8782</v>
      </c>
    </row>
    <row r="74" spans="1:52" customFormat="1" hidden="1">
      <c r="A74" s="111" t="s">
        <v>8832</v>
      </c>
      <c r="B74" s="111" t="s">
        <v>4398</v>
      </c>
      <c r="C74" s="25" t="s">
        <v>68</v>
      </c>
      <c r="D74" s="25" t="s">
        <v>8690</v>
      </c>
      <c r="E74" s="258" t="s">
        <v>8833</v>
      </c>
      <c r="F74" s="25" t="s">
        <v>8834</v>
      </c>
      <c r="G74" s="25" t="s">
        <v>7497</v>
      </c>
      <c r="H74" s="25" t="s">
        <v>8835</v>
      </c>
      <c r="I74" s="26" t="s">
        <v>7499</v>
      </c>
      <c r="J74" s="26">
        <v>202606.5</v>
      </c>
      <c r="K74" s="112" t="s">
        <v>166</v>
      </c>
      <c r="L74" s="25" t="s">
        <v>73</v>
      </c>
      <c r="M74" s="25" t="s">
        <v>8836</v>
      </c>
      <c r="N74" s="25" t="s">
        <v>8837</v>
      </c>
      <c r="O74" s="113" t="s">
        <v>8838</v>
      </c>
      <c r="P74" s="26"/>
      <c r="Q74" s="114">
        <v>4</v>
      </c>
      <c r="R74" s="114" t="s">
        <v>4409</v>
      </c>
      <c r="S74" s="114" t="s">
        <v>7530</v>
      </c>
      <c r="T74" s="26" t="s">
        <v>77</v>
      </c>
      <c r="U74" s="30" t="s">
        <v>78</v>
      </c>
      <c r="V74" s="26" t="s">
        <v>79</v>
      </c>
      <c r="W74" s="38" t="s">
        <v>4997</v>
      </c>
      <c r="X74" s="26" t="s">
        <v>7505</v>
      </c>
      <c r="Y74" s="26" t="s">
        <v>81</v>
      </c>
      <c r="Z74" s="26" t="s">
        <v>81</v>
      </c>
      <c r="AA74" s="115" t="s">
        <v>172</v>
      </c>
      <c r="AB74" s="93" t="s">
        <v>17</v>
      </c>
      <c r="AC74" s="116" t="s">
        <v>172</v>
      </c>
      <c r="AD74" s="117" t="s">
        <v>173</v>
      </c>
      <c r="AE74" s="117" t="s">
        <v>174</v>
      </c>
      <c r="AF74" s="115" t="s">
        <v>175</v>
      </c>
      <c r="AG74" s="118">
        <v>0</v>
      </c>
      <c r="AH74" s="114">
        <v>0</v>
      </c>
      <c r="AI74" s="116"/>
      <c r="AJ74" s="116"/>
      <c r="AK74" s="116"/>
      <c r="AL74" s="116"/>
      <c r="AM74" s="116"/>
      <c r="AN74" s="116"/>
      <c r="AO74" s="116"/>
      <c r="AP74" s="116"/>
      <c r="AQ74" s="116"/>
      <c r="AR74" s="116"/>
      <c r="AS74" s="116"/>
      <c r="AT74" s="114"/>
      <c r="AU74" s="116"/>
      <c r="AV74" s="116"/>
      <c r="AZ74" s="94" t="s">
        <v>8839</v>
      </c>
    </row>
    <row r="75" spans="1:52">
      <c r="A75" s="25" t="s">
        <v>8840</v>
      </c>
      <c r="B75" s="25" t="s">
        <v>4398</v>
      </c>
      <c r="C75" s="25" t="s">
        <v>68</v>
      </c>
      <c r="D75" s="25" t="s">
        <v>8735</v>
      </c>
      <c r="E75" s="258" t="s">
        <v>8841</v>
      </c>
      <c r="F75" s="25" t="s">
        <v>8842</v>
      </c>
      <c r="G75" s="25" t="s">
        <v>7497</v>
      </c>
      <c r="H75" s="25" t="s">
        <v>8835</v>
      </c>
      <c r="I75" s="26" t="s">
        <v>7499</v>
      </c>
      <c r="J75" s="26">
        <v>202606.5</v>
      </c>
      <c r="K75" s="62" t="s">
        <v>8226</v>
      </c>
      <c r="L75" s="25" t="s">
        <v>73</v>
      </c>
      <c r="M75" s="25" t="s">
        <v>8843</v>
      </c>
      <c r="N75" s="25" t="s">
        <v>8844</v>
      </c>
      <c r="O75" s="30" t="s">
        <v>8845</v>
      </c>
      <c r="P75" s="26"/>
      <c r="Q75" s="104">
        <v>4</v>
      </c>
      <c r="R75" s="104" t="s">
        <v>4409</v>
      </c>
      <c r="S75" s="104" t="s">
        <v>8846</v>
      </c>
      <c r="T75" s="26" t="s">
        <v>77</v>
      </c>
      <c r="U75" s="30" t="s">
        <v>78</v>
      </c>
      <c r="V75" s="26" t="s">
        <v>79</v>
      </c>
      <c r="W75" s="38" t="s">
        <v>4997</v>
      </c>
      <c r="X75" s="26" t="s">
        <v>7505</v>
      </c>
      <c r="Y75" s="26" t="s">
        <v>81</v>
      </c>
      <c r="Z75" s="26" t="s">
        <v>81</v>
      </c>
      <c r="AA75" s="105" t="s">
        <v>172</v>
      </c>
      <c r="AB75" s="93" t="s">
        <v>17</v>
      </c>
      <c r="AC75" s="106" t="s">
        <v>172</v>
      </c>
      <c r="AD75" s="107" t="s">
        <v>173</v>
      </c>
      <c r="AE75" s="107" t="s">
        <v>174</v>
      </c>
      <c r="AF75" s="105" t="s">
        <v>175</v>
      </c>
      <c r="AG75" s="104">
        <f t="shared" si="4"/>
        <v>1</v>
      </c>
      <c r="AH75" s="104">
        <v>1</v>
      </c>
      <c r="AI75" s="104">
        <v>1</v>
      </c>
      <c r="AJ75" s="104">
        <v>1</v>
      </c>
      <c r="AK75" s="106"/>
      <c r="AL75" s="104">
        <f t="shared" ref="AL75:AL106" si="5">IF(COUNTIF(AX:AX,"*"&amp;M75&amp;"*")&gt;0,1,0)</f>
        <v>1</v>
      </c>
      <c r="AM75" s="106"/>
      <c r="AN75" s="104"/>
      <c r="AO75" s="104"/>
      <c r="AP75" s="104">
        <v>1</v>
      </c>
      <c r="AQ75" s="104">
        <v>1</v>
      </c>
      <c r="AR75" s="104">
        <v>1</v>
      </c>
      <c r="AS75" s="106"/>
      <c r="AT75" s="104">
        <v>1</v>
      </c>
      <c r="AU75" s="106"/>
      <c r="AV75" s="106"/>
      <c r="AX75" s="99" t="s">
        <v>8847</v>
      </c>
      <c r="AZ75" s="94" t="s">
        <v>8000</v>
      </c>
    </row>
    <row r="76" spans="1:52">
      <c r="A76" s="25" t="s">
        <v>8848</v>
      </c>
      <c r="B76" s="25" t="s">
        <v>4398</v>
      </c>
      <c r="C76" s="25" t="s">
        <v>68</v>
      </c>
      <c r="D76" s="25" t="s">
        <v>8751</v>
      </c>
      <c r="E76" s="258" t="s">
        <v>8849</v>
      </c>
      <c r="F76" s="25" t="s">
        <v>8850</v>
      </c>
      <c r="G76" s="25" t="s">
        <v>7497</v>
      </c>
      <c r="H76" s="25" t="s">
        <v>8835</v>
      </c>
      <c r="I76" s="26" t="s">
        <v>7499</v>
      </c>
      <c r="J76" s="26">
        <v>202606.5</v>
      </c>
      <c r="K76" s="62" t="s">
        <v>8226</v>
      </c>
      <c r="L76" s="25" t="s">
        <v>73</v>
      </c>
      <c r="M76" s="25" t="s">
        <v>8851</v>
      </c>
      <c r="N76" s="25" t="s">
        <v>8852</v>
      </c>
      <c r="O76" s="30" t="s">
        <v>8853</v>
      </c>
      <c r="P76" s="26"/>
      <c r="Q76" s="104">
        <v>4</v>
      </c>
      <c r="R76" s="104" t="s">
        <v>4409</v>
      </c>
      <c r="S76" s="104" t="s">
        <v>7941</v>
      </c>
      <c r="T76" s="26" t="s">
        <v>77</v>
      </c>
      <c r="U76" s="30" t="s">
        <v>78</v>
      </c>
      <c r="V76" s="26" t="s">
        <v>79</v>
      </c>
      <c r="W76" s="38" t="s">
        <v>4997</v>
      </c>
      <c r="X76" s="26" t="s">
        <v>7505</v>
      </c>
      <c r="Y76" s="26" t="s">
        <v>81</v>
      </c>
      <c r="Z76" s="26" t="s">
        <v>81</v>
      </c>
      <c r="AA76" s="105" t="s">
        <v>172</v>
      </c>
      <c r="AB76" s="93" t="s">
        <v>17</v>
      </c>
      <c r="AC76" s="106" t="s">
        <v>172</v>
      </c>
      <c r="AD76" s="107" t="s">
        <v>173</v>
      </c>
      <c r="AE76" s="107" t="s">
        <v>174</v>
      </c>
      <c r="AF76" s="105" t="s">
        <v>175</v>
      </c>
      <c r="AG76" s="104">
        <f t="shared" si="4"/>
        <v>1</v>
      </c>
      <c r="AH76" s="104">
        <v>1</v>
      </c>
      <c r="AI76" s="104">
        <v>1</v>
      </c>
      <c r="AJ76" s="104">
        <v>1</v>
      </c>
      <c r="AK76" s="106"/>
      <c r="AL76" s="104">
        <f t="shared" si="5"/>
        <v>1</v>
      </c>
      <c r="AM76" s="106"/>
      <c r="AN76" s="104"/>
      <c r="AO76" s="104"/>
      <c r="AP76" s="104">
        <v>1</v>
      </c>
      <c r="AQ76" s="104">
        <v>1</v>
      </c>
      <c r="AR76" s="104">
        <v>1</v>
      </c>
      <c r="AS76" s="106"/>
      <c r="AT76" s="104">
        <v>1</v>
      </c>
      <c r="AU76" s="106"/>
      <c r="AV76" s="106"/>
      <c r="AX76" s="99" t="s">
        <v>8854</v>
      </c>
      <c r="AZ76" s="94" t="s">
        <v>8855</v>
      </c>
    </row>
    <row r="77" spans="1:52">
      <c r="A77" s="25" t="s">
        <v>8856</v>
      </c>
      <c r="B77" s="25" t="s">
        <v>4398</v>
      </c>
      <c r="C77" s="25" t="s">
        <v>68</v>
      </c>
      <c r="D77" s="25" t="s">
        <v>8773</v>
      </c>
      <c r="E77" s="258" t="s">
        <v>8857</v>
      </c>
      <c r="F77" s="25" t="s">
        <v>8858</v>
      </c>
      <c r="G77" s="25" t="s">
        <v>7497</v>
      </c>
      <c r="H77" s="25" t="s">
        <v>8835</v>
      </c>
      <c r="I77" s="26" t="s">
        <v>7499</v>
      </c>
      <c r="J77" s="26">
        <v>202606.5</v>
      </c>
      <c r="K77" s="62" t="s">
        <v>8226</v>
      </c>
      <c r="L77" s="25" t="s">
        <v>73</v>
      </c>
      <c r="M77" s="25" t="s">
        <v>8859</v>
      </c>
      <c r="N77" s="25" t="s">
        <v>8860</v>
      </c>
      <c r="O77" s="30" t="s">
        <v>8861</v>
      </c>
      <c r="P77" s="26"/>
      <c r="Q77" s="104">
        <v>4</v>
      </c>
      <c r="R77" s="104" t="s">
        <v>4409</v>
      </c>
      <c r="S77" s="104" t="s">
        <v>4440</v>
      </c>
      <c r="T77" s="26" t="s">
        <v>77</v>
      </c>
      <c r="U77" s="30" t="s">
        <v>78</v>
      </c>
      <c r="V77" s="26" t="s">
        <v>79</v>
      </c>
      <c r="W77" s="38" t="s">
        <v>4997</v>
      </c>
      <c r="X77" s="26" t="s">
        <v>7505</v>
      </c>
      <c r="Y77" s="26" t="s">
        <v>81</v>
      </c>
      <c r="Z77" s="26" t="s">
        <v>81</v>
      </c>
      <c r="AA77" s="105" t="s">
        <v>172</v>
      </c>
      <c r="AB77" s="93" t="s">
        <v>17</v>
      </c>
      <c r="AC77" s="106" t="s">
        <v>172</v>
      </c>
      <c r="AD77" s="107" t="s">
        <v>173</v>
      </c>
      <c r="AE77" s="107" t="s">
        <v>174</v>
      </c>
      <c r="AF77" s="105" t="s">
        <v>175</v>
      </c>
      <c r="AG77" s="104">
        <f t="shared" si="4"/>
        <v>1</v>
      </c>
      <c r="AH77" s="104">
        <v>1</v>
      </c>
      <c r="AI77" s="104">
        <v>1</v>
      </c>
      <c r="AJ77" s="104">
        <v>1</v>
      </c>
      <c r="AK77" s="106"/>
      <c r="AL77" s="104">
        <f t="shared" si="5"/>
        <v>1</v>
      </c>
      <c r="AM77" s="106"/>
      <c r="AN77" s="104"/>
      <c r="AO77" s="104"/>
      <c r="AP77" s="104">
        <v>1</v>
      </c>
      <c r="AQ77" s="104">
        <v>1</v>
      </c>
      <c r="AR77" s="104">
        <v>1</v>
      </c>
      <c r="AS77" s="106"/>
      <c r="AT77" s="104">
        <v>1</v>
      </c>
      <c r="AU77" s="106"/>
      <c r="AV77" s="106"/>
      <c r="AX77" s="99" t="s">
        <v>8862</v>
      </c>
      <c r="AZ77" s="94" t="s">
        <v>8863</v>
      </c>
    </row>
    <row r="78" spans="1:52">
      <c r="A78" s="25" t="s">
        <v>8864</v>
      </c>
      <c r="B78" s="25" t="s">
        <v>4398</v>
      </c>
      <c r="C78" s="25" t="s">
        <v>68</v>
      </c>
      <c r="D78" s="25" t="s">
        <v>8796</v>
      </c>
      <c r="E78" s="258" t="s">
        <v>8865</v>
      </c>
      <c r="F78" s="25" t="s">
        <v>8866</v>
      </c>
      <c r="G78" s="25" t="s">
        <v>7497</v>
      </c>
      <c r="H78" s="25" t="s">
        <v>8835</v>
      </c>
      <c r="I78" s="26" t="s">
        <v>7499</v>
      </c>
      <c r="J78" s="26">
        <v>202606.5</v>
      </c>
      <c r="K78" s="62" t="s">
        <v>8226</v>
      </c>
      <c r="L78" s="25" t="s">
        <v>73</v>
      </c>
      <c r="M78" s="25" t="s">
        <v>8867</v>
      </c>
      <c r="N78" s="25" t="s">
        <v>8868</v>
      </c>
      <c r="O78" s="30" t="s">
        <v>8869</v>
      </c>
      <c r="P78" s="26"/>
      <c r="Q78" s="104">
        <v>4</v>
      </c>
      <c r="R78" s="104" t="s">
        <v>4409</v>
      </c>
      <c r="S78" s="104" t="s">
        <v>8846</v>
      </c>
      <c r="T78" s="26" t="s">
        <v>77</v>
      </c>
      <c r="U78" s="30" t="s">
        <v>78</v>
      </c>
      <c r="V78" s="26" t="s">
        <v>79</v>
      </c>
      <c r="W78" s="38" t="s">
        <v>4997</v>
      </c>
      <c r="X78" s="26" t="s">
        <v>7505</v>
      </c>
      <c r="Y78" s="26" t="s">
        <v>81</v>
      </c>
      <c r="Z78" s="26" t="s">
        <v>81</v>
      </c>
      <c r="AA78" s="105" t="s">
        <v>172</v>
      </c>
      <c r="AB78" s="93" t="s">
        <v>17</v>
      </c>
      <c r="AC78" s="106" t="s">
        <v>172</v>
      </c>
      <c r="AD78" s="107" t="s">
        <v>173</v>
      </c>
      <c r="AE78" s="107" t="s">
        <v>174</v>
      </c>
      <c r="AF78" s="105" t="s">
        <v>175</v>
      </c>
      <c r="AG78" s="104">
        <f t="shared" si="4"/>
        <v>1</v>
      </c>
      <c r="AH78" s="104">
        <v>1</v>
      </c>
      <c r="AI78" s="104">
        <v>1</v>
      </c>
      <c r="AJ78" s="104">
        <v>1</v>
      </c>
      <c r="AK78" s="106"/>
      <c r="AL78" s="104">
        <f t="shared" si="5"/>
        <v>1</v>
      </c>
      <c r="AM78" s="106"/>
      <c r="AN78" s="104"/>
      <c r="AO78" s="104"/>
      <c r="AP78" s="104">
        <v>1</v>
      </c>
      <c r="AQ78" s="104">
        <v>1</v>
      </c>
      <c r="AR78" s="104">
        <v>1</v>
      </c>
      <c r="AS78" s="106"/>
      <c r="AT78" s="104">
        <v>1</v>
      </c>
      <c r="AU78" s="106"/>
      <c r="AV78" s="106"/>
      <c r="AX78" s="99" t="s">
        <v>8870</v>
      </c>
      <c r="AZ78" s="94" t="s">
        <v>8871</v>
      </c>
    </row>
    <row r="79" spans="1:52">
      <c r="A79" s="25" t="s">
        <v>8872</v>
      </c>
      <c r="B79" s="25" t="s">
        <v>4398</v>
      </c>
      <c r="C79" s="25" t="s">
        <v>68</v>
      </c>
      <c r="D79" s="25" t="s">
        <v>8863</v>
      </c>
      <c r="E79" s="258" t="s">
        <v>8873</v>
      </c>
      <c r="F79" s="25" t="s">
        <v>8874</v>
      </c>
      <c r="G79" s="25" t="s">
        <v>7497</v>
      </c>
      <c r="H79" s="25" t="s">
        <v>8835</v>
      </c>
      <c r="I79" s="26" t="s">
        <v>7499</v>
      </c>
      <c r="J79" s="26">
        <v>202606.5</v>
      </c>
      <c r="K79" s="62" t="s">
        <v>8226</v>
      </c>
      <c r="L79" s="25" t="s">
        <v>73</v>
      </c>
      <c r="M79" s="25" t="s">
        <v>8875</v>
      </c>
      <c r="N79" s="25" t="s">
        <v>8876</v>
      </c>
      <c r="O79" s="30" t="s">
        <v>8877</v>
      </c>
      <c r="P79" s="26"/>
      <c r="Q79" s="104">
        <v>4</v>
      </c>
      <c r="R79" s="104" t="s">
        <v>4409</v>
      </c>
      <c r="S79" s="104" t="s">
        <v>8518</v>
      </c>
      <c r="T79" s="26" t="s">
        <v>77</v>
      </c>
      <c r="U79" s="30" t="s">
        <v>78</v>
      </c>
      <c r="V79" s="26" t="s">
        <v>79</v>
      </c>
      <c r="W79" s="38" t="s">
        <v>4997</v>
      </c>
      <c r="X79" s="26" t="s">
        <v>7505</v>
      </c>
      <c r="Y79" s="26" t="s">
        <v>81</v>
      </c>
      <c r="Z79" s="26" t="s">
        <v>81</v>
      </c>
      <c r="AA79" s="105" t="s">
        <v>172</v>
      </c>
      <c r="AB79" s="93" t="s">
        <v>17</v>
      </c>
      <c r="AC79" s="106" t="s">
        <v>172</v>
      </c>
      <c r="AD79" s="107" t="s">
        <v>173</v>
      </c>
      <c r="AE79" s="107" t="s">
        <v>174</v>
      </c>
      <c r="AF79" s="105" t="s">
        <v>175</v>
      </c>
      <c r="AG79" s="104">
        <f t="shared" si="4"/>
        <v>1</v>
      </c>
      <c r="AH79" s="104">
        <v>1</v>
      </c>
      <c r="AI79" s="104">
        <v>1</v>
      </c>
      <c r="AJ79" s="104">
        <v>1</v>
      </c>
      <c r="AK79" s="106"/>
      <c r="AL79" s="104">
        <f t="shared" si="5"/>
        <v>1</v>
      </c>
      <c r="AM79" s="106"/>
      <c r="AN79" s="104"/>
      <c r="AO79" s="104"/>
      <c r="AP79" s="104">
        <v>1</v>
      </c>
      <c r="AQ79" s="104">
        <v>1</v>
      </c>
      <c r="AR79" s="104">
        <v>1</v>
      </c>
      <c r="AS79" s="106"/>
      <c r="AT79" s="104">
        <v>1</v>
      </c>
      <c r="AU79" s="106"/>
      <c r="AV79" s="106"/>
      <c r="AX79" s="99" t="s">
        <v>8843</v>
      </c>
      <c r="AZ79" s="94" t="s">
        <v>8878</v>
      </c>
    </row>
    <row r="80" spans="1:52">
      <c r="A80" s="25" t="s">
        <v>8879</v>
      </c>
      <c r="B80" s="25" t="s">
        <v>4398</v>
      </c>
      <c r="C80" s="25" t="s">
        <v>68</v>
      </c>
      <c r="D80" s="25" t="s">
        <v>8871</v>
      </c>
      <c r="E80" s="258" t="s">
        <v>8880</v>
      </c>
      <c r="F80" s="25" t="s">
        <v>8609</v>
      </c>
      <c r="G80" s="25" t="s">
        <v>7497</v>
      </c>
      <c r="H80" s="25" t="s">
        <v>8835</v>
      </c>
      <c r="I80" s="26" t="s">
        <v>7499</v>
      </c>
      <c r="J80" s="26">
        <v>202606.5</v>
      </c>
      <c r="K80" s="62" t="s">
        <v>8226</v>
      </c>
      <c r="L80" s="25" t="s">
        <v>73</v>
      </c>
      <c r="M80" s="25" t="s">
        <v>8881</v>
      </c>
      <c r="N80" s="25" t="s">
        <v>8882</v>
      </c>
      <c r="O80" s="30" t="s">
        <v>8883</v>
      </c>
      <c r="P80" s="26"/>
      <c r="Q80" s="104">
        <v>4</v>
      </c>
      <c r="R80" s="104" t="s">
        <v>4409</v>
      </c>
      <c r="S80" s="104" t="s">
        <v>4551</v>
      </c>
      <c r="T80" s="26" t="s">
        <v>77</v>
      </c>
      <c r="U80" s="30" t="s">
        <v>78</v>
      </c>
      <c r="V80" s="26" t="s">
        <v>79</v>
      </c>
      <c r="W80" s="38" t="s">
        <v>4997</v>
      </c>
      <c r="X80" s="26" t="s">
        <v>7505</v>
      </c>
      <c r="Y80" s="26" t="s">
        <v>81</v>
      </c>
      <c r="Z80" s="26" t="s">
        <v>81</v>
      </c>
      <c r="AA80" s="105" t="s">
        <v>172</v>
      </c>
      <c r="AB80" s="93" t="s">
        <v>17</v>
      </c>
      <c r="AC80" s="106" t="s">
        <v>172</v>
      </c>
      <c r="AD80" s="107" t="s">
        <v>173</v>
      </c>
      <c r="AE80" s="107" t="s">
        <v>174</v>
      </c>
      <c r="AF80" s="105" t="s">
        <v>175</v>
      </c>
      <c r="AG80" s="104">
        <f t="shared" si="4"/>
        <v>1</v>
      </c>
      <c r="AH80" s="104">
        <v>1</v>
      </c>
      <c r="AI80" s="104">
        <v>1</v>
      </c>
      <c r="AJ80" s="104">
        <v>1</v>
      </c>
      <c r="AK80" s="106"/>
      <c r="AL80" s="104">
        <f t="shared" si="5"/>
        <v>1</v>
      </c>
      <c r="AM80" s="106"/>
      <c r="AN80" s="104"/>
      <c r="AO80" s="104"/>
      <c r="AP80" s="104">
        <v>1</v>
      </c>
      <c r="AQ80" s="104">
        <v>1</v>
      </c>
      <c r="AR80" s="104">
        <v>1</v>
      </c>
      <c r="AS80" s="106"/>
      <c r="AT80" s="104">
        <v>1</v>
      </c>
      <c r="AU80" s="106"/>
      <c r="AV80" s="106"/>
      <c r="AX80" s="99" t="s">
        <v>8884</v>
      </c>
      <c r="AZ80" s="94" t="s">
        <v>8790</v>
      </c>
    </row>
    <row r="81" spans="1:52">
      <c r="A81" s="25" t="s">
        <v>8885</v>
      </c>
      <c r="B81" s="25" t="s">
        <v>4398</v>
      </c>
      <c r="C81" s="25" t="s">
        <v>68</v>
      </c>
      <c r="D81" s="25" t="s">
        <v>8886</v>
      </c>
      <c r="E81" s="258" t="s">
        <v>8887</v>
      </c>
      <c r="F81" s="25" t="s">
        <v>8888</v>
      </c>
      <c r="G81" s="25" t="s">
        <v>7497</v>
      </c>
      <c r="H81" s="25" t="s">
        <v>8835</v>
      </c>
      <c r="I81" s="26" t="s">
        <v>7499</v>
      </c>
      <c r="J81" s="26">
        <v>202606.5</v>
      </c>
      <c r="K81" s="62" t="s">
        <v>8226</v>
      </c>
      <c r="L81" s="25" t="s">
        <v>73</v>
      </c>
      <c r="M81" s="25" t="s">
        <v>8889</v>
      </c>
      <c r="N81" s="25" t="s">
        <v>8890</v>
      </c>
      <c r="O81" s="30" t="s">
        <v>8891</v>
      </c>
      <c r="P81" s="26"/>
      <c r="Q81" s="104">
        <v>4</v>
      </c>
      <c r="R81" s="104" t="s">
        <v>4409</v>
      </c>
      <c r="S81" s="104" t="s">
        <v>5074</v>
      </c>
      <c r="T81" s="26" t="s">
        <v>77</v>
      </c>
      <c r="U81" s="30" t="s">
        <v>78</v>
      </c>
      <c r="V81" s="26" t="s">
        <v>79</v>
      </c>
      <c r="W81" s="38" t="s">
        <v>4997</v>
      </c>
      <c r="X81" s="26" t="s">
        <v>7505</v>
      </c>
      <c r="Y81" s="26" t="s">
        <v>81</v>
      </c>
      <c r="Z81" s="26" t="s">
        <v>81</v>
      </c>
      <c r="AA81" s="105" t="s">
        <v>172</v>
      </c>
      <c r="AB81" s="93" t="s">
        <v>17</v>
      </c>
      <c r="AC81" s="106" t="s">
        <v>172</v>
      </c>
      <c r="AD81" s="107" t="s">
        <v>173</v>
      </c>
      <c r="AE81" s="107" t="s">
        <v>174</v>
      </c>
      <c r="AF81" s="105" t="s">
        <v>175</v>
      </c>
      <c r="AG81" s="104">
        <f t="shared" si="4"/>
        <v>1</v>
      </c>
      <c r="AH81" s="104">
        <v>1</v>
      </c>
      <c r="AI81" s="104">
        <v>1</v>
      </c>
      <c r="AJ81" s="104">
        <v>1</v>
      </c>
      <c r="AK81" s="106"/>
      <c r="AL81" s="104">
        <f t="shared" si="5"/>
        <v>1</v>
      </c>
      <c r="AM81" s="106"/>
      <c r="AN81" s="104"/>
      <c r="AO81" s="104"/>
      <c r="AP81" s="104">
        <v>1</v>
      </c>
      <c r="AQ81" s="104">
        <v>1</v>
      </c>
      <c r="AR81" s="104">
        <v>1</v>
      </c>
      <c r="AS81" s="106"/>
      <c r="AT81" s="104">
        <v>1</v>
      </c>
      <c r="AU81" s="106"/>
      <c r="AV81" s="106"/>
      <c r="AX81" s="99" t="s">
        <v>8851</v>
      </c>
      <c r="AZ81" s="94" t="s">
        <v>7977</v>
      </c>
    </row>
    <row r="82" spans="1:52">
      <c r="A82" s="25" t="s">
        <v>8892</v>
      </c>
      <c r="B82" s="25" t="s">
        <v>4398</v>
      </c>
      <c r="C82" s="25" t="s">
        <v>68</v>
      </c>
      <c r="D82" s="25" t="s">
        <v>8893</v>
      </c>
      <c r="E82" s="258" t="s">
        <v>8894</v>
      </c>
      <c r="F82" s="25" t="s">
        <v>8895</v>
      </c>
      <c r="G82" s="25" t="s">
        <v>7497</v>
      </c>
      <c r="H82" s="25" t="s">
        <v>8835</v>
      </c>
      <c r="I82" s="26" t="s">
        <v>7499</v>
      </c>
      <c r="J82" s="26">
        <v>202606.5</v>
      </c>
      <c r="K82" s="62" t="s">
        <v>8226</v>
      </c>
      <c r="L82" s="25" t="s">
        <v>73</v>
      </c>
      <c r="M82" s="25" t="s">
        <v>8896</v>
      </c>
      <c r="N82" s="25" t="s">
        <v>8897</v>
      </c>
      <c r="O82" s="30" t="s">
        <v>8898</v>
      </c>
      <c r="P82" s="26"/>
      <c r="Q82" s="104">
        <v>4</v>
      </c>
      <c r="R82" s="104" t="s">
        <v>4409</v>
      </c>
      <c r="S82" s="104" t="s">
        <v>8899</v>
      </c>
      <c r="T82" s="26" t="s">
        <v>77</v>
      </c>
      <c r="U82" s="30" t="s">
        <v>78</v>
      </c>
      <c r="V82" s="26" t="s">
        <v>79</v>
      </c>
      <c r="W82" s="38" t="s">
        <v>4997</v>
      </c>
      <c r="X82" s="26" t="s">
        <v>7505</v>
      </c>
      <c r="Y82" s="26" t="s">
        <v>81</v>
      </c>
      <c r="Z82" s="26" t="s">
        <v>81</v>
      </c>
      <c r="AA82" s="105" t="s">
        <v>172</v>
      </c>
      <c r="AB82" s="93" t="s">
        <v>17</v>
      </c>
      <c r="AC82" s="106" t="s">
        <v>172</v>
      </c>
      <c r="AD82" s="107" t="s">
        <v>173</v>
      </c>
      <c r="AE82" s="107" t="s">
        <v>174</v>
      </c>
      <c r="AF82" s="105" t="s">
        <v>175</v>
      </c>
      <c r="AG82" s="104">
        <f t="shared" si="4"/>
        <v>1</v>
      </c>
      <c r="AH82" s="104">
        <v>1</v>
      </c>
      <c r="AI82" s="104">
        <v>1</v>
      </c>
      <c r="AJ82" s="104">
        <v>1</v>
      </c>
      <c r="AK82" s="106"/>
      <c r="AL82" s="104">
        <f t="shared" si="5"/>
        <v>1</v>
      </c>
      <c r="AM82" s="106"/>
      <c r="AN82" s="104"/>
      <c r="AO82" s="104"/>
      <c r="AP82" s="104">
        <v>1</v>
      </c>
      <c r="AQ82" s="104">
        <v>1</v>
      </c>
      <c r="AR82" s="104">
        <v>1</v>
      </c>
      <c r="AS82" s="106"/>
      <c r="AT82" s="104">
        <v>1</v>
      </c>
      <c r="AU82" s="106"/>
      <c r="AV82" s="106"/>
      <c r="AX82" s="99" t="s">
        <v>8900</v>
      </c>
      <c r="AZ82" s="94" t="s">
        <v>8798</v>
      </c>
    </row>
    <row r="83" spans="1:52">
      <c r="A83" s="25" t="s">
        <v>8901</v>
      </c>
      <c r="B83" s="25" t="s">
        <v>4398</v>
      </c>
      <c r="C83" s="25" t="s">
        <v>73</v>
      </c>
      <c r="D83" s="25" t="s">
        <v>8902</v>
      </c>
      <c r="E83" s="258" t="s">
        <v>8903</v>
      </c>
      <c r="F83" s="25" t="s">
        <v>8904</v>
      </c>
      <c r="G83" s="25" t="s">
        <v>7497</v>
      </c>
      <c r="H83" s="25" t="s">
        <v>8835</v>
      </c>
      <c r="I83" s="26" t="s">
        <v>7499</v>
      </c>
      <c r="J83" s="26">
        <v>202606.5</v>
      </c>
      <c r="K83" s="62" t="s">
        <v>8226</v>
      </c>
      <c r="L83" s="25" t="s">
        <v>73</v>
      </c>
      <c r="M83" s="25" t="s">
        <v>8905</v>
      </c>
      <c r="N83" s="25" t="s">
        <v>8906</v>
      </c>
      <c r="O83" s="30" t="s">
        <v>8907</v>
      </c>
      <c r="P83" s="26"/>
      <c r="Q83" s="110">
        <v>4</v>
      </c>
      <c r="R83" s="110" t="s">
        <v>4409</v>
      </c>
      <c r="S83" s="110" t="s">
        <v>5045</v>
      </c>
      <c r="T83" s="26" t="s">
        <v>77</v>
      </c>
      <c r="U83" s="30" t="s">
        <v>78</v>
      </c>
      <c r="V83" s="26" t="s">
        <v>79</v>
      </c>
      <c r="W83" s="38" t="s">
        <v>4997</v>
      </c>
      <c r="X83" s="26" t="s">
        <v>7505</v>
      </c>
      <c r="Y83" s="26" t="s">
        <v>81</v>
      </c>
      <c r="Z83" s="26" t="s">
        <v>81</v>
      </c>
      <c r="AA83" s="105" t="s">
        <v>172</v>
      </c>
      <c r="AB83" s="93" t="s">
        <v>17</v>
      </c>
      <c r="AC83" s="106" t="s">
        <v>172</v>
      </c>
      <c r="AD83" s="107" t="s">
        <v>173</v>
      </c>
      <c r="AE83" s="107" t="s">
        <v>174</v>
      </c>
      <c r="AF83" s="105" t="s">
        <v>175</v>
      </c>
      <c r="AG83" s="104">
        <f t="shared" si="4"/>
        <v>1</v>
      </c>
      <c r="AH83" s="104">
        <v>1</v>
      </c>
      <c r="AI83" s="104">
        <v>1</v>
      </c>
      <c r="AJ83" s="104">
        <v>1</v>
      </c>
      <c r="AK83" s="106"/>
      <c r="AL83" s="104">
        <f t="shared" si="5"/>
        <v>1</v>
      </c>
      <c r="AM83" s="106"/>
      <c r="AN83" s="104"/>
      <c r="AO83" s="104"/>
      <c r="AP83" s="104">
        <v>1</v>
      </c>
      <c r="AQ83" s="104">
        <v>1</v>
      </c>
      <c r="AR83" s="104">
        <v>1</v>
      </c>
      <c r="AS83" s="106"/>
      <c r="AT83" s="104">
        <v>1</v>
      </c>
      <c r="AU83" s="106"/>
      <c r="AV83" s="106"/>
      <c r="AX83" s="99" t="s">
        <v>8908</v>
      </c>
      <c r="AZ83" s="94" t="s">
        <v>8807</v>
      </c>
    </row>
    <row r="84" spans="1:52">
      <c r="A84" s="25" t="s">
        <v>8909</v>
      </c>
      <c r="B84" s="25" t="s">
        <v>4398</v>
      </c>
      <c r="C84" s="25" t="s">
        <v>73</v>
      </c>
      <c r="D84" s="25" t="s">
        <v>8910</v>
      </c>
      <c r="E84" s="258" t="s">
        <v>8911</v>
      </c>
      <c r="F84" s="25" t="s">
        <v>8912</v>
      </c>
      <c r="G84" s="25" t="s">
        <v>7497</v>
      </c>
      <c r="H84" s="25" t="s">
        <v>8835</v>
      </c>
      <c r="I84" s="26" t="s">
        <v>7499</v>
      </c>
      <c r="J84" s="26">
        <v>202606.5</v>
      </c>
      <c r="K84" s="62" t="s">
        <v>8226</v>
      </c>
      <c r="L84" s="25" t="s">
        <v>73</v>
      </c>
      <c r="M84" s="25" t="s">
        <v>8913</v>
      </c>
      <c r="N84" s="25" t="s">
        <v>8914</v>
      </c>
      <c r="O84" s="30" t="s">
        <v>8915</v>
      </c>
      <c r="P84" s="26"/>
      <c r="Q84" s="110">
        <v>4</v>
      </c>
      <c r="R84" s="110" t="s">
        <v>4409</v>
      </c>
      <c r="S84" s="110" t="s">
        <v>5206</v>
      </c>
      <c r="T84" s="26" t="s">
        <v>77</v>
      </c>
      <c r="U84" s="30" t="s">
        <v>78</v>
      </c>
      <c r="V84" s="26" t="s">
        <v>79</v>
      </c>
      <c r="W84" s="38" t="s">
        <v>4997</v>
      </c>
      <c r="X84" s="26" t="s">
        <v>7505</v>
      </c>
      <c r="Y84" s="26" t="s">
        <v>81</v>
      </c>
      <c r="Z84" s="26" t="s">
        <v>81</v>
      </c>
      <c r="AA84" s="105" t="s">
        <v>172</v>
      </c>
      <c r="AB84" s="93" t="s">
        <v>17</v>
      </c>
      <c r="AC84" s="106" t="s">
        <v>172</v>
      </c>
      <c r="AD84" s="107" t="s">
        <v>173</v>
      </c>
      <c r="AE84" s="107" t="s">
        <v>174</v>
      </c>
      <c r="AF84" s="105" t="s">
        <v>175</v>
      </c>
      <c r="AG84" s="104">
        <f t="shared" si="4"/>
        <v>1</v>
      </c>
      <c r="AH84" s="104">
        <v>1</v>
      </c>
      <c r="AI84" s="104">
        <v>1</v>
      </c>
      <c r="AJ84" s="104">
        <v>1</v>
      </c>
      <c r="AK84" s="106"/>
      <c r="AL84" s="104">
        <f t="shared" si="5"/>
        <v>1</v>
      </c>
      <c r="AM84" s="106"/>
      <c r="AN84" s="104"/>
      <c r="AO84" s="104"/>
      <c r="AP84" s="104">
        <v>1</v>
      </c>
      <c r="AQ84" s="104">
        <v>1</v>
      </c>
      <c r="AR84" s="104">
        <v>1</v>
      </c>
      <c r="AS84" s="106"/>
      <c r="AT84" s="104">
        <v>1</v>
      </c>
      <c r="AU84" s="106"/>
      <c r="AV84" s="106"/>
      <c r="AX84" s="99" t="s">
        <v>8859</v>
      </c>
      <c r="AZ84" s="94" t="s">
        <v>8893</v>
      </c>
    </row>
    <row r="85" spans="1:52">
      <c r="A85" s="25" t="s">
        <v>8916</v>
      </c>
      <c r="B85" s="25" t="s">
        <v>4398</v>
      </c>
      <c r="C85" s="25" t="s">
        <v>68</v>
      </c>
      <c r="D85" s="25" t="s">
        <v>8662</v>
      </c>
      <c r="E85" s="258" t="s">
        <v>8917</v>
      </c>
      <c r="F85" s="25" t="s">
        <v>8918</v>
      </c>
      <c r="G85" s="25" t="s">
        <v>7497</v>
      </c>
      <c r="H85" s="25" t="s">
        <v>8919</v>
      </c>
      <c r="I85" s="26" t="s">
        <v>7499</v>
      </c>
      <c r="J85" s="26">
        <v>202606.5</v>
      </c>
      <c r="K85" s="62" t="s">
        <v>8226</v>
      </c>
      <c r="L85" s="25" t="s">
        <v>73</v>
      </c>
      <c r="M85" s="25" t="s">
        <v>8804</v>
      </c>
      <c r="N85" s="25" t="s">
        <v>8920</v>
      </c>
      <c r="O85" s="30" t="s">
        <v>8921</v>
      </c>
      <c r="P85" s="26"/>
      <c r="Q85" s="104">
        <v>4</v>
      </c>
      <c r="R85" s="104" t="s">
        <v>4409</v>
      </c>
      <c r="S85" s="104" t="s">
        <v>7941</v>
      </c>
      <c r="T85" s="26" t="s">
        <v>77</v>
      </c>
      <c r="U85" s="30" t="s">
        <v>78</v>
      </c>
      <c r="V85" s="26" t="s">
        <v>79</v>
      </c>
      <c r="W85" s="38" t="s">
        <v>4997</v>
      </c>
      <c r="X85" s="26" t="s">
        <v>7505</v>
      </c>
      <c r="Y85" s="26" t="s">
        <v>81</v>
      </c>
      <c r="Z85" s="26" t="s">
        <v>81</v>
      </c>
      <c r="AA85" s="105" t="s">
        <v>172</v>
      </c>
      <c r="AB85" s="93" t="s">
        <v>17</v>
      </c>
      <c r="AC85" s="106" t="s">
        <v>172</v>
      </c>
      <c r="AD85" s="107" t="s">
        <v>173</v>
      </c>
      <c r="AE85" s="107" t="s">
        <v>174</v>
      </c>
      <c r="AF85" s="105" t="s">
        <v>175</v>
      </c>
      <c r="AG85" s="104">
        <f t="shared" si="4"/>
        <v>1</v>
      </c>
      <c r="AH85" s="104">
        <v>1</v>
      </c>
      <c r="AI85" s="104">
        <v>1</v>
      </c>
      <c r="AJ85" s="104">
        <v>1</v>
      </c>
      <c r="AK85" s="106"/>
      <c r="AL85" s="104">
        <f t="shared" si="5"/>
        <v>1</v>
      </c>
      <c r="AM85" s="106"/>
      <c r="AN85" s="104"/>
      <c r="AO85" s="104"/>
      <c r="AP85" s="104">
        <v>1</v>
      </c>
      <c r="AQ85" s="104">
        <v>1</v>
      </c>
      <c r="AR85" s="104">
        <v>1</v>
      </c>
      <c r="AS85" s="106"/>
      <c r="AT85" s="104">
        <v>1</v>
      </c>
      <c r="AU85" s="106"/>
      <c r="AV85" s="106"/>
      <c r="AX85" s="99" t="s">
        <v>8922</v>
      </c>
      <c r="AZ85" s="94" t="s">
        <v>8816</v>
      </c>
    </row>
    <row r="86" spans="1:52">
      <c r="A86" s="25" t="s">
        <v>8923</v>
      </c>
      <c r="B86" s="25" t="s">
        <v>4398</v>
      </c>
      <c r="C86" s="25" t="s">
        <v>68</v>
      </c>
      <c r="D86" s="25" t="s">
        <v>8669</v>
      </c>
      <c r="E86" s="258" t="s">
        <v>8924</v>
      </c>
      <c r="F86" s="25" t="s">
        <v>8925</v>
      </c>
      <c r="G86" s="25" t="s">
        <v>7497</v>
      </c>
      <c r="H86" s="25" t="s">
        <v>8919</v>
      </c>
      <c r="I86" s="26" t="s">
        <v>7499</v>
      </c>
      <c r="J86" s="26">
        <v>202606.5</v>
      </c>
      <c r="K86" s="62" t="s">
        <v>8226</v>
      </c>
      <c r="L86" s="25" t="s">
        <v>73</v>
      </c>
      <c r="M86" s="25" t="s">
        <v>8813</v>
      </c>
      <c r="N86" s="25" t="s">
        <v>8926</v>
      </c>
      <c r="O86" s="30" t="s">
        <v>8927</v>
      </c>
      <c r="P86" s="26"/>
      <c r="Q86" s="104">
        <v>4</v>
      </c>
      <c r="R86" s="104" t="s">
        <v>4409</v>
      </c>
      <c r="S86" s="104" t="s">
        <v>7739</v>
      </c>
      <c r="T86" s="26" t="s">
        <v>77</v>
      </c>
      <c r="U86" s="30" t="s">
        <v>78</v>
      </c>
      <c r="V86" s="26" t="s">
        <v>79</v>
      </c>
      <c r="W86" s="38" t="s">
        <v>4997</v>
      </c>
      <c r="X86" s="26" t="s">
        <v>7505</v>
      </c>
      <c r="Y86" s="26" t="s">
        <v>81</v>
      </c>
      <c r="Z86" s="26" t="s">
        <v>81</v>
      </c>
      <c r="AA86" s="105" t="s">
        <v>172</v>
      </c>
      <c r="AB86" s="93" t="s">
        <v>17</v>
      </c>
      <c r="AC86" s="106" t="s">
        <v>172</v>
      </c>
      <c r="AD86" s="107" t="s">
        <v>173</v>
      </c>
      <c r="AE86" s="107" t="s">
        <v>174</v>
      </c>
      <c r="AF86" s="105" t="s">
        <v>175</v>
      </c>
      <c r="AG86" s="104">
        <f t="shared" si="4"/>
        <v>1</v>
      </c>
      <c r="AH86" s="104">
        <v>1</v>
      </c>
      <c r="AI86" s="104">
        <v>1</v>
      </c>
      <c r="AJ86" s="104">
        <v>1</v>
      </c>
      <c r="AK86" s="106"/>
      <c r="AL86" s="104">
        <f t="shared" si="5"/>
        <v>1</v>
      </c>
      <c r="AM86" s="106"/>
      <c r="AN86" s="104"/>
      <c r="AO86" s="104"/>
      <c r="AP86" s="104">
        <v>1</v>
      </c>
      <c r="AQ86" s="104">
        <v>1</v>
      </c>
      <c r="AR86" s="104">
        <v>1</v>
      </c>
      <c r="AS86" s="106"/>
      <c r="AT86" s="104">
        <v>1</v>
      </c>
      <c r="AU86" s="106"/>
      <c r="AV86" s="106"/>
      <c r="AX86" s="99" t="s">
        <v>8867</v>
      </c>
      <c r="AZ86" s="94" t="s">
        <v>8825</v>
      </c>
    </row>
    <row r="87" spans="1:52" ht="49.5">
      <c r="A87" s="25" t="s">
        <v>8928</v>
      </c>
      <c r="B87" s="25" t="s">
        <v>4398</v>
      </c>
      <c r="C87" s="25" t="s">
        <v>68</v>
      </c>
      <c r="D87" s="25" t="s">
        <v>8676</v>
      </c>
      <c r="E87" s="258" t="s">
        <v>8929</v>
      </c>
      <c r="F87" s="25" t="s">
        <v>8930</v>
      </c>
      <c r="G87" s="25" t="s">
        <v>7497</v>
      </c>
      <c r="H87" s="25" t="s">
        <v>8919</v>
      </c>
      <c r="I87" s="26" t="s">
        <v>7499</v>
      </c>
      <c r="J87" s="26">
        <v>202606.5</v>
      </c>
      <c r="K87" s="62" t="s">
        <v>8226</v>
      </c>
      <c r="L87" s="25" t="s">
        <v>73</v>
      </c>
      <c r="M87" s="25" t="s">
        <v>8823</v>
      </c>
      <c r="N87" s="25" t="s">
        <v>8931</v>
      </c>
      <c r="O87" s="30" t="s">
        <v>8932</v>
      </c>
      <c r="P87" s="26"/>
      <c r="Q87" s="104">
        <v>4</v>
      </c>
      <c r="R87" s="104" t="s">
        <v>4409</v>
      </c>
      <c r="S87" s="104" t="s">
        <v>4448</v>
      </c>
      <c r="T87" s="26" t="s">
        <v>77</v>
      </c>
      <c r="U87" s="30" t="s">
        <v>78</v>
      </c>
      <c r="V87" s="26" t="s">
        <v>79</v>
      </c>
      <c r="W87" s="38" t="s">
        <v>5168</v>
      </c>
      <c r="X87" s="26" t="s">
        <v>7505</v>
      </c>
      <c r="Y87" s="26" t="s">
        <v>81</v>
      </c>
      <c r="Z87" s="26" t="s">
        <v>81</v>
      </c>
      <c r="AA87" s="105" t="s">
        <v>172</v>
      </c>
      <c r="AB87" s="93" t="s">
        <v>17</v>
      </c>
      <c r="AC87" s="106" t="s">
        <v>172</v>
      </c>
      <c r="AD87" s="107" t="s">
        <v>173</v>
      </c>
      <c r="AE87" s="107" t="s">
        <v>174</v>
      </c>
      <c r="AF87" s="105" t="s">
        <v>175</v>
      </c>
      <c r="AG87" s="104">
        <f t="shared" si="4"/>
        <v>1</v>
      </c>
      <c r="AH87" s="104">
        <v>1</v>
      </c>
      <c r="AI87" s="104">
        <v>1</v>
      </c>
      <c r="AJ87" s="104">
        <v>1</v>
      </c>
      <c r="AK87" s="106"/>
      <c r="AL87" s="104">
        <f t="shared" si="5"/>
        <v>1</v>
      </c>
      <c r="AM87" s="106"/>
      <c r="AN87" s="104"/>
      <c r="AO87" s="104"/>
      <c r="AP87" s="104">
        <v>1</v>
      </c>
      <c r="AQ87" s="104">
        <v>1</v>
      </c>
      <c r="AR87" s="108" t="s">
        <v>8261</v>
      </c>
      <c r="AS87" s="105" t="s">
        <v>8933</v>
      </c>
      <c r="AT87" s="107">
        <v>1</v>
      </c>
      <c r="AU87" s="106"/>
      <c r="AV87" s="106"/>
      <c r="AX87" s="99" t="s">
        <v>8934</v>
      </c>
      <c r="AZ87" s="94" t="s">
        <v>8902</v>
      </c>
    </row>
    <row r="88" spans="1:52">
      <c r="A88" s="25" t="s">
        <v>8935</v>
      </c>
      <c r="B88" s="25" t="s">
        <v>4398</v>
      </c>
      <c r="C88" s="25" t="s">
        <v>68</v>
      </c>
      <c r="D88" s="25" t="s">
        <v>8683</v>
      </c>
      <c r="E88" s="258" t="s">
        <v>8936</v>
      </c>
      <c r="F88" s="25" t="s">
        <v>3024</v>
      </c>
      <c r="G88" s="25" t="s">
        <v>7497</v>
      </c>
      <c r="H88" s="25" t="s">
        <v>8919</v>
      </c>
      <c r="I88" s="26" t="s">
        <v>7499</v>
      </c>
      <c r="J88" s="26">
        <v>202606.5</v>
      </c>
      <c r="K88" s="62" t="s">
        <v>8226</v>
      </c>
      <c r="L88" s="25" t="s">
        <v>73</v>
      </c>
      <c r="M88" s="25" t="s">
        <v>8831</v>
      </c>
      <c r="N88" s="25" t="s">
        <v>8937</v>
      </c>
      <c r="O88" s="30" t="s">
        <v>8938</v>
      </c>
      <c r="P88" s="26"/>
      <c r="Q88" s="104">
        <v>4</v>
      </c>
      <c r="R88" s="104" t="s">
        <v>4409</v>
      </c>
      <c r="S88" s="104" t="s">
        <v>4982</v>
      </c>
      <c r="T88" s="26" t="s">
        <v>77</v>
      </c>
      <c r="U88" s="30" t="s">
        <v>78</v>
      </c>
      <c r="V88" s="26" t="s">
        <v>79</v>
      </c>
      <c r="W88" s="38" t="s">
        <v>5168</v>
      </c>
      <c r="X88" s="26" t="s">
        <v>7505</v>
      </c>
      <c r="Y88" s="26" t="s">
        <v>81</v>
      </c>
      <c r="Z88" s="26" t="s">
        <v>81</v>
      </c>
      <c r="AA88" s="105" t="s">
        <v>172</v>
      </c>
      <c r="AB88" s="93" t="s">
        <v>17</v>
      </c>
      <c r="AC88" s="106" t="s">
        <v>172</v>
      </c>
      <c r="AD88" s="107" t="s">
        <v>173</v>
      </c>
      <c r="AE88" s="107" t="s">
        <v>174</v>
      </c>
      <c r="AF88" s="105" t="s">
        <v>175</v>
      </c>
      <c r="AG88" s="104">
        <f t="shared" si="4"/>
        <v>1</v>
      </c>
      <c r="AH88" s="104">
        <v>1</v>
      </c>
      <c r="AI88" s="104">
        <v>1</v>
      </c>
      <c r="AJ88" s="104">
        <v>1</v>
      </c>
      <c r="AK88" s="106"/>
      <c r="AL88" s="104">
        <f t="shared" si="5"/>
        <v>1</v>
      </c>
      <c r="AM88" s="106"/>
      <c r="AN88" s="104"/>
      <c r="AO88" s="104"/>
      <c r="AP88" s="104">
        <v>1</v>
      </c>
      <c r="AQ88" s="104">
        <v>1</v>
      </c>
      <c r="AR88" s="104">
        <v>1</v>
      </c>
      <c r="AS88" s="106"/>
      <c r="AT88" s="104">
        <v>1</v>
      </c>
      <c r="AU88" s="106"/>
      <c r="AV88" s="106"/>
      <c r="AX88" s="99" t="s">
        <v>8939</v>
      </c>
      <c r="AZ88" s="94" t="s">
        <v>8910</v>
      </c>
    </row>
    <row r="89" spans="1:52">
      <c r="A89" s="25" t="s">
        <v>8940</v>
      </c>
      <c r="B89" s="25" t="s">
        <v>4398</v>
      </c>
      <c r="C89" s="25" t="s">
        <v>68</v>
      </c>
      <c r="D89" s="25" t="s">
        <v>8697</v>
      </c>
      <c r="E89" s="258" t="s">
        <v>8941</v>
      </c>
      <c r="F89" s="25" t="s">
        <v>8942</v>
      </c>
      <c r="G89" s="25" t="s">
        <v>7497</v>
      </c>
      <c r="H89" s="25" t="s">
        <v>8919</v>
      </c>
      <c r="I89" s="26" t="s">
        <v>7499</v>
      </c>
      <c r="J89" s="26">
        <v>202606.5</v>
      </c>
      <c r="K89" s="62" t="s">
        <v>8226</v>
      </c>
      <c r="L89" s="25" t="s">
        <v>73</v>
      </c>
      <c r="M89" s="25" t="s">
        <v>8847</v>
      </c>
      <c r="N89" s="25" t="s">
        <v>8943</v>
      </c>
      <c r="O89" s="30" t="s">
        <v>8944</v>
      </c>
      <c r="P89" s="26"/>
      <c r="Q89" s="104">
        <v>4</v>
      </c>
      <c r="R89" s="104" t="s">
        <v>4409</v>
      </c>
      <c r="S89" s="104" t="s">
        <v>5074</v>
      </c>
      <c r="T89" s="26" t="s">
        <v>77</v>
      </c>
      <c r="U89" s="30" t="s">
        <v>78</v>
      </c>
      <c r="V89" s="26" t="s">
        <v>79</v>
      </c>
      <c r="W89" s="38" t="s">
        <v>5168</v>
      </c>
      <c r="X89" s="26" t="s">
        <v>7505</v>
      </c>
      <c r="Y89" s="26" t="s">
        <v>81</v>
      </c>
      <c r="Z89" s="26" t="s">
        <v>81</v>
      </c>
      <c r="AA89" s="105" t="s">
        <v>172</v>
      </c>
      <c r="AB89" s="93" t="s">
        <v>17</v>
      </c>
      <c r="AC89" s="106" t="s">
        <v>172</v>
      </c>
      <c r="AD89" s="107" t="s">
        <v>173</v>
      </c>
      <c r="AE89" s="107" t="s">
        <v>174</v>
      </c>
      <c r="AF89" s="105" t="s">
        <v>175</v>
      </c>
      <c r="AG89" s="104">
        <f t="shared" si="4"/>
        <v>1</v>
      </c>
      <c r="AH89" s="104">
        <v>1</v>
      </c>
      <c r="AI89" s="104">
        <v>1</v>
      </c>
      <c r="AJ89" s="104">
        <v>1</v>
      </c>
      <c r="AK89" s="106"/>
      <c r="AL89" s="104">
        <f t="shared" si="5"/>
        <v>1</v>
      </c>
      <c r="AM89" s="106"/>
      <c r="AN89" s="104"/>
      <c r="AO89" s="104"/>
      <c r="AP89" s="104">
        <v>1</v>
      </c>
      <c r="AQ89" s="104">
        <v>1</v>
      </c>
      <c r="AR89" s="104">
        <v>1</v>
      </c>
      <c r="AS89" s="106"/>
      <c r="AT89" s="104">
        <v>1</v>
      </c>
      <c r="AU89" s="106"/>
      <c r="AV89" s="106"/>
      <c r="AX89" s="99" t="s">
        <v>8778</v>
      </c>
      <c r="AZ89" s="75" t="s">
        <v>8522</v>
      </c>
    </row>
    <row r="90" spans="1:52">
      <c r="A90" s="25" t="s">
        <v>8945</v>
      </c>
      <c r="B90" s="25" t="s">
        <v>4398</v>
      </c>
      <c r="C90" s="25" t="s">
        <v>68</v>
      </c>
      <c r="D90" s="25" t="s">
        <v>8706</v>
      </c>
      <c r="E90" s="258" t="s">
        <v>8946</v>
      </c>
      <c r="F90" s="25" t="s">
        <v>8947</v>
      </c>
      <c r="G90" s="25" t="s">
        <v>7497</v>
      </c>
      <c r="H90" s="25" t="s">
        <v>8919</v>
      </c>
      <c r="I90" s="26" t="s">
        <v>7499</v>
      </c>
      <c r="J90" s="26">
        <v>202606.5</v>
      </c>
      <c r="K90" s="62" t="s">
        <v>8226</v>
      </c>
      <c r="L90" s="25" t="s">
        <v>73</v>
      </c>
      <c r="M90" s="25" t="s">
        <v>8854</v>
      </c>
      <c r="N90" s="25" t="s">
        <v>8948</v>
      </c>
      <c r="O90" s="30" t="s">
        <v>8949</v>
      </c>
      <c r="P90" s="26"/>
      <c r="Q90" s="104">
        <v>4</v>
      </c>
      <c r="R90" s="104" t="s">
        <v>4409</v>
      </c>
      <c r="S90" s="104" t="s">
        <v>8950</v>
      </c>
      <c r="T90" s="26" t="s">
        <v>77</v>
      </c>
      <c r="U90" s="30" t="s">
        <v>78</v>
      </c>
      <c r="V90" s="26" t="s">
        <v>79</v>
      </c>
      <c r="W90" s="38" t="s">
        <v>5168</v>
      </c>
      <c r="X90" s="26" t="s">
        <v>7505</v>
      </c>
      <c r="Y90" s="26" t="s">
        <v>81</v>
      </c>
      <c r="Z90" s="26" t="s">
        <v>81</v>
      </c>
      <c r="AA90" s="105" t="s">
        <v>172</v>
      </c>
      <c r="AB90" s="93" t="s">
        <v>17</v>
      </c>
      <c r="AC90" s="106" t="s">
        <v>172</v>
      </c>
      <c r="AD90" s="107" t="s">
        <v>173</v>
      </c>
      <c r="AE90" s="107" t="s">
        <v>174</v>
      </c>
      <c r="AF90" s="105" t="s">
        <v>175</v>
      </c>
      <c r="AG90" s="104">
        <f t="shared" si="4"/>
        <v>1</v>
      </c>
      <c r="AH90" s="104">
        <v>1</v>
      </c>
      <c r="AI90" s="104">
        <v>1</v>
      </c>
      <c r="AJ90" s="104">
        <v>1</v>
      </c>
      <c r="AK90" s="106"/>
      <c r="AL90" s="104">
        <f t="shared" si="5"/>
        <v>1</v>
      </c>
      <c r="AM90" s="106"/>
      <c r="AN90" s="104"/>
      <c r="AO90" s="104"/>
      <c r="AP90" s="104">
        <v>1</v>
      </c>
      <c r="AQ90" s="104">
        <v>1</v>
      </c>
      <c r="AR90" s="104">
        <v>1</v>
      </c>
      <c r="AS90" s="106"/>
      <c r="AT90" s="104">
        <v>1</v>
      </c>
      <c r="AU90" s="106"/>
      <c r="AV90" s="106"/>
      <c r="AX90" s="99" t="s">
        <v>8356</v>
      </c>
      <c r="AZ90" s="94" t="s">
        <v>8484</v>
      </c>
    </row>
    <row r="91" spans="1:52">
      <c r="A91" s="25" t="s">
        <v>8951</v>
      </c>
      <c r="B91" s="49" t="s">
        <v>4880</v>
      </c>
      <c r="C91" s="25" t="s">
        <v>73</v>
      </c>
      <c r="D91" s="25" t="s">
        <v>8713</v>
      </c>
      <c r="E91" s="258" t="s">
        <v>8952</v>
      </c>
      <c r="F91" s="25" t="s">
        <v>8953</v>
      </c>
      <c r="G91" s="25" t="s">
        <v>7497</v>
      </c>
      <c r="H91" s="25" t="s">
        <v>8919</v>
      </c>
      <c r="I91" s="26" t="s">
        <v>7499</v>
      </c>
      <c r="J91" s="26">
        <v>202606.5</v>
      </c>
      <c r="K91" s="62" t="s">
        <v>8226</v>
      </c>
      <c r="L91" s="25" t="s">
        <v>73</v>
      </c>
      <c r="M91" s="25" t="s">
        <v>8862</v>
      </c>
      <c r="N91" s="25" t="s">
        <v>8954</v>
      </c>
      <c r="O91" s="30" t="s">
        <v>8955</v>
      </c>
      <c r="P91" s="26"/>
      <c r="Q91" s="110">
        <v>4</v>
      </c>
      <c r="R91" s="110" t="s">
        <v>4409</v>
      </c>
      <c r="S91" s="110" t="s">
        <v>8956</v>
      </c>
      <c r="T91" s="26" t="s">
        <v>77</v>
      </c>
      <c r="U91" s="30" t="s">
        <v>78</v>
      </c>
      <c r="V91" s="26" t="s">
        <v>79</v>
      </c>
      <c r="W91" s="38" t="s">
        <v>5168</v>
      </c>
      <c r="X91" s="26" t="s">
        <v>7505</v>
      </c>
      <c r="Y91" s="26" t="s">
        <v>81</v>
      </c>
      <c r="Z91" s="26" t="s">
        <v>81</v>
      </c>
      <c r="AA91" s="105" t="s">
        <v>172</v>
      </c>
      <c r="AB91" s="93" t="s">
        <v>17</v>
      </c>
      <c r="AC91" s="106" t="s">
        <v>172</v>
      </c>
      <c r="AD91" s="107" t="s">
        <v>173</v>
      </c>
      <c r="AE91" s="107" t="s">
        <v>174</v>
      </c>
      <c r="AF91" s="105" t="s">
        <v>175</v>
      </c>
      <c r="AG91" s="104">
        <f t="shared" si="4"/>
        <v>1</v>
      </c>
      <c r="AH91" s="104">
        <v>1</v>
      </c>
      <c r="AI91" s="104">
        <v>1</v>
      </c>
      <c r="AJ91" s="104">
        <v>1</v>
      </c>
      <c r="AK91" s="106"/>
      <c r="AL91" s="104">
        <f t="shared" si="5"/>
        <v>1</v>
      </c>
      <c r="AM91" s="106"/>
      <c r="AN91" s="104"/>
      <c r="AO91" s="104"/>
      <c r="AP91" s="104">
        <v>1</v>
      </c>
      <c r="AQ91" s="104">
        <v>1</v>
      </c>
      <c r="AR91" s="104">
        <v>1</v>
      </c>
      <c r="AS91" s="106"/>
      <c r="AT91" s="104">
        <v>1</v>
      </c>
      <c r="AU91" s="106"/>
      <c r="AV91" s="106"/>
      <c r="AX91" s="99" t="s">
        <v>8957</v>
      </c>
      <c r="AZ91" s="94" t="s">
        <v>8533</v>
      </c>
    </row>
    <row r="92" spans="1:52">
      <c r="A92" s="25" t="s">
        <v>8958</v>
      </c>
      <c r="B92" s="49" t="s">
        <v>4880</v>
      </c>
      <c r="C92" s="25" t="s">
        <v>73</v>
      </c>
      <c r="D92" s="25" t="s">
        <v>8720</v>
      </c>
      <c r="E92" s="258" t="s">
        <v>8959</v>
      </c>
      <c r="F92" s="25" t="s">
        <v>8960</v>
      </c>
      <c r="G92" s="25" t="s">
        <v>7497</v>
      </c>
      <c r="H92" s="25" t="s">
        <v>8919</v>
      </c>
      <c r="I92" s="26" t="s">
        <v>7499</v>
      </c>
      <c r="J92" s="26">
        <v>202606.5</v>
      </c>
      <c r="K92" s="62" t="s">
        <v>8226</v>
      </c>
      <c r="L92" s="25" t="s">
        <v>73</v>
      </c>
      <c r="M92" s="25" t="s">
        <v>8870</v>
      </c>
      <c r="N92" s="25" t="s">
        <v>8961</v>
      </c>
      <c r="O92" s="30" t="s">
        <v>8962</v>
      </c>
      <c r="P92" s="26"/>
      <c r="Q92" s="110">
        <v>4</v>
      </c>
      <c r="R92" s="110" t="s">
        <v>4409</v>
      </c>
      <c r="S92" s="110" t="s">
        <v>8963</v>
      </c>
      <c r="T92" s="26" t="s">
        <v>77</v>
      </c>
      <c r="U92" s="30" t="s">
        <v>78</v>
      </c>
      <c r="V92" s="26" t="s">
        <v>79</v>
      </c>
      <c r="W92" s="38" t="s">
        <v>5168</v>
      </c>
      <c r="X92" s="26" t="s">
        <v>7505</v>
      </c>
      <c r="Y92" s="26" t="s">
        <v>81</v>
      </c>
      <c r="Z92" s="26" t="s">
        <v>81</v>
      </c>
      <c r="AA92" s="105" t="s">
        <v>172</v>
      </c>
      <c r="AB92" s="93" t="s">
        <v>17</v>
      </c>
      <c r="AC92" s="106" t="s">
        <v>172</v>
      </c>
      <c r="AD92" s="107" t="s">
        <v>173</v>
      </c>
      <c r="AE92" s="107" t="s">
        <v>174</v>
      </c>
      <c r="AF92" s="105" t="s">
        <v>175</v>
      </c>
      <c r="AG92" s="104">
        <f t="shared" si="4"/>
        <v>1</v>
      </c>
      <c r="AH92" s="104">
        <v>1</v>
      </c>
      <c r="AI92" s="104">
        <v>1</v>
      </c>
      <c r="AJ92" s="104">
        <v>1</v>
      </c>
      <c r="AK92" s="106"/>
      <c r="AL92" s="104">
        <f t="shared" si="5"/>
        <v>1</v>
      </c>
      <c r="AM92" s="106"/>
      <c r="AN92" s="104"/>
      <c r="AO92" s="104"/>
      <c r="AP92" s="104">
        <v>1</v>
      </c>
      <c r="AQ92" s="104">
        <v>1</v>
      </c>
      <c r="AR92" s="104">
        <v>1</v>
      </c>
      <c r="AS92" s="106"/>
      <c r="AT92" s="104">
        <v>1</v>
      </c>
      <c r="AU92" s="106"/>
      <c r="AV92" s="106"/>
      <c r="AX92" s="99" t="s">
        <v>8913</v>
      </c>
      <c r="AZ92" s="94" t="s">
        <v>8542</v>
      </c>
    </row>
    <row r="93" spans="1:52">
      <c r="A93" s="25" t="s">
        <v>8964</v>
      </c>
      <c r="B93" s="25" t="s">
        <v>4398</v>
      </c>
      <c r="C93" s="25" t="s">
        <v>68</v>
      </c>
      <c r="D93" s="25" t="s">
        <v>8727</v>
      </c>
      <c r="E93" s="258" t="s">
        <v>8965</v>
      </c>
      <c r="F93" s="25" t="s">
        <v>8966</v>
      </c>
      <c r="G93" s="25" t="s">
        <v>7497</v>
      </c>
      <c r="H93" s="25" t="s">
        <v>8919</v>
      </c>
      <c r="I93" s="26" t="s">
        <v>7499</v>
      </c>
      <c r="J93" s="26">
        <v>202606.5</v>
      </c>
      <c r="K93" s="62" t="s">
        <v>8226</v>
      </c>
      <c r="L93" s="25" t="s">
        <v>73</v>
      </c>
      <c r="M93" s="25" t="s">
        <v>8957</v>
      </c>
      <c r="N93" s="25" t="s">
        <v>8967</v>
      </c>
      <c r="O93" s="30" t="s">
        <v>8968</v>
      </c>
      <c r="P93" s="26"/>
      <c r="Q93" s="104">
        <v>4</v>
      </c>
      <c r="R93" s="104" t="s">
        <v>4409</v>
      </c>
      <c r="S93" s="104" t="s">
        <v>8969</v>
      </c>
      <c r="T93" s="26" t="s">
        <v>77</v>
      </c>
      <c r="U93" s="30" t="s">
        <v>78</v>
      </c>
      <c r="V93" s="26" t="s">
        <v>79</v>
      </c>
      <c r="W93" s="38" t="s">
        <v>5168</v>
      </c>
      <c r="X93" s="26" t="s">
        <v>7505</v>
      </c>
      <c r="Y93" s="26" t="s">
        <v>81</v>
      </c>
      <c r="Z93" s="26" t="s">
        <v>81</v>
      </c>
      <c r="AA93" s="105" t="s">
        <v>172</v>
      </c>
      <c r="AB93" s="93" t="s">
        <v>17</v>
      </c>
      <c r="AC93" s="106" t="s">
        <v>172</v>
      </c>
      <c r="AD93" s="107" t="s">
        <v>173</v>
      </c>
      <c r="AE93" s="107" t="s">
        <v>174</v>
      </c>
      <c r="AF93" s="105" t="s">
        <v>175</v>
      </c>
      <c r="AG93" s="104">
        <f t="shared" si="4"/>
        <v>1</v>
      </c>
      <c r="AH93" s="104">
        <v>1</v>
      </c>
      <c r="AI93" s="104">
        <v>1</v>
      </c>
      <c r="AJ93" s="104">
        <v>1</v>
      </c>
      <c r="AK93" s="106"/>
      <c r="AL93" s="104">
        <f t="shared" si="5"/>
        <v>1</v>
      </c>
      <c r="AM93" s="106"/>
      <c r="AN93" s="104"/>
      <c r="AO93" s="104"/>
      <c r="AP93" s="104">
        <v>1</v>
      </c>
      <c r="AQ93" s="104">
        <v>1</v>
      </c>
      <c r="AR93" s="104">
        <v>1</v>
      </c>
      <c r="AS93" s="106"/>
      <c r="AT93" s="104">
        <v>1</v>
      </c>
      <c r="AU93" s="106"/>
      <c r="AV93" s="106"/>
      <c r="AX93" s="99" t="s">
        <v>8819</v>
      </c>
      <c r="AZ93" s="94" t="s">
        <v>8551</v>
      </c>
    </row>
    <row r="94" spans="1:52">
      <c r="A94" s="25" t="s">
        <v>8970</v>
      </c>
      <c r="B94" s="25" t="s">
        <v>4398</v>
      </c>
      <c r="C94" s="25" t="s">
        <v>68</v>
      </c>
      <c r="D94" s="25" t="s">
        <v>8743</v>
      </c>
      <c r="E94" s="258" t="s">
        <v>8971</v>
      </c>
      <c r="F94" s="25" t="s">
        <v>8972</v>
      </c>
      <c r="G94" s="25" t="s">
        <v>7497</v>
      </c>
      <c r="H94" s="25" t="s">
        <v>8919</v>
      </c>
      <c r="I94" s="26" t="s">
        <v>7499</v>
      </c>
      <c r="J94" s="26">
        <v>202606.5</v>
      </c>
      <c r="K94" s="62" t="s">
        <v>8226</v>
      </c>
      <c r="L94" s="25" t="s">
        <v>73</v>
      </c>
      <c r="M94" s="25" t="s">
        <v>8884</v>
      </c>
      <c r="N94" s="25" t="s">
        <v>8973</v>
      </c>
      <c r="O94" s="30" t="s">
        <v>8974</v>
      </c>
      <c r="P94" s="26"/>
      <c r="Q94" s="104">
        <v>4</v>
      </c>
      <c r="R94" s="104" t="s">
        <v>4409</v>
      </c>
      <c r="S94" s="104" t="s">
        <v>8975</v>
      </c>
      <c r="T94" s="26" t="s">
        <v>77</v>
      </c>
      <c r="U94" s="30" t="s">
        <v>78</v>
      </c>
      <c r="V94" s="26" t="s">
        <v>79</v>
      </c>
      <c r="W94" s="38" t="s">
        <v>5168</v>
      </c>
      <c r="X94" s="26" t="s">
        <v>7505</v>
      </c>
      <c r="Y94" s="26" t="s">
        <v>81</v>
      </c>
      <c r="Z94" s="26" t="s">
        <v>81</v>
      </c>
      <c r="AA94" s="105" t="s">
        <v>172</v>
      </c>
      <c r="AB94" s="93" t="s">
        <v>17</v>
      </c>
      <c r="AC94" s="106" t="s">
        <v>172</v>
      </c>
      <c r="AD94" s="107" t="s">
        <v>173</v>
      </c>
      <c r="AE94" s="107" t="s">
        <v>174</v>
      </c>
      <c r="AF94" s="105" t="s">
        <v>175</v>
      </c>
      <c r="AG94" s="104">
        <f t="shared" si="4"/>
        <v>1</v>
      </c>
      <c r="AH94" s="104">
        <v>1</v>
      </c>
      <c r="AI94" s="104">
        <v>1</v>
      </c>
      <c r="AJ94" s="104">
        <v>1</v>
      </c>
      <c r="AK94" s="106"/>
      <c r="AL94" s="104">
        <f t="shared" si="5"/>
        <v>1</v>
      </c>
      <c r="AM94" s="106"/>
      <c r="AN94" s="104"/>
      <c r="AO94" s="104"/>
      <c r="AP94" s="104">
        <v>1</v>
      </c>
      <c r="AQ94" s="104">
        <v>1</v>
      </c>
      <c r="AR94" s="104">
        <v>1</v>
      </c>
      <c r="AS94" s="106"/>
      <c r="AT94" s="104">
        <v>1</v>
      </c>
      <c r="AU94" s="106"/>
      <c r="AV94" s="106"/>
      <c r="AX94" s="99" t="s">
        <v>8881</v>
      </c>
      <c r="AZ94" s="94" t="s">
        <v>8345</v>
      </c>
    </row>
    <row r="95" spans="1:52">
      <c r="A95" s="25" t="s">
        <v>8976</v>
      </c>
      <c r="B95" s="25" t="s">
        <v>4398</v>
      </c>
      <c r="C95" s="25" t="s">
        <v>68</v>
      </c>
      <c r="D95" s="25" t="s">
        <v>8758</v>
      </c>
      <c r="E95" s="258" t="s">
        <v>8977</v>
      </c>
      <c r="F95" s="25" t="s">
        <v>8978</v>
      </c>
      <c r="G95" s="25" t="s">
        <v>7497</v>
      </c>
      <c r="H95" s="25" t="s">
        <v>8919</v>
      </c>
      <c r="I95" s="26" t="s">
        <v>7499</v>
      </c>
      <c r="J95" s="26">
        <v>202606.5</v>
      </c>
      <c r="K95" s="62" t="s">
        <v>8226</v>
      </c>
      <c r="L95" s="25" t="s">
        <v>73</v>
      </c>
      <c r="M95" s="25" t="s">
        <v>8900</v>
      </c>
      <c r="N95" s="25" t="s">
        <v>8979</v>
      </c>
      <c r="O95" s="30" t="s">
        <v>8980</v>
      </c>
      <c r="P95" s="26"/>
      <c r="Q95" s="104">
        <v>4</v>
      </c>
      <c r="R95" s="104" t="s">
        <v>4409</v>
      </c>
      <c r="S95" s="104" t="s">
        <v>7806</v>
      </c>
      <c r="T95" s="26" t="s">
        <v>77</v>
      </c>
      <c r="U95" s="30" t="s">
        <v>78</v>
      </c>
      <c r="V95" s="26" t="s">
        <v>79</v>
      </c>
      <c r="W95" s="38" t="s">
        <v>5168</v>
      </c>
      <c r="X95" s="26" t="s">
        <v>7505</v>
      </c>
      <c r="Y95" s="26" t="s">
        <v>81</v>
      </c>
      <c r="Z95" s="26" t="s">
        <v>81</v>
      </c>
      <c r="AA95" s="105" t="s">
        <v>172</v>
      </c>
      <c r="AB95" s="93" t="s">
        <v>17</v>
      </c>
      <c r="AC95" s="106" t="s">
        <v>172</v>
      </c>
      <c r="AD95" s="107" t="s">
        <v>173</v>
      </c>
      <c r="AE95" s="107" t="s">
        <v>174</v>
      </c>
      <c r="AF95" s="105" t="s">
        <v>175</v>
      </c>
      <c r="AG95" s="104">
        <f t="shared" si="4"/>
        <v>1</v>
      </c>
      <c r="AH95" s="104">
        <v>1</v>
      </c>
      <c r="AI95" s="104">
        <v>1</v>
      </c>
      <c r="AJ95" s="104">
        <v>1</v>
      </c>
      <c r="AK95" s="106"/>
      <c r="AL95" s="104">
        <f t="shared" si="5"/>
        <v>1</v>
      </c>
      <c r="AM95" s="106"/>
      <c r="AN95" s="104"/>
      <c r="AO95" s="104"/>
      <c r="AP95" s="104">
        <v>1</v>
      </c>
      <c r="AQ95" s="104">
        <v>1</v>
      </c>
      <c r="AR95" s="104">
        <v>1</v>
      </c>
      <c r="AS95" s="106"/>
      <c r="AT95" s="104">
        <v>1</v>
      </c>
      <c r="AU95" s="106"/>
      <c r="AV95" s="106"/>
      <c r="AX95" s="99" t="s">
        <v>8793</v>
      </c>
      <c r="AZ95" s="94" t="s">
        <v>8353</v>
      </c>
    </row>
    <row r="96" spans="1:52">
      <c r="A96" s="25" t="s">
        <v>8981</v>
      </c>
      <c r="B96" s="25" t="s">
        <v>4398</v>
      </c>
      <c r="C96" s="25" t="s">
        <v>68</v>
      </c>
      <c r="D96" s="25" t="s">
        <v>8765</v>
      </c>
      <c r="E96" s="258" t="s">
        <v>8982</v>
      </c>
      <c r="F96" s="25" t="s">
        <v>8983</v>
      </c>
      <c r="G96" s="25" t="s">
        <v>7497</v>
      </c>
      <c r="H96" s="25" t="s">
        <v>8919</v>
      </c>
      <c r="I96" s="26" t="s">
        <v>7499</v>
      </c>
      <c r="J96" s="26">
        <v>202606.5</v>
      </c>
      <c r="K96" s="62" t="s">
        <v>8226</v>
      </c>
      <c r="L96" s="25" t="s">
        <v>73</v>
      </c>
      <c r="M96" s="25" t="s">
        <v>8908</v>
      </c>
      <c r="N96" s="25" t="s">
        <v>8984</v>
      </c>
      <c r="O96" s="30" t="s">
        <v>8985</v>
      </c>
      <c r="P96" s="26"/>
      <c r="Q96" s="104">
        <v>4</v>
      </c>
      <c r="R96" s="104" t="s">
        <v>4409</v>
      </c>
      <c r="S96" s="104" t="s">
        <v>8588</v>
      </c>
      <c r="T96" s="26" t="s">
        <v>77</v>
      </c>
      <c r="U96" s="30" t="s">
        <v>78</v>
      </c>
      <c r="V96" s="26" t="s">
        <v>79</v>
      </c>
      <c r="W96" s="38" t="s">
        <v>5168</v>
      </c>
      <c r="X96" s="26" t="s">
        <v>7505</v>
      </c>
      <c r="Y96" s="26" t="s">
        <v>81</v>
      </c>
      <c r="Z96" s="26" t="s">
        <v>81</v>
      </c>
      <c r="AA96" s="105" t="s">
        <v>172</v>
      </c>
      <c r="AB96" s="93" t="s">
        <v>17</v>
      </c>
      <c r="AC96" s="106" t="s">
        <v>172</v>
      </c>
      <c r="AD96" s="107" t="s">
        <v>173</v>
      </c>
      <c r="AE96" s="107" t="s">
        <v>174</v>
      </c>
      <c r="AF96" s="105" t="s">
        <v>175</v>
      </c>
      <c r="AG96" s="104">
        <f t="shared" si="4"/>
        <v>1</v>
      </c>
      <c r="AH96" s="104">
        <v>1</v>
      </c>
      <c r="AI96" s="104">
        <v>1</v>
      </c>
      <c r="AJ96" s="104">
        <v>1</v>
      </c>
      <c r="AK96" s="106"/>
      <c r="AL96" s="104">
        <f t="shared" si="5"/>
        <v>1</v>
      </c>
      <c r="AM96" s="106"/>
      <c r="AN96" s="104"/>
      <c r="AO96" s="104"/>
      <c r="AP96" s="104">
        <v>1</v>
      </c>
      <c r="AQ96" s="104">
        <v>1</v>
      </c>
      <c r="AR96" s="104">
        <v>1</v>
      </c>
      <c r="AS96" s="106"/>
      <c r="AT96" s="104">
        <v>1</v>
      </c>
      <c r="AU96" s="106"/>
      <c r="AV96" s="106"/>
      <c r="AX96" s="99" t="s">
        <v>8905</v>
      </c>
      <c r="AZ96" s="94" t="s">
        <v>8362</v>
      </c>
    </row>
    <row r="97" spans="1:52">
      <c r="A97" s="25" t="s">
        <v>8986</v>
      </c>
      <c r="B97" s="25" t="s">
        <v>4398</v>
      </c>
      <c r="C97" s="25" t="s">
        <v>68</v>
      </c>
      <c r="D97" s="25" t="s">
        <v>8788</v>
      </c>
      <c r="E97" s="258" t="s">
        <v>8987</v>
      </c>
      <c r="F97" s="25" t="s">
        <v>8988</v>
      </c>
      <c r="G97" s="25" t="s">
        <v>7497</v>
      </c>
      <c r="H97" s="25" t="s">
        <v>8919</v>
      </c>
      <c r="I97" s="26" t="s">
        <v>7499</v>
      </c>
      <c r="J97" s="26">
        <v>202606.5</v>
      </c>
      <c r="K97" s="62" t="s">
        <v>8226</v>
      </c>
      <c r="L97" s="25" t="s">
        <v>73</v>
      </c>
      <c r="M97" s="25" t="s">
        <v>8922</v>
      </c>
      <c r="N97" s="25" t="s">
        <v>8989</v>
      </c>
      <c r="O97" s="30" t="s">
        <v>8990</v>
      </c>
      <c r="P97" s="26"/>
      <c r="Q97" s="104">
        <v>4</v>
      </c>
      <c r="R97" s="104" t="s">
        <v>4409</v>
      </c>
      <c r="S97" s="104" t="s">
        <v>8991</v>
      </c>
      <c r="T97" s="26" t="s">
        <v>77</v>
      </c>
      <c r="U97" s="30" t="s">
        <v>78</v>
      </c>
      <c r="V97" s="26" t="s">
        <v>79</v>
      </c>
      <c r="W97" s="38" t="s">
        <v>5168</v>
      </c>
      <c r="X97" s="26" t="s">
        <v>7505</v>
      </c>
      <c r="Y97" s="26" t="s">
        <v>81</v>
      </c>
      <c r="Z97" s="26" t="s">
        <v>81</v>
      </c>
      <c r="AA97" s="105" t="s">
        <v>172</v>
      </c>
      <c r="AB97" s="93" t="s">
        <v>17</v>
      </c>
      <c r="AC97" s="106" t="s">
        <v>172</v>
      </c>
      <c r="AD97" s="107" t="s">
        <v>173</v>
      </c>
      <c r="AE97" s="107" t="s">
        <v>174</v>
      </c>
      <c r="AF97" s="105" t="s">
        <v>175</v>
      </c>
      <c r="AG97" s="104">
        <f t="shared" si="4"/>
        <v>1</v>
      </c>
      <c r="AH97" s="104">
        <v>1</v>
      </c>
      <c r="AI97" s="104">
        <v>1</v>
      </c>
      <c r="AJ97" s="104">
        <v>1</v>
      </c>
      <c r="AK97" s="106"/>
      <c r="AL97" s="104">
        <f t="shared" si="5"/>
        <v>1</v>
      </c>
      <c r="AM97" s="106"/>
      <c r="AN97" s="104"/>
      <c r="AO97" s="104"/>
      <c r="AP97" s="104">
        <v>1</v>
      </c>
      <c r="AQ97" s="104">
        <v>1</v>
      </c>
      <c r="AR97" s="104">
        <v>1</v>
      </c>
      <c r="AS97" s="106"/>
      <c r="AT97" s="104">
        <v>1</v>
      </c>
      <c r="AU97" s="106"/>
      <c r="AV97" s="106"/>
      <c r="AX97" s="99" t="s">
        <v>8992</v>
      </c>
      <c r="AZ97" s="94" t="s">
        <v>8370</v>
      </c>
    </row>
    <row r="98" spans="1:52">
      <c r="A98" s="25" t="s">
        <v>8993</v>
      </c>
      <c r="B98" s="25" t="s">
        <v>4398</v>
      </c>
      <c r="C98" s="25" t="s">
        <v>68</v>
      </c>
      <c r="D98" s="25" t="s">
        <v>8805</v>
      </c>
      <c r="E98" s="258" t="s">
        <v>8994</v>
      </c>
      <c r="F98" s="25" t="s">
        <v>8995</v>
      </c>
      <c r="G98" s="25" t="s">
        <v>7497</v>
      </c>
      <c r="H98" s="25" t="s">
        <v>8919</v>
      </c>
      <c r="I98" s="26" t="s">
        <v>7499</v>
      </c>
      <c r="J98" s="26">
        <v>202606.5</v>
      </c>
      <c r="K98" s="62" t="s">
        <v>8226</v>
      </c>
      <c r="L98" s="25" t="s">
        <v>73</v>
      </c>
      <c r="M98" s="25" t="s">
        <v>8934</v>
      </c>
      <c r="N98" s="25" t="s">
        <v>8996</v>
      </c>
      <c r="O98" s="30" t="s">
        <v>8997</v>
      </c>
      <c r="P98" s="26"/>
      <c r="Q98" s="104">
        <v>4</v>
      </c>
      <c r="R98" s="104" t="s">
        <v>4409</v>
      </c>
      <c r="S98" s="104" t="s">
        <v>8460</v>
      </c>
      <c r="T98" s="26" t="s">
        <v>77</v>
      </c>
      <c r="U98" s="30" t="s">
        <v>78</v>
      </c>
      <c r="V98" s="26" t="s">
        <v>79</v>
      </c>
      <c r="W98" s="38" t="s">
        <v>5168</v>
      </c>
      <c r="X98" s="26" t="s">
        <v>7505</v>
      </c>
      <c r="Y98" s="26" t="s">
        <v>81</v>
      </c>
      <c r="Z98" s="26" t="s">
        <v>81</v>
      </c>
      <c r="AA98" s="105" t="s">
        <v>172</v>
      </c>
      <c r="AB98" s="93" t="s">
        <v>17</v>
      </c>
      <c r="AC98" s="106" t="s">
        <v>172</v>
      </c>
      <c r="AD98" s="107" t="s">
        <v>173</v>
      </c>
      <c r="AE98" s="107" t="s">
        <v>174</v>
      </c>
      <c r="AF98" s="105" t="s">
        <v>175</v>
      </c>
      <c r="AG98" s="104">
        <f t="shared" si="4"/>
        <v>1</v>
      </c>
      <c r="AH98" s="104">
        <v>1</v>
      </c>
      <c r="AI98" s="104">
        <v>1</v>
      </c>
      <c r="AJ98" s="104">
        <v>1</v>
      </c>
      <c r="AK98" s="106"/>
      <c r="AL98" s="104">
        <f t="shared" si="5"/>
        <v>1</v>
      </c>
      <c r="AM98" s="106"/>
      <c r="AN98" s="104"/>
      <c r="AO98" s="104"/>
      <c r="AP98" s="104">
        <v>1</v>
      </c>
      <c r="AQ98" s="104">
        <v>1</v>
      </c>
      <c r="AR98" s="104">
        <v>1</v>
      </c>
      <c r="AS98" s="106"/>
      <c r="AT98" s="104">
        <v>1</v>
      </c>
      <c r="AU98" s="106"/>
      <c r="AV98" s="106"/>
      <c r="AX98" s="99" t="s">
        <v>8998</v>
      </c>
      <c r="AZ98" s="94" t="s">
        <v>8494</v>
      </c>
    </row>
    <row r="99" spans="1:52">
      <c r="A99" s="25" t="s">
        <v>8999</v>
      </c>
      <c r="B99" s="25" t="s">
        <v>4398</v>
      </c>
      <c r="C99" s="25" t="s">
        <v>68</v>
      </c>
      <c r="D99" s="25" t="s">
        <v>8814</v>
      </c>
      <c r="E99" s="258" t="s">
        <v>9000</v>
      </c>
      <c r="F99" s="25" t="s">
        <v>9001</v>
      </c>
      <c r="G99" s="25" t="s">
        <v>7497</v>
      </c>
      <c r="H99" s="25" t="s">
        <v>8919</v>
      </c>
      <c r="I99" s="26" t="s">
        <v>7499</v>
      </c>
      <c r="J99" s="26">
        <v>202606.5</v>
      </c>
      <c r="K99" s="62" t="s">
        <v>8226</v>
      </c>
      <c r="L99" s="25" t="s">
        <v>73</v>
      </c>
      <c r="M99" s="25" t="s">
        <v>8939</v>
      </c>
      <c r="N99" s="25" t="s">
        <v>9002</v>
      </c>
      <c r="O99" s="30" t="s">
        <v>9003</v>
      </c>
      <c r="P99" s="26"/>
      <c r="Q99" s="104">
        <v>4</v>
      </c>
      <c r="R99" s="104" t="s">
        <v>4409</v>
      </c>
      <c r="S99" s="104" t="s">
        <v>9004</v>
      </c>
      <c r="T99" s="26" t="s">
        <v>77</v>
      </c>
      <c r="U99" s="30" t="s">
        <v>78</v>
      </c>
      <c r="V99" s="26" t="s">
        <v>79</v>
      </c>
      <c r="W99" s="38" t="s">
        <v>5168</v>
      </c>
      <c r="X99" s="26" t="s">
        <v>7505</v>
      </c>
      <c r="Y99" s="26" t="s">
        <v>81</v>
      </c>
      <c r="Z99" s="26" t="s">
        <v>81</v>
      </c>
      <c r="AA99" s="105" t="s">
        <v>172</v>
      </c>
      <c r="AB99" s="93" t="s">
        <v>17</v>
      </c>
      <c r="AC99" s="106" t="s">
        <v>172</v>
      </c>
      <c r="AD99" s="107" t="s">
        <v>173</v>
      </c>
      <c r="AE99" s="107" t="s">
        <v>174</v>
      </c>
      <c r="AF99" s="105" t="s">
        <v>175</v>
      </c>
      <c r="AG99" s="104">
        <f t="shared" ref="AG99:AG139" si="6">IF(COUNTIF(AZ:AZ,D99)&gt;0,1,0)</f>
        <v>1</v>
      </c>
      <c r="AH99" s="104">
        <v>1</v>
      </c>
      <c r="AI99" s="104">
        <v>1</v>
      </c>
      <c r="AJ99" s="104">
        <v>1</v>
      </c>
      <c r="AK99" s="106"/>
      <c r="AL99" s="104">
        <f t="shared" si="5"/>
        <v>1</v>
      </c>
      <c r="AM99" s="106"/>
      <c r="AN99" s="104"/>
      <c r="AO99" s="104"/>
      <c r="AP99" s="104">
        <v>1</v>
      </c>
      <c r="AQ99" s="104">
        <v>1</v>
      </c>
      <c r="AR99" s="104">
        <v>1</v>
      </c>
      <c r="AS99" s="106"/>
      <c r="AT99" s="104">
        <v>1</v>
      </c>
      <c r="AU99" s="106"/>
      <c r="AV99" s="106"/>
      <c r="AX99" s="99" t="s">
        <v>8875</v>
      </c>
      <c r="AZ99" s="94" t="s">
        <v>8378</v>
      </c>
    </row>
    <row r="100" spans="1:52">
      <c r="A100" s="25" t="s">
        <v>9005</v>
      </c>
      <c r="B100" s="25" t="s">
        <v>4398</v>
      </c>
      <c r="C100" s="25" t="s">
        <v>68</v>
      </c>
      <c r="D100" s="25" t="s">
        <v>8839</v>
      </c>
      <c r="E100" s="258" t="s">
        <v>9006</v>
      </c>
      <c r="F100" s="25" t="s">
        <v>9007</v>
      </c>
      <c r="G100" s="25" t="s">
        <v>7497</v>
      </c>
      <c r="H100" s="25" t="s">
        <v>8919</v>
      </c>
      <c r="I100" s="26" t="s">
        <v>7499</v>
      </c>
      <c r="J100" s="26">
        <v>202606.5</v>
      </c>
      <c r="K100" s="62" t="s">
        <v>8226</v>
      </c>
      <c r="L100" s="25" t="s">
        <v>73</v>
      </c>
      <c r="M100" s="25" t="s">
        <v>8992</v>
      </c>
      <c r="N100" s="25" t="s">
        <v>9008</v>
      </c>
      <c r="O100" s="30" t="s">
        <v>9009</v>
      </c>
      <c r="P100" s="26"/>
      <c r="Q100" s="104">
        <v>4</v>
      </c>
      <c r="R100" s="104" t="s">
        <v>4409</v>
      </c>
      <c r="S100" s="104" t="s">
        <v>9010</v>
      </c>
      <c r="T100" s="26" t="s">
        <v>77</v>
      </c>
      <c r="U100" s="30" t="s">
        <v>78</v>
      </c>
      <c r="V100" s="26" t="s">
        <v>79</v>
      </c>
      <c r="W100" s="38" t="s">
        <v>5168</v>
      </c>
      <c r="X100" s="26" t="s">
        <v>7505</v>
      </c>
      <c r="Y100" s="26" t="s">
        <v>81</v>
      </c>
      <c r="Z100" s="26" t="s">
        <v>81</v>
      </c>
      <c r="AA100" s="105" t="s">
        <v>172</v>
      </c>
      <c r="AB100" s="93" t="s">
        <v>17</v>
      </c>
      <c r="AC100" s="106" t="s">
        <v>172</v>
      </c>
      <c r="AD100" s="107" t="s">
        <v>173</v>
      </c>
      <c r="AE100" s="107" t="s">
        <v>174</v>
      </c>
      <c r="AF100" s="105" t="s">
        <v>175</v>
      </c>
      <c r="AG100" s="104">
        <f t="shared" si="6"/>
        <v>1</v>
      </c>
      <c r="AH100" s="104">
        <v>1</v>
      </c>
      <c r="AI100" s="104">
        <v>1</v>
      </c>
      <c r="AJ100" s="104">
        <v>1</v>
      </c>
      <c r="AK100" s="106"/>
      <c r="AL100" s="104">
        <f t="shared" si="5"/>
        <v>1</v>
      </c>
      <c r="AM100" s="106"/>
      <c r="AN100" s="104"/>
      <c r="AO100" s="104"/>
      <c r="AP100" s="104">
        <v>1</v>
      </c>
      <c r="AQ100" s="104">
        <v>1</v>
      </c>
      <c r="AR100" s="104">
        <v>1</v>
      </c>
      <c r="AS100" s="106"/>
      <c r="AT100" s="104">
        <v>1</v>
      </c>
      <c r="AU100" s="106"/>
      <c r="AV100" s="106"/>
      <c r="AX100" s="99" t="s">
        <v>9011</v>
      </c>
      <c r="AZ100" s="94" t="s">
        <v>8388</v>
      </c>
    </row>
    <row r="101" spans="1:52">
      <c r="A101" s="25" t="s">
        <v>9012</v>
      </c>
      <c r="B101" s="25" t="s">
        <v>4398</v>
      </c>
      <c r="C101" s="25" t="s">
        <v>68</v>
      </c>
      <c r="D101" s="25" t="s">
        <v>8855</v>
      </c>
      <c r="E101" s="258" t="s">
        <v>9013</v>
      </c>
      <c r="F101" s="25" t="s">
        <v>9014</v>
      </c>
      <c r="G101" s="25" t="s">
        <v>7497</v>
      </c>
      <c r="H101" s="25" t="s">
        <v>8919</v>
      </c>
      <c r="I101" s="26" t="s">
        <v>7499</v>
      </c>
      <c r="J101" s="26">
        <v>202606.5</v>
      </c>
      <c r="K101" s="62" t="s">
        <v>8226</v>
      </c>
      <c r="L101" s="25" t="s">
        <v>73</v>
      </c>
      <c r="M101" s="25" t="s">
        <v>8998</v>
      </c>
      <c r="N101" s="25" t="s">
        <v>9015</v>
      </c>
      <c r="O101" s="30" t="s">
        <v>9016</v>
      </c>
      <c r="P101" s="26"/>
      <c r="Q101" s="104">
        <v>4</v>
      </c>
      <c r="R101" s="104" t="s">
        <v>4409</v>
      </c>
      <c r="S101" s="104" t="s">
        <v>9017</v>
      </c>
      <c r="T101" s="26" t="s">
        <v>77</v>
      </c>
      <c r="U101" s="30" t="s">
        <v>78</v>
      </c>
      <c r="V101" s="26" t="s">
        <v>79</v>
      </c>
      <c r="W101" s="38" t="s">
        <v>5168</v>
      </c>
      <c r="X101" s="26" t="s">
        <v>7505</v>
      </c>
      <c r="Y101" s="26" t="s">
        <v>81</v>
      </c>
      <c r="Z101" s="26" t="s">
        <v>81</v>
      </c>
      <c r="AA101" s="105" t="s">
        <v>172</v>
      </c>
      <c r="AB101" s="93" t="s">
        <v>17</v>
      </c>
      <c r="AC101" s="106" t="s">
        <v>172</v>
      </c>
      <c r="AD101" s="107" t="s">
        <v>173</v>
      </c>
      <c r="AE101" s="107" t="s">
        <v>174</v>
      </c>
      <c r="AF101" s="105" t="s">
        <v>175</v>
      </c>
      <c r="AG101" s="104">
        <f t="shared" si="6"/>
        <v>1</v>
      </c>
      <c r="AH101" s="104">
        <v>1</v>
      </c>
      <c r="AI101" s="104">
        <v>1</v>
      </c>
      <c r="AJ101" s="104">
        <v>1</v>
      </c>
      <c r="AK101" s="106"/>
      <c r="AL101" s="104">
        <f t="shared" si="5"/>
        <v>1</v>
      </c>
      <c r="AM101" s="106"/>
      <c r="AN101" s="104"/>
      <c r="AO101" s="104"/>
      <c r="AP101" s="104">
        <v>1</v>
      </c>
      <c r="AQ101" s="104">
        <v>1</v>
      </c>
      <c r="AR101" s="104">
        <v>1</v>
      </c>
      <c r="AS101" s="106"/>
      <c r="AT101" s="104">
        <v>1</v>
      </c>
      <c r="AU101" s="106"/>
      <c r="AV101" s="106"/>
      <c r="AX101" s="99" t="s">
        <v>8801</v>
      </c>
      <c r="AZ101" s="94" t="s">
        <v>8397</v>
      </c>
    </row>
    <row r="102" spans="1:52">
      <c r="A102" s="25" t="s">
        <v>9018</v>
      </c>
      <c r="B102" s="25" t="s">
        <v>4398</v>
      </c>
      <c r="C102" s="25" t="s">
        <v>68</v>
      </c>
      <c r="D102" s="25" t="s">
        <v>9019</v>
      </c>
      <c r="E102" s="258" t="s">
        <v>9020</v>
      </c>
      <c r="F102" s="25" t="s">
        <v>9021</v>
      </c>
      <c r="G102" s="25" t="s">
        <v>7497</v>
      </c>
      <c r="H102" s="25" t="s">
        <v>8919</v>
      </c>
      <c r="I102" s="26" t="s">
        <v>7499</v>
      </c>
      <c r="J102" s="26">
        <v>202606.5</v>
      </c>
      <c r="K102" s="62" t="s">
        <v>8226</v>
      </c>
      <c r="L102" s="25" t="s">
        <v>73</v>
      </c>
      <c r="M102" s="25" t="s">
        <v>8342</v>
      </c>
      <c r="N102" s="25" t="s">
        <v>9022</v>
      </c>
      <c r="O102" s="30" t="s">
        <v>9023</v>
      </c>
      <c r="P102" s="26"/>
      <c r="Q102" s="104">
        <v>4</v>
      </c>
      <c r="R102" s="104" t="s">
        <v>4409</v>
      </c>
      <c r="S102" s="104" t="s">
        <v>9024</v>
      </c>
      <c r="T102" s="26" t="s">
        <v>77</v>
      </c>
      <c r="U102" s="30" t="s">
        <v>78</v>
      </c>
      <c r="V102" s="26" t="s">
        <v>79</v>
      </c>
      <c r="W102" s="38" t="s">
        <v>5168</v>
      </c>
      <c r="X102" s="26" t="s">
        <v>7505</v>
      </c>
      <c r="Y102" s="26" t="s">
        <v>81</v>
      </c>
      <c r="Z102" s="26" t="s">
        <v>81</v>
      </c>
      <c r="AA102" s="105" t="s">
        <v>172</v>
      </c>
      <c r="AB102" s="119" t="s">
        <v>7</v>
      </c>
      <c r="AC102" s="106" t="s">
        <v>172</v>
      </c>
      <c r="AD102" s="107" t="s">
        <v>173</v>
      </c>
      <c r="AE102" s="107" t="s">
        <v>174</v>
      </c>
      <c r="AF102" s="105" t="s">
        <v>175</v>
      </c>
      <c r="AG102" s="104">
        <v>1</v>
      </c>
      <c r="AH102" s="104">
        <v>1</v>
      </c>
      <c r="AI102" s="104">
        <v>1</v>
      </c>
      <c r="AJ102" s="104">
        <v>1</v>
      </c>
      <c r="AK102" s="106"/>
      <c r="AL102" s="104">
        <f t="shared" si="5"/>
        <v>1</v>
      </c>
      <c r="AM102" s="106"/>
      <c r="AN102" s="104"/>
      <c r="AO102" s="104"/>
      <c r="AP102" s="104">
        <v>1</v>
      </c>
      <c r="AQ102" s="104">
        <v>1</v>
      </c>
      <c r="AR102" s="104">
        <v>1</v>
      </c>
      <c r="AS102" s="106"/>
      <c r="AT102" s="104">
        <v>1</v>
      </c>
      <c r="AU102" s="106"/>
      <c r="AV102" s="106"/>
      <c r="AX102" s="99" t="s">
        <v>8810</v>
      </c>
      <c r="AZ102" s="94" t="s">
        <v>8407</v>
      </c>
    </row>
    <row r="103" spans="1:52">
      <c r="A103" s="25" t="s">
        <v>9025</v>
      </c>
      <c r="B103" s="25" t="s">
        <v>4398</v>
      </c>
      <c r="C103" s="25" t="s">
        <v>68</v>
      </c>
      <c r="D103" s="25" t="s">
        <v>8878</v>
      </c>
      <c r="E103" s="258" t="s">
        <v>9026</v>
      </c>
      <c r="F103" s="25" t="s">
        <v>9027</v>
      </c>
      <c r="G103" s="25" t="s">
        <v>7497</v>
      </c>
      <c r="H103" s="25" t="s">
        <v>8919</v>
      </c>
      <c r="I103" s="26" t="s">
        <v>7499</v>
      </c>
      <c r="J103" s="26">
        <v>202606.5</v>
      </c>
      <c r="K103" s="62" t="s">
        <v>8226</v>
      </c>
      <c r="L103" s="25" t="s">
        <v>73</v>
      </c>
      <c r="M103" s="25" t="s">
        <v>9011</v>
      </c>
      <c r="N103" s="25" t="s">
        <v>9028</v>
      </c>
      <c r="O103" s="30" t="s">
        <v>9029</v>
      </c>
      <c r="P103" s="26"/>
      <c r="Q103" s="104">
        <v>8</v>
      </c>
      <c r="R103" s="104" t="s">
        <v>9030</v>
      </c>
      <c r="S103" s="104" t="s">
        <v>9031</v>
      </c>
      <c r="T103" s="26" t="s">
        <v>77</v>
      </c>
      <c r="U103" s="30" t="s">
        <v>78</v>
      </c>
      <c r="V103" s="26" t="s">
        <v>79</v>
      </c>
      <c r="W103" s="38" t="s">
        <v>5168</v>
      </c>
      <c r="X103" s="26" t="s">
        <v>7505</v>
      </c>
      <c r="Y103" s="26" t="s">
        <v>81</v>
      </c>
      <c r="Z103" s="26" t="s">
        <v>81</v>
      </c>
      <c r="AA103" s="105" t="s">
        <v>172</v>
      </c>
      <c r="AB103" s="93" t="s">
        <v>17</v>
      </c>
      <c r="AC103" s="106" t="s">
        <v>172</v>
      </c>
      <c r="AD103" s="107" t="s">
        <v>173</v>
      </c>
      <c r="AE103" s="107" t="s">
        <v>174</v>
      </c>
      <c r="AF103" s="105" t="s">
        <v>175</v>
      </c>
      <c r="AG103" s="104">
        <f t="shared" si="6"/>
        <v>1</v>
      </c>
      <c r="AH103" s="104">
        <v>1</v>
      </c>
      <c r="AI103" s="104">
        <v>1</v>
      </c>
      <c r="AJ103" s="104">
        <v>1</v>
      </c>
      <c r="AK103" s="106"/>
      <c r="AL103" s="104">
        <f t="shared" si="5"/>
        <v>1</v>
      </c>
      <c r="AM103" s="106"/>
      <c r="AN103" s="104"/>
      <c r="AO103" s="104"/>
      <c r="AP103" s="104">
        <v>1</v>
      </c>
      <c r="AQ103" s="104">
        <v>1</v>
      </c>
      <c r="AR103" s="104">
        <v>1</v>
      </c>
      <c r="AS103" s="106"/>
      <c r="AT103" s="104">
        <v>1</v>
      </c>
      <c r="AU103" s="106"/>
      <c r="AV103" s="106"/>
      <c r="AX103" s="99" t="s">
        <v>8889</v>
      </c>
      <c r="AZ103" s="94" t="s">
        <v>8560</v>
      </c>
    </row>
    <row r="104" spans="1:52">
      <c r="A104" s="25" t="s">
        <v>9032</v>
      </c>
      <c r="B104" s="25" t="s">
        <v>4398</v>
      </c>
      <c r="C104" s="25" t="s">
        <v>68</v>
      </c>
      <c r="D104" s="25" t="s">
        <v>8368</v>
      </c>
      <c r="E104" s="258" t="s">
        <v>9033</v>
      </c>
      <c r="F104" s="25" t="s">
        <v>9034</v>
      </c>
      <c r="G104" s="25" t="s">
        <v>7497</v>
      </c>
      <c r="H104" s="25" t="s">
        <v>8919</v>
      </c>
      <c r="I104" s="26" t="s">
        <v>7499</v>
      </c>
      <c r="J104" s="26">
        <v>202606.5</v>
      </c>
      <c r="K104" s="62" t="s">
        <v>8226</v>
      </c>
      <c r="L104" s="25" t="s">
        <v>73</v>
      </c>
      <c r="M104" s="25" t="s">
        <v>9035</v>
      </c>
      <c r="N104" s="25" t="s">
        <v>9036</v>
      </c>
      <c r="O104" s="30" t="s">
        <v>9037</v>
      </c>
      <c r="P104" s="26"/>
      <c r="Q104" s="104">
        <v>4</v>
      </c>
      <c r="R104" s="104" t="s">
        <v>4409</v>
      </c>
      <c r="S104" s="104" t="s">
        <v>9038</v>
      </c>
      <c r="T104" s="26" t="s">
        <v>77</v>
      </c>
      <c r="U104" s="30" t="s">
        <v>78</v>
      </c>
      <c r="V104" s="26" t="s">
        <v>79</v>
      </c>
      <c r="W104" s="38" t="s">
        <v>80</v>
      </c>
      <c r="X104" s="26" t="s">
        <v>7505</v>
      </c>
      <c r="Y104" s="26" t="s">
        <v>81</v>
      </c>
      <c r="Z104" s="26" t="s">
        <v>81</v>
      </c>
      <c r="AA104" s="105" t="s">
        <v>172</v>
      </c>
      <c r="AB104" s="93" t="s">
        <v>21</v>
      </c>
      <c r="AC104" s="106" t="s">
        <v>172</v>
      </c>
      <c r="AD104" s="107" t="s">
        <v>173</v>
      </c>
      <c r="AE104" s="107" t="s">
        <v>174</v>
      </c>
      <c r="AF104" s="105" t="s">
        <v>175</v>
      </c>
      <c r="AG104" s="104">
        <f t="shared" si="6"/>
        <v>1</v>
      </c>
      <c r="AH104" s="104">
        <v>1</v>
      </c>
      <c r="AI104" s="104">
        <v>1</v>
      </c>
      <c r="AJ104" s="104">
        <v>1</v>
      </c>
      <c r="AK104" s="106"/>
      <c r="AL104" s="104">
        <f t="shared" si="5"/>
        <v>1</v>
      </c>
      <c r="AM104" s="106"/>
      <c r="AN104" s="104"/>
      <c r="AO104" s="104">
        <v>1</v>
      </c>
      <c r="AP104" s="104">
        <v>1</v>
      </c>
      <c r="AQ104" s="104">
        <v>1</v>
      </c>
      <c r="AR104" s="104">
        <v>1</v>
      </c>
      <c r="AS104" s="106"/>
      <c r="AT104" s="104">
        <v>1</v>
      </c>
      <c r="AU104" s="106"/>
      <c r="AV104" s="106"/>
      <c r="AX104" s="99" t="s">
        <v>8896</v>
      </c>
      <c r="AZ104" s="94" t="s">
        <v>8568</v>
      </c>
    </row>
    <row r="105" spans="1:52">
      <c r="A105" s="25" t="s">
        <v>9039</v>
      </c>
      <c r="B105" s="25" t="s">
        <v>4398</v>
      </c>
      <c r="C105" s="25" t="s">
        <v>68</v>
      </c>
      <c r="D105" s="25" t="s">
        <v>8395</v>
      </c>
      <c r="E105" s="258" t="s">
        <v>9040</v>
      </c>
      <c r="F105" s="25" t="s">
        <v>9041</v>
      </c>
      <c r="G105" s="25" t="s">
        <v>7497</v>
      </c>
      <c r="H105" s="25" t="s">
        <v>8919</v>
      </c>
      <c r="I105" s="26" t="s">
        <v>7499</v>
      </c>
      <c r="J105" s="26">
        <v>202606.5</v>
      </c>
      <c r="K105" s="62" t="s">
        <v>8226</v>
      </c>
      <c r="L105" s="25" t="s">
        <v>73</v>
      </c>
      <c r="M105" s="25" t="s">
        <v>9042</v>
      </c>
      <c r="N105" s="25" t="s">
        <v>9043</v>
      </c>
      <c r="O105" s="30" t="s">
        <v>9044</v>
      </c>
      <c r="P105" s="26"/>
      <c r="Q105" s="104">
        <v>4</v>
      </c>
      <c r="R105" s="104" t="s">
        <v>4409</v>
      </c>
      <c r="S105" s="104" t="s">
        <v>9045</v>
      </c>
      <c r="T105" s="26" t="s">
        <v>77</v>
      </c>
      <c r="U105" s="30" t="s">
        <v>78</v>
      </c>
      <c r="V105" s="26" t="s">
        <v>79</v>
      </c>
      <c r="W105" s="38" t="s">
        <v>80</v>
      </c>
      <c r="X105" s="26" t="s">
        <v>7505</v>
      </c>
      <c r="Y105" s="26" t="s">
        <v>81</v>
      </c>
      <c r="Z105" s="26" t="s">
        <v>81</v>
      </c>
      <c r="AA105" s="105" t="s">
        <v>172</v>
      </c>
      <c r="AB105" s="93" t="s">
        <v>21</v>
      </c>
      <c r="AC105" s="106" t="s">
        <v>172</v>
      </c>
      <c r="AD105" s="107" t="s">
        <v>173</v>
      </c>
      <c r="AE105" s="107" t="s">
        <v>174</v>
      </c>
      <c r="AF105" s="105" t="s">
        <v>175</v>
      </c>
      <c r="AG105" s="104">
        <f t="shared" si="6"/>
        <v>1</v>
      </c>
      <c r="AH105" s="104">
        <v>1</v>
      </c>
      <c r="AI105" s="104">
        <v>1</v>
      </c>
      <c r="AJ105" s="104">
        <v>1</v>
      </c>
      <c r="AK105" s="106"/>
      <c r="AL105" s="104">
        <f t="shared" si="5"/>
        <v>1</v>
      </c>
      <c r="AM105" s="106"/>
      <c r="AN105" s="104"/>
      <c r="AO105" s="104">
        <v>1</v>
      </c>
      <c r="AP105" s="104">
        <v>1</v>
      </c>
      <c r="AQ105" s="104">
        <v>1</v>
      </c>
      <c r="AR105" s="104">
        <v>1</v>
      </c>
      <c r="AS105" s="106"/>
      <c r="AT105" s="104">
        <v>1</v>
      </c>
      <c r="AU105" s="106"/>
      <c r="AV105" s="106"/>
      <c r="AX105" s="99" t="s">
        <v>8828</v>
      </c>
      <c r="AZ105" s="94" t="s">
        <v>8503</v>
      </c>
    </row>
    <row r="106" spans="1:52">
      <c r="A106" s="25" t="s">
        <v>9046</v>
      </c>
      <c r="B106" s="25" t="s">
        <v>4398</v>
      </c>
      <c r="C106" s="25" t="s">
        <v>68</v>
      </c>
      <c r="D106" s="25" t="s">
        <v>8405</v>
      </c>
      <c r="E106" s="258" t="s">
        <v>9047</v>
      </c>
      <c r="F106" s="25" t="s">
        <v>9048</v>
      </c>
      <c r="G106" s="25" t="s">
        <v>7497</v>
      </c>
      <c r="H106" s="25" t="s">
        <v>8919</v>
      </c>
      <c r="I106" s="26" t="s">
        <v>7499</v>
      </c>
      <c r="J106" s="26">
        <v>202606.5</v>
      </c>
      <c r="K106" s="62" t="s">
        <v>8226</v>
      </c>
      <c r="L106" s="25" t="s">
        <v>73</v>
      </c>
      <c r="M106" s="25" t="s">
        <v>9049</v>
      </c>
      <c r="N106" s="25" t="s">
        <v>9050</v>
      </c>
      <c r="O106" s="30" t="s">
        <v>9051</v>
      </c>
      <c r="P106" s="26"/>
      <c r="Q106" s="104">
        <v>4</v>
      </c>
      <c r="R106" s="104" t="s">
        <v>4409</v>
      </c>
      <c r="S106" s="104" t="s">
        <v>9052</v>
      </c>
      <c r="T106" s="26" t="s">
        <v>77</v>
      </c>
      <c r="U106" s="30" t="s">
        <v>78</v>
      </c>
      <c r="V106" s="26" t="s">
        <v>79</v>
      </c>
      <c r="W106" s="38" t="s">
        <v>80</v>
      </c>
      <c r="X106" s="26" t="s">
        <v>7505</v>
      </c>
      <c r="Y106" s="26" t="s">
        <v>81</v>
      </c>
      <c r="Z106" s="26" t="s">
        <v>81</v>
      </c>
      <c r="AA106" s="105" t="s">
        <v>172</v>
      </c>
      <c r="AB106" s="93" t="s">
        <v>21</v>
      </c>
      <c r="AC106" s="106" t="s">
        <v>172</v>
      </c>
      <c r="AD106" s="107" t="s">
        <v>173</v>
      </c>
      <c r="AE106" s="107" t="s">
        <v>174</v>
      </c>
      <c r="AF106" s="105" t="s">
        <v>175</v>
      </c>
      <c r="AG106" s="104">
        <f t="shared" si="6"/>
        <v>1</v>
      </c>
      <c r="AH106" s="104">
        <v>1</v>
      </c>
      <c r="AI106" s="104">
        <v>1</v>
      </c>
      <c r="AJ106" s="104">
        <v>1</v>
      </c>
      <c r="AK106" s="106"/>
      <c r="AL106" s="104">
        <f t="shared" si="5"/>
        <v>1</v>
      </c>
      <c r="AM106" s="106"/>
      <c r="AN106" s="104"/>
      <c r="AO106" s="104">
        <v>1</v>
      </c>
      <c r="AP106" s="104">
        <v>1</v>
      </c>
      <c r="AQ106" s="104">
        <v>1</v>
      </c>
      <c r="AR106" s="104">
        <v>1</v>
      </c>
      <c r="AS106" s="106"/>
      <c r="AT106" s="104">
        <v>1</v>
      </c>
      <c r="AU106" s="106"/>
      <c r="AV106" s="106"/>
      <c r="AX106" s="99" t="s">
        <v>9053</v>
      </c>
      <c r="AZ106" s="94" t="s">
        <v>8416</v>
      </c>
    </row>
    <row r="107" spans="1:52">
      <c r="A107" s="25" t="s">
        <v>9054</v>
      </c>
      <c r="B107" s="25" t="s">
        <v>4398</v>
      </c>
      <c r="C107" s="25" t="s">
        <v>68</v>
      </c>
      <c r="D107" s="25" t="s">
        <v>8414</v>
      </c>
      <c r="E107" s="258" t="s">
        <v>9055</v>
      </c>
      <c r="F107" s="25" t="s">
        <v>9056</v>
      </c>
      <c r="G107" s="25" t="s">
        <v>7497</v>
      </c>
      <c r="H107" s="25" t="s">
        <v>8919</v>
      </c>
      <c r="I107" s="26" t="s">
        <v>7499</v>
      </c>
      <c r="J107" s="26">
        <v>202606.5</v>
      </c>
      <c r="K107" s="62" t="s">
        <v>8226</v>
      </c>
      <c r="L107" s="25" t="s">
        <v>73</v>
      </c>
      <c r="M107" s="25" t="s">
        <v>9057</v>
      </c>
      <c r="N107" s="25" t="s">
        <v>9058</v>
      </c>
      <c r="O107" s="30" t="s">
        <v>9059</v>
      </c>
      <c r="P107" s="26"/>
      <c r="Q107" s="104">
        <v>4</v>
      </c>
      <c r="R107" s="104" t="s">
        <v>4409</v>
      </c>
      <c r="S107" s="104" t="s">
        <v>9060</v>
      </c>
      <c r="T107" s="26" t="s">
        <v>77</v>
      </c>
      <c r="U107" s="30" t="s">
        <v>78</v>
      </c>
      <c r="V107" s="26" t="s">
        <v>79</v>
      </c>
      <c r="W107" s="38" t="s">
        <v>80</v>
      </c>
      <c r="X107" s="26" t="s">
        <v>7505</v>
      </c>
      <c r="Y107" s="26" t="s">
        <v>81</v>
      </c>
      <c r="Z107" s="26" t="s">
        <v>81</v>
      </c>
      <c r="AA107" s="105" t="s">
        <v>172</v>
      </c>
      <c r="AB107" s="93" t="s">
        <v>21</v>
      </c>
      <c r="AC107" s="106" t="s">
        <v>172</v>
      </c>
      <c r="AD107" s="107" t="s">
        <v>173</v>
      </c>
      <c r="AE107" s="107" t="s">
        <v>174</v>
      </c>
      <c r="AF107" s="105" t="s">
        <v>175</v>
      </c>
      <c r="AG107" s="104">
        <f t="shared" si="6"/>
        <v>1</v>
      </c>
      <c r="AH107" s="104">
        <v>1</v>
      </c>
      <c r="AI107" s="104">
        <v>1</v>
      </c>
      <c r="AJ107" s="104">
        <v>1</v>
      </c>
      <c r="AK107" s="106"/>
      <c r="AL107" s="104">
        <f t="shared" ref="AL107:AL141" si="7">IF(COUNTIF(AX:AX,"*"&amp;M107&amp;"*")&gt;0,1,0)</f>
        <v>1</v>
      </c>
      <c r="AM107" s="106"/>
      <c r="AN107" s="104"/>
      <c r="AO107" s="104">
        <v>1</v>
      </c>
      <c r="AP107" s="104">
        <v>1</v>
      </c>
      <c r="AQ107" s="104">
        <v>1</v>
      </c>
      <c r="AR107" s="104">
        <v>1</v>
      </c>
      <c r="AS107" s="106"/>
      <c r="AT107" s="104">
        <v>1</v>
      </c>
      <c r="AU107" s="106"/>
      <c r="AV107" s="106"/>
      <c r="AX107" s="99" t="s">
        <v>9061</v>
      </c>
      <c r="AZ107" s="94" t="s">
        <v>8426</v>
      </c>
    </row>
    <row r="108" spans="1:52">
      <c r="A108" s="25" t="s">
        <v>9062</v>
      </c>
      <c r="B108" s="25" t="s">
        <v>4398</v>
      </c>
      <c r="C108" s="25" t="s">
        <v>68</v>
      </c>
      <c r="D108" s="25" t="s">
        <v>8424</v>
      </c>
      <c r="E108" s="258" t="s">
        <v>9063</v>
      </c>
      <c r="F108" s="25" t="s">
        <v>9064</v>
      </c>
      <c r="G108" s="25" t="s">
        <v>7497</v>
      </c>
      <c r="H108" s="25" t="s">
        <v>8919</v>
      </c>
      <c r="I108" s="26" t="s">
        <v>7499</v>
      </c>
      <c r="J108" s="26">
        <v>202606.5</v>
      </c>
      <c r="K108" s="62" t="s">
        <v>8226</v>
      </c>
      <c r="L108" s="25" t="s">
        <v>73</v>
      </c>
      <c r="M108" s="25" t="s">
        <v>9065</v>
      </c>
      <c r="N108" s="25" t="s">
        <v>9066</v>
      </c>
      <c r="O108" s="30" t="s">
        <v>9067</v>
      </c>
      <c r="P108" s="26"/>
      <c r="Q108" s="104">
        <v>4</v>
      </c>
      <c r="R108" s="104" t="s">
        <v>4409</v>
      </c>
      <c r="S108" s="104" t="s">
        <v>9068</v>
      </c>
      <c r="T108" s="26" t="s">
        <v>77</v>
      </c>
      <c r="U108" s="30" t="s">
        <v>78</v>
      </c>
      <c r="V108" s="26" t="s">
        <v>79</v>
      </c>
      <c r="W108" s="38" t="s">
        <v>80</v>
      </c>
      <c r="X108" s="26" t="s">
        <v>7505</v>
      </c>
      <c r="Y108" s="26" t="s">
        <v>81</v>
      </c>
      <c r="Z108" s="26" t="s">
        <v>81</v>
      </c>
      <c r="AA108" s="105" t="s">
        <v>172</v>
      </c>
      <c r="AB108" s="93" t="s">
        <v>21</v>
      </c>
      <c r="AC108" s="106" t="s">
        <v>172</v>
      </c>
      <c r="AD108" s="107" t="s">
        <v>173</v>
      </c>
      <c r="AE108" s="107" t="s">
        <v>174</v>
      </c>
      <c r="AF108" s="105" t="s">
        <v>175</v>
      </c>
      <c r="AG108" s="104">
        <f t="shared" si="6"/>
        <v>1</v>
      </c>
      <c r="AH108" s="104">
        <v>1</v>
      </c>
      <c r="AI108" s="104">
        <v>1</v>
      </c>
      <c r="AJ108" s="104">
        <v>1</v>
      </c>
      <c r="AK108" s="106"/>
      <c r="AL108" s="104">
        <f t="shared" si="7"/>
        <v>1</v>
      </c>
      <c r="AM108" s="106"/>
      <c r="AN108" s="104"/>
      <c r="AO108" s="104">
        <v>1</v>
      </c>
      <c r="AP108" s="104">
        <v>1</v>
      </c>
      <c r="AQ108" s="104">
        <v>1</v>
      </c>
      <c r="AR108" s="104">
        <v>1</v>
      </c>
      <c r="AS108" s="106"/>
      <c r="AT108" s="104">
        <v>1</v>
      </c>
      <c r="AU108" s="106"/>
      <c r="AV108" s="106"/>
      <c r="AX108" s="99" t="s">
        <v>9069</v>
      </c>
      <c r="AZ108" s="94" t="s">
        <v>8435</v>
      </c>
    </row>
    <row r="109" spans="1:52">
      <c r="A109" s="25" t="s">
        <v>9070</v>
      </c>
      <c r="B109" s="25" t="s">
        <v>4398</v>
      </c>
      <c r="C109" s="25" t="s">
        <v>68</v>
      </c>
      <c r="D109" s="25" t="s">
        <v>8433</v>
      </c>
      <c r="E109" s="258" t="s">
        <v>9071</v>
      </c>
      <c r="F109" s="25" t="s">
        <v>9072</v>
      </c>
      <c r="G109" s="25" t="s">
        <v>7497</v>
      </c>
      <c r="H109" s="25" t="s">
        <v>8919</v>
      </c>
      <c r="I109" s="26" t="s">
        <v>7499</v>
      </c>
      <c r="J109" s="26">
        <v>202606.5</v>
      </c>
      <c r="K109" s="62" t="s">
        <v>8226</v>
      </c>
      <c r="L109" s="25" t="s">
        <v>73</v>
      </c>
      <c r="M109" s="25" t="s">
        <v>9073</v>
      </c>
      <c r="N109" s="25" t="s">
        <v>9074</v>
      </c>
      <c r="O109" s="30" t="s">
        <v>9075</v>
      </c>
      <c r="P109" s="26"/>
      <c r="Q109" s="104">
        <v>4</v>
      </c>
      <c r="R109" s="104" t="s">
        <v>4409</v>
      </c>
      <c r="S109" s="104" t="s">
        <v>9076</v>
      </c>
      <c r="T109" s="26" t="s">
        <v>77</v>
      </c>
      <c r="U109" s="30" t="s">
        <v>78</v>
      </c>
      <c r="V109" s="26" t="s">
        <v>79</v>
      </c>
      <c r="W109" s="38" t="s">
        <v>80</v>
      </c>
      <c r="X109" s="26" t="s">
        <v>7505</v>
      </c>
      <c r="Y109" s="26" t="s">
        <v>81</v>
      </c>
      <c r="Z109" s="26" t="s">
        <v>81</v>
      </c>
      <c r="AA109" s="105" t="s">
        <v>172</v>
      </c>
      <c r="AB109" s="93" t="s">
        <v>21</v>
      </c>
      <c r="AC109" s="106" t="s">
        <v>172</v>
      </c>
      <c r="AD109" s="107" t="s">
        <v>173</v>
      </c>
      <c r="AE109" s="107" t="s">
        <v>174</v>
      </c>
      <c r="AF109" s="105" t="s">
        <v>175</v>
      </c>
      <c r="AG109" s="104">
        <f t="shared" si="6"/>
        <v>1</v>
      </c>
      <c r="AH109" s="104">
        <v>1</v>
      </c>
      <c r="AI109" s="104">
        <v>1</v>
      </c>
      <c r="AJ109" s="104">
        <v>1</v>
      </c>
      <c r="AK109" s="106"/>
      <c r="AL109" s="104">
        <f t="shared" si="7"/>
        <v>1</v>
      </c>
      <c r="AM109" s="106"/>
      <c r="AN109" s="104"/>
      <c r="AO109" s="104">
        <v>1</v>
      </c>
      <c r="AP109" s="104">
        <v>1</v>
      </c>
      <c r="AQ109" s="104">
        <v>1</v>
      </c>
      <c r="AR109" s="104">
        <v>1</v>
      </c>
      <c r="AS109" s="106"/>
      <c r="AT109" s="104">
        <v>1</v>
      </c>
      <c r="AU109" s="106"/>
      <c r="AV109" s="106"/>
      <c r="AX109" s="99" t="s">
        <v>9077</v>
      </c>
      <c r="AZ109" s="94" t="s">
        <v>8445</v>
      </c>
    </row>
    <row r="110" spans="1:52">
      <c r="A110" s="25" t="s">
        <v>9078</v>
      </c>
      <c r="B110" s="25" t="s">
        <v>4398</v>
      </c>
      <c r="C110" s="25" t="s">
        <v>68</v>
      </c>
      <c r="D110" s="25" t="s">
        <v>8443</v>
      </c>
      <c r="E110" s="258" t="s">
        <v>9079</v>
      </c>
      <c r="F110" s="25" t="s">
        <v>9080</v>
      </c>
      <c r="G110" s="25" t="s">
        <v>7497</v>
      </c>
      <c r="H110" s="25" t="s">
        <v>8919</v>
      </c>
      <c r="I110" s="26" t="s">
        <v>7499</v>
      </c>
      <c r="J110" s="26">
        <v>202606.5</v>
      </c>
      <c r="K110" s="62" t="s">
        <v>8226</v>
      </c>
      <c r="L110" s="25" t="s">
        <v>73</v>
      </c>
      <c r="M110" s="25" t="s">
        <v>9081</v>
      </c>
      <c r="N110" s="25" t="s">
        <v>9082</v>
      </c>
      <c r="O110" s="30" t="s">
        <v>9083</v>
      </c>
      <c r="P110" s="26"/>
      <c r="Q110" s="104">
        <v>4</v>
      </c>
      <c r="R110" s="104" t="s">
        <v>4409</v>
      </c>
      <c r="S110" s="104" t="s">
        <v>9084</v>
      </c>
      <c r="T110" s="26" t="s">
        <v>77</v>
      </c>
      <c r="U110" s="30" t="s">
        <v>78</v>
      </c>
      <c r="V110" s="26" t="s">
        <v>79</v>
      </c>
      <c r="W110" s="38" t="s">
        <v>80</v>
      </c>
      <c r="X110" s="26" t="s">
        <v>7505</v>
      </c>
      <c r="Y110" s="26" t="s">
        <v>81</v>
      </c>
      <c r="Z110" s="26" t="s">
        <v>81</v>
      </c>
      <c r="AA110" s="105" t="s">
        <v>172</v>
      </c>
      <c r="AB110" s="93" t="s">
        <v>21</v>
      </c>
      <c r="AC110" s="106" t="s">
        <v>172</v>
      </c>
      <c r="AD110" s="107" t="s">
        <v>173</v>
      </c>
      <c r="AE110" s="107" t="s">
        <v>174</v>
      </c>
      <c r="AF110" s="105" t="s">
        <v>175</v>
      </c>
      <c r="AG110" s="104">
        <f t="shared" si="6"/>
        <v>1</v>
      </c>
      <c r="AH110" s="104">
        <v>1</v>
      </c>
      <c r="AI110" s="104">
        <v>1</v>
      </c>
      <c r="AJ110" s="104">
        <v>1</v>
      </c>
      <c r="AK110" s="106"/>
      <c r="AL110" s="104">
        <f t="shared" si="7"/>
        <v>1</v>
      </c>
      <c r="AM110" s="106"/>
      <c r="AN110" s="104"/>
      <c r="AO110" s="104">
        <v>1</v>
      </c>
      <c r="AP110" s="104">
        <v>1</v>
      </c>
      <c r="AQ110" s="104">
        <v>1</v>
      </c>
      <c r="AR110" s="104">
        <v>1</v>
      </c>
      <c r="AS110" s="106"/>
      <c r="AT110" s="104">
        <v>1</v>
      </c>
      <c r="AU110" s="106"/>
      <c r="AV110" s="106"/>
      <c r="AX110" s="99" t="s">
        <v>9085</v>
      </c>
      <c r="AZ110" s="94" t="s">
        <v>7869</v>
      </c>
    </row>
    <row r="111" spans="1:52">
      <c r="A111" s="25" t="s">
        <v>9086</v>
      </c>
      <c r="B111" s="25" t="s">
        <v>4398</v>
      </c>
      <c r="C111" s="25" t="s">
        <v>68</v>
      </c>
      <c r="D111" s="25" t="s">
        <v>8462</v>
      </c>
      <c r="E111" s="258" t="s">
        <v>9087</v>
      </c>
      <c r="F111" s="25" t="s">
        <v>9088</v>
      </c>
      <c r="G111" s="25" t="s">
        <v>7497</v>
      </c>
      <c r="H111" s="25" t="s">
        <v>8919</v>
      </c>
      <c r="I111" s="26" t="s">
        <v>7499</v>
      </c>
      <c r="J111" s="26">
        <v>202606.5</v>
      </c>
      <c r="K111" s="62" t="s">
        <v>8226</v>
      </c>
      <c r="L111" s="25" t="s">
        <v>73</v>
      </c>
      <c r="M111" s="25" t="s">
        <v>9089</v>
      </c>
      <c r="N111" s="25" t="s">
        <v>9090</v>
      </c>
      <c r="O111" s="30" t="s">
        <v>9091</v>
      </c>
      <c r="P111" s="26"/>
      <c r="Q111" s="104">
        <v>4</v>
      </c>
      <c r="R111" s="104" t="s">
        <v>4409</v>
      </c>
      <c r="S111" s="104" t="s">
        <v>9092</v>
      </c>
      <c r="T111" s="26" t="s">
        <v>77</v>
      </c>
      <c r="U111" s="30" t="s">
        <v>78</v>
      </c>
      <c r="V111" s="26" t="s">
        <v>79</v>
      </c>
      <c r="W111" s="38" t="s">
        <v>80</v>
      </c>
      <c r="X111" s="26" t="s">
        <v>7505</v>
      </c>
      <c r="Y111" s="26" t="s">
        <v>81</v>
      </c>
      <c r="Z111" s="26" t="s">
        <v>81</v>
      </c>
      <c r="AA111" s="105" t="s">
        <v>172</v>
      </c>
      <c r="AB111" s="93" t="s">
        <v>21</v>
      </c>
      <c r="AC111" s="106" t="s">
        <v>172</v>
      </c>
      <c r="AD111" s="107" t="s">
        <v>173</v>
      </c>
      <c r="AE111" s="107" t="s">
        <v>174</v>
      </c>
      <c r="AF111" s="105" t="s">
        <v>175</v>
      </c>
      <c r="AG111" s="104">
        <f t="shared" si="6"/>
        <v>1</v>
      </c>
      <c r="AH111" s="104">
        <v>1</v>
      </c>
      <c r="AI111" s="104">
        <v>1</v>
      </c>
      <c r="AJ111" s="104">
        <v>1</v>
      </c>
      <c r="AK111" s="106"/>
      <c r="AL111" s="104">
        <f t="shared" si="7"/>
        <v>1</v>
      </c>
      <c r="AM111" s="106"/>
      <c r="AN111" s="104"/>
      <c r="AO111" s="104">
        <v>1</v>
      </c>
      <c r="AP111" s="104">
        <v>1</v>
      </c>
      <c r="AQ111" s="104">
        <v>1</v>
      </c>
      <c r="AR111" s="104">
        <v>1</v>
      </c>
      <c r="AS111" s="106"/>
      <c r="AT111" s="104">
        <v>1</v>
      </c>
      <c r="AU111" s="106"/>
      <c r="AV111" s="106"/>
      <c r="AX111" s="99" t="s">
        <v>9093</v>
      </c>
      <c r="AZ111" s="94" t="s">
        <v>8454</v>
      </c>
    </row>
    <row r="112" spans="1:52">
      <c r="A112" s="25" t="s">
        <v>9094</v>
      </c>
      <c r="B112" s="25" t="s">
        <v>4398</v>
      </c>
      <c r="C112" s="25" t="s">
        <v>68</v>
      </c>
      <c r="D112" s="25" t="s">
        <v>8472</v>
      </c>
      <c r="E112" s="258" t="s">
        <v>9095</v>
      </c>
      <c r="F112" s="25" t="s">
        <v>9096</v>
      </c>
      <c r="G112" s="25" t="s">
        <v>7497</v>
      </c>
      <c r="H112" s="25" t="s">
        <v>8919</v>
      </c>
      <c r="I112" s="26" t="s">
        <v>7499</v>
      </c>
      <c r="J112" s="26">
        <v>202606.5</v>
      </c>
      <c r="K112" s="62" t="s">
        <v>8226</v>
      </c>
      <c r="L112" s="25" t="s">
        <v>73</v>
      </c>
      <c r="M112" s="25" t="s">
        <v>9097</v>
      </c>
      <c r="N112" s="25" t="s">
        <v>9098</v>
      </c>
      <c r="O112" s="30" t="s">
        <v>9099</v>
      </c>
      <c r="P112" s="26"/>
      <c r="Q112" s="104">
        <v>4</v>
      </c>
      <c r="R112" s="104" t="s">
        <v>4409</v>
      </c>
      <c r="S112" s="104" t="s">
        <v>9100</v>
      </c>
      <c r="T112" s="26" t="s">
        <v>77</v>
      </c>
      <c r="U112" s="30" t="s">
        <v>78</v>
      </c>
      <c r="V112" s="26" t="s">
        <v>79</v>
      </c>
      <c r="W112" s="38" t="s">
        <v>80</v>
      </c>
      <c r="X112" s="26" t="s">
        <v>7505</v>
      </c>
      <c r="Y112" s="26" t="s">
        <v>81</v>
      </c>
      <c r="Z112" s="26" t="s">
        <v>81</v>
      </c>
      <c r="AA112" s="105" t="s">
        <v>172</v>
      </c>
      <c r="AB112" s="93" t="s">
        <v>21</v>
      </c>
      <c r="AC112" s="106" t="s">
        <v>172</v>
      </c>
      <c r="AD112" s="107" t="s">
        <v>173</v>
      </c>
      <c r="AE112" s="107" t="s">
        <v>174</v>
      </c>
      <c r="AF112" s="105" t="s">
        <v>175</v>
      </c>
      <c r="AG112" s="104">
        <f t="shared" si="6"/>
        <v>1</v>
      </c>
      <c r="AH112" s="104">
        <v>1</v>
      </c>
      <c r="AI112" s="104">
        <v>1</v>
      </c>
      <c r="AJ112" s="104">
        <v>1</v>
      </c>
      <c r="AK112" s="106"/>
      <c r="AL112" s="104">
        <f t="shared" si="7"/>
        <v>1</v>
      </c>
      <c r="AM112" s="106"/>
      <c r="AN112" s="104"/>
      <c r="AO112" s="104">
        <v>1</v>
      </c>
      <c r="AP112" s="104">
        <v>1</v>
      </c>
      <c r="AQ112" s="104">
        <v>1</v>
      </c>
      <c r="AR112" s="104">
        <v>1</v>
      </c>
      <c r="AS112" s="106"/>
      <c r="AT112" s="104">
        <v>1</v>
      </c>
      <c r="AU112" s="106"/>
      <c r="AV112" s="106"/>
      <c r="AX112" s="99" t="s">
        <v>9101</v>
      </c>
      <c r="AZ112" s="94" t="s">
        <v>7887</v>
      </c>
    </row>
    <row r="113" spans="1:52">
      <c r="A113" s="25" t="s">
        <v>9102</v>
      </c>
      <c r="B113" s="25" t="s">
        <v>4398</v>
      </c>
      <c r="C113" s="25" t="s">
        <v>68</v>
      </c>
      <c r="D113" s="25" t="s">
        <v>8492</v>
      </c>
      <c r="E113" s="258" t="s">
        <v>9103</v>
      </c>
      <c r="F113" s="25" t="s">
        <v>9104</v>
      </c>
      <c r="G113" s="25" t="s">
        <v>7497</v>
      </c>
      <c r="H113" s="25" t="s">
        <v>8919</v>
      </c>
      <c r="I113" s="26" t="s">
        <v>7499</v>
      </c>
      <c r="J113" s="26">
        <v>202606.5</v>
      </c>
      <c r="K113" s="62" t="s">
        <v>8226</v>
      </c>
      <c r="L113" s="25" t="s">
        <v>73</v>
      </c>
      <c r="M113" s="25" t="s">
        <v>9105</v>
      </c>
      <c r="N113" s="25" t="s">
        <v>9106</v>
      </c>
      <c r="O113" s="30" t="s">
        <v>9107</v>
      </c>
      <c r="P113" s="26"/>
      <c r="Q113" s="104">
        <v>4</v>
      </c>
      <c r="R113" s="104" t="s">
        <v>4409</v>
      </c>
      <c r="S113" s="104" t="s">
        <v>7673</v>
      </c>
      <c r="T113" s="26" t="s">
        <v>77</v>
      </c>
      <c r="U113" s="30" t="s">
        <v>78</v>
      </c>
      <c r="V113" s="26" t="s">
        <v>79</v>
      </c>
      <c r="W113" s="38" t="s">
        <v>80</v>
      </c>
      <c r="X113" s="26" t="s">
        <v>7505</v>
      </c>
      <c r="Y113" s="26" t="s">
        <v>81</v>
      </c>
      <c r="Z113" s="26" t="s">
        <v>81</v>
      </c>
      <c r="AA113" s="105" t="s">
        <v>172</v>
      </c>
      <c r="AB113" s="93" t="s">
        <v>21</v>
      </c>
      <c r="AC113" s="106" t="s">
        <v>172</v>
      </c>
      <c r="AD113" s="107" t="s">
        <v>173</v>
      </c>
      <c r="AE113" s="107" t="s">
        <v>174</v>
      </c>
      <c r="AF113" s="105" t="s">
        <v>175</v>
      </c>
      <c r="AG113" s="104">
        <f t="shared" si="6"/>
        <v>1</v>
      </c>
      <c r="AH113" s="104">
        <v>1</v>
      </c>
      <c r="AI113" s="104">
        <v>1</v>
      </c>
      <c r="AJ113" s="104">
        <v>1</v>
      </c>
      <c r="AK113" s="106"/>
      <c r="AL113" s="104">
        <f t="shared" si="7"/>
        <v>1</v>
      </c>
      <c r="AM113" s="106"/>
      <c r="AN113" s="104"/>
      <c r="AO113" s="104">
        <v>1</v>
      </c>
      <c r="AP113" s="104">
        <v>1</v>
      </c>
      <c r="AQ113" s="104">
        <v>1</v>
      </c>
      <c r="AR113" s="104">
        <v>1</v>
      </c>
      <c r="AS113" s="106"/>
      <c r="AT113" s="104">
        <v>1</v>
      </c>
      <c r="AU113" s="106"/>
      <c r="AV113" s="106"/>
      <c r="AX113" s="99" t="s">
        <v>9108</v>
      </c>
      <c r="AZ113" s="94" t="s">
        <v>8464</v>
      </c>
    </row>
    <row r="114" spans="1:52">
      <c r="A114" s="25" t="s">
        <v>9109</v>
      </c>
      <c r="B114" s="25" t="s">
        <v>4398</v>
      </c>
      <c r="C114" s="25" t="s">
        <v>73</v>
      </c>
      <c r="D114" s="25" t="s">
        <v>8520</v>
      </c>
      <c r="E114" s="258" t="s">
        <v>9110</v>
      </c>
      <c r="F114" s="25" t="s">
        <v>9111</v>
      </c>
      <c r="G114" s="25" t="s">
        <v>7497</v>
      </c>
      <c r="H114" s="25" t="s">
        <v>8919</v>
      </c>
      <c r="I114" s="26" t="s">
        <v>7499</v>
      </c>
      <c r="J114" s="26">
        <v>202606.5</v>
      </c>
      <c r="K114" s="62" t="s">
        <v>8226</v>
      </c>
      <c r="L114" s="25" t="s">
        <v>73</v>
      </c>
      <c r="M114" s="25" t="s">
        <v>9112</v>
      </c>
      <c r="N114" s="25" t="s">
        <v>9113</v>
      </c>
      <c r="O114" s="30" t="s">
        <v>9114</v>
      </c>
      <c r="P114" s="26"/>
      <c r="Q114" s="109">
        <v>4</v>
      </c>
      <c r="R114" s="109" t="s">
        <v>4409</v>
      </c>
      <c r="S114" s="109" t="s">
        <v>4595</v>
      </c>
      <c r="T114" s="26" t="s">
        <v>77</v>
      </c>
      <c r="U114" s="30" t="s">
        <v>78</v>
      </c>
      <c r="V114" s="26" t="s">
        <v>79</v>
      </c>
      <c r="W114" s="38" t="s">
        <v>80</v>
      </c>
      <c r="X114" s="26" t="s">
        <v>7505</v>
      </c>
      <c r="Y114" s="26" t="s">
        <v>81</v>
      </c>
      <c r="Z114" s="26" t="s">
        <v>81</v>
      </c>
      <c r="AA114" s="105" t="s">
        <v>172</v>
      </c>
      <c r="AB114" s="93" t="s">
        <v>21</v>
      </c>
      <c r="AC114" s="106" t="s">
        <v>172</v>
      </c>
      <c r="AD114" s="107" t="s">
        <v>173</v>
      </c>
      <c r="AE114" s="107" t="s">
        <v>174</v>
      </c>
      <c r="AF114" s="105" t="s">
        <v>175</v>
      </c>
      <c r="AG114" s="104">
        <f t="shared" si="6"/>
        <v>1</v>
      </c>
      <c r="AH114" s="104">
        <v>1</v>
      </c>
      <c r="AI114" s="104">
        <v>1</v>
      </c>
      <c r="AJ114" s="104">
        <v>1</v>
      </c>
      <c r="AK114" s="106"/>
      <c r="AL114" s="104">
        <f t="shared" si="7"/>
        <v>1</v>
      </c>
      <c r="AM114" s="106"/>
      <c r="AN114" s="104"/>
      <c r="AO114" s="104">
        <v>1</v>
      </c>
      <c r="AP114" s="104">
        <v>1</v>
      </c>
      <c r="AQ114" s="104">
        <v>1</v>
      </c>
      <c r="AR114" s="104">
        <v>1</v>
      </c>
      <c r="AS114" s="106"/>
      <c r="AT114" s="104">
        <v>1</v>
      </c>
      <c r="AU114" s="106"/>
      <c r="AV114" s="106"/>
      <c r="AX114" s="99" t="s">
        <v>9115</v>
      </c>
      <c r="AZ114" s="94" t="s">
        <v>8512</v>
      </c>
    </row>
    <row r="115" spans="1:52">
      <c r="A115" s="25" t="s">
        <v>9116</v>
      </c>
      <c r="B115" s="25" t="s">
        <v>4398</v>
      </c>
      <c r="C115" s="25" t="s">
        <v>73</v>
      </c>
      <c r="D115" s="25" t="s">
        <v>8540</v>
      </c>
      <c r="E115" s="258" t="s">
        <v>9117</v>
      </c>
      <c r="F115" s="25" t="s">
        <v>9118</v>
      </c>
      <c r="G115" s="25" t="s">
        <v>7497</v>
      </c>
      <c r="H115" s="25" t="s">
        <v>8919</v>
      </c>
      <c r="I115" s="26" t="s">
        <v>7499</v>
      </c>
      <c r="J115" s="26">
        <v>202606.5</v>
      </c>
      <c r="K115" s="62" t="s">
        <v>8226</v>
      </c>
      <c r="L115" s="25" t="s">
        <v>73</v>
      </c>
      <c r="M115" s="25" t="s">
        <v>9119</v>
      </c>
      <c r="N115" s="25" t="s">
        <v>9120</v>
      </c>
      <c r="O115" s="30" t="s">
        <v>9121</v>
      </c>
      <c r="P115" s="26"/>
      <c r="Q115" s="109">
        <v>4</v>
      </c>
      <c r="R115" s="109" t="s">
        <v>4409</v>
      </c>
      <c r="S115" s="109" t="s">
        <v>8580</v>
      </c>
      <c r="T115" s="26" t="s">
        <v>77</v>
      </c>
      <c r="U115" s="30" t="s">
        <v>78</v>
      </c>
      <c r="V115" s="26" t="s">
        <v>79</v>
      </c>
      <c r="W115" s="38" t="s">
        <v>80</v>
      </c>
      <c r="X115" s="26" t="s">
        <v>7505</v>
      </c>
      <c r="Y115" s="26" t="s">
        <v>81</v>
      </c>
      <c r="Z115" s="26" t="s">
        <v>81</v>
      </c>
      <c r="AA115" s="105" t="s">
        <v>172</v>
      </c>
      <c r="AB115" s="93" t="s">
        <v>21</v>
      </c>
      <c r="AC115" s="106" t="s">
        <v>172</v>
      </c>
      <c r="AD115" s="107" t="s">
        <v>173</v>
      </c>
      <c r="AE115" s="107" t="s">
        <v>174</v>
      </c>
      <c r="AF115" s="105" t="s">
        <v>175</v>
      </c>
      <c r="AG115" s="104">
        <f t="shared" si="6"/>
        <v>1</v>
      </c>
      <c r="AH115" s="104">
        <v>1</v>
      </c>
      <c r="AI115" s="104">
        <v>1</v>
      </c>
      <c r="AJ115" s="104">
        <v>1</v>
      </c>
      <c r="AK115" s="106"/>
      <c r="AL115" s="104">
        <f t="shared" si="7"/>
        <v>1</v>
      </c>
      <c r="AM115" s="106"/>
      <c r="AN115" s="104"/>
      <c r="AO115" s="104">
        <v>1</v>
      </c>
      <c r="AP115" s="104">
        <v>1</v>
      </c>
      <c r="AQ115" s="104">
        <v>1</v>
      </c>
      <c r="AR115" s="104">
        <v>1</v>
      </c>
      <c r="AS115" s="106"/>
      <c r="AT115" s="104">
        <v>1</v>
      </c>
      <c r="AU115" s="106"/>
      <c r="AV115" s="106"/>
      <c r="AX115" s="99" t="s">
        <v>9122</v>
      </c>
      <c r="AZ115" s="94" t="s">
        <v>8474</v>
      </c>
    </row>
    <row r="116" spans="1:52">
      <c r="A116" s="25" t="s">
        <v>9123</v>
      </c>
      <c r="B116" s="25" t="s">
        <v>4398</v>
      </c>
      <c r="C116" s="25" t="s">
        <v>73</v>
      </c>
      <c r="D116" s="25" t="s">
        <v>8549</v>
      </c>
      <c r="E116" s="258" t="s">
        <v>9124</v>
      </c>
      <c r="F116" s="25" t="s">
        <v>9125</v>
      </c>
      <c r="G116" s="25" t="s">
        <v>7497</v>
      </c>
      <c r="H116" s="25" t="s">
        <v>8919</v>
      </c>
      <c r="I116" s="26" t="s">
        <v>7499</v>
      </c>
      <c r="J116" s="26">
        <v>202606.5</v>
      </c>
      <c r="K116" s="62" t="s">
        <v>8226</v>
      </c>
      <c r="L116" s="25" t="s">
        <v>73</v>
      </c>
      <c r="M116" s="25" t="s">
        <v>9126</v>
      </c>
      <c r="N116" s="25" t="s">
        <v>9127</v>
      </c>
      <c r="O116" s="30" t="s">
        <v>9128</v>
      </c>
      <c r="P116" s="26"/>
      <c r="Q116" s="109">
        <v>4</v>
      </c>
      <c r="R116" s="109" t="s">
        <v>4409</v>
      </c>
      <c r="S116" s="109" t="s">
        <v>4513</v>
      </c>
      <c r="T116" s="26" t="s">
        <v>77</v>
      </c>
      <c r="U116" s="30" t="s">
        <v>78</v>
      </c>
      <c r="V116" s="26" t="s">
        <v>79</v>
      </c>
      <c r="W116" s="38" t="s">
        <v>80</v>
      </c>
      <c r="X116" s="26" t="s">
        <v>7505</v>
      </c>
      <c r="Y116" s="26" t="s">
        <v>81</v>
      </c>
      <c r="Z116" s="26" t="s">
        <v>81</v>
      </c>
      <c r="AA116" s="105" t="s">
        <v>172</v>
      </c>
      <c r="AB116" s="93" t="s">
        <v>21</v>
      </c>
      <c r="AC116" s="106" t="s">
        <v>172</v>
      </c>
      <c r="AD116" s="107" t="s">
        <v>173</v>
      </c>
      <c r="AE116" s="107" t="s">
        <v>174</v>
      </c>
      <c r="AF116" s="105" t="s">
        <v>175</v>
      </c>
      <c r="AG116" s="104">
        <f t="shared" si="6"/>
        <v>1</v>
      </c>
      <c r="AH116" s="104">
        <v>1</v>
      </c>
      <c r="AI116" s="104">
        <v>1</v>
      </c>
      <c r="AJ116" s="104">
        <v>1</v>
      </c>
      <c r="AK116" s="106"/>
      <c r="AL116" s="104">
        <f t="shared" si="7"/>
        <v>1</v>
      </c>
      <c r="AM116" s="106"/>
      <c r="AN116" s="104"/>
      <c r="AO116" s="104">
        <v>1</v>
      </c>
      <c r="AP116" s="104">
        <v>1</v>
      </c>
      <c r="AQ116" s="104">
        <v>1</v>
      </c>
      <c r="AR116" s="104">
        <v>1</v>
      </c>
      <c r="AS116" s="106"/>
      <c r="AT116" s="104">
        <v>1</v>
      </c>
      <c r="AU116" s="106"/>
      <c r="AV116" s="106"/>
      <c r="AX116" s="99" t="s">
        <v>9129</v>
      </c>
      <c r="AZ116" s="75" t="s">
        <v>8745</v>
      </c>
    </row>
    <row r="117" spans="1:52" ht="49.5">
      <c r="A117" s="25" t="s">
        <v>9130</v>
      </c>
      <c r="B117" s="25" t="s">
        <v>4398</v>
      </c>
      <c r="C117" s="25" t="s">
        <v>68</v>
      </c>
      <c r="D117" s="25" t="s">
        <v>8232</v>
      </c>
      <c r="E117" s="258" t="s">
        <v>9131</v>
      </c>
      <c r="F117" s="25" t="s">
        <v>9132</v>
      </c>
      <c r="G117" s="25" t="s">
        <v>7497</v>
      </c>
      <c r="H117" s="25" t="s">
        <v>9133</v>
      </c>
      <c r="I117" s="26" t="s">
        <v>7499</v>
      </c>
      <c r="J117" s="26">
        <v>202606.5</v>
      </c>
      <c r="K117" s="62" t="s">
        <v>8226</v>
      </c>
      <c r="L117" s="25" t="s">
        <v>73</v>
      </c>
      <c r="M117" s="25" t="s">
        <v>9115</v>
      </c>
      <c r="N117" s="25" t="s">
        <v>9134</v>
      </c>
      <c r="O117" s="30" t="s">
        <v>9135</v>
      </c>
      <c r="P117" s="26"/>
      <c r="Q117" s="104">
        <v>4</v>
      </c>
      <c r="R117" s="104" t="s">
        <v>4409</v>
      </c>
      <c r="S117" s="104" t="s">
        <v>9136</v>
      </c>
      <c r="T117" s="26" t="s">
        <v>77</v>
      </c>
      <c r="U117" s="30" t="s">
        <v>78</v>
      </c>
      <c r="V117" s="26" t="s">
        <v>79</v>
      </c>
      <c r="W117" s="38" t="s">
        <v>80</v>
      </c>
      <c r="X117" s="26" t="s">
        <v>7505</v>
      </c>
      <c r="Y117" s="26" t="s">
        <v>81</v>
      </c>
      <c r="Z117" s="26" t="s">
        <v>81</v>
      </c>
      <c r="AA117" s="105" t="s">
        <v>172</v>
      </c>
      <c r="AB117" s="93" t="s">
        <v>21</v>
      </c>
      <c r="AC117" s="106" t="s">
        <v>172</v>
      </c>
      <c r="AD117" s="107" t="s">
        <v>173</v>
      </c>
      <c r="AE117" s="107" t="s">
        <v>174</v>
      </c>
      <c r="AF117" s="105" t="s">
        <v>175</v>
      </c>
      <c r="AG117" s="104">
        <f t="shared" si="6"/>
        <v>1</v>
      </c>
      <c r="AH117" s="104">
        <v>1</v>
      </c>
      <c r="AI117" s="104">
        <v>1</v>
      </c>
      <c r="AJ117" s="104">
        <v>1</v>
      </c>
      <c r="AK117" s="106"/>
      <c r="AL117" s="104">
        <f t="shared" si="7"/>
        <v>1</v>
      </c>
      <c r="AM117" s="106"/>
      <c r="AN117" s="104"/>
      <c r="AO117" s="104">
        <v>1</v>
      </c>
      <c r="AP117" s="104">
        <v>1</v>
      </c>
      <c r="AQ117" s="104">
        <v>1</v>
      </c>
      <c r="AR117" s="108" t="s">
        <v>8261</v>
      </c>
      <c r="AS117" s="105" t="s">
        <v>7376</v>
      </c>
      <c r="AT117" s="107">
        <v>1</v>
      </c>
      <c r="AU117" s="106"/>
      <c r="AV117" s="106"/>
      <c r="AX117" s="99" t="s">
        <v>9137</v>
      </c>
      <c r="AZ117" s="94" t="s">
        <v>8699</v>
      </c>
    </row>
    <row r="118" spans="1:52">
      <c r="A118" s="25" t="s">
        <v>9138</v>
      </c>
      <c r="B118" s="25" t="s">
        <v>4398</v>
      </c>
      <c r="C118" s="25" t="s">
        <v>68</v>
      </c>
      <c r="D118" s="25" t="s">
        <v>8242</v>
      </c>
      <c r="E118" s="258" t="s">
        <v>9139</v>
      </c>
      <c r="F118" s="25" t="s">
        <v>9140</v>
      </c>
      <c r="G118" s="25" t="s">
        <v>7497</v>
      </c>
      <c r="H118" s="25" t="s">
        <v>9133</v>
      </c>
      <c r="I118" s="26" t="s">
        <v>7499</v>
      </c>
      <c r="J118" s="26">
        <v>202606.5</v>
      </c>
      <c r="K118" s="62" t="s">
        <v>8226</v>
      </c>
      <c r="L118" s="25" t="s">
        <v>73</v>
      </c>
      <c r="M118" s="25" t="s">
        <v>9122</v>
      </c>
      <c r="N118" s="25" t="s">
        <v>9141</v>
      </c>
      <c r="O118" s="30" t="s">
        <v>9142</v>
      </c>
      <c r="P118" s="26"/>
      <c r="Q118" s="104">
        <v>4</v>
      </c>
      <c r="R118" s="104" t="s">
        <v>4409</v>
      </c>
      <c r="S118" s="104" t="s">
        <v>8588</v>
      </c>
      <c r="T118" s="26" t="s">
        <v>77</v>
      </c>
      <c r="U118" s="30" t="s">
        <v>78</v>
      </c>
      <c r="V118" s="26" t="s">
        <v>79</v>
      </c>
      <c r="W118" s="38" t="s">
        <v>80</v>
      </c>
      <c r="X118" s="26" t="s">
        <v>7505</v>
      </c>
      <c r="Y118" s="26" t="s">
        <v>81</v>
      </c>
      <c r="Z118" s="26" t="s">
        <v>81</v>
      </c>
      <c r="AA118" s="105" t="s">
        <v>172</v>
      </c>
      <c r="AB118" s="93" t="s">
        <v>21</v>
      </c>
      <c r="AC118" s="106" t="s">
        <v>172</v>
      </c>
      <c r="AD118" s="107" t="s">
        <v>173</v>
      </c>
      <c r="AE118" s="107" t="s">
        <v>174</v>
      </c>
      <c r="AF118" s="105" t="s">
        <v>175</v>
      </c>
      <c r="AG118" s="104">
        <f t="shared" si="6"/>
        <v>1</v>
      </c>
      <c r="AH118" s="104">
        <v>1</v>
      </c>
      <c r="AI118" s="104">
        <v>1</v>
      </c>
      <c r="AJ118" s="104">
        <v>1</v>
      </c>
      <c r="AK118" s="106"/>
      <c r="AL118" s="104">
        <f t="shared" si="7"/>
        <v>1</v>
      </c>
      <c r="AM118" s="106"/>
      <c r="AN118" s="104"/>
      <c r="AO118" s="104">
        <v>1</v>
      </c>
      <c r="AP118" s="104">
        <v>1</v>
      </c>
      <c r="AQ118" s="104">
        <v>1</v>
      </c>
      <c r="AR118" s="104">
        <v>1</v>
      </c>
      <c r="AS118" s="106"/>
      <c r="AT118" s="104">
        <v>1</v>
      </c>
      <c r="AU118" s="106"/>
      <c r="AV118" s="106"/>
      <c r="AX118" s="99" t="s">
        <v>9143</v>
      </c>
      <c r="AZ118" s="94" t="s">
        <v>8708</v>
      </c>
    </row>
    <row r="119" spans="1:52">
      <c r="A119" s="25" t="s">
        <v>9144</v>
      </c>
      <c r="B119" s="25" t="s">
        <v>4398</v>
      </c>
      <c r="C119" s="25" t="s">
        <v>68</v>
      </c>
      <c r="D119" s="25" t="s">
        <v>8252</v>
      </c>
      <c r="E119" s="258" t="s">
        <v>9145</v>
      </c>
      <c r="F119" s="25" t="s">
        <v>9146</v>
      </c>
      <c r="G119" s="25" t="s">
        <v>7497</v>
      </c>
      <c r="H119" s="25" t="s">
        <v>9133</v>
      </c>
      <c r="I119" s="26" t="s">
        <v>7499</v>
      </c>
      <c r="J119" s="26">
        <v>202606.5</v>
      </c>
      <c r="K119" s="62" t="s">
        <v>8226</v>
      </c>
      <c r="L119" s="25" t="s">
        <v>73</v>
      </c>
      <c r="M119" s="25" t="s">
        <v>9053</v>
      </c>
      <c r="N119" s="25" t="s">
        <v>9147</v>
      </c>
      <c r="O119" s="30" t="s">
        <v>9148</v>
      </c>
      <c r="P119" s="26"/>
      <c r="Q119" s="104">
        <v>4</v>
      </c>
      <c r="R119" s="104" t="s">
        <v>4409</v>
      </c>
      <c r="S119" s="104" t="s">
        <v>9149</v>
      </c>
      <c r="T119" s="26" t="s">
        <v>77</v>
      </c>
      <c r="U119" s="30" t="s">
        <v>78</v>
      </c>
      <c r="V119" s="26" t="s">
        <v>79</v>
      </c>
      <c r="W119" s="38" t="s">
        <v>80</v>
      </c>
      <c r="X119" s="26" t="s">
        <v>7505</v>
      </c>
      <c r="Y119" s="26" t="s">
        <v>81</v>
      </c>
      <c r="Z119" s="26" t="s">
        <v>81</v>
      </c>
      <c r="AA119" s="105" t="s">
        <v>172</v>
      </c>
      <c r="AB119" s="93" t="s">
        <v>21</v>
      </c>
      <c r="AC119" s="106" t="s">
        <v>172</v>
      </c>
      <c r="AD119" s="107" t="s">
        <v>173</v>
      </c>
      <c r="AE119" s="107" t="s">
        <v>174</v>
      </c>
      <c r="AF119" s="105" t="s">
        <v>175</v>
      </c>
      <c r="AG119" s="104">
        <f t="shared" si="6"/>
        <v>1</v>
      </c>
      <c r="AH119" s="104">
        <v>1</v>
      </c>
      <c r="AI119" s="104">
        <v>1</v>
      </c>
      <c r="AJ119" s="104">
        <v>1</v>
      </c>
      <c r="AK119" s="106"/>
      <c r="AL119" s="104">
        <f t="shared" si="7"/>
        <v>1</v>
      </c>
      <c r="AM119" s="106"/>
      <c r="AN119" s="104"/>
      <c r="AO119" s="104">
        <v>1</v>
      </c>
      <c r="AP119" s="104">
        <v>1</v>
      </c>
      <c r="AQ119" s="104">
        <v>1</v>
      </c>
      <c r="AR119" s="104">
        <v>1</v>
      </c>
      <c r="AS119" s="106"/>
      <c r="AT119" s="104">
        <v>1</v>
      </c>
      <c r="AU119" s="106"/>
      <c r="AV119" s="106"/>
      <c r="AX119" s="99" t="s">
        <v>9150</v>
      </c>
      <c r="AZ119" s="94" t="s">
        <v>8598</v>
      </c>
    </row>
    <row r="120" spans="1:52">
      <c r="A120" s="25" t="s">
        <v>9151</v>
      </c>
      <c r="B120" s="25" t="s">
        <v>4398</v>
      </c>
      <c r="C120" s="25" t="s">
        <v>68</v>
      </c>
      <c r="D120" s="25" t="s">
        <v>9152</v>
      </c>
      <c r="E120" s="258" t="s">
        <v>9153</v>
      </c>
      <c r="F120" s="25" t="s">
        <v>9154</v>
      </c>
      <c r="G120" s="25" t="s">
        <v>7497</v>
      </c>
      <c r="H120" s="25" t="s">
        <v>9133</v>
      </c>
      <c r="I120" s="26" t="s">
        <v>7499</v>
      </c>
      <c r="J120" s="26">
        <v>202606.5</v>
      </c>
      <c r="K120" s="62" t="s">
        <v>8226</v>
      </c>
      <c r="L120" s="25" t="s">
        <v>73</v>
      </c>
      <c r="M120" s="25" t="s">
        <v>9061</v>
      </c>
      <c r="N120" s="25" t="s">
        <v>9155</v>
      </c>
      <c r="O120" s="30" t="s">
        <v>9156</v>
      </c>
      <c r="P120" s="26"/>
      <c r="Q120" s="104">
        <v>4</v>
      </c>
      <c r="R120" s="104" t="s">
        <v>4409</v>
      </c>
      <c r="S120" s="104" t="s">
        <v>9157</v>
      </c>
      <c r="T120" s="26" t="s">
        <v>77</v>
      </c>
      <c r="U120" s="30" t="s">
        <v>78</v>
      </c>
      <c r="V120" s="26" t="s">
        <v>79</v>
      </c>
      <c r="W120" s="38" t="s">
        <v>80</v>
      </c>
      <c r="X120" s="26" t="s">
        <v>7505</v>
      </c>
      <c r="Y120" s="26" t="s">
        <v>81</v>
      </c>
      <c r="Z120" s="26" t="s">
        <v>81</v>
      </c>
      <c r="AA120" s="105" t="s">
        <v>172</v>
      </c>
      <c r="AB120" s="93" t="s">
        <v>21</v>
      </c>
      <c r="AC120" s="106" t="s">
        <v>172</v>
      </c>
      <c r="AD120" s="107" t="s">
        <v>173</v>
      </c>
      <c r="AE120" s="107" t="s">
        <v>174</v>
      </c>
      <c r="AF120" s="105" t="s">
        <v>175</v>
      </c>
      <c r="AG120" s="104">
        <f t="shared" si="6"/>
        <v>1</v>
      </c>
      <c r="AH120" s="104">
        <v>1</v>
      </c>
      <c r="AI120" s="104">
        <v>1</v>
      </c>
      <c r="AJ120" s="104">
        <v>1</v>
      </c>
      <c r="AK120" s="106"/>
      <c r="AL120" s="104">
        <f t="shared" si="7"/>
        <v>1</v>
      </c>
      <c r="AM120" s="106"/>
      <c r="AN120" s="104"/>
      <c r="AO120" s="104">
        <v>1</v>
      </c>
      <c r="AP120" s="104">
        <v>1</v>
      </c>
      <c r="AQ120" s="104">
        <v>1</v>
      </c>
      <c r="AR120" s="104">
        <v>1</v>
      </c>
      <c r="AS120" s="106"/>
      <c r="AT120" s="104">
        <v>1</v>
      </c>
      <c r="AU120" s="106"/>
      <c r="AV120" s="106"/>
      <c r="AX120" s="99" t="s">
        <v>9158</v>
      </c>
      <c r="AZ120" s="94" t="s">
        <v>8753</v>
      </c>
    </row>
    <row r="121" spans="1:52">
      <c r="A121" s="25" t="s">
        <v>9159</v>
      </c>
      <c r="B121" s="25" t="s">
        <v>4398</v>
      </c>
      <c r="C121" s="25" t="s">
        <v>68</v>
      </c>
      <c r="D121" s="25" t="s">
        <v>8265</v>
      </c>
      <c r="E121" s="258" t="s">
        <v>9160</v>
      </c>
      <c r="F121" s="25" t="s">
        <v>9161</v>
      </c>
      <c r="G121" s="25" t="s">
        <v>7497</v>
      </c>
      <c r="H121" s="25" t="s">
        <v>9133</v>
      </c>
      <c r="I121" s="26" t="s">
        <v>7499</v>
      </c>
      <c r="J121" s="26">
        <v>202606.5</v>
      </c>
      <c r="K121" s="62" t="s">
        <v>8226</v>
      </c>
      <c r="L121" s="25" t="s">
        <v>73</v>
      </c>
      <c r="M121" s="25" t="s">
        <v>9069</v>
      </c>
      <c r="N121" s="25" t="s">
        <v>9162</v>
      </c>
      <c r="O121" s="30" t="s">
        <v>9163</v>
      </c>
      <c r="P121" s="26"/>
      <c r="Q121" s="104">
        <v>4</v>
      </c>
      <c r="R121" s="104" t="s">
        <v>4409</v>
      </c>
      <c r="S121" s="104" t="s">
        <v>7791</v>
      </c>
      <c r="T121" s="26" t="s">
        <v>77</v>
      </c>
      <c r="U121" s="30" t="s">
        <v>78</v>
      </c>
      <c r="V121" s="26" t="s">
        <v>79</v>
      </c>
      <c r="W121" s="38" t="s">
        <v>80</v>
      </c>
      <c r="X121" s="26" t="s">
        <v>7505</v>
      </c>
      <c r="Y121" s="26" t="s">
        <v>81</v>
      </c>
      <c r="Z121" s="26" t="s">
        <v>81</v>
      </c>
      <c r="AA121" s="105" t="s">
        <v>172</v>
      </c>
      <c r="AB121" s="93" t="s">
        <v>21</v>
      </c>
      <c r="AC121" s="106" t="s">
        <v>172</v>
      </c>
      <c r="AD121" s="107" t="s">
        <v>173</v>
      </c>
      <c r="AE121" s="107" t="s">
        <v>174</v>
      </c>
      <c r="AF121" s="105" t="s">
        <v>175</v>
      </c>
      <c r="AG121" s="104">
        <f t="shared" si="6"/>
        <v>1</v>
      </c>
      <c r="AH121" s="104">
        <v>1</v>
      </c>
      <c r="AI121" s="104">
        <v>1</v>
      </c>
      <c r="AJ121" s="104">
        <v>1</v>
      </c>
      <c r="AK121" s="106"/>
      <c r="AL121" s="104">
        <f t="shared" si="7"/>
        <v>1</v>
      </c>
      <c r="AM121" s="106"/>
      <c r="AN121" s="104"/>
      <c r="AO121" s="104">
        <v>1</v>
      </c>
      <c r="AP121" s="104">
        <v>1</v>
      </c>
      <c r="AQ121" s="104">
        <v>1</v>
      </c>
      <c r="AR121" s="104">
        <v>1</v>
      </c>
      <c r="AS121" s="106"/>
      <c r="AT121" s="104">
        <v>1</v>
      </c>
      <c r="AU121" s="106"/>
      <c r="AV121" s="106"/>
      <c r="AX121" s="99" t="s">
        <v>9035</v>
      </c>
      <c r="AZ121" s="94" t="s">
        <v>7785</v>
      </c>
    </row>
    <row r="122" spans="1:52">
      <c r="A122" s="25" t="s">
        <v>9164</v>
      </c>
      <c r="B122" s="25" t="s">
        <v>4398</v>
      </c>
      <c r="C122" s="25" t="s">
        <v>68</v>
      </c>
      <c r="D122" s="25" t="s">
        <v>8274</v>
      </c>
      <c r="E122" s="258" t="s">
        <v>9165</v>
      </c>
      <c r="F122" s="25" t="s">
        <v>9166</v>
      </c>
      <c r="G122" s="25" t="s">
        <v>7497</v>
      </c>
      <c r="H122" s="25" t="s">
        <v>9133</v>
      </c>
      <c r="I122" s="26" t="s">
        <v>7499</v>
      </c>
      <c r="J122" s="26">
        <v>202606.5</v>
      </c>
      <c r="K122" s="62" t="s">
        <v>8226</v>
      </c>
      <c r="L122" s="25" t="s">
        <v>73</v>
      </c>
      <c r="M122" s="25" t="s">
        <v>9077</v>
      </c>
      <c r="N122" s="25" t="s">
        <v>9167</v>
      </c>
      <c r="O122" s="30" t="s">
        <v>9168</v>
      </c>
      <c r="P122" s="26"/>
      <c r="Q122" s="104">
        <v>4</v>
      </c>
      <c r="R122" s="104" t="s">
        <v>4409</v>
      </c>
      <c r="S122" s="104" t="s">
        <v>9169</v>
      </c>
      <c r="T122" s="26" t="s">
        <v>77</v>
      </c>
      <c r="U122" s="30" t="s">
        <v>78</v>
      </c>
      <c r="V122" s="26" t="s">
        <v>79</v>
      </c>
      <c r="W122" s="38" t="s">
        <v>80</v>
      </c>
      <c r="X122" s="26" t="s">
        <v>7505</v>
      </c>
      <c r="Y122" s="26" t="s">
        <v>81</v>
      </c>
      <c r="Z122" s="26" t="s">
        <v>81</v>
      </c>
      <c r="AA122" s="105" t="s">
        <v>172</v>
      </c>
      <c r="AB122" s="93" t="s">
        <v>21</v>
      </c>
      <c r="AC122" s="106" t="s">
        <v>172</v>
      </c>
      <c r="AD122" s="107" t="s">
        <v>173</v>
      </c>
      <c r="AE122" s="107" t="s">
        <v>174</v>
      </c>
      <c r="AF122" s="105" t="s">
        <v>175</v>
      </c>
      <c r="AG122" s="104">
        <f t="shared" si="6"/>
        <v>1</v>
      </c>
      <c r="AH122" s="104">
        <v>1</v>
      </c>
      <c r="AI122" s="104">
        <v>1</v>
      </c>
      <c r="AJ122" s="104">
        <v>1</v>
      </c>
      <c r="AK122" s="106"/>
      <c r="AL122" s="104">
        <f t="shared" si="7"/>
        <v>1</v>
      </c>
      <c r="AM122" s="106"/>
      <c r="AN122" s="104"/>
      <c r="AO122" s="104">
        <v>1</v>
      </c>
      <c r="AP122" s="104">
        <v>1</v>
      </c>
      <c r="AQ122" s="104">
        <v>1</v>
      </c>
      <c r="AR122" s="104">
        <v>1</v>
      </c>
      <c r="AS122" s="106"/>
      <c r="AT122" s="104">
        <v>1</v>
      </c>
      <c r="AU122" s="106"/>
      <c r="AV122" s="106"/>
      <c r="AX122" s="99" t="s">
        <v>9170</v>
      </c>
      <c r="AZ122" s="94" t="s">
        <v>8760</v>
      </c>
    </row>
    <row r="123" spans="1:52">
      <c r="A123" s="25" t="s">
        <v>9171</v>
      </c>
      <c r="B123" s="25" t="s">
        <v>4398</v>
      </c>
      <c r="C123" s="25" t="s">
        <v>68</v>
      </c>
      <c r="D123" s="25" t="s">
        <v>8283</v>
      </c>
      <c r="E123" s="258" t="s">
        <v>9172</v>
      </c>
      <c r="F123" s="25" t="s">
        <v>9173</v>
      </c>
      <c r="G123" s="25" t="s">
        <v>7497</v>
      </c>
      <c r="H123" s="25" t="s">
        <v>9133</v>
      </c>
      <c r="I123" s="26" t="s">
        <v>7499</v>
      </c>
      <c r="J123" s="26">
        <v>202606.5</v>
      </c>
      <c r="K123" s="62" t="s">
        <v>8226</v>
      </c>
      <c r="L123" s="25" t="s">
        <v>73</v>
      </c>
      <c r="M123" s="25" t="s">
        <v>9129</v>
      </c>
      <c r="N123" s="25" t="s">
        <v>9174</v>
      </c>
      <c r="O123" s="30" t="s">
        <v>9175</v>
      </c>
      <c r="P123" s="26"/>
      <c r="Q123" s="104">
        <v>4</v>
      </c>
      <c r="R123" s="104" t="s">
        <v>4409</v>
      </c>
      <c r="S123" s="104" t="s">
        <v>7806</v>
      </c>
      <c r="T123" s="26" t="s">
        <v>77</v>
      </c>
      <c r="U123" s="30" t="s">
        <v>78</v>
      </c>
      <c r="V123" s="26" t="s">
        <v>79</v>
      </c>
      <c r="W123" s="38" t="s">
        <v>80</v>
      </c>
      <c r="X123" s="26" t="s">
        <v>7505</v>
      </c>
      <c r="Y123" s="26" t="s">
        <v>81</v>
      </c>
      <c r="Z123" s="26" t="s">
        <v>81</v>
      </c>
      <c r="AA123" s="105" t="s">
        <v>172</v>
      </c>
      <c r="AB123" s="93" t="s">
        <v>21</v>
      </c>
      <c r="AC123" s="106" t="s">
        <v>172</v>
      </c>
      <c r="AD123" s="107" t="s">
        <v>173</v>
      </c>
      <c r="AE123" s="107" t="s">
        <v>174</v>
      </c>
      <c r="AF123" s="105" t="s">
        <v>175</v>
      </c>
      <c r="AG123" s="104">
        <f t="shared" si="6"/>
        <v>1</v>
      </c>
      <c r="AH123" s="104">
        <v>1</v>
      </c>
      <c r="AI123" s="104">
        <v>1</v>
      </c>
      <c r="AJ123" s="104">
        <v>1</v>
      </c>
      <c r="AK123" s="106"/>
      <c r="AL123" s="104">
        <f t="shared" si="7"/>
        <v>1</v>
      </c>
      <c r="AM123" s="106"/>
      <c r="AN123" s="104"/>
      <c r="AO123" s="104">
        <v>1</v>
      </c>
      <c r="AP123" s="104">
        <v>1</v>
      </c>
      <c r="AQ123" s="104">
        <v>1</v>
      </c>
      <c r="AR123" s="104">
        <v>1</v>
      </c>
      <c r="AS123" s="106"/>
      <c r="AT123" s="104">
        <v>1</v>
      </c>
      <c r="AU123" s="106"/>
      <c r="AV123" s="106"/>
      <c r="AX123" s="99" t="s">
        <v>9176</v>
      </c>
      <c r="AZ123" s="94" t="s">
        <v>8767</v>
      </c>
    </row>
    <row r="124" spans="1:52">
      <c r="A124" s="25" t="s">
        <v>9177</v>
      </c>
      <c r="B124" s="25" t="s">
        <v>4398</v>
      </c>
      <c r="C124" s="25" t="s">
        <v>68</v>
      </c>
      <c r="D124" s="25" t="s">
        <v>8291</v>
      </c>
      <c r="E124" s="258" t="s">
        <v>9178</v>
      </c>
      <c r="F124" s="25" t="s">
        <v>9179</v>
      </c>
      <c r="G124" s="25" t="s">
        <v>7497</v>
      </c>
      <c r="H124" s="25" t="s">
        <v>9133</v>
      </c>
      <c r="I124" s="26" t="s">
        <v>7499</v>
      </c>
      <c r="J124" s="26">
        <v>202606.5</v>
      </c>
      <c r="K124" s="62" t="s">
        <v>8226</v>
      </c>
      <c r="L124" s="25" t="s">
        <v>73</v>
      </c>
      <c r="M124" s="25" t="s">
        <v>9085</v>
      </c>
      <c r="N124" s="25" t="s">
        <v>9180</v>
      </c>
      <c r="O124" s="30" t="s">
        <v>9181</v>
      </c>
      <c r="P124" s="26"/>
      <c r="Q124" s="104">
        <v>4</v>
      </c>
      <c r="R124" s="104" t="s">
        <v>4409</v>
      </c>
      <c r="S124" s="104" t="s">
        <v>9182</v>
      </c>
      <c r="T124" s="26" t="s">
        <v>77</v>
      </c>
      <c r="U124" s="30" t="s">
        <v>78</v>
      </c>
      <c r="V124" s="26" t="s">
        <v>79</v>
      </c>
      <c r="W124" s="38" t="s">
        <v>80</v>
      </c>
      <c r="X124" s="26" t="s">
        <v>7505</v>
      </c>
      <c r="Y124" s="26" t="s">
        <v>81</v>
      </c>
      <c r="Z124" s="26" t="s">
        <v>81</v>
      </c>
      <c r="AA124" s="105" t="s">
        <v>172</v>
      </c>
      <c r="AB124" s="93" t="s">
        <v>21</v>
      </c>
      <c r="AC124" s="106" t="s">
        <v>172</v>
      </c>
      <c r="AD124" s="107" t="s">
        <v>173</v>
      </c>
      <c r="AE124" s="107" t="s">
        <v>174</v>
      </c>
      <c r="AF124" s="105" t="s">
        <v>175</v>
      </c>
      <c r="AG124" s="104">
        <f t="shared" si="6"/>
        <v>1</v>
      </c>
      <c r="AH124" s="104">
        <v>1</v>
      </c>
      <c r="AI124" s="104">
        <v>1</v>
      </c>
      <c r="AJ124" s="104">
        <v>1</v>
      </c>
      <c r="AK124" s="106"/>
      <c r="AL124" s="104">
        <f t="shared" si="7"/>
        <v>1</v>
      </c>
      <c r="AM124" s="106"/>
      <c r="AN124" s="104"/>
      <c r="AO124" s="104">
        <v>1</v>
      </c>
      <c r="AP124" s="104">
        <v>1</v>
      </c>
      <c r="AQ124" s="104">
        <v>1</v>
      </c>
      <c r="AR124" s="104">
        <v>1</v>
      </c>
      <c r="AS124" s="106"/>
      <c r="AT124" s="104">
        <v>1</v>
      </c>
      <c r="AU124" s="106"/>
      <c r="AV124" s="106"/>
      <c r="AX124" s="99" t="s">
        <v>9183</v>
      </c>
      <c r="AZ124" s="94" t="s">
        <v>8607</v>
      </c>
    </row>
    <row r="125" spans="1:52">
      <c r="A125" s="25" t="s">
        <v>9184</v>
      </c>
      <c r="B125" s="25" t="s">
        <v>4398</v>
      </c>
      <c r="C125" s="25" t="s">
        <v>68</v>
      </c>
      <c r="D125" s="25" t="s">
        <v>8299</v>
      </c>
      <c r="E125" s="258" t="s">
        <v>9185</v>
      </c>
      <c r="F125" s="25" t="s">
        <v>9186</v>
      </c>
      <c r="G125" s="25" t="s">
        <v>7497</v>
      </c>
      <c r="H125" s="25" t="s">
        <v>9133</v>
      </c>
      <c r="I125" s="26" t="s">
        <v>7499</v>
      </c>
      <c r="J125" s="26">
        <v>202606.5</v>
      </c>
      <c r="K125" s="62" t="s">
        <v>8226</v>
      </c>
      <c r="L125" s="25" t="s">
        <v>73</v>
      </c>
      <c r="M125" s="25" t="s">
        <v>9093</v>
      </c>
      <c r="N125" s="25" t="s">
        <v>9187</v>
      </c>
      <c r="O125" s="30" t="s">
        <v>9188</v>
      </c>
      <c r="P125" s="26"/>
      <c r="Q125" s="104">
        <v>4</v>
      </c>
      <c r="R125" s="104" t="s">
        <v>4409</v>
      </c>
      <c r="S125" s="104" t="s">
        <v>9189</v>
      </c>
      <c r="T125" s="26" t="s">
        <v>77</v>
      </c>
      <c r="U125" s="30" t="s">
        <v>78</v>
      </c>
      <c r="V125" s="26" t="s">
        <v>79</v>
      </c>
      <c r="W125" s="38" t="s">
        <v>80</v>
      </c>
      <c r="X125" s="26" t="s">
        <v>7505</v>
      </c>
      <c r="Y125" s="26" t="s">
        <v>81</v>
      </c>
      <c r="Z125" s="26" t="s">
        <v>81</v>
      </c>
      <c r="AA125" s="105" t="s">
        <v>172</v>
      </c>
      <c r="AB125" s="93" t="s">
        <v>21</v>
      </c>
      <c r="AC125" s="106" t="s">
        <v>172</v>
      </c>
      <c r="AD125" s="107" t="s">
        <v>173</v>
      </c>
      <c r="AE125" s="107" t="s">
        <v>174</v>
      </c>
      <c r="AF125" s="105" t="s">
        <v>175</v>
      </c>
      <c r="AG125" s="104">
        <f t="shared" si="6"/>
        <v>1</v>
      </c>
      <c r="AH125" s="104">
        <v>1</v>
      </c>
      <c r="AI125" s="104">
        <v>1</v>
      </c>
      <c r="AJ125" s="104">
        <v>1</v>
      </c>
      <c r="AK125" s="106"/>
      <c r="AL125" s="104">
        <f t="shared" si="7"/>
        <v>1</v>
      </c>
      <c r="AM125" s="106"/>
      <c r="AN125" s="104"/>
      <c r="AO125" s="104">
        <v>1</v>
      </c>
      <c r="AP125" s="104">
        <v>1</v>
      </c>
      <c r="AQ125" s="104">
        <v>1</v>
      </c>
      <c r="AR125" s="104">
        <v>1</v>
      </c>
      <c r="AS125" s="106"/>
      <c r="AT125" s="104">
        <v>1</v>
      </c>
      <c r="AU125" s="106"/>
      <c r="AV125" s="106"/>
      <c r="AX125" s="99" t="s">
        <v>9042</v>
      </c>
      <c r="AZ125" s="94" t="s">
        <v>8614</v>
      </c>
    </row>
    <row r="126" spans="1:52">
      <c r="A126" s="25" t="s">
        <v>9190</v>
      </c>
      <c r="B126" s="25" t="s">
        <v>4398</v>
      </c>
      <c r="C126" s="25" t="s">
        <v>68</v>
      </c>
      <c r="D126" s="25" t="s">
        <v>8308</v>
      </c>
      <c r="E126" s="258" t="s">
        <v>9191</v>
      </c>
      <c r="F126" s="25" t="s">
        <v>9192</v>
      </c>
      <c r="G126" s="25" t="s">
        <v>7497</v>
      </c>
      <c r="H126" s="25" t="s">
        <v>9133</v>
      </c>
      <c r="I126" s="26" t="s">
        <v>7499</v>
      </c>
      <c r="J126" s="26">
        <v>202606.5</v>
      </c>
      <c r="K126" s="62" t="s">
        <v>8226</v>
      </c>
      <c r="L126" s="25" t="s">
        <v>73</v>
      </c>
      <c r="M126" s="25" t="s">
        <v>9101</v>
      </c>
      <c r="N126" s="25" t="s">
        <v>9193</v>
      </c>
      <c r="O126" s="30" t="s">
        <v>9194</v>
      </c>
      <c r="P126" s="26"/>
      <c r="Q126" s="104">
        <v>4</v>
      </c>
      <c r="R126" s="104" t="s">
        <v>4409</v>
      </c>
      <c r="S126" s="104" t="s">
        <v>9195</v>
      </c>
      <c r="T126" s="26" t="s">
        <v>77</v>
      </c>
      <c r="U126" s="30" t="s">
        <v>78</v>
      </c>
      <c r="V126" s="26" t="s">
        <v>79</v>
      </c>
      <c r="W126" s="38" t="s">
        <v>80</v>
      </c>
      <c r="X126" s="26" t="s">
        <v>7505</v>
      </c>
      <c r="Y126" s="26" t="s">
        <v>81</v>
      </c>
      <c r="Z126" s="26" t="s">
        <v>81</v>
      </c>
      <c r="AA126" s="105" t="s">
        <v>172</v>
      </c>
      <c r="AB126" s="93" t="s">
        <v>21</v>
      </c>
      <c r="AC126" s="106" t="s">
        <v>172</v>
      </c>
      <c r="AD126" s="107" t="s">
        <v>173</v>
      </c>
      <c r="AE126" s="107" t="s">
        <v>174</v>
      </c>
      <c r="AF126" s="105" t="s">
        <v>175</v>
      </c>
      <c r="AG126" s="104">
        <f t="shared" si="6"/>
        <v>1</v>
      </c>
      <c r="AH126" s="104">
        <v>1</v>
      </c>
      <c r="AI126" s="104">
        <v>1</v>
      </c>
      <c r="AJ126" s="104">
        <v>1</v>
      </c>
      <c r="AK126" s="106"/>
      <c r="AL126" s="104">
        <f t="shared" si="7"/>
        <v>1</v>
      </c>
      <c r="AM126" s="106"/>
      <c r="AN126" s="104"/>
      <c r="AO126" s="104">
        <v>1</v>
      </c>
      <c r="AP126" s="104">
        <v>1</v>
      </c>
      <c r="AQ126" s="104">
        <v>1</v>
      </c>
      <c r="AR126" s="104">
        <v>1</v>
      </c>
      <c r="AS126" s="106"/>
      <c r="AT126" s="104">
        <v>1</v>
      </c>
      <c r="AU126" s="106"/>
      <c r="AV126" s="106"/>
      <c r="AX126" s="99" t="s">
        <v>8785</v>
      </c>
      <c r="AZ126" s="94" t="s">
        <v>7793</v>
      </c>
    </row>
    <row r="127" spans="1:52">
      <c r="A127" s="25" t="s">
        <v>9196</v>
      </c>
      <c r="B127" s="25" t="s">
        <v>4398</v>
      </c>
      <c r="C127" s="25" t="s">
        <v>68</v>
      </c>
      <c r="D127" s="25" t="s">
        <v>8317</v>
      </c>
      <c r="E127" s="258" t="s">
        <v>9197</v>
      </c>
      <c r="F127" s="25" t="s">
        <v>9198</v>
      </c>
      <c r="G127" s="25" t="s">
        <v>7497</v>
      </c>
      <c r="H127" s="25" t="s">
        <v>9133</v>
      </c>
      <c r="I127" s="26" t="s">
        <v>7499</v>
      </c>
      <c r="J127" s="26">
        <v>202606.5</v>
      </c>
      <c r="K127" s="62" t="s">
        <v>8226</v>
      </c>
      <c r="L127" s="25" t="s">
        <v>73</v>
      </c>
      <c r="M127" s="25" t="s">
        <v>9137</v>
      </c>
      <c r="N127" s="25" t="s">
        <v>9199</v>
      </c>
      <c r="O127" s="30" t="s">
        <v>9200</v>
      </c>
      <c r="P127" s="26"/>
      <c r="Q127" s="104">
        <v>4</v>
      </c>
      <c r="R127" s="104" t="s">
        <v>4409</v>
      </c>
      <c r="S127" s="104" t="s">
        <v>9201</v>
      </c>
      <c r="T127" s="26" t="s">
        <v>77</v>
      </c>
      <c r="U127" s="30" t="s">
        <v>78</v>
      </c>
      <c r="V127" s="26" t="s">
        <v>79</v>
      </c>
      <c r="W127" s="38" t="s">
        <v>80</v>
      </c>
      <c r="X127" s="26" t="s">
        <v>7505</v>
      </c>
      <c r="Y127" s="26" t="s">
        <v>81</v>
      </c>
      <c r="Z127" s="26" t="s">
        <v>81</v>
      </c>
      <c r="AA127" s="105" t="s">
        <v>172</v>
      </c>
      <c r="AB127" s="93" t="s">
        <v>21</v>
      </c>
      <c r="AC127" s="106" t="s">
        <v>172</v>
      </c>
      <c r="AD127" s="107" t="s">
        <v>173</v>
      </c>
      <c r="AE127" s="107" t="s">
        <v>174</v>
      </c>
      <c r="AF127" s="105" t="s">
        <v>175</v>
      </c>
      <c r="AG127" s="104">
        <f t="shared" si="6"/>
        <v>1</v>
      </c>
      <c r="AH127" s="104">
        <v>1</v>
      </c>
      <c r="AI127" s="104">
        <v>1</v>
      </c>
      <c r="AJ127" s="104">
        <v>1</v>
      </c>
      <c r="AK127" s="106"/>
      <c r="AL127" s="104">
        <f t="shared" si="7"/>
        <v>1</v>
      </c>
      <c r="AM127" s="106"/>
      <c r="AN127" s="104"/>
      <c r="AO127" s="104">
        <v>1</v>
      </c>
      <c r="AP127" s="104">
        <v>1</v>
      </c>
      <c r="AQ127" s="104">
        <v>1</v>
      </c>
      <c r="AR127" s="104">
        <v>1</v>
      </c>
      <c r="AS127" s="106"/>
      <c r="AT127" s="104">
        <v>1</v>
      </c>
      <c r="AU127" s="106"/>
      <c r="AV127" s="106"/>
      <c r="AX127" s="99" t="s">
        <v>9202</v>
      </c>
      <c r="AZ127" s="94" t="s">
        <v>7800</v>
      </c>
    </row>
    <row r="128" spans="1:52">
      <c r="A128" s="25" t="s">
        <v>9203</v>
      </c>
      <c r="B128" s="25" t="s">
        <v>4398</v>
      </c>
      <c r="C128" s="25" t="s">
        <v>68</v>
      </c>
      <c r="D128" s="25" t="s">
        <v>8326</v>
      </c>
      <c r="E128" s="258" t="s">
        <v>9204</v>
      </c>
      <c r="F128" s="25" t="s">
        <v>9205</v>
      </c>
      <c r="G128" s="25" t="s">
        <v>7497</v>
      </c>
      <c r="H128" s="25" t="s">
        <v>9133</v>
      </c>
      <c r="I128" s="26" t="s">
        <v>7499</v>
      </c>
      <c r="J128" s="26">
        <v>202606.5</v>
      </c>
      <c r="K128" s="62" t="s">
        <v>8226</v>
      </c>
      <c r="L128" s="25" t="s">
        <v>73</v>
      </c>
      <c r="M128" s="25" t="s">
        <v>9143</v>
      </c>
      <c r="N128" s="25" t="s">
        <v>9206</v>
      </c>
      <c r="O128" s="30" t="s">
        <v>9207</v>
      </c>
      <c r="P128" s="26"/>
      <c r="Q128" s="104">
        <v>4</v>
      </c>
      <c r="R128" s="104" t="s">
        <v>4409</v>
      </c>
      <c r="S128" s="104" t="s">
        <v>4551</v>
      </c>
      <c r="T128" s="26" t="s">
        <v>77</v>
      </c>
      <c r="U128" s="30" t="s">
        <v>78</v>
      </c>
      <c r="V128" s="26" t="s">
        <v>79</v>
      </c>
      <c r="W128" s="38" t="s">
        <v>80</v>
      </c>
      <c r="X128" s="26" t="s">
        <v>7505</v>
      </c>
      <c r="Y128" s="26" t="s">
        <v>81</v>
      </c>
      <c r="Z128" s="26" t="s">
        <v>81</v>
      </c>
      <c r="AA128" s="105" t="s">
        <v>172</v>
      </c>
      <c r="AB128" s="93" t="s">
        <v>21</v>
      </c>
      <c r="AC128" s="106" t="s">
        <v>172</v>
      </c>
      <c r="AD128" s="107" t="s">
        <v>173</v>
      </c>
      <c r="AE128" s="107" t="s">
        <v>174</v>
      </c>
      <c r="AF128" s="105" t="s">
        <v>175</v>
      </c>
      <c r="AG128" s="104">
        <f t="shared" si="6"/>
        <v>1</v>
      </c>
      <c r="AH128" s="104">
        <v>1</v>
      </c>
      <c r="AI128" s="104">
        <v>1</v>
      </c>
      <c r="AJ128" s="104">
        <v>1</v>
      </c>
      <c r="AK128" s="106"/>
      <c r="AL128" s="104">
        <f t="shared" si="7"/>
        <v>1</v>
      </c>
      <c r="AM128" s="106"/>
      <c r="AN128" s="104"/>
      <c r="AO128" s="104">
        <v>1</v>
      </c>
      <c r="AP128" s="104">
        <v>1</v>
      </c>
      <c r="AQ128" s="104">
        <v>1</v>
      </c>
      <c r="AR128" s="104">
        <v>1</v>
      </c>
      <c r="AS128" s="106"/>
      <c r="AT128" s="104">
        <v>1</v>
      </c>
      <c r="AU128" s="106"/>
      <c r="AV128" s="106"/>
      <c r="AX128" s="99" t="s">
        <v>9208</v>
      </c>
      <c r="AZ128" s="94" t="s">
        <v>8622</v>
      </c>
    </row>
    <row r="129" spans="1:52">
      <c r="A129" s="25" t="s">
        <v>9209</v>
      </c>
      <c r="B129" s="25" t="s">
        <v>4398</v>
      </c>
      <c r="C129" s="25" t="s">
        <v>68</v>
      </c>
      <c r="D129" s="25" t="s">
        <v>8335</v>
      </c>
      <c r="E129" s="258" t="s">
        <v>9210</v>
      </c>
      <c r="F129" s="25" t="s">
        <v>9211</v>
      </c>
      <c r="G129" s="25" t="s">
        <v>7497</v>
      </c>
      <c r="H129" s="25" t="s">
        <v>9133</v>
      </c>
      <c r="I129" s="26" t="s">
        <v>7499</v>
      </c>
      <c r="J129" s="26">
        <v>202606.5</v>
      </c>
      <c r="K129" s="62" t="s">
        <v>8226</v>
      </c>
      <c r="L129" s="25" t="s">
        <v>73</v>
      </c>
      <c r="M129" s="25" t="s">
        <v>9170</v>
      </c>
      <c r="N129" s="25" t="s">
        <v>9212</v>
      </c>
      <c r="O129" s="30" t="s">
        <v>9213</v>
      </c>
      <c r="P129" s="26"/>
      <c r="Q129" s="104">
        <v>4</v>
      </c>
      <c r="R129" s="104" t="s">
        <v>4409</v>
      </c>
      <c r="S129" s="104" t="s">
        <v>9214</v>
      </c>
      <c r="T129" s="26" t="s">
        <v>77</v>
      </c>
      <c r="U129" s="30" t="s">
        <v>78</v>
      </c>
      <c r="V129" s="26" t="s">
        <v>79</v>
      </c>
      <c r="W129" s="38" t="s">
        <v>80</v>
      </c>
      <c r="X129" s="26" t="s">
        <v>7505</v>
      </c>
      <c r="Y129" s="26" t="s">
        <v>81</v>
      </c>
      <c r="Z129" s="26" t="s">
        <v>81</v>
      </c>
      <c r="AA129" s="105" t="s">
        <v>172</v>
      </c>
      <c r="AB129" s="93" t="s">
        <v>21</v>
      </c>
      <c r="AC129" s="106" t="s">
        <v>172</v>
      </c>
      <c r="AD129" s="107" t="s">
        <v>173</v>
      </c>
      <c r="AE129" s="107" t="s">
        <v>174</v>
      </c>
      <c r="AF129" s="105" t="s">
        <v>175</v>
      </c>
      <c r="AG129" s="104">
        <f t="shared" si="6"/>
        <v>1</v>
      </c>
      <c r="AH129" s="104">
        <v>1</v>
      </c>
      <c r="AI129" s="104">
        <v>1</v>
      </c>
      <c r="AJ129" s="104">
        <v>1</v>
      </c>
      <c r="AK129" s="106"/>
      <c r="AL129" s="104">
        <f t="shared" si="7"/>
        <v>1</v>
      </c>
      <c r="AM129" s="106"/>
      <c r="AN129" s="104"/>
      <c r="AO129" s="104">
        <v>1</v>
      </c>
      <c r="AP129" s="104">
        <v>1</v>
      </c>
      <c r="AQ129" s="104">
        <v>1</v>
      </c>
      <c r="AR129" s="104">
        <v>1</v>
      </c>
      <c r="AS129" s="106"/>
      <c r="AT129" s="104">
        <v>1</v>
      </c>
      <c r="AU129" s="106"/>
      <c r="AV129" s="106"/>
      <c r="AX129" s="99" t="s">
        <v>9057</v>
      </c>
      <c r="AZ129" s="94" t="s">
        <v>8630</v>
      </c>
    </row>
    <row r="130" spans="1:52">
      <c r="A130" s="25" t="s">
        <v>9215</v>
      </c>
      <c r="B130" s="25" t="s">
        <v>4398</v>
      </c>
      <c r="C130" s="25" t="s">
        <v>68</v>
      </c>
      <c r="D130" s="25" t="s">
        <v>8343</v>
      </c>
      <c r="E130" s="258" t="s">
        <v>9216</v>
      </c>
      <c r="F130" s="25" t="s">
        <v>9217</v>
      </c>
      <c r="G130" s="25" t="s">
        <v>7497</v>
      </c>
      <c r="H130" s="25" t="s">
        <v>9133</v>
      </c>
      <c r="I130" s="26" t="s">
        <v>7499</v>
      </c>
      <c r="J130" s="26">
        <v>202606.5</v>
      </c>
      <c r="K130" s="62" t="s">
        <v>8226</v>
      </c>
      <c r="L130" s="25" t="s">
        <v>73</v>
      </c>
      <c r="M130" s="25" t="s">
        <v>9150</v>
      </c>
      <c r="N130" s="25" t="s">
        <v>9218</v>
      </c>
      <c r="O130" s="30" t="s">
        <v>9219</v>
      </c>
      <c r="P130" s="26"/>
      <c r="Q130" s="104">
        <v>4</v>
      </c>
      <c r="R130" s="104" t="s">
        <v>4409</v>
      </c>
      <c r="S130" s="104" t="s">
        <v>7857</v>
      </c>
      <c r="T130" s="26" t="s">
        <v>77</v>
      </c>
      <c r="U130" s="30" t="s">
        <v>78</v>
      </c>
      <c r="V130" s="26" t="s">
        <v>79</v>
      </c>
      <c r="W130" s="38" t="s">
        <v>80</v>
      </c>
      <c r="X130" s="26" t="s">
        <v>7505</v>
      </c>
      <c r="Y130" s="26" t="s">
        <v>81</v>
      </c>
      <c r="Z130" s="26" t="s">
        <v>81</v>
      </c>
      <c r="AA130" s="105" t="s">
        <v>172</v>
      </c>
      <c r="AB130" s="93" t="s">
        <v>21</v>
      </c>
      <c r="AC130" s="106" t="s">
        <v>172</v>
      </c>
      <c r="AD130" s="107" t="s">
        <v>173</v>
      </c>
      <c r="AE130" s="107" t="s">
        <v>174</v>
      </c>
      <c r="AF130" s="105" t="s">
        <v>175</v>
      </c>
      <c r="AG130" s="104">
        <f t="shared" si="6"/>
        <v>1</v>
      </c>
      <c r="AH130" s="104">
        <v>1</v>
      </c>
      <c r="AI130" s="104">
        <v>1</v>
      </c>
      <c r="AJ130" s="104">
        <v>1</v>
      </c>
      <c r="AK130" s="106"/>
      <c r="AL130" s="104">
        <f t="shared" si="7"/>
        <v>1</v>
      </c>
      <c r="AM130" s="106"/>
      <c r="AN130" s="104"/>
      <c r="AO130" s="104">
        <v>1</v>
      </c>
      <c r="AP130" s="104">
        <v>1</v>
      </c>
      <c r="AQ130" s="104">
        <v>1</v>
      </c>
      <c r="AR130" s="104">
        <v>1</v>
      </c>
      <c r="AS130" s="106"/>
      <c r="AT130" s="104">
        <v>1</v>
      </c>
      <c r="AU130" s="106"/>
      <c r="AV130" s="106"/>
      <c r="AX130" s="99" t="s">
        <v>9065</v>
      </c>
      <c r="AZ130" s="94" t="s">
        <v>8636</v>
      </c>
    </row>
    <row r="131" spans="1:52">
      <c r="A131" s="25" t="s">
        <v>9220</v>
      </c>
      <c r="B131" s="25" t="s">
        <v>4398</v>
      </c>
      <c r="C131" s="25" t="s">
        <v>68</v>
      </c>
      <c r="D131" s="25" t="s">
        <v>8351</v>
      </c>
      <c r="E131" s="258" t="s">
        <v>9221</v>
      </c>
      <c r="F131" s="25" t="s">
        <v>9222</v>
      </c>
      <c r="G131" s="25" t="s">
        <v>7497</v>
      </c>
      <c r="H131" s="25" t="s">
        <v>9133</v>
      </c>
      <c r="I131" s="26" t="s">
        <v>7499</v>
      </c>
      <c r="J131" s="26">
        <v>202606.5</v>
      </c>
      <c r="K131" s="62" t="s">
        <v>8226</v>
      </c>
      <c r="L131" s="25" t="s">
        <v>73</v>
      </c>
      <c r="M131" s="25" t="s">
        <v>9158</v>
      </c>
      <c r="N131" s="25" t="s">
        <v>9223</v>
      </c>
      <c r="O131" s="30" t="s">
        <v>9224</v>
      </c>
      <c r="P131" s="26"/>
      <c r="Q131" s="104">
        <v>4</v>
      </c>
      <c r="R131" s="104" t="s">
        <v>4409</v>
      </c>
      <c r="S131" s="104" t="s">
        <v>4503</v>
      </c>
      <c r="T131" s="26" t="s">
        <v>77</v>
      </c>
      <c r="U131" s="30" t="s">
        <v>78</v>
      </c>
      <c r="V131" s="26" t="s">
        <v>79</v>
      </c>
      <c r="W131" s="38" t="s">
        <v>80</v>
      </c>
      <c r="X131" s="26" t="s">
        <v>7505</v>
      </c>
      <c r="Y131" s="26" t="s">
        <v>81</v>
      </c>
      <c r="Z131" s="26" t="s">
        <v>81</v>
      </c>
      <c r="AA131" s="105" t="s">
        <v>172</v>
      </c>
      <c r="AB131" s="93" t="s">
        <v>21</v>
      </c>
      <c r="AC131" s="106" t="s">
        <v>172</v>
      </c>
      <c r="AD131" s="107" t="s">
        <v>173</v>
      </c>
      <c r="AE131" s="107" t="s">
        <v>174</v>
      </c>
      <c r="AF131" s="105" t="s">
        <v>175</v>
      </c>
      <c r="AG131" s="104">
        <f t="shared" si="6"/>
        <v>1</v>
      </c>
      <c r="AH131" s="104">
        <v>1</v>
      </c>
      <c r="AI131" s="104">
        <v>1</v>
      </c>
      <c r="AJ131" s="104">
        <v>1</v>
      </c>
      <c r="AK131" s="106"/>
      <c r="AL131" s="104">
        <f t="shared" si="7"/>
        <v>1</v>
      </c>
      <c r="AM131" s="106"/>
      <c r="AN131" s="104"/>
      <c r="AO131" s="104">
        <v>1</v>
      </c>
      <c r="AP131" s="104">
        <v>1</v>
      </c>
      <c r="AQ131" s="104">
        <v>1</v>
      </c>
      <c r="AR131" s="104">
        <v>1</v>
      </c>
      <c r="AS131" s="106"/>
      <c r="AT131" s="104">
        <v>1</v>
      </c>
      <c r="AU131" s="106"/>
      <c r="AV131" s="106"/>
      <c r="AX131" s="99" t="s">
        <v>9073</v>
      </c>
      <c r="AZ131" s="94" t="s">
        <v>7816</v>
      </c>
    </row>
    <row r="132" spans="1:52">
      <c r="A132" s="25" t="s">
        <v>9225</v>
      </c>
      <c r="B132" s="25" t="s">
        <v>4398</v>
      </c>
      <c r="C132" s="25" t="s">
        <v>68</v>
      </c>
      <c r="D132" s="25" t="s">
        <v>8360</v>
      </c>
      <c r="E132" s="258" t="s">
        <v>9226</v>
      </c>
      <c r="F132" s="25" t="s">
        <v>9227</v>
      </c>
      <c r="G132" s="25" t="s">
        <v>7497</v>
      </c>
      <c r="H132" s="25" t="s">
        <v>9133</v>
      </c>
      <c r="I132" s="26" t="s">
        <v>7499</v>
      </c>
      <c r="J132" s="26">
        <v>202606.5</v>
      </c>
      <c r="K132" s="62" t="s">
        <v>8226</v>
      </c>
      <c r="L132" s="25" t="s">
        <v>73</v>
      </c>
      <c r="M132" s="25" t="s">
        <v>9108</v>
      </c>
      <c r="N132" s="25" t="s">
        <v>9228</v>
      </c>
      <c r="O132" s="30" t="s">
        <v>9229</v>
      </c>
      <c r="P132" s="26"/>
      <c r="Q132" s="104">
        <v>4</v>
      </c>
      <c r="R132" s="104" t="s">
        <v>4409</v>
      </c>
      <c r="S132" s="104" t="s">
        <v>9230</v>
      </c>
      <c r="T132" s="26" t="s">
        <v>77</v>
      </c>
      <c r="U132" s="30" t="s">
        <v>78</v>
      </c>
      <c r="V132" s="26" t="s">
        <v>79</v>
      </c>
      <c r="W132" s="38" t="s">
        <v>80</v>
      </c>
      <c r="X132" s="26" t="s">
        <v>7505</v>
      </c>
      <c r="Y132" s="26" t="s">
        <v>81</v>
      </c>
      <c r="Z132" s="26" t="s">
        <v>81</v>
      </c>
      <c r="AA132" s="105" t="s">
        <v>172</v>
      </c>
      <c r="AB132" s="93" t="s">
        <v>21</v>
      </c>
      <c r="AC132" s="106" t="s">
        <v>172</v>
      </c>
      <c r="AD132" s="107" t="s">
        <v>173</v>
      </c>
      <c r="AE132" s="107" t="s">
        <v>174</v>
      </c>
      <c r="AF132" s="105" t="s">
        <v>175</v>
      </c>
      <c r="AG132" s="104">
        <f t="shared" si="6"/>
        <v>1</v>
      </c>
      <c r="AH132" s="104">
        <v>1</v>
      </c>
      <c r="AI132" s="104">
        <v>1</v>
      </c>
      <c r="AJ132" s="104">
        <v>1</v>
      </c>
      <c r="AK132" s="106"/>
      <c r="AL132" s="104">
        <f t="shared" si="7"/>
        <v>1</v>
      </c>
      <c r="AM132" s="106"/>
      <c r="AN132" s="104"/>
      <c r="AO132" s="104">
        <v>1</v>
      </c>
      <c r="AP132" s="104">
        <v>1</v>
      </c>
      <c r="AQ132" s="104">
        <v>1</v>
      </c>
      <c r="AR132" s="104">
        <v>1</v>
      </c>
      <c r="AS132" s="106"/>
      <c r="AT132" s="104">
        <v>1</v>
      </c>
      <c r="AU132" s="106"/>
      <c r="AV132" s="106"/>
      <c r="AX132" s="99" t="s">
        <v>9081</v>
      </c>
      <c r="AZ132" s="94" t="s">
        <v>8643</v>
      </c>
    </row>
    <row r="133" spans="1:52">
      <c r="A133" s="25" t="s">
        <v>9231</v>
      </c>
      <c r="B133" s="25" t="s">
        <v>4398</v>
      </c>
      <c r="C133" s="25" t="s">
        <v>68</v>
      </c>
      <c r="D133" s="25" t="s">
        <v>8376</v>
      </c>
      <c r="E133" s="258" t="s">
        <v>9232</v>
      </c>
      <c r="F133" s="25" t="s">
        <v>9233</v>
      </c>
      <c r="G133" s="25" t="s">
        <v>7497</v>
      </c>
      <c r="H133" s="25" t="s">
        <v>9133</v>
      </c>
      <c r="I133" s="26" t="s">
        <v>7499</v>
      </c>
      <c r="J133" s="26">
        <v>202606.5</v>
      </c>
      <c r="K133" s="62" t="s">
        <v>8226</v>
      </c>
      <c r="L133" s="25" t="s">
        <v>73</v>
      </c>
      <c r="M133" s="25" t="s">
        <v>9176</v>
      </c>
      <c r="N133" s="25" t="s">
        <v>9234</v>
      </c>
      <c r="O133" s="30" t="s">
        <v>9235</v>
      </c>
      <c r="P133" s="26"/>
      <c r="Q133" s="104">
        <v>4</v>
      </c>
      <c r="R133" s="104" t="s">
        <v>4409</v>
      </c>
      <c r="S133" s="104" t="s">
        <v>9236</v>
      </c>
      <c r="T133" s="26" t="s">
        <v>77</v>
      </c>
      <c r="U133" s="30" t="s">
        <v>78</v>
      </c>
      <c r="V133" s="26" t="s">
        <v>79</v>
      </c>
      <c r="W133" s="38" t="s">
        <v>80</v>
      </c>
      <c r="X133" s="26" t="s">
        <v>7505</v>
      </c>
      <c r="Y133" s="26" t="s">
        <v>81</v>
      </c>
      <c r="Z133" s="26" t="s">
        <v>81</v>
      </c>
      <c r="AA133" s="105" t="s">
        <v>172</v>
      </c>
      <c r="AB133" s="93" t="s">
        <v>21</v>
      </c>
      <c r="AC133" s="106" t="s">
        <v>172</v>
      </c>
      <c r="AD133" s="107" t="s">
        <v>173</v>
      </c>
      <c r="AE133" s="107" t="s">
        <v>174</v>
      </c>
      <c r="AF133" s="105" t="s">
        <v>175</v>
      </c>
      <c r="AG133" s="104">
        <f t="shared" si="6"/>
        <v>1</v>
      </c>
      <c r="AH133" s="104">
        <v>1</v>
      </c>
      <c r="AI133" s="104">
        <v>1</v>
      </c>
      <c r="AJ133" s="104">
        <v>1</v>
      </c>
      <c r="AK133" s="106"/>
      <c r="AL133" s="104">
        <f t="shared" si="7"/>
        <v>1</v>
      </c>
      <c r="AM133" s="106"/>
      <c r="AN133" s="104"/>
      <c r="AO133" s="104">
        <v>1</v>
      </c>
      <c r="AP133" s="104">
        <v>1</v>
      </c>
      <c r="AQ133" s="104">
        <v>1</v>
      </c>
      <c r="AR133" s="104">
        <v>1</v>
      </c>
      <c r="AS133" s="106"/>
      <c r="AT133" s="104">
        <v>1</v>
      </c>
      <c r="AU133" s="106"/>
      <c r="AV133" s="106"/>
      <c r="AX133" s="99" t="s">
        <v>9237</v>
      </c>
      <c r="AZ133" s="94" t="s">
        <v>8650</v>
      </c>
    </row>
    <row r="134" spans="1:52">
      <c r="A134" s="25" t="s">
        <v>9238</v>
      </c>
      <c r="B134" s="25" t="s">
        <v>4398</v>
      </c>
      <c r="C134" s="25" t="s">
        <v>68</v>
      </c>
      <c r="D134" s="25" t="s">
        <v>8386</v>
      </c>
      <c r="E134" s="258" t="s">
        <v>9239</v>
      </c>
      <c r="F134" s="25" t="s">
        <v>9240</v>
      </c>
      <c r="G134" s="25" t="s">
        <v>7497</v>
      </c>
      <c r="H134" s="25" t="s">
        <v>9133</v>
      </c>
      <c r="I134" s="26" t="s">
        <v>7499</v>
      </c>
      <c r="J134" s="26">
        <v>202606.5</v>
      </c>
      <c r="K134" s="62" t="s">
        <v>8226</v>
      </c>
      <c r="L134" s="25" t="s">
        <v>73</v>
      </c>
      <c r="M134" s="25" t="s">
        <v>9183</v>
      </c>
      <c r="N134" s="25" t="s">
        <v>9241</v>
      </c>
      <c r="O134" s="30" t="s">
        <v>9242</v>
      </c>
      <c r="P134" s="26"/>
      <c r="Q134" s="104">
        <v>4</v>
      </c>
      <c r="R134" s="104" t="s">
        <v>4409</v>
      </c>
      <c r="S134" s="104" t="s">
        <v>4567</v>
      </c>
      <c r="T134" s="26" t="s">
        <v>77</v>
      </c>
      <c r="U134" s="30" t="s">
        <v>78</v>
      </c>
      <c r="V134" s="26" t="s">
        <v>79</v>
      </c>
      <c r="W134" s="38" t="s">
        <v>80</v>
      </c>
      <c r="X134" s="26" t="s">
        <v>7505</v>
      </c>
      <c r="Y134" s="26" t="s">
        <v>81</v>
      </c>
      <c r="Z134" s="26" t="s">
        <v>81</v>
      </c>
      <c r="AA134" s="105" t="s">
        <v>172</v>
      </c>
      <c r="AB134" s="93" t="s">
        <v>21</v>
      </c>
      <c r="AC134" s="106" t="s">
        <v>172</v>
      </c>
      <c r="AD134" s="107" t="s">
        <v>173</v>
      </c>
      <c r="AE134" s="107" t="s">
        <v>174</v>
      </c>
      <c r="AF134" s="105" t="s">
        <v>175</v>
      </c>
      <c r="AG134" s="104">
        <f t="shared" si="6"/>
        <v>1</v>
      </c>
      <c r="AH134" s="104">
        <v>1</v>
      </c>
      <c r="AI134" s="104">
        <v>1</v>
      </c>
      <c r="AJ134" s="104">
        <v>1</v>
      </c>
      <c r="AK134" s="106"/>
      <c r="AL134" s="104">
        <f t="shared" si="7"/>
        <v>1</v>
      </c>
      <c r="AM134" s="106"/>
      <c r="AN134" s="104"/>
      <c r="AO134" s="104">
        <v>1</v>
      </c>
      <c r="AP134" s="104">
        <v>1</v>
      </c>
      <c r="AQ134" s="104">
        <v>1</v>
      </c>
      <c r="AR134" s="104">
        <v>1</v>
      </c>
      <c r="AS134" s="106"/>
      <c r="AT134" s="104">
        <v>1</v>
      </c>
      <c r="AU134" s="106"/>
      <c r="AV134" s="106"/>
      <c r="AX134" s="99" t="s">
        <v>9089</v>
      </c>
      <c r="AZ134" s="94" t="s">
        <v>8576</v>
      </c>
    </row>
    <row r="135" spans="1:52">
      <c r="A135" s="25" t="s">
        <v>9243</v>
      </c>
      <c r="B135" s="25" t="s">
        <v>4398</v>
      </c>
      <c r="C135" s="25" t="s">
        <v>68</v>
      </c>
      <c r="D135" s="25" t="s">
        <v>8452</v>
      </c>
      <c r="E135" s="258" t="s">
        <v>9244</v>
      </c>
      <c r="F135" s="25" t="s">
        <v>9245</v>
      </c>
      <c r="G135" s="25" t="s">
        <v>7497</v>
      </c>
      <c r="H135" s="25" t="s">
        <v>9133</v>
      </c>
      <c r="I135" s="26" t="s">
        <v>7499</v>
      </c>
      <c r="J135" s="26">
        <v>202606.5</v>
      </c>
      <c r="K135" s="62" t="s">
        <v>8226</v>
      </c>
      <c r="L135" s="25" t="s">
        <v>73</v>
      </c>
      <c r="M135" s="25" t="s">
        <v>9237</v>
      </c>
      <c r="N135" s="25" t="s">
        <v>9246</v>
      </c>
      <c r="O135" s="30" t="s">
        <v>9247</v>
      </c>
      <c r="P135" s="26"/>
      <c r="Q135" s="104">
        <v>4</v>
      </c>
      <c r="R135" s="104" t="s">
        <v>4409</v>
      </c>
      <c r="S135" s="104" t="s">
        <v>4551</v>
      </c>
      <c r="T135" s="26" t="s">
        <v>77</v>
      </c>
      <c r="U135" s="30" t="s">
        <v>78</v>
      </c>
      <c r="V135" s="26" t="s">
        <v>79</v>
      </c>
      <c r="W135" s="38" t="s">
        <v>80</v>
      </c>
      <c r="X135" s="26" t="s">
        <v>7505</v>
      </c>
      <c r="Y135" s="26" t="s">
        <v>81</v>
      </c>
      <c r="Z135" s="26" t="s">
        <v>81</v>
      </c>
      <c r="AA135" s="105" t="s">
        <v>172</v>
      </c>
      <c r="AB135" s="93" t="s">
        <v>21</v>
      </c>
      <c r="AC135" s="106" t="s">
        <v>172</v>
      </c>
      <c r="AD135" s="107" t="s">
        <v>173</v>
      </c>
      <c r="AE135" s="107" t="s">
        <v>174</v>
      </c>
      <c r="AF135" s="105" t="s">
        <v>175</v>
      </c>
      <c r="AG135" s="104">
        <f t="shared" si="6"/>
        <v>1</v>
      </c>
      <c r="AH135" s="104">
        <v>1</v>
      </c>
      <c r="AI135" s="104">
        <v>1</v>
      </c>
      <c r="AJ135" s="104">
        <v>1</v>
      </c>
      <c r="AK135" s="106"/>
      <c r="AL135" s="104">
        <f t="shared" si="7"/>
        <v>1</v>
      </c>
      <c r="AM135" s="106"/>
      <c r="AN135" s="104"/>
      <c r="AO135" s="104">
        <v>1</v>
      </c>
      <c r="AP135" s="104">
        <v>1</v>
      </c>
      <c r="AQ135" s="104">
        <v>1</v>
      </c>
      <c r="AR135" s="104">
        <v>1</v>
      </c>
      <c r="AS135" s="106"/>
      <c r="AT135" s="104">
        <v>1</v>
      </c>
      <c r="AU135" s="106"/>
      <c r="AV135" s="106"/>
      <c r="AX135" s="99" t="s">
        <v>9112</v>
      </c>
      <c r="AZ135" s="94" t="s">
        <v>8583</v>
      </c>
    </row>
    <row r="136" spans="1:52">
      <c r="A136" s="25" t="s">
        <v>9248</v>
      </c>
      <c r="B136" s="25" t="s">
        <v>4398</v>
      </c>
      <c r="C136" s="25" t="s">
        <v>68</v>
      </c>
      <c r="D136" s="25" t="s">
        <v>8482</v>
      </c>
      <c r="E136" s="258" t="s">
        <v>9249</v>
      </c>
      <c r="F136" s="25" t="s">
        <v>9250</v>
      </c>
      <c r="G136" s="25" t="s">
        <v>7497</v>
      </c>
      <c r="H136" s="25" t="s">
        <v>9133</v>
      </c>
      <c r="I136" s="26" t="s">
        <v>7499</v>
      </c>
      <c r="J136" s="26">
        <v>202606.5</v>
      </c>
      <c r="K136" s="62" t="s">
        <v>8226</v>
      </c>
      <c r="L136" s="25" t="s">
        <v>73</v>
      </c>
      <c r="M136" s="25" t="s">
        <v>9251</v>
      </c>
      <c r="N136" s="25" t="s">
        <v>9252</v>
      </c>
      <c r="O136" s="30" t="s">
        <v>9253</v>
      </c>
      <c r="P136" s="26"/>
      <c r="Q136" s="104">
        <v>4</v>
      </c>
      <c r="R136" s="104" t="s">
        <v>4409</v>
      </c>
      <c r="S136" s="104" t="s">
        <v>9068</v>
      </c>
      <c r="T136" s="26" t="s">
        <v>77</v>
      </c>
      <c r="U136" s="30" t="s">
        <v>78</v>
      </c>
      <c r="V136" s="26" t="s">
        <v>79</v>
      </c>
      <c r="W136" s="38" t="s">
        <v>80</v>
      </c>
      <c r="X136" s="26" t="s">
        <v>7505</v>
      </c>
      <c r="Y136" s="26" t="s">
        <v>81</v>
      </c>
      <c r="Z136" s="26" t="s">
        <v>81</v>
      </c>
      <c r="AA136" s="105" t="s">
        <v>172</v>
      </c>
      <c r="AB136" s="93" t="s">
        <v>21</v>
      </c>
      <c r="AC136" s="106" t="s">
        <v>172</v>
      </c>
      <c r="AD136" s="107" t="s">
        <v>173</v>
      </c>
      <c r="AE136" s="107" t="s">
        <v>174</v>
      </c>
      <c r="AF136" s="105" t="s">
        <v>175</v>
      </c>
      <c r="AG136" s="104">
        <f t="shared" si="6"/>
        <v>1</v>
      </c>
      <c r="AH136" s="104">
        <v>1</v>
      </c>
      <c r="AI136" s="104">
        <v>1</v>
      </c>
      <c r="AJ136" s="104">
        <v>1</v>
      </c>
      <c r="AK136" s="106"/>
      <c r="AL136" s="104">
        <f t="shared" si="7"/>
        <v>1</v>
      </c>
      <c r="AM136" s="106"/>
      <c r="AN136" s="104"/>
      <c r="AO136" s="104">
        <v>1</v>
      </c>
      <c r="AP136" s="104">
        <v>1</v>
      </c>
      <c r="AQ136" s="104">
        <v>1</v>
      </c>
      <c r="AR136" s="104">
        <v>1</v>
      </c>
      <c r="AS136" s="106"/>
      <c r="AT136" s="104">
        <v>1</v>
      </c>
      <c r="AU136" s="106"/>
      <c r="AV136" s="106"/>
      <c r="AX136" s="99" t="s">
        <v>9251</v>
      </c>
      <c r="AZ136" s="94" t="s">
        <v>8591</v>
      </c>
    </row>
    <row r="137" spans="1:52">
      <c r="A137" s="25" t="s">
        <v>9254</v>
      </c>
      <c r="B137" s="25" t="s">
        <v>4880</v>
      </c>
      <c r="C137" s="25" t="s">
        <v>73</v>
      </c>
      <c r="D137" s="25" t="s">
        <v>8501</v>
      </c>
      <c r="E137" s="258" t="s">
        <v>9255</v>
      </c>
      <c r="F137" s="25" t="s">
        <v>9256</v>
      </c>
      <c r="G137" s="25" t="s">
        <v>7497</v>
      </c>
      <c r="H137" s="25" t="s">
        <v>9133</v>
      </c>
      <c r="I137" s="26" t="s">
        <v>7499</v>
      </c>
      <c r="J137" s="26">
        <v>202606.5</v>
      </c>
      <c r="K137" s="62" t="s">
        <v>8226</v>
      </c>
      <c r="L137" s="25" t="s">
        <v>73</v>
      </c>
      <c r="M137" s="25" t="s">
        <v>9202</v>
      </c>
      <c r="N137" s="25" t="s">
        <v>9257</v>
      </c>
      <c r="O137" s="30" t="s">
        <v>9258</v>
      </c>
      <c r="P137" s="26"/>
      <c r="Q137" s="109">
        <v>4</v>
      </c>
      <c r="R137" s="109" t="s">
        <v>4409</v>
      </c>
      <c r="S137" s="109" t="s">
        <v>9259</v>
      </c>
      <c r="T137" s="26" t="s">
        <v>77</v>
      </c>
      <c r="U137" s="30" t="s">
        <v>78</v>
      </c>
      <c r="V137" s="26" t="s">
        <v>79</v>
      </c>
      <c r="W137" s="38" t="s">
        <v>80</v>
      </c>
      <c r="X137" s="26" t="s">
        <v>7505</v>
      </c>
      <c r="Y137" s="26" t="s">
        <v>81</v>
      </c>
      <c r="Z137" s="26" t="s">
        <v>81</v>
      </c>
      <c r="AA137" s="105" t="s">
        <v>172</v>
      </c>
      <c r="AB137" s="93" t="s">
        <v>21</v>
      </c>
      <c r="AC137" s="106" t="s">
        <v>172</v>
      </c>
      <c r="AD137" s="107" t="s">
        <v>173</v>
      </c>
      <c r="AE137" s="107" t="s">
        <v>174</v>
      </c>
      <c r="AF137" s="105" t="s">
        <v>175</v>
      </c>
      <c r="AG137" s="104">
        <f t="shared" si="6"/>
        <v>1</v>
      </c>
      <c r="AH137" s="104">
        <v>1</v>
      </c>
      <c r="AI137" s="104">
        <v>1</v>
      </c>
      <c r="AJ137" s="104">
        <v>1</v>
      </c>
      <c r="AK137" s="106"/>
      <c r="AL137" s="104">
        <f t="shared" si="7"/>
        <v>1</v>
      </c>
      <c r="AM137" s="106"/>
      <c r="AN137" s="104"/>
      <c r="AO137" s="104">
        <v>1</v>
      </c>
      <c r="AP137" s="104">
        <v>1</v>
      </c>
      <c r="AQ137" s="104">
        <v>1</v>
      </c>
      <c r="AR137" s="104">
        <v>1</v>
      </c>
      <c r="AS137" s="106"/>
      <c r="AT137" s="104">
        <v>1</v>
      </c>
      <c r="AU137" s="106"/>
      <c r="AV137" s="106"/>
      <c r="AX137" s="99" t="s">
        <v>9119</v>
      </c>
      <c r="AZ137" s="94" t="s">
        <v>8715</v>
      </c>
    </row>
    <row r="138" spans="1:52">
      <c r="A138" s="25" t="s">
        <v>9260</v>
      </c>
      <c r="B138" s="25" t="s">
        <v>4880</v>
      </c>
      <c r="C138" s="25" t="s">
        <v>73</v>
      </c>
      <c r="D138" s="25" t="s">
        <v>8510</v>
      </c>
      <c r="E138" s="258" t="s">
        <v>9261</v>
      </c>
      <c r="F138" s="25" t="s">
        <v>9262</v>
      </c>
      <c r="G138" s="25" t="s">
        <v>7497</v>
      </c>
      <c r="H138" s="25" t="s">
        <v>9133</v>
      </c>
      <c r="I138" s="26" t="s">
        <v>7499</v>
      </c>
      <c r="J138" s="26">
        <v>202606.5</v>
      </c>
      <c r="K138" s="62" t="s">
        <v>8226</v>
      </c>
      <c r="L138" s="25" t="s">
        <v>73</v>
      </c>
      <c r="M138" s="25" t="s">
        <v>9208</v>
      </c>
      <c r="N138" s="25" t="s">
        <v>9263</v>
      </c>
      <c r="O138" s="30" t="s">
        <v>9264</v>
      </c>
      <c r="P138" s="26"/>
      <c r="Q138" s="109">
        <v>4</v>
      </c>
      <c r="R138" s="109" t="s">
        <v>4409</v>
      </c>
      <c r="S138" s="109" t="s">
        <v>9265</v>
      </c>
      <c r="T138" s="26" t="s">
        <v>77</v>
      </c>
      <c r="U138" s="30" t="s">
        <v>78</v>
      </c>
      <c r="V138" s="26" t="s">
        <v>79</v>
      </c>
      <c r="W138" s="38" t="s">
        <v>80</v>
      </c>
      <c r="X138" s="26" t="s">
        <v>7505</v>
      </c>
      <c r="Y138" s="26" t="s">
        <v>81</v>
      </c>
      <c r="Z138" s="26" t="s">
        <v>81</v>
      </c>
      <c r="AA138" s="105" t="s">
        <v>172</v>
      </c>
      <c r="AB138" s="93" t="s">
        <v>21</v>
      </c>
      <c r="AC138" s="106" t="s">
        <v>172</v>
      </c>
      <c r="AD138" s="107" t="s">
        <v>173</v>
      </c>
      <c r="AE138" s="107" t="s">
        <v>174</v>
      </c>
      <c r="AF138" s="105" t="s">
        <v>175</v>
      </c>
      <c r="AG138" s="104">
        <f t="shared" si="6"/>
        <v>1</v>
      </c>
      <c r="AH138" s="104">
        <v>1</v>
      </c>
      <c r="AI138" s="104">
        <v>1</v>
      </c>
      <c r="AJ138" s="104">
        <v>1</v>
      </c>
      <c r="AK138" s="106"/>
      <c r="AL138" s="104">
        <f t="shared" si="7"/>
        <v>1</v>
      </c>
      <c r="AM138" s="106"/>
      <c r="AN138" s="104"/>
      <c r="AO138" s="104">
        <v>1</v>
      </c>
      <c r="AP138" s="104">
        <v>1</v>
      </c>
      <c r="AQ138" s="104">
        <v>1</v>
      </c>
      <c r="AR138" s="104">
        <v>1</v>
      </c>
      <c r="AS138" s="106"/>
      <c r="AT138" s="104">
        <v>1</v>
      </c>
      <c r="AU138" s="106"/>
      <c r="AV138" s="106"/>
      <c r="AX138" s="99" t="s">
        <v>9126</v>
      </c>
      <c r="AZ138" s="94" t="s">
        <v>8722</v>
      </c>
    </row>
    <row r="139" spans="1:52">
      <c r="A139" s="25" t="s">
        <v>9266</v>
      </c>
      <c r="B139" s="25" t="s">
        <v>4398</v>
      </c>
      <c r="C139" s="25" t="s">
        <v>73</v>
      </c>
      <c r="D139" s="25" t="s">
        <v>8531</v>
      </c>
      <c r="E139" s="258" t="s">
        <v>9267</v>
      </c>
      <c r="F139" s="48" t="s">
        <v>9268</v>
      </c>
      <c r="G139" s="25" t="s">
        <v>7497</v>
      </c>
      <c r="H139" s="25" t="s">
        <v>9133</v>
      </c>
      <c r="I139" s="26" t="s">
        <v>7499</v>
      </c>
      <c r="J139" s="26">
        <v>202606.5</v>
      </c>
      <c r="K139" s="62" t="s">
        <v>8226</v>
      </c>
      <c r="L139" s="25" t="s">
        <v>73</v>
      </c>
      <c r="M139" s="25" t="s">
        <v>8231</v>
      </c>
      <c r="N139" s="40" t="s">
        <v>9269</v>
      </c>
      <c r="O139" s="30" t="s">
        <v>9270</v>
      </c>
      <c r="P139" s="41"/>
      <c r="Q139" s="109">
        <v>4</v>
      </c>
      <c r="R139" s="109" t="s">
        <v>4409</v>
      </c>
      <c r="S139" s="109" t="s">
        <v>5206</v>
      </c>
      <c r="T139" s="26" t="s">
        <v>77</v>
      </c>
      <c r="U139" s="30" t="s">
        <v>78</v>
      </c>
      <c r="V139" s="26" t="s">
        <v>79</v>
      </c>
      <c r="W139" s="38" t="s">
        <v>80</v>
      </c>
      <c r="X139" s="26" t="s">
        <v>7505</v>
      </c>
      <c r="Y139" s="26" t="s">
        <v>81</v>
      </c>
      <c r="Z139" s="26" t="s">
        <v>81</v>
      </c>
      <c r="AA139" s="105" t="s">
        <v>172</v>
      </c>
      <c r="AB139" s="93" t="s">
        <v>21</v>
      </c>
      <c r="AC139" s="106" t="s">
        <v>172</v>
      </c>
      <c r="AD139" s="107" t="s">
        <v>173</v>
      </c>
      <c r="AE139" s="107" t="s">
        <v>174</v>
      </c>
      <c r="AF139" s="105" t="s">
        <v>175</v>
      </c>
      <c r="AG139" s="104">
        <f t="shared" si="6"/>
        <v>1</v>
      </c>
      <c r="AH139" s="104">
        <v>1</v>
      </c>
      <c r="AI139" s="104">
        <v>1</v>
      </c>
      <c r="AJ139" s="104">
        <v>1</v>
      </c>
      <c r="AK139" s="106"/>
      <c r="AL139" s="104">
        <f t="shared" si="7"/>
        <v>1</v>
      </c>
      <c r="AM139" s="106"/>
      <c r="AN139" s="104">
        <v>1</v>
      </c>
      <c r="AO139" s="104">
        <v>1</v>
      </c>
      <c r="AP139" s="104">
        <v>1</v>
      </c>
      <c r="AQ139" s="104">
        <v>1</v>
      </c>
      <c r="AR139" s="104">
        <v>1</v>
      </c>
      <c r="AS139" s="104"/>
      <c r="AT139" s="104">
        <v>1</v>
      </c>
      <c r="AU139" s="106" t="s">
        <v>9271</v>
      </c>
      <c r="AV139" s="106"/>
      <c r="AX139" s="99" t="s">
        <v>9105</v>
      </c>
      <c r="AZ139" s="94" t="s">
        <v>8656</v>
      </c>
    </row>
    <row r="140" spans="1:52" ht="24.65" customHeight="1">
      <c r="A140" s="69" t="s">
        <v>8214</v>
      </c>
      <c r="B140" s="72" t="s">
        <v>125</v>
      </c>
      <c r="C140" s="25" t="s">
        <v>73</v>
      </c>
      <c r="D140" s="26" t="s">
        <v>7943</v>
      </c>
      <c r="E140" s="72" t="s">
        <v>70</v>
      </c>
      <c r="F140" s="120" t="s">
        <v>70</v>
      </c>
      <c r="G140" s="121" t="s">
        <v>7497</v>
      </c>
      <c r="H140" s="121" t="s">
        <v>72</v>
      </c>
      <c r="I140" s="122"/>
      <c r="J140" s="38">
        <v>202606.5</v>
      </c>
      <c r="K140" s="62" t="s">
        <v>8226</v>
      </c>
      <c r="L140" s="121" t="s">
        <v>73</v>
      </c>
      <c r="M140" s="123" t="s">
        <v>8394</v>
      </c>
      <c r="N140" s="121" t="s">
        <v>8215</v>
      </c>
      <c r="O140" s="30" t="s">
        <v>9272</v>
      </c>
      <c r="P140" s="72" t="s">
        <v>125</v>
      </c>
      <c r="Q140" s="109">
        <v>4</v>
      </c>
      <c r="R140" s="109" t="s">
        <v>4409</v>
      </c>
      <c r="S140" s="109" t="s">
        <v>5206</v>
      </c>
      <c r="T140" s="26" t="s">
        <v>77</v>
      </c>
      <c r="U140" s="30" t="s">
        <v>78</v>
      </c>
      <c r="V140" s="26" t="s">
        <v>79</v>
      </c>
      <c r="W140" s="38" t="s">
        <v>4411</v>
      </c>
      <c r="X140" s="26" t="s">
        <v>7505</v>
      </c>
      <c r="Y140" s="26" t="s">
        <v>81</v>
      </c>
      <c r="Z140" s="26" t="s">
        <v>81</v>
      </c>
      <c r="AA140" s="105" t="s">
        <v>172</v>
      </c>
      <c r="AB140" s="93" t="s">
        <v>7</v>
      </c>
      <c r="AC140" s="106" t="s">
        <v>172</v>
      </c>
      <c r="AD140" s="107" t="s">
        <v>173</v>
      </c>
      <c r="AE140" s="107" t="s">
        <v>174</v>
      </c>
      <c r="AF140" s="105" t="s">
        <v>175</v>
      </c>
      <c r="AG140" s="104">
        <v>1</v>
      </c>
      <c r="AH140" s="104">
        <v>1</v>
      </c>
      <c r="AI140" s="104">
        <v>1</v>
      </c>
      <c r="AJ140" s="104">
        <v>1</v>
      </c>
      <c r="AK140" s="106"/>
      <c r="AL140" s="104">
        <f t="shared" si="7"/>
        <v>1</v>
      </c>
      <c r="AM140" s="106"/>
      <c r="AN140" s="104"/>
      <c r="AO140" s="104"/>
      <c r="AP140" s="104">
        <v>1</v>
      </c>
      <c r="AQ140" s="104">
        <v>1</v>
      </c>
      <c r="AR140" s="104">
        <v>1</v>
      </c>
      <c r="AS140" s="106"/>
      <c r="AT140" s="104">
        <v>1</v>
      </c>
      <c r="AU140" s="105" t="s">
        <v>9273</v>
      </c>
      <c r="AV140" s="106"/>
      <c r="AX140" s="99" t="s">
        <v>9049</v>
      </c>
      <c r="AZ140" s="94" t="s">
        <v>8737</v>
      </c>
    </row>
    <row r="141" spans="1:52" ht="24.65" customHeight="1">
      <c r="A141" s="25" t="s">
        <v>9274</v>
      </c>
      <c r="B141" s="72" t="s">
        <v>125</v>
      </c>
      <c r="C141" s="25" t="s">
        <v>68</v>
      </c>
      <c r="D141" s="26" t="s">
        <v>69</v>
      </c>
      <c r="E141" s="72" t="s">
        <v>134</v>
      </c>
      <c r="F141" s="72" t="s">
        <v>134</v>
      </c>
      <c r="G141" s="30"/>
      <c r="H141" s="121" t="s">
        <v>72</v>
      </c>
      <c r="I141" s="30"/>
      <c r="J141" s="26">
        <v>202606.5</v>
      </c>
      <c r="K141" s="62" t="s">
        <v>8226</v>
      </c>
      <c r="L141" s="121" t="s">
        <v>73</v>
      </c>
      <c r="M141" s="49" t="s">
        <v>8385</v>
      </c>
      <c r="N141" s="25" t="s">
        <v>8219</v>
      </c>
      <c r="O141" s="30" t="s">
        <v>9275</v>
      </c>
      <c r="P141" s="72" t="s">
        <v>125</v>
      </c>
      <c r="Q141" s="104"/>
      <c r="R141" s="104"/>
      <c r="S141" s="104"/>
      <c r="T141" s="26" t="s">
        <v>77</v>
      </c>
      <c r="U141" s="30" t="s">
        <v>78</v>
      </c>
      <c r="V141" s="26" t="s">
        <v>79</v>
      </c>
      <c r="W141" s="38" t="s">
        <v>4411</v>
      </c>
      <c r="X141" s="26" t="s">
        <v>7505</v>
      </c>
      <c r="Y141" s="26" t="s">
        <v>81</v>
      </c>
      <c r="Z141" s="26" t="s">
        <v>81</v>
      </c>
      <c r="AA141" s="105" t="s">
        <v>172</v>
      </c>
      <c r="AB141" s="93" t="s">
        <v>7</v>
      </c>
      <c r="AC141" s="106" t="s">
        <v>172</v>
      </c>
      <c r="AD141" s="107" t="s">
        <v>173</v>
      </c>
      <c r="AE141" s="104"/>
      <c r="AF141" s="105"/>
      <c r="AG141" s="104">
        <v>1</v>
      </c>
      <c r="AH141" s="104">
        <v>1</v>
      </c>
      <c r="AI141" s="104">
        <v>1</v>
      </c>
      <c r="AJ141" s="104">
        <v>1</v>
      </c>
      <c r="AK141" s="106"/>
      <c r="AL141" s="104">
        <f t="shared" si="7"/>
        <v>1</v>
      </c>
      <c r="AM141" s="106"/>
      <c r="AN141" s="104"/>
      <c r="AO141" s="104"/>
      <c r="AP141" s="104">
        <v>1</v>
      </c>
      <c r="AQ141" s="104">
        <v>1</v>
      </c>
      <c r="AR141" s="104">
        <v>1</v>
      </c>
      <c r="AS141" s="106"/>
      <c r="AT141" s="104">
        <v>1</v>
      </c>
      <c r="AU141" s="105" t="s">
        <v>9276</v>
      </c>
      <c r="AV141" s="106"/>
      <c r="AX141" s="99" t="s">
        <v>9097</v>
      </c>
      <c r="AZ141" s="94" t="s">
        <v>8664</v>
      </c>
    </row>
    <row r="142" spans="1:52">
      <c r="AZ142" s="94" t="s">
        <v>8671</v>
      </c>
    </row>
    <row r="143" spans="1:52">
      <c r="AZ143" s="94" t="s">
        <v>8678</v>
      </c>
    </row>
    <row r="144" spans="1:52">
      <c r="AZ144" s="94" t="s">
        <v>8685</v>
      </c>
    </row>
    <row r="145" spans="52:52">
      <c r="AZ145" s="94" t="s">
        <v>8692</v>
      </c>
    </row>
    <row r="146" spans="52:52">
      <c r="AZ146" s="25" t="s">
        <v>9152</v>
      </c>
    </row>
    <row r="147" spans="52:52">
      <c r="AZ147" s="99" t="s">
        <v>8729</v>
      </c>
    </row>
    <row r="148" spans="52:52">
      <c r="AZ148" s="99" t="s">
        <v>8886</v>
      </c>
    </row>
  </sheetData>
  <sheetProtection sheet="1" formatCells="0" formatColumns="0" formatRows="0" insertColumns="0" insertRows="0" insertHyperlinks="0" deleteColumns="0" deleteRows="0" sort="0" autoFilter="0" pivotTables="0"/>
  <protectedRanges>
    <protectedRange sqref="A1:P1048576" name="Range1"/>
    <protectedRange sqref="A1:O1048576" name="Range2"/>
  </protectedRanges>
  <autoFilter ref="A1:AV141" xr:uid="{00000000-0009-0000-0000-000009000000}">
    <filterColumn colId="10">
      <filters>
        <filter val="7.6"/>
      </filters>
    </filterColumn>
  </autoFilter>
  <phoneticPr fontId="67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Z184"/>
  <sheetViews>
    <sheetView workbookViewId="0">
      <pane xSplit="14" ySplit="1" topLeftCell="AR137" activePane="bottomRight" state="frozen"/>
      <selection pane="topRight"/>
      <selection pane="bottomLeft"/>
      <selection pane="bottomRight" activeCell="AR137" sqref="A1:XFD1048576"/>
    </sheetView>
  </sheetViews>
  <sheetFormatPr defaultColWidth="9" defaultRowHeight="14.5"/>
  <cols>
    <col min="1" max="1" width="10.26953125" style="2" customWidth="1"/>
    <col min="2" max="2" width="7.453125" style="2" customWidth="1"/>
    <col min="3" max="3" width="4.6328125" style="2" customWidth="1"/>
    <col min="4" max="4" width="13.90625" style="2" customWidth="1"/>
    <col min="5" max="5" width="8.81640625" style="2" customWidth="1"/>
    <col min="6" max="6" width="8.453125" style="2" customWidth="1"/>
    <col min="7" max="7" width="10.36328125" style="33" customWidth="1"/>
    <col min="8" max="8" width="8.7265625" style="33" customWidth="1"/>
    <col min="9" max="9" width="10.26953125" style="2" customWidth="1"/>
    <col min="10" max="10" width="9.36328125" style="2" customWidth="1"/>
    <col min="11" max="11" width="9.1796875" style="4" customWidth="1"/>
    <col min="12" max="12" width="6.54296875" style="2" customWidth="1"/>
    <col min="13" max="13" width="12.6328125" style="2" customWidth="1"/>
    <col min="14" max="14" width="13.7265625" style="2" customWidth="1"/>
    <col min="15" max="15" width="17.90625" style="2" customWidth="1"/>
    <col min="16" max="16" width="8.54296875" style="2" customWidth="1"/>
    <col min="17" max="17" width="7" style="4" customWidth="1"/>
    <col min="18" max="18" width="9" style="4"/>
    <col min="19" max="19" width="11" style="4" customWidth="1"/>
    <col min="20" max="21" width="12.7265625" style="2" customWidth="1"/>
    <col min="22" max="22" width="17" style="2" customWidth="1"/>
    <col min="23" max="23" width="19.6328125" style="2" customWidth="1"/>
    <col min="24" max="24" width="9.90625" style="2" customWidth="1"/>
    <col min="25" max="26" width="19.7265625" style="2" customWidth="1"/>
    <col min="27" max="27" width="8.7265625" style="2" hidden="1" customWidth="1"/>
    <col min="28" max="28" width="17.26953125" style="2" customWidth="1"/>
    <col min="29" max="29" width="9" style="2" customWidth="1"/>
    <col min="30" max="31" width="9" style="4" customWidth="1"/>
    <col min="32" max="32" width="9" style="2" customWidth="1"/>
    <col min="33" max="36" width="9" style="4"/>
    <col min="37" max="37" width="16.7265625" style="2" customWidth="1"/>
    <col min="38" max="38" width="9" style="4"/>
    <col min="39" max="39" width="9" style="2"/>
    <col min="40" max="45" width="9" style="4"/>
    <col min="46" max="46" width="8.1796875" style="4" customWidth="1"/>
    <col min="47" max="47" width="23.7265625" style="2" customWidth="1"/>
    <col min="48" max="51" width="9" style="2"/>
    <col min="52" max="52" width="15.90625" style="2" customWidth="1"/>
    <col min="53" max="16384" width="9" style="2"/>
  </cols>
  <sheetData>
    <row r="1" spans="1:52" s="1" customFormat="1" ht="58.25" customHeight="1">
      <c r="A1" s="5" t="s">
        <v>25</v>
      </c>
      <c r="B1" s="5" t="s">
        <v>26</v>
      </c>
      <c r="C1" s="5" t="s">
        <v>27</v>
      </c>
      <c r="D1" s="5" t="s">
        <v>28</v>
      </c>
      <c r="E1" s="5" t="s">
        <v>29</v>
      </c>
      <c r="F1" s="5" t="s">
        <v>30</v>
      </c>
      <c r="G1" s="5" t="s">
        <v>31</v>
      </c>
      <c r="H1" s="5" t="s">
        <v>4389</v>
      </c>
      <c r="I1" s="5" t="s">
        <v>4390</v>
      </c>
      <c r="J1" s="5" t="s">
        <v>32</v>
      </c>
      <c r="K1" s="7" t="s">
        <v>33</v>
      </c>
      <c r="L1" s="5" t="s">
        <v>34</v>
      </c>
      <c r="M1" s="5" t="s">
        <v>35</v>
      </c>
      <c r="N1" s="5" t="s">
        <v>36</v>
      </c>
      <c r="O1" s="8" t="s">
        <v>37</v>
      </c>
      <c r="P1" s="5" t="s">
        <v>38</v>
      </c>
      <c r="Q1" s="80" t="s">
        <v>4392</v>
      </c>
      <c r="R1" s="80" t="s">
        <v>5290</v>
      </c>
      <c r="S1" s="80" t="s">
        <v>5291</v>
      </c>
      <c r="T1" s="81" t="s">
        <v>39</v>
      </c>
      <c r="U1" s="81" t="s">
        <v>40</v>
      </c>
      <c r="V1" s="81" t="s">
        <v>41</v>
      </c>
      <c r="W1" s="81" t="s">
        <v>42</v>
      </c>
      <c r="X1" s="81" t="s">
        <v>43</v>
      </c>
      <c r="Y1" s="81" t="s">
        <v>44</v>
      </c>
      <c r="Z1" s="81" t="s">
        <v>45</v>
      </c>
      <c r="AA1" s="82" t="s">
        <v>6888</v>
      </c>
      <c r="AB1" s="83" t="s">
        <v>46</v>
      </c>
      <c r="AC1" s="84" t="s">
        <v>47</v>
      </c>
      <c r="AD1" s="84" t="s">
        <v>48</v>
      </c>
      <c r="AE1" s="84" t="s">
        <v>49</v>
      </c>
      <c r="AF1" s="84" t="s">
        <v>50</v>
      </c>
      <c r="AG1" s="85" t="s">
        <v>51</v>
      </c>
      <c r="AH1" s="85" t="s">
        <v>52</v>
      </c>
      <c r="AI1" s="85" t="s">
        <v>4395</v>
      </c>
      <c r="AJ1" s="86" t="s">
        <v>54</v>
      </c>
      <c r="AK1" s="85" t="s">
        <v>4396</v>
      </c>
      <c r="AL1" s="87" t="s">
        <v>57</v>
      </c>
      <c r="AM1" s="88" t="s">
        <v>58</v>
      </c>
      <c r="AN1" s="88" t="s">
        <v>59</v>
      </c>
      <c r="AO1" s="89" t="s">
        <v>60</v>
      </c>
      <c r="AP1" s="89" t="s">
        <v>61</v>
      </c>
      <c r="AQ1" s="86" t="s">
        <v>62</v>
      </c>
      <c r="AR1" s="86" t="s">
        <v>63</v>
      </c>
      <c r="AS1" s="86" t="s">
        <v>155</v>
      </c>
      <c r="AT1" s="86" t="s">
        <v>65</v>
      </c>
      <c r="AU1" s="90" t="s">
        <v>6889</v>
      </c>
      <c r="AV1" s="86" t="s">
        <v>66</v>
      </c>
      <c r="AW1" s="91"/>
      <c r="AX1" s="87" t="s">
        <v>1680</v>
      </c>
      <c r="AY1" s="86" t="s">
        <v>3133</v>
      </c>
      <c r="AZ1" s="85" t="s">
        <v>158</v>
      </c>
    </row>
    <row r="2" spans="1:52" ht="16.5">
      <c r="A2" s="30" t="s">
        <v>9277</v>
      </c>
      <c r="B2" s="30" t="s">
        <v>4398</v>
      </c>
      <c r="C2" s="30" t="s">
        <v>68</v>
      </c>
      <c r="D2" s="32" t="s">
        <v>9278</v>
      </c>
      <c r="E2" s="260" t="s">
        <v>9279</v>
      </c>
      <c r="F2" s="30" t="s">
        <v>9280</v>
      </c>
      <c r="G2" s="30" t="s">
        <v>165</v>
      </c>
      <c r="H2" s="30" t="s">
        <v>165</v>
      </c>
      <c r="I2" s="30" t="s">
        <v>4402</v>
      </c>
      <c r="J2" s="30" t="s">
        <v>9281</v>
      </c>
      <c r="K2" s="32">
        <v>7.21</v>
      </c>
      <c r="L2" s="30" t="s">
        <v>73</v>
      </c>
      <c r="M2" s="30" t="s">
        <v>9282</v>
      </c>
      <c r="N2" s="30" t="s">
        <v>9283</v>
      </c>
      <c r="O2" s="27" t="s">
        <v>9284</v>
      </c>
      <c r="P2" s="30"/>
      <c r="Q2" s="92">
        <v>8</v>
      </c>
      <c r="R2" s="92">
        <v>32</v>
      </c>
      <c r="S2" s="92">
        <v>303.77</v>
      </c>
      <c r="T2" s="30" t="s">
        <v>88</v>
      </c>
      <c r="U2" s="30" t="s">
        <v>78</v>
      </c>
      <c r="V2" s="30" t="s">
        <v>89</v>
      </c>
      <c r="W2" s="26" t="s">
        <v>9285</v>
      </c>
      <c r="X2" s="26" t="s">
        <v>4412</v>
      </c>
      <c r="Y2" s="26" t="s">
        <v>91</v>
      </c>
      <c r="Z2" s="26" t="s">
        <v>91</v>
      </c>
      <c r="AA2" s="30"/>
      <c r="AB2" s="93" t="s">
        <v>7</v>
      </c>
      <c r="AC2" s="30" t="s">
        <v>172</v>
      </c>
      <c r="AD2" s="25" t="s">
        <v>172</v>
      </c>
      <c r="AE2" s="25" t="s">
        <v>174</v>
      </c>
      <c r="AF2" s="26" t="s">
        <v>175</v>
      </c>
      <c r="AG2" s="32">
        <f>IF(COUNTIF(AZ:AZ,D2)&gt;0,1,0)</f>
        <v>1</v>
      </c>
      <c r="AH2" s="32">
        <v>1</v>
      </c>
      <c r="AI2" s="32"/>
      <c r="AJ2" s="32">
        <v>1</v>
      </c>
      <c r="AK2" s="30"/>
      <c r="AL2" s="32">
        <f>IF(COUNTIF(AX:AX,"*"&amp;M2&amp;"*")&gt;0,1,0)</f>
        <v>1</v>
      </c>
      <c r="AM2" s="30"/>
      <c r="AN2" s="32"/>
      <c r="AO2" s="32"/>
      <c r="AP2" s="32">
        <v>1</v>
      </c>
      <c r="AQ2" s="32">
        <v>1</v>
      </c>
      <c r="AR2" s="32">
        <v>1</v>
      </c>
      <c r="AS2" s="32"/>
      <c r="AT2" s="32">
        <v>1</v>
      </c>
      <c r="AU2" s="30"/>
      <c r="AV2" s="30"/>
      <c r="AW2" s="30"/>
      <c r="AX2" s="30" t="s">
        <v>9286</v>
      </c>
      <c r="AY2" s="30"/>
      <c r="AZ2" s="75" t="s">
        <v>3131</v>
      </c>
    </row>
    <row r="3" spans="1:52" ht="16.5">
      <c r="A3" s="30" t="s">
        <v>9287</v>
      </c>
      <c r="B3" s="30" t="s">
        <v>4398</v>
      </c>
      <c r="C3" s="30" t="s">
        <v>68</v>
      </c>
      <c r="D3" s="32" t="s">
        <v>9288</v>
      </c>
      <c r="E3" s="260" t="s">
        <v>9289</v>
      </c>
      <c r="F3" s="30" t="s">
        <v>9290</v>
      </c>
      <c r="G3" s="30" t="s">
        <v>165</v>
      </c>
      <c r="H3" s="30" t="s">
        <v>165</v>
      </c>
      <c r="I3" s="30" t="s">
        <v>4402</v>
      </c>
      <c r="J3" s="30" t="s">
        <v>9281</v>
      </c>
      <c r="K3" s="32">
        <v>7.21</v>
      </c>
      <c r="L3" s="30" t="s">
        <v>73</v>
      </c>
      <c r="M3" s="30" t="s">
        <v>9291</v>
      </c>
      <c r="N3" s="30" t="s">
        <v>9292</v>
      </c>
      <c r="O3" s="27" t="s">
        <v>9293</v>
      </c>
      <c r="P3" s="30"/>
      <c r="Q3" s="92">
        <v>8</v>
      </c>
      <c r="R3" s="92">
        <v>32</v>
      </c>
      <c r="S3" s="92">
        <v>302.18</v>
      </c>
      <c r="T3" s="30" t="s">
        <v>88</v>
      </c>
      <c r="U3" s="30" t="s">
        <v>78</v>
      </c>
      <c r="V3" s="30" t="s">
        <v>89</v>
      </c>
      <c r="W3" s="26" t="s">
        <v>9285</v>
      </c>
      <c r="X3" s="26" t="s">
        <v>4412</v>
      </c>
      <c r="Y3" s="26" t="s">
        <v>91</v>
      </c>
      <c r="Z3" s="26" t="s">
        <v>91</v>
      </c>
      <c r="AA3" s="30"/>
      <c r="AB3" s="93" t="s">
        <v>7</v>
      </c>
      <c r="AC3" s="30" t="s">
        <v>172</v>
      </c>
      <c r="AD3" s="25" t="s">
        <v>172</v>
      </c>
      <c r="AE3" s="25" t="s">
        <v>174</v>
      </c>
      <c r="AF3" s="26" t="s">
        <v>175</v>
      </c>
      <c r="AG3" s="32">
        <f t="shared" ref="AG3:AG34" si="0">IF(COUNTIF(AZ:AZ,D3)&gt;0,1,0)</f>
        <v>1</v>
      </c>
      <c r="AH3" s="32">
        <v>1</v>
      </c>
      <c r="AI3" s="32"/>
      <c r="AJ3" s="32">
        <v>1</v>
      </c>
      <c r="AK3" s="30"/>
      <c r="AL3" s="32">
        <f t="shared" ref="AL3:AL32" si="1">IF(COUNTIF(AX:AX,"*"&amp;M3&amp;"*")&gt;0,1,0)</f>
        <v>1</v>
      </c>
      <c r="AM3" s="30"/>
      <c r="AN3" s="32"/>
      <c r="AO3" s="32"/>
      <c r="AP3" s="32">
        <v>1</v>
      </c>
      <c r="AQ3" s="32">
        <v>1</v>
      </c>
      <c r="AR3" s="32">
        <v>1</v>
      </c>
      <c r="AS3" s="32"/>
      <c r="AT3" s="32">
        <v>1</v>
      </c>
      <c r="AU3" s="30"/>
      <c r="AV3" s="30"/>
      <c r="AW3" s="30"/>
      <c r="AX3" s="30" t="s">
        <v>9294</v>
      </c>
      <c r="AY3" s="30"/>
      <c r="AZ3" s="94" t="s">
        <v>117</v>
      </c>
    </row>
    <row r="4" spans="1:52" ht="16.5">
      <c r="A4" s="30" t="s">
        <v>9295</v>
      </c>
      <c r="B4" s="30" t="s">
        <v>4398</v>
      </c>
      <c r="C4" s="30" t="s">
        <v>68</v>
      </c>
      <c r="D4" s="32" t="s">
        <v>9296</v>
      </c>
      <c r="E4" s="260" t="s">
        <v>9297</v>
      </c>
      <c r="F4" s="30" t="s">
        <v>9298</v>
      </c>
      <c r="G4" s="30" t="s">
        <v>165</v>
      </c>
      <c r="H4" s="30" t="s">
        <v>165</v>
      </c>
      <c r="I4" s="30" t="s">
        <v>4402</v>
      </c>
      <c r="J4" s="30" t="s">
        <v>9281</v>
      </c>
      <c r="K4" s="32">
        <v>7.21</v>
      </c>
      <c r="L4" s="30" t="s">
        <v>73</v>
      </c>
      <c r="M4" s="30" t="s">
        <v>9299</v>
      </c>
      <c r="N4" s="30" t="s">
        <v>9300</v>
      </c>
      <c r="O4" s="27" t="s">
        <v>9301</v>
      </c>
      <c r="P4" s="30"/>
      <c r="Q4" s="92">
        <v>4</v>
      </c>
      <c r="R4" s="92">
        <v>16</v>
      </c>
      <c r="S4" s="92">
        <v>306.29000000000002</v>
      </c>
      <c r="T4" s="30" t="s">
        <v>88</v>
      </c>
      <c r="U4" s="30" t="s">
        <v>78</v>
      </c>
      <c r="V4" s="30" t="s">
        <v>89</v>
      </c>
      <c r="W4" s="26" t="s">
        <v>9285</v>
      </c>
      <c r="X4" s="26" t="s">
        <v>4412</v>
      </c>
      <c r="Y4" s="26" t="s">
        <v>91</v>
      </c>
      <c r="Z4" s="26" t="s">
        <v>91</v>
      </c>
      <c r="AA4" s="30"/>
      <c r="AB4" s="93" t="s">
        <v>7</v>
      </c>
      <c r="AC4" s="30" t="s">
        <v>172</v>
      </c>
      <c r="AD4" s="25" t="s">
        <v>172</v>
      </c>
      <c r="AE4" s="25" t="s">
        <v>174</v>
      </c>
      <c r="AF4" s="26" t="s">
        <v>175</v>
      </c>
      <c r="AG4" s="32">
        <f t="shared" si="0"/>
        <v>1</v>
      </c>
      <c r="AH4" s="32">
        <v>1</v>
      </c>
      <c r="AI4" s="32"/>
      <c r="AJ4" s="32">
        <v>1</v>
      </c>
      <c r="AK4" s="30"/>
      <c r="AL4" s="32">
        <f t="shared" si="1"/>
        <v>1</v>
      </c>
      <c r="AM4" s="30"/>
      <c r="AN4" s="32"/>
      <c r="AO4" s="32"/>
      <c r="AP4" s="32">
        <v>1</v>
      </c>
      <c r="AQ4" s="32">
        <v>1</v>
      </c>
      <c r="AR4" s="32">
        <v>1</v>
      </c>
      <c r="AS4" s="32"/>
      <c r="AT4" s="32">
        <v>1</v>
      </c>
      <c r="AU4" s="30"/>
      <c r="AV4" s="30"/>
      <c r="AW4" s="30"/>
      <c r="AX4" s="30" t="s">
        <v>9302</v>
      </c>
      <c r="AY4" s="30"/>
      <c r="AZ4" s="94" t="s">
        <v>93</v>
      </c>
    </row>
    <row r="5" spans="1:52" ht="16.5">
      <c r="A5" s="30" t="s">
        <v>9303</v>
      </c>
      <c r="B5" s="30" t="s">
        <v>4398</v>
      </c>
      <c r="C5" s="30" t="s">
        <v>68</v>
      </c>
      <c r="D5" s="32" t="s">
        <v>9304</v>
      </c>
      <c r="E5" s="260" t="s">
        <v>9305</v>
      </c>
      <c r="F5" s="30" t="s">
        <v>9306</v>
      </c>
      <c r="G5" s="30" t="s">
        <v>165</v>
      </c>
      <c r="H5" s="30" t="s">
        <v>165</v>
      </c>
      <c r="I5" s="30" t="s">
        <v>4402</v>
      </c>
      <c r="J5" s="30" t="s">
        <v>9281</v>
      </c>
      <c r="K5" s="32">
        <v>7.21</v>
      </c>
      <c r="L5" s="30" t="s">
        <v>73</v>
      </c>
      <c r="M5" s="30" t="s">
        <v>9307</v>
      </c>
      <c r="N5" s="30" t="s">
        <v>9308</v>
      </c>
      <c r="O5" s="27" t="s">
        <v>9309</v>
      </c>
      <c r="P5" s="30"/>
      <c r="Q5" s="92">
        <v>8</v>
      </c>
      <c r="R5" s="92">
        <v>32</v>
      </c>
      <c r="S5" s="92">
        <v>322.12</v>
      </c>
      <c r="T5" s="30" t="s">
        <v>88</v>
      </c>
      <c r="U5" s="30" t="s">
        <v>78</v>
      </c>
      <c r="V5" s="30" t="s">
        <v>89</v>
      </c>
      <c r="W5" s="26" t="s">
        <v>9285</v>
      </c>
      <c r="X5" s="26" t="s">
        <v>4412</v>
      </c>
      <c r="Y5" s="26" t="s">
        <v>91</v>
      </c>
      <c r="Z5" s="26" t="s">
        <v>91</v>
      </c>
      <c r="AA5" s="30"/>
      <c r="AB5" s="93" t="s">
        <v>7</v>
      </c>
      <c r="AC5" s="30" t="s">
        <v>172</v>
      </c>
      <c r="AD5" s="25" t="s">
        <v>172</v>
      </c>
      <c r="AE5" s="25" t="s">
        <v>174</v>
      </c>
      <c r="AF5" s="26" t="s">
        <v>175</v>
      </c>
      <c r="AG5" s="32">
        <f t="shared" si="0"/>
        <v>1</v>
      </c>
      <c r="AH5" s="32">
        <v>1</v>
      </c>
      <c r="AI5" s="32"/>
      <c r="AJ5" s="32">
        <v>1</v>
      </c>
      <c r="AK5" s="30"/>
      <c r="AL5" s="32">
        <f t="shared" si="1"/>
        <v>1</v>
      </c>
      <c r="AM5" s="30"/>
      <c r="AN5" s="32"/>
      <c r="AO5" s="32"/>
      <c r="AP5" s="32">
        <v>1</v>
      </c>
      <c r="AQ5" s="32">
        <v>1</v>
      </c>
      <c r="AR5" s="32">
        <v>1</v>
      </c>
      <c r="AS5" s="32"/>
      <c r="AT5" s="32">
        <v>1</v>
      </c>
      <c r="AU5" s="30"/>
      <c r="AV5" s="30"/>
      <c r="AW5" s="30"/>
      <c r="AX5" s="30" t="s">
        <v>9310</v>
      </c>
      <c r="AY5" s="30"/>
      <c r="AZ5" s="94" t="s">
        <v>9304</v>
      </c>
    </row>
    <row r="6" spans="1:52" ht="16.5">
      <c r="A6" s="30" t="s">
        <v>9311</v>
      </c>
      <c r="B6" s="30" t="s">
        <v>4398</v>
      </c>
      <c r="C6" s="30" t="s">
        <v>68</v>
      </c>
      <c r="D6" s="32" t="s">
        <v>9312</v>
      </c>
      <c r="E6" s="260" t="s">
        <v>9313</v>
      </c>
      <c r="F6" s="30" t="s">
        <v>9314</v>
      </c>
      <c r="G6" s="30" t="s">
        <v>165</v>
      </c>
      <c r="H6" s="30" t="s">
        <v>165</v>
      </c>
      <c r="I6" s="30" t="s">
        <v>4402</v>
      </c>
      <c r="J6" s="30" t="s">
        <v>9281</v>
      </c>
      <c r="K6" s="32">
        <v>7.21</v>
      </c>
      <c r="L6" s="30" t="s">
        <v>73</v>
      </c>
      <c r="M6" s="30" t="s">
        <v>9315</v>
      </c>
      <c r="N6" s="30" t="s">
        <v>9316</v>
      </c>
      <c r="O6" s="27" t="s">
        <v>9317</v>
      </c>
      <c r="P6" s="30"/>
      <c r="Q6" s="92">
        <v>8</v>
      </c>
      <c r="R6" s="92">
        <v>32</v>
      </c>
      <c r="S6" s="92">
        <v>323.31</v>
      </c>
      <c r="T6" s="30" t="s">
        <v>88</v>
      </c>
      <c r="U6" s="30" t="s">
        <v>78</v>
      </c>
      <c r="V6" s="30" t="s">
        <v>89</v>
      </c>
      <c r="W6" s="26" t="s">
        <v>9285</v>
      </c>
      <c r="X6" s="26" t="s">
        <v>4412</v>
      </c>
      <c r="Y6" s="26" t="s">
        <v>91</v>
      </c>
      <c r="Z6" s="26" t="s">
        <v>91</v>
      </c>
      <c r="AA6" s="30"/>
      <c r="AB6" s="93" t="s">
        <v>7</v>
      </c>
      <c r="AC6" s="30" t="s">
        <v>172</v>
      </c>
      <c r="AD6" s="25" t="s">
        <v>172</v>
      </c>
      <c r="AE6" s="25" t="s">
        <v>174</v>
      </c>
      <c r="AF6" s="26" t="s">
        <v>175</v>
      </c>
      <c r="AG6" s="32">
        <f t="shared" si="0"/>
        <v>1</v>
      </c>
      <c r="AH6" s="32">
        <v>1</v>
      </c>
      <c r="AI6" s="32"/>
      <c r="AJ6" s="32">
        <v>1</v>
      </c>
      <c r="AK6" s="30"/>
      <c r="AL6" s="32">
        <f t="shared" si="1"/>
        <v>1</v>
      </c>
      <c r="AM6" s="30"/>
      <c r="AN6" s="32"/>
      <c r="AO6" s="32"/>
      <c r="AP6" s="32">
        <v>1</v>
      </c>
      <c r="AQ6" s="32">
        <v>1</v>
      </c>
      <c r="AR6" s="32">
        <v>1</v>
      </c>
      <c r="AS6" s="32"/>
      <c r="AT6" s="35">
        <v>1</v>
      </c>
      <c r="AU6" s="30"/>
      <c r="AV6" s="30"/>
      <c r="AW6" s="30"/>
      <c r="AX6" s="30" t="s">
        <v>9318</v>
      </c>
      <c r="AY6" s="30"/>
      <c r="AZ6" s="94" t="s">
        <v>9296</v>
      </c>
    </row>
    <row r="7" spans="1:52" ht="16.5">
      <c r="A7" s="30" t="s">
        <v>9319</v>
      </c>
      <c r="B7" s="30" t="s">
        <v>4398</v>
      </c>
      <c r="C7" s="30" t="s">
        <v>68</v>
      </c>
      <c r="D7" s="32" t="s">
        <v>9320</v>
      </c>
      <c r="E7" s="260" t="s">
        <v>9321</v>
      </c>
      <c r="F7" s="50" t="s">
        <v>9322</v>
      </c>
      <c r="G7" s="30" t="s">
        <v>165</v>
      </c>
      <c r="H7" s="30" t="s">
        <v>165</v>
      </c>
      <c r="I7" s="30" t="s">
        <v>4402</v>
      </c>
      <c r="J7" s="30" t="s">
        <v>9281</v>
      </c>
      <c r="K7" s="32">
        <v>7.21</v>
      </c>
      <c r="L7" s="30" t="s">
        <v>73</v>
      </c>
      <c r="M7" s="30" t="s">
        <v>9302</v>
      </c>
      <c r="N7" s="30" t="s">
        <v>9323</v>
      </c>
      <c r="O7" s="27" t="s">
        <v>9324</v>
      </c>
      <c r="P7" s="30"/>
      <c r="Q7" s="92">
        <v>4</v>
      </c>
      <c r="R7" s="92">
        <v>16</v>
      </c>
      <c r="S7" s="92">
        <v>266.10000000000002</v>
      </c>
      <c r="T7" s="30" t="s">
        <v>88</v>
      </c>
      <c r="U7" s="30" t="s">
        <v>78</v>
      </c>
      <c r="V7" s="30" t="s">
        <v>89</v>
      </c>
      <c r="W7" s="26" t="s">
        <v>9285</v>
      </c>
      <c r="X7" s="26" t="s">
        <v>4412</v>
      </c>
      <c r="Y7" s="26" t="s">
        <v>91</v>
      </c>
      <c r="Z7" s="26" t="s">
        <v>91</v>
      </c>
      <c r="AA7" s="30"/>
      <c r="AB7" s="93" t="s">
        <v>7</v>
      </c>
      <c r="AC7" s="30" t="s">
        <v>172</v>
      </c>
      <c r="AD7" s="25" t="s">
        <v>172</v>
      </c>
      <c r="AE7" s="25" t="s">
        <v>174</v>
      </c>
      <c r="AF7" s="26" t="s">
        <v>175</v>
      </c>
      <c r="AG7" s="32">
        <f t="shared" si="0"/>
        <v>1</v>
      </c>
      <c r="AH7" s="32">
        <v>1</v>
      </c>
      <c r="AI7" s="32"/>
      <c r="AJ7" s="32">
        <v>1</v>
      </c>
      <c r="AK7" s="30"/>
      <c r="AL7" s="32">
        <f t="shared" si="1"/>
        <v>1</v>
      </c>
      <c r="AM7" s="30"/>
      <c r="AN7" s="32"/>
      <c r="AO7" s="32">
        <v>1</v>
      </c>
      <c r="AP7" s="32">
        <v>1</v>
      </c>
      <c r="AQ7" s="32">
        <v>1</v>
      </c>
      <c r="AR7" s="32">
        <v>1</v>
      </c>
      <c r="AS7" s="32"/>
      <c r="AT7" s="32">
        <v>1</v>
      </c>
      <c r="AU7" s="30" t="s">
        <v>9325</v>
      </c>
      <c r="AV7" s="30"/>
      <c r="AW7" s="30"/>
      <c r="AX7" s="30" t="s">
        <v>9326</v>
      </c>
      <c r="AY7" s="30"/>
      <c r="AZ7" s="94" t="s">
        <v>9278</v>
      </c>
    </row>
    <row r="8" spans="1:52" ht="16.5">
      <c r="A8" s="30" t="s">
        <v>9327</v>
      </c>
      <c r="B8" s="30" t="s">
        <v>4398</v>
      </c>
      <c r="C8" s="30" t="s">
        <v>68</v>
      </c>
      <c r="D8" s="32" t="s">
        <v>9328</v>
      </c>
      <c r="E8" s="260" t="s">
        <v>9329</v>
      </c>
      <c r="F8" s="30" t="s">
        <v>9330</v>
      </c>
      <c r="G8" s="30" t="s">
        <v>165</v>
      </c>
      <c r="H8" s="30" t="s">
        <v>165</v>
      </c>
      <c r="I8" s="30" t="s">
        <v>4402</v>
      </c>
      <c r="J8" s="30" t="s">
        <v>9281</v>
      </c>
      <c r="K8" s="32">
        <v>7.21</v>
      </c>
      <c r="L8" s="30" t="s">
        <v>73</v>
      </c>
      <c r="M8" s="30" t="s">
        <v>9331</v>
      </c>
      <c r="N8" s="30" t="s">
        <v>9332</v>
      </c>
      <c r="O8" s="27" t="s">
        <v>9333</v>
      </c>
      <c r="P8" s="30"/>
      <c r="Q8" s="92">
        <v>8</v>
      </c>
      <c r="R8" s="92">
        <v>32</v>
      </c>
      <c r="S8" s="92">
        <v>282.3</v>
      </c>
      <c r="T8" s="30" t="s">
        <v>88</v>
      </c>
      <c r="U8" s="30" t="s">
        <v>78</v>
      </c>
      <c r="V8" s="30" t="s">
        <v>89</v>
      </c>
      <c r="W8" s="26" t="s">
        <v>9285</v>
      </c>
      <c r="X8" s="26" t="s">
        <v>4412</v>
      </c>
      <c r="Y8" s="26" t="s">
        <v>91</v>
      </c>
      <c r="Z8" s="26" t="s">
        <v>91</v>
      </c>
      <c r="AA8" s="30"/>
      <c r="AB8" s="93" t="s">
        <v>7</v>
      </c>
      <c r="AC8" s="30" t="s">
        <v>172</v>
      </c>
      <c r="AD8" s="25" t="s">
        <v>172</v>
      </c>
      <c r="AE8" s="25" t="s">
        <v>174</v>
      </c>
      <c r="AF8" s="26" t="s">
        <v>175</v>
      </c>
      <c r="AG8" s="32">
        <f t="shared" si="0"/>
        <v>1</v>
      </c>
      <c r="AH8" s="32">
        <v>1</v>
      </c>
      <c r="AI8" s="32"/>
      <c r="AJ8" s="32">
        <v>1</v>
      </c>
      <c r="AK8" s="30"/>
      <c r="AL8" s="32">
        <f t="shared" si="1"/>
        <v>1</v>
      </c>
      <c r="AM8" s="30"/>
      <c r="AN8" s="32"/>
      <c r="AO8" s="32"/>
      <c r="AP8" s="32">
        <v>1</v>
      </c>
      <c r="AQ8" s="32">
        <v>1</v>
      </c>
      <c r="AR8" s="32">
        <v>1</v>
      </c>
      <c r="AS8" s="32"/>
      <c r="AT8" s="32">
        <v>1</v>
      </c>
      <c r="AU8" s="30"/>
      <c r="AV8" s="30"/>
      <c r="AW8" s="30"/>
      <c r="AX8" s="30" t="s">
        <v>4736</v>
      </c>
      <c r="AY8" s="30"/>
      <c r="AZ8" s="94" t="s">
        <v>9288</v>
      </c>
    </row>
    <row r="9" spans="1:52" ht="16.5">
      <c r="A9" s="30" t="s">
        <v>4631</v>
      </c>
      <c r="B9" s="30" t="s">
        <v>4398</v>
      </c>
      <c r="C9" s="30" t="s">
        <v>68</v>
      </c>
      <c r="D9" s="32" t="s">
        <v>4632</v>
      </c>
      <c r="E9" s="260" t="s">
        <v>4633</v>
      </c>
      <c r="F9" s="30" t="s">
        <v>4634</v>
      </c>
      <c r="G9" s="30" t="s">
        <v>165</v>
      </c>
      <c r="H9" s="30" t="s">
        <v>165</v>
      </c>
      <c r="I9" s="30" t="s">
        <v>4402</v>
      </c>
      <c r="J9" s="30" t="s">
        <v>9281</v>
      </c>
      <c r="K9" s="32">
        <v>7.21</v>
      </c>
      <c r="L9" s="30" t="s">
        <v>73</v>
      </c>
      <c r="M9" s="30" t="s">
        <v>4635</v>
      </c>
      <c r="N9" s="30" t="s">
        <v>9334</v>
      </c>
      <c r="O9" s="27" t="s">
        <v>9335</v>
      </c>
      <c r="P9" s="30"/>
      <c r="Q9" s="92">
        <v>8</v>
      </c>
      <c r="R9" s="92">
        <v>32</v>
      </c>
      <c r="S9" s="92">
        <v>360.13</v>
      </c>
      <c r="T9" s="30" t="s">
        <v>88</v>
      </c>
      <c r="U9" s="30" t="s">
        <v>78</v>
      </c>
      <c r="V9" s="30" t="s">
        <v>89</v>
      </c>
      <c r="W9" s="26" t="s">
        <v>9285</v>
      </c>
      <c r="X9" s="26" t="s">
        <v>4412</v>
      </c>
      <c r="Y9" s="26" t="s">
        <v>91</v>
      </c>
      <c r="Z9" s="26" t="s">
        <v>91</v>
      </c>
      <c r="AA9" s="30"/>
      <c r="AB9" s="93" t="s">
        <v>7</v>
      </c>
      <c r="AC9" s="30" t="s">
        <v>172</v>
      </c>
      <c r="AD9" s="25" t="s">
        <v>172</v>
      </c>
      <c r="AE9" s="25" t="s">
        <v>174</v>
      </c>
      <c r="AF9" s="26" t="s">
        <v>175</v>
      </c>
      <c r="AG9" s="32">
        <f t="shared" si="0"/>
        <v>1</v>
      </c>
      <c r="AH9" s="32">
        <v>1</v>
      </c>
      <c r="AI9" s="32"/>
      <c r="AJ9" s="32">
        <v>1</v>
      </c>
      <c r="AK9" s="30"/>
      <c r="AL9" s="32">
        <f t="shared" si="1"/>
        <v>1</v>
      </c>
      <c r="AM9" s="30"/>
      <c r="AN9" s="32"/>
      <c r="AO9" s="32"/>
      <c r="AP9" s="25" t="s">
        <v>1211</v>
      </c>
      <c r="AQ9" s="32"/>
      <c r="AR9" s="25" t="s">
        <v>1211</v>
      </c>
      <c r="AS9" s="32"/>
      <c r="AT9" s="25" t="s">
        <v>1211</v>
      </c>
      <c r="AU9" s="30"/>
      <c r="AV9" s="30"/>
      <c r="AW9" s="30"/>
      <c r="AX9" s="30" t="s">
        <v>9336</v>
      </c>
      <c r="AY9" s="30"/>
      <c r="AZ9" s="94" t="s">
        <v>9337</v>
      </c>
    </row>
    <row r="10" spans="1:52" ht="16.5">
      <c r="A10" s="30" t="s">
        <v>9338</v>
      </c>
      <c r="B10" s="30" t="s">
        <v>4398</v>
      </c>
      <c r="C10" s="30" t="s">
        <v>68</v>
      </c>
      <c r="D10" s="32" t="s">
        <v>9339</v>
      </c>
      <c r="E10" s="260" t="s">
        <v>9340</v>
      </c>
      <c r="F10" s="30" t="s">
        <v>9341</v>
      </c>
      <c r="G10" s="30" t="s">
        <v>165</v>
      </c>
      <c r="H10" s="30" t="s">
        <v>165</v>
      </c>
      <c r="I10" s="30" t="s">
        <v>4402</v>
      </c>
      <c r="J10" s="30" t="s">
        <v>9281</v>
      </c>
      <c r="K10" s="32">
        <v>7.21</v>
      </c>
      <c r="L10" s="30" t="s">
        <v>73</v>
      </c>
      <c r="M10" s="30" t="s">
        <v>9342</v>
      </c>
      <c r="N10" s="30" t="s">
        <v>9343</v>
      </c>
      <c r="O10" s="27" t="s">
        <v>9344</v>
      </c>
      <c r="P10" s="30"/>
      <c r="Q10" s="92">
        <v>4</v>
      </c>
      <c r="R10" s="92">
        <v>16</v>
      </c>
      <c r="S10" s="92">
        <v>266.11</v>
      </c>
      <c r="T10" s="30" t="s">
        <v>88</v>
      </c>
      <c r="U10" s="30" t="s">
        <v>78</v>
      </c>
      <c r="V10" s="30" t="s">
        <v>89</v>
      </c>
      <c r="W10" s="26" t="s">
        <v>9285</v>
      </c>
      <c r="X10" s="26" t="s">
        <v>4412</v>
      </c>
      <c r="Y10" s="26" t="s">
        <v>91</v>
      </c>
      <c r="Z10" s="26" t="s">
        <v>91</v>
      </c>
      <c r="AA10" s="30"/>
      <c r="AB10" s="93" t="s">
        <v>7</v>
      </c>
      <c r="AC10" s="30" t="s">
        <v>172</v>
      </c>
      <c r="AD10" s="25" t="s">
        <v>172</v>
      </c>
      <c r="AE10" s="25" t="s">
        <v>174</v>
      </c>
      <c r="AF10" s="26" t="s">
        <v>175</v>
      </c>
      <c r="AG10" s="32">
        <f t="shared" si="0"/>
        <v>1</v>
      </c>
      <c r="AH10" s="32">
        <v>1</v>
      </c>
      <c r="AI10" s="32"/>
      <c r="AJ10" s="32">
        <v>1</v>
      </c>
      <c r="AK10" s="30"/>
      <c r="AL10" s="32">
        <f t="shared" si="1"/>
        <v>1</v>
      </c>
      <c r="AM10" s="30"/>
      <c r="AN10" s="32"/>
      <c r="AO10" s="32"/>
      <c r="AP10" s="32">
        <v>1</v>
      </c>
      <c r="AQ10" s="32">
        <v>1</v>
      </c>
      <c r="AR10" s="32">
        <v>1</v>
      </c>
      <c r="AS10" s="32"/>
      <c r="AT10" s="32">
        <v>1</v>
      </c>
      <c r="AU10" s="30"/>
      <c r="AV10" s="30"/>
      <c r="AW10" s="30"/>
      <c r="AX10" s="30" t="s">
        <v>9345</v>
      </c>
      <c r="AY10" s="30"/>
      <c r="AZ10" s="94" t="s">
        <v>4632</v>
      </c>
    </row>
    <row r="11" spans="1:52" ht="16.5">
      <c r="A11" s="30" t="s">
        <v>9346</v>
      </c>
      <c r="B11" s="30" t="s">
        <v>4398</v>
      </c>
      <c r="C11" s="30" t="s">
        <v>68</v>
      </c>
      <c r="D11" s="32" t="s">
        <v>9347</v>
      </c>
      <c r="E11" s="260" t="s">
        <v>9348</v>
      </c>
      <c r="F11" s="30" t="s">
        <v>9349</v>
      </c>
      <c r="G11" s="30" t="s">
        <v>165</v>
      </c>
      <c r="H11" s="30" t="s">
        <v>165</v>
      </c>
      <c r="I11" s="30" t="s">
        <v>4402</v>
      </c>
      <c r="J11" s="30" t="s">
        <v>9281</v>
      </c>
      <c r="K11" s="32">
        <v>7.21</v>
      </c>
      <c r="L11" s="30" t="s">
        <v>73</v>
      </c>
      <c r="M11" s="30" t="s">
        <v>9350</v>
      </c>
      <c r="N11" s="30" t="s">
        <v>9351</v>
      </c>
      <c r="O11" s="27" t="s">
        <v>9352</v>
      </c>
      <c r="P11" s="30"/>
      <c r="Q11" s="92">
        <v>4</v>
      </c>
      <c r="R11" s="92">
        <v>16</v>
      </c>
      <c r="S11" s="92">
        <v>266.11</v>
      </c>
      <c r="T11" s="30" t="s">
        <v>88</v>
      </c>
      <c r="U11" s="30" t="s">
        <v>78</v>
      </c>
      <c r="V11" s="30" t="s">
        <v>89</v>
      </c>
      <c r="W11" s="26" t="s">
        <v>9285</v>
      </c>
      <c r="X11" s="26" t="s">
        <v>4412</v>
      </c>
      <c r="Y11" s="26" t="s">
        <v>91</v>
      </c>
      <c r="Z11" s="26" t="s">
        <v>91</v>
      </c>
      <c r="AA11" s="30"/>
      <c r="AB11" s="93" t="s">
        <v>7</v>
      </c>
      <c r="AC11" s="30" t="s">
        <v>172</v>
      </c>
      <c r="AD11" s="25" t="s">
        <v>172</v>
      </c>
      <c r="AE11" s="25" t="s">
        <v>174</v>
      </c>
      <c r="AF11" s="26" t="s">
        <v>175</v>
      </c>
      <c r="AG11" s="32">
        <f t="shared" si="0"/>
        <v>1</v>
      </c>
      <c r="AH11" s="32">
        <v>1</v>
      </c>
      <c r="AI11" s="32"/>
      <c r="AJ11" s="32">
        <v>1</v>
      </c>
      <c r="AK11" s="30"/>
      <c r="AL11" s="32">
        <f t="shared" si="1"/>
        <v>1</v>
      </c>
      <c r="AM11" s="30"/>
      <c r="AN11" s="32"/>
      <c r="AO11" s="32"/>
      <c r="AP11" s="32">
        <v>1</v>
      </c>
      <c r="AQ11" s="32">
        <v>1</v>
      </c>
      <c r="AR11" s="32">
        <v>1</v>
      </c>
      <c r="AS11" s="32"/>
      <c r="AT11" s="32">
        <v>1</v>
      </c>
      <c r="AU11" s="30"/>
      <c r="AV11" s="30"/>
      <c r="AW11" s="30"/>
      <c r="AX11" s="30" t="s">
        <v>9353</v>
      </c>
      <c r="AY11" s="30"/>
      <c r="AZ11" s="94" t="s">
        <v>9354</v>
      </c>
    </row>
    <row r="12" spans="1:52" ht="16.5">
      <c r="A12" s="30" t="s">
        <v>9355</v>
      </c>
      <c r="B12" s="30" t="s">
        <v>4398</v>
      </c>
      <c r="C12" s="30" t="s">
        <v>68</v>
      </c>
      <c r="D12" s="32" t="s">
        <v>9356</v>
      </c>
      <c r="E12" s="260" t="s">
        <v>9357</v>
      </c>
      <c r="F12" s="50" t="s">
        <v>9358</v>
      </c>
      <c r="G12" s="30" t="s">
        <v>165</v>
      </c>
      <c r="H12" s="30" t="s">
        <v>165</v>
      </c>
      <c r="I12" s="30" t="s">
        <v>4402</v>
      </c>
      <c r="J12" s="30" t="s">
        <v>9281</v>
      </c>
      <c r="K12" s="32">
        <v>7.21</v>
      </c>
      <c r="L12" s="30" t="s">
        <v>73</v>
      </c>
      <c r="M12" s="30" t="s">
        <v>9359</v>
      </c>
      <c r="N12" s="30" t="s">
        <v>9360</v>
      </c>
      <c r="O12" s="27" t="s">
        <v>9361</v>
      </c>
      <c r="P12" s="30"/>
      <c r="Q12" s="92">
        <v>4</v>
      </c>
      <c r="R12" s="92">
        <v>16</v>
      </c>
      <c r="S12" s="92">
        <v>266.11</v>
      </c>
      <c r="T12" s="30" t="s">
        <v>88</v>
      </c>
      <c r="U12" s="30" t="s">
        <v>78</v>
      </c>
      <c r="V12" s="30" t="s">
        <v>89</v>
      </c>
      <c r="W12" s="26" t="s">
        <v>9285</v>
      </c>
      <c r="X12" s="26" t="s">
        <v>4412</v>
      </c>
      <c r="Y12" s="26" t="s">
        <v>91</v>
      </c>
      <c r="Z12" s="26" t="s">
        <v>91</v>
      </c>
      <c r="AA12" s="30"/>
      <c r="AB12" s="93" t="s">
        <v>7</v>
      </c>
      <c r="AC12" s="30" t="s">
        <v>172</v>
      </c>
      <c r="AD12" s="25" t="s">
        <v>172</v>
      </c>
      <c r="AE12" s="25" t="s">
        <v>174</v>
      </c>
      <c r="AF12" s="26" t="s">
        <v>175</v>
      </c>
      <c r="AG12" s="32">
        <f t="shared" si="0"/>
        <v>1</v>
      </c>
      <c r="AH12" s="32">
        <v>1</v>
      </c>
      <c r="AI12" s="32"/>
      <c r="AJ12" s="32">
        <v>1</v>
      </c>
      <c r="AK12" s="30"/>
      <c r="AL12" s="32">
        <f t="shared" si="1"/>
        <v>1</v>
      </c>
      <c r="AM12" s="30"/>
      <c r="AN12" s="32"/>
      <c r="AO12" s="32">
        <v>1</v>
      </c>
      <c r="AP12" s="32">
        <v>1</v>
      </c>
      <c r="AQ12" s="32">
        <v>1</v>
      </c>
      <c r="AR12" s="32">
        <v>1</v>
      </c>
      <c r="AS12" s="32"/>
      <c r="AT12" s="32">
        <v>1</v>
      </c>
      <c r="AU12" s="30" t="s">
        <v>9362</v>
      </c>
      <c r="AV12" s="30"/>
      <c r="AW12" s="30"/>
      <c r="AX12" s="30" t="s">
        <v>9363</v>
      </c>
      <c r="AY12" s="30"/>
      <c r="AZ12" s="94" t="s">
        <v>9364</v>
      </c>
    </row>
    <row r="13" spans="1:52" ht="16.5">
      <c r="A13" s="30" t="s">
        <v>9365</v>
      </c>
      <c r="B13" s="30" t="s">
        <v>4398</v>
      </c>
      <c r="C13" s="30" t="s">
        <v>68</v>
      </c>
      <c r="D13" s="32" t="s">
        <v>9366</v>
      </c>
      <c r="E13" s="260" t="s">
        <v>9367</v>
      </c>
      <c r="F13" s="30" t="s">
        <v>9368</v>
      </c>
      <c r="G13" s="30" t="s">
        <v>165</v>
      </c>
      <c r="H13" s="30" t="s">
        <v>165</v>
      </c>
      <c r="I13" s="30" t="s">
        <v>4402</v>
      </c>
      <c r="J13" s="30" t="s">
        <v>9281</v>
      </c>
      <c r="K13" s="32">
        <v>7.21</v>
      </c>
      <c r="L13" s="30" t="s">
        <v>73</v>
      </c>
      <c r="M13" s="30" t="s">
        <v>9369</v>
      </c>
      <c r="N13" s="30" t="s">
        <v>9370</v>
      </c>
      <c r="O13" s="27" t="s">
        <v>9371</v>
      </c>
      <c r="P13" s="30"/>
      <c r="Q13" s="92">
        <v>4</v>
      </c>
      <c r="R13" s="92">
        <v>16</v>
      </c>
      <c r="S13" s="92">
        <v>266.11</v>
      </c>
      <c r="T13" s="30" t="s">
        <v>88</v>
      </c>
      <c r="U13" s="30" t="s">
        <v>78</v>
      </c>
      <c r="V13" s="30" t="s">
        <v>89</v>
      </c>
      <c r="W13" s="26" t="s">
        <v>9285</v>
      </c>
      <c r="X13" s="26" t="s">
        <v>4412</v>
      </c>
      <c r="Y13" s="26" t="s">
        <v>91</v>
      </c>
      <c r="Z13" s="26" t="s">
        <v>91</v>
      </c>
      <c r="AA13" s="30"/>
      <c r="AB13" s="93" t="s">
        <v>7</v>
      </c>
      <c r="AC13" s="30" t="s">
        <v>172</v>
      </c>
      <c r="AD13" s="25" t="s">
        <v>172</v>
      </c>
      <c r="AE13" s="25" t="s">
        <v>174</v>
      </c>
      <c r="AF13" s="26" t="s">
        <v>175</v>
      </c>
      <c r="AG13" s="32">
        <f t="shared" si="0"/>
        <v>1</v>
      </c>
      <c r="AH13" s="32">
        <v>1</v>
      </c>
      <c r="AI13" s="32"/>
      <c r="AJ13" s="32">
        <v>1</v>
      </c>
      <c r="AK13" s="30"/>
      <c r="AL13" s="32">
        <f t="shared" si="1"/>
        <v>1</v>
      </c>
      <c r="AM13" s="30"/>
      <c r="AN13" s="32"/>
      <c r="AO13" s="32"/>
      <c r="AP13" s="32">
        <v>1</v>
      </c>
      <c r="AQ13" s="32">
        <v>1</v>
      </c>
      <c r="AR13" s="32">
        <v>1</v>
      </c>
      <c r="AS13" s="32"/>
      <c r="AT13" s="32">
        <v>1</v>
      </c>
      <c r="AU13" s="30"/>
      <c r="AV13" s="30"/>
      <c r="AW13" s="30"/>
      <c r="AX13" s="30" t="s">
        <v>9350</v>
      </c>
      <c r="AY13" s="30"/>
      <c r="AZ13" s="94" t="s">
        <v>9372</v>
      </c>
    </row>
    <row r="14" spans="1:52" ht="16.5">
      <c r="A14" s="30" t="s">
        <v>9373</v>
      </c>
      <c r="B14" s="30" t="s">
        <v>4398</v>
      </c>
      <c r="C14" s="30" t="s">
        <v>68</v>
      </c>
      <c r="D14" s="32" t="s">
        <v>9374</v>
      </c>
      <c r="E14" s="260" t="s">
        <v>9375</v>
      </c>
      <c r="F14" s="50" t="s">
        <v>9376</v>
      </c>
      <c r="G14" s="30" t="s">
        <v>165</v>
      </c>
      <c r="H14" s="30" t="s">
        <v>165</v>
      </c>
      <c r="I14" s="30" t="s">
        <v>4402</v>
      </c>
      <c r="J14" s="30" t="s">
        <v>9281</v>
      </c>
      <c r="K14" s="32">
        <v>7.21</v>
      </c>
      <c r="L14" s="30" t="s">
        <v>73</v>
      </c>
      <c r="M14" s="30" t="s">
        <v>9377</v>
      </c>
      <c r="N14" s="30" t="s">
        <v>9378</v>
      </c>
      <c r="O14" s="27" t="s">
        <v>9379</v>
      </c>
      <c r="P14" s="30"/>
      <c r="Q14" s="92">
        <v>4</v>
      </c>
      <c r="R14" s="92">
        <v>16</v>
      </c>
      <c r="S14" s="92">
        <v>266.11</v>
      </c>
      <c r="T14" s="30" t="s">
        <v>88</v>
      </c>
      <c r="U14" s="30" t="s">
        <v>78</v>
      </c>
      <c r="V14" s="30" t="s">
        <v>89</v>
      </c>
      <c r="W14" s="26" t="s">
        <v>9285</v>
      </c>
      <c r="X14" s="26" t="s">
        <v>4412</v>
      </c>
      <c r="Y14" s="26" t="s">
        <v>91</v>
      </c>
      <c r="Z14" s="26" t="s">
        <v>91</v>
      </c>
      <c r="AA14" s="30"/>
      <c r="AB14" s="93" t="s">
        <v>7</v>
      </c>
      <c r="AC14" s="30" t="s">
        <v>172</v>
      </c>
      <c r="AD14" s="25" t="s">
        <v>172</v>
      </c>
      <c r="AE14" s="25" t="s">
        <v>174</v>
      </c>
      <c r="AF14" s="26" t="s">
        <v>175</v>
      </c>
      <c r="AG14" s="32">
        <f t="shared" si="0"/>
        <v>1</v>
      </c>
      <c r="AH14" s="32">
        <v>1</v>
      </c>
      <c r="AI14" s="32"/>
      <c r="AJ14" s="32">
        <v>1</v>
      </c>
      <c r="AK14" s="30"/>
      <c r="AL14" s="32">
        <f t="shared" si="1"/>
        <v>1</v>
      </c>
      <c r="AM14" s="30"/>
      <c r="AN14" s="32"/>
      <c r="AO14" s="32">
        <v>1</v>
      </c>
      <c r="AP14" s="32">
        <v>1</v>
      </c>
      <c r="AQ14" s="32">
        <v>1</v>
      </c>
      <c r="AR14" s="32">
        <v>1</v>
      </c>
      <c r="AS14" s="32"/>
      <c r="AT14" s="32">
        <v>1</v>
      </c>
      <c r="AU14" s="30" t="s">
        <v>9380</v>
      </c>
      <c r="AV14" s="30"/>
      <c r="AW14" s="30"/>
      <c r="AX14" s="30" t="s">
        <v>9342</v>
      </c>
      <c r="AY14" s="30"/>
      <c r="AZ14" s="94" t="s">
        <v>9381</v>
      </c>
    </row>
    <row r="15" spans="1:52" ht="16.5">
      <c r="A15" s="30" t="s">
        <v>9382</v>
      </c>
      <c r="B15" s="30" t="s">
        <v>4398</v>
      </c>
      <c r="C15" s="30" t="s">
        <v>68</v>
      </c>
      <c r="D15" s="32" t="s">
        <v>9383</v>
      </c>
      <c r="E15" s="260" t="s">
        <v>9384</v>
      </c>
      <c r="F15" s="30" t="s">
        <v>9385</v>
      </c>
      <c r="G15" s="30" t="s">
        <v>165</v>
      </c>
      <c r="H15" s="30" t="s">
        <v>165</v>
      </c>
      <c r="I15" s="30" t="s">
        <v>4402</v>
      </c>
      <c r="J15" s="30" t="s">
        <v>9281</v>
      </c>
      <c r="K15" s="32">
        <v>7.21</v>
      </c>
      <c r="L15" s="30" t="s">
        <v>73</v>
      </c>
      <c r="M15" s="30" t="s">
        <v>9386</v>
      </c>
      <c r="N15" s="30" t="s">
        <v>9387</v>
      </c>
      <c r="O15" s="27" t="s">
        <v>9388</v>
      </c>
      <c r="P15" s="30"/>
      <c r="Q15" s="92">
        <v>4</v>
      </c>
      <c r="R15" s="92">
        <v>16</v>
      </c>
      <c r="S15" s="92">
        <v>266.11</v>
      </c>
      <c r="T15" s="30" t="s">
        <v>88</v>
      </c>
      <c r="U15" s="30" t="s">
        <v>78</v>
      </c>
      <c r="V15" s="30" t="s">
        <v>89</v>
      </c>
      <c r="W15" s="26" t="s">
        <v>9285</v>
      </c>
      <c r="X15" s="26" t="s">
        <v>4412</v>
      </c>
      <c r="Y15" s="26" t="s">
        <v>91</v>
      </c>
      <c r="Z15" s="26" t="s">
        <v>91</v>
      </c>
      <c r="AA15" s="30"/>
      <c r="AB15" s="93" t="s">
        <v>7</v>
      </c>
      <c r="AC15" s="30" t="s">
        <v>172</v>
      </c>
      <c r="AD15" s="25" t="s">
        <v>172</v>
      </c>
      <c r="AE15" s="25" t="s">
        <v>174</v>
      </c>
      <c r="AF15" s="26" t="s">
        <v>175</v>
      </c>
      <c r="AG15" s="32">
        <f t="shared" si="0"/>
        <v>1</v>
      </c>
      <c r="AH15" s="32">
        <v>1</v>
      </c>
      <c r="AI15" s="32"/>
      <c r="AJ15" s="32">
        <v>1</v>
      </c>
      <c r="AK15" s="30"/>
      <c r="AL15" s="32">
        <f t="shared" si="1"/>
        <v>1</v>
      </c>
      <c r="AM15" s="30"/>
      <c r="AN15" s="32"/>
      <c r="AO15" s="32"/>
      <c r="AP15" s="32">
        <v>1</v>
      </c>
      <c r="AQ15" s="32">
        <v>1</v>
      </c>
      <c r="AR15" s="32">
        <v>1</v>
      </c>
      <c r="AS15" s="32"/>
      <c r="AT15" s="32">
        <v>1</v>
      </c>
      <c r="AU15" s="30"/>
      <c r="AV15" s="30"/>
      <c r="AW15" s="30"/>
      <c r="AX15" s="30" t="s">
        <v>9307</v>
      </c>
      <c r="AY15" s="30"/>
      <c r="AZ15" s="94" t="s">
        <v>9383</v>
      </c>
    </row>
    <row r="16" spans="1:52" ht="16.5">
      <c r="A16" s="30" t="s">
        <v>9389</v>
      </c>
      <c r="B16" s="30" t="s">
        <v>4398</v>
      </c>
      <c r="C16" s="30" t="s">
        <v>68</v>
      </c>
      <c r="D16" s="32" t="s">
        <v>9381</v>
      </c>
      <c r="E16" s="260" t="s">
        <v>9390</v>
      </c>
      <c r="F16" s="30" t="s">
        <v>9391</v>
      </c>
      <c r="G16" s="30" t="s">
        <v>165</v>
      </c>
      <c r="H16" s="30" t="s">
        <v>165</v>
      </c>
      <c r="I16" s="30" t="s">
        <v>4402</v>
      </c>
      <c r="J16" s="30" t="s">
        <v>9281</v>
      </c>
      <c r="K16" s="32">
        <v>7.21</v>
      </c>
      <c r="L16" s="30" t="s">
        <v>73</v>
      </c>
      <c r="M16" s="30" t="s">
        <v>9392</v>
      </c>
      <c r="N16" s="30" t="s">
        <v>9393</v>
      </c>
      <c r="O16" s="27" t="s">
        <v>9394</v>
      </c>
      <c r="P16" s="30"/>
      <c r="Q16" s="92">
        <v>4</v>
      </c>
      <c r="R16" s="92">
        <v>16</v>
      </c>
      <c r="S16" s="92">
        <v>266.11</v>
      </c>
      <c r="T16" s="30" t="s">
        <v>88</v>
      </c>
      <c r="U16" s="30" t="s">
        <v>78</v>
      </c>
      <c r="V16" s="30" t="s">
        <v>89</v>
      </c>
      <c r="W16" s="26" t="s">
        <v>9285</v>
      </c>
      <c r="X16" s="26" t="s">
        <v>4412</v>
      </c>
      <c r="Y16" s="26" t="s">
        <v>91</v>
      </c>
      <c r="Z16" s="26" t="s">
        <v>91</v>
      </c>
      <c r="AA16" s="30"/>
      <c r="AB16" s="93" t="s">
        <v>7</v>
      </c>
      <c r="AC16" s="30" t="s">
        <v>172</v>
      </c>
      <c r="AD16" s="25" t="s">
        <v>172</v>
      </c>
      <c r="AE16" s="25" t="s">
        <v>174</v>
      </c>
      <c r="AF16" s="26" t="s">
        <v>175</v>
      </c>
      <c r="AG16" s="32">
        <f t="shared" si="0"/>
        <v>1</v>
      </c>
      <c r="AH16" s="32">
        <v>1</v>
      </c>
      <c r="AI16" s="32"/>
      <c r="AJ16" s="32">
        <v>1</v>
      </c>
      <c r="AK16" s="30"/>
      <c r="AL16" s="32">
        <f t="shared" si="1"/>
        <v>1</v>
      </c>
      <c r="AM16" s="30"/>
      <c r="AN16" s="32"/>
      <c r="AO16" s="32"/>
      <c r="AP16" s="32">
        <v>1</v>
      </c>
      <c r="AQ16" s="32">
        <v>1</v>
      </c>
      <c r="AR16" s="32">
        <v>1</v>
      </c>
      <c r="AS16" s="32"/>
      <c r="AT16" s="32">
        <v>1</v>
      </c>
      <c r="AU16" s="30"/>
      <c r="AV16" s="30"/>
      <c r="AW16" s="30"/>
      <c r="AX16" s="30" t="s">
        <v>9299</v>
      </c>
      <c r="AY16" s="30"/>
      <c r="AZ16" s="94" t="s">
        <v>9366</v>
      </c>
    </row>
    <row r="17" spans="1:52" ht="16.5">
      <c r="A17" s="30" t="s">
        <v>9395</v>
      </c>
      <c r="B17" s="30" t="s">
        <v>4398</v>
      </c>
      <c r="C17" s="30" t="s">
        <v>68</v>
      </c>
      <c r="D17" s="32" t="s">
        <v>9372</v>
      </c>
      <c r="E17" s="260" t="s">
        <v>9396</v>
      </c>
      <c r="F17" s="30" t="s">
        <v>9397</v>
      </c>
      <c r="G17" s="30" t="s">
        <v>165</v>
      </c>
      <c r="H17" s="30" t="s">
        <v>165</v>
      </c>
      <c r="I17" s="30" t="s">
        <v>4402</v>
      </c>
      <c r="J17" s="30" t="s">
        <v>9281</v>
      </c>
      <c r="K17" s="32">
        <v>7.21</v>
      </c>
      <c r="L17" s="30" t="s">
        <v>73</v>
      </c>
      <c r="M17" s="30" t="s">
        <v>9294</v>
      </c>
      <c r="N17" s="30" t="s">
        <v>9398</v>
      </c>
      <c r="O17" s="27" t="s">
        <v>9399</v>
      </c>
      <c r="P17" s="30"/>
      <c r="Q17" s="92">
        <v>8</v>
      </c>
      <c r="R17" s="92">
        <v>32</v>
      </c>
      <c r="S17" s="92">
        <v>282.13</v>
      </c>
      <c r="T17" s="30" t="s">
        <v>88</v>
      </c>
      <c r="U17" s="30" t="s">
        <v>78</v>
      </c>
      <c r="V17" s="30" t="s">
        <v>89</v>
      </c>
      <c r="W17" s="26" t="s">
        <v>9285</v>
      </c>
      <c r="X17" s="26" t="s">
        <v>4412</v>
      </c>
      <c r="Y17" s="26" t="s">
        <v>91</v>
      </c>
      <c r="Z17" s="26" t="s">
        <v>91</v>
      </c>
      <c r="AA17" s="30"/>
      <c r="AB17" s="93" t="s">
        <v>7</v>
      </c>
      <c r="AC17" s="30" t="s">
        <v>172</v>
      </c>
      <c r="AD17" s="25" t="s">
        <v>172</v>
      </c>
      <c r="AE17" s="25" t="s">
        <v>174</v>
      </c>
      <c r="AF17" s="26" t="s">
        <v>175</v>
      </c>
      <c r="AG17" s="32">
        <f t="shared" si="0"/>
        <v>1</v>
      </c>
      <c r="AH17" s="32">
        <v>1</v>
      </c>
      <c r="AI17" s="32"/>
      <c r="AJ17" s="32">
        <v>1</v>
      </c>
      <c r="AK17" s="30"/>
      <c r="AL17" s="32">
        <f t="shared" si="1"/>
        <v>1</v>
      </c>
      <c r="AM17" s="30"/>
      <c r="AN17" s="32"/>
      <c r="AO17" s="32"/>
      <c r="AP17" s="32">
        <v>1</v>
      </c>
      <c r="AQ17" s="32">
        <v>1</v>
      </c>
      <c r="AR17" s="32">
        <v>1</v>
      </c>
      <c r="AS17" s="32"/>
      <c r="AT17" s="32">
        <v>1</v>
      </c>
      <c r="AU17" s="30"/>
      <c r="AV17" s="30"/>
      <c r="AW17" s="30"/>
      <c r="AX17" s="30" t="s">
        <v>9282</v>
      </c>
      <c r="AY17" s="30"/>
      <c r="AZ17" s="94" t="s">
        <v>9356</v>
      </c>
    </row>
    <row r="18" spans="1:52" ht="16.5">
      <c r="A18" s="30" t="s">
        <v>9400</v>
      </c>
      <c r="B18" s="30" t="s">
        <v>4398</v>
      </c>
      <c r="C18" s="30" t="s">
        <v>68</v>
      </c>
      <c r="D18" s="32" t="s">
        <v>9364</v>
      </c>
      <c r="E18" s="260" t="s">
        <v>9401</v>
      </c>
      <c r="F18" s="30" t="s">
        <v>9402</v>
      </c>
      <c r="G18" s="30" t="s">
        <v>165</v>
      </c>
      <c r="H18" s="30" t="s">
        <v>165</v>
      </c>
      <c r="I18" s="30" t="s">
        <v>4402</v>
      </c>
      <c r="J18" s="30" t="s">
        <v>9281</v>
      </c>
      <c r="K18" s="32">
        <v>7.21</v>
      </c>
      <c r="L18" s="30" t="s">
        <v>73</v>
      </c>
      <c r="M18" s="30" t="s">
        <v>9286</v>
      </c>
      <c r="N18" s="30" t="s">
        <v>9403</v>
      </c>
      <c r="O18" s="27" t="s">
        <v>9404</v>
      </c>
      <c r="P18" s="30"/>
      <c r="Q18" s="92">
        <v>4</v>
      </c>
      <c r="R18" s="92">
        <v>16</v>
      </c>
      <c r="S18" s="92">
        <v>266.10000000000002</v>
      </c>
      <c r="T18" s="30" t="s">
        <v>88</v>
      </c>
      <c r="U18" s="30" t="s">
        <v>78</v>
      </c>
      <c r="V18" s="30" t="s">
        <v>89</v>
      </c>
      <c r="W18" s="26" t="s">
        <v>9285</v>
      </c>
      <c r="X18" s="26" t="s">
        <v>4412</v>
      </c>
      <c r="Y18" s="26" t="s">
        <v>91</v>
      </c>
      <c r="Z18" s="26" t="s">
        <v>91</v>
      </c>
      <c r="AA18" s="30"/>
      <c r="AB18" s="93" t="s">
        <v>7</v>
      </c>
      <c r="AC18" s="30" t="s">
        <v>172</v>
      </c>
      <c r="AD18" s="25" t="s">
        <v>172</v>
      </c>
      <c r="AE18" s="25" t="s">
        <v>174</v>
      </c>
      <c r="AF18" s="26" t="s">
        <v>175</v>
      </c>
      <c r="AG18" s="32">
        <f t="shared" si="0"/>
        <v>1</v>
      </c>
      <c r="AH18" s="32">
        <v>1</v>
      </c>
      <c r="AI18" s="32"/>
      <c r="AJ18" s="32">
        <v>1</v>
      </c>
      <c r="AK18" s="30"/>
      <c r="AL18" s="32">
        <f t="shared" si="1"/>
        <v>1</v>
      </c>
      <c r="AM18" s="30"/>
      <c r="AN18" s="32"/>
      <c r="AO18" s="32"/>
      <c r="AP18" s="32">
        <v>1</v>
      </c>
      <c r="AQ18" s="32">
        <v>1</v>
      </c>
      <c r="AR18" s="32">
        <v>1</v>
      </c>
      <c r="AS18" s="32"/>
      <c r="AT18" s="32">
        <v>1</v>
      </c>
      <c r="AU18" s="30"/>
      <c r="AV18" s="30"/>
      <c r="AW18" s="30"/>
      <c r="AX18" s="30" t="s">
        <v>9291</v>
      </c>
      <c r="AY18" s="30"/>
      <c r="AZ18" s="94" t="s">
        <v>9328</v>
      </c>
    </row>
    <row r="19" spans="1:52" ht="16.5">
      <c r="A19" s="30" t="s">
        <v>9405</v>
      </c>
      <c r="B19" s="30" t="s">
        <v>4398</v>
      </c>
      <c r="C19" s="30" t="s">
        <v>68</v>
      </c>
      <c r="D19" s="32" t="s">
        <v>9354</v>
      </c>
      <c r="E19" s="260" t="s">
        <v>9406</v>
      </c>
      <c r="F19" s="30" t="s">
        <v>9407</v>
      </c>
      <c r="G19" s="30" t="s">
        <v>165</v>
      </c>
      <c r="H19" s="30" t="s">
        <v>165</v>
      </c>
      <c r="I19" s="30" t="s">
        <v>4402</v>
      </c>
      <c r="J19" s="30" t="s">
        <v>9281</v>
      </c>
      <c r="K19" s="32">
        <v>7.21</v>
      </c>
      <c r="L19" s="30" t="s">
        <v>73</v>
      </c>
      <c r="M19" s="30" t="s">
        <v>9408</v>
      </c>
      <c r="N19" s="30" t="s">
        <v>9409</v>
      </c>
      <c r="O19" s="27" t="s">
        <v>9410</v>
      </c>
      <c r="P19" s="30"/>
      <c r="Q19" s="92">
        <v>8</v>
      </c>
      <c r="R19" s="92">
        <v>32</v>
      </c>
      <c r="S19" s="92">
        <v>282.13</v>
      </c>
      <c r="T19" s="30" t="s">
        <v>88</v>
      </c>
      <c r="U19" s="30" t="s">
        <v>78</v>
      </c>
      <c r="V19" s="30" t="s">
        <v>89</v>
      </c>
      <c r="W19" s="26" t="s">
        <v>9285</v>
      </c>
      <c r="X19" s="26" t="s">
        <v>4412</v>
      </c>
      <c r="Y19" s="26" t="s">
        <v>91</v>
      </c>
      <c r="Z19" s="26" t="s">
        <v>91</v>
      </c>
      <c r="AA19" s="30"/>
      <c r="AB19" s="93" t="s">
        <v>7</v>
      </c>
      <c r="AC19" s="30" t="s">
        <v>172</v>
      </c>
      <c r="AD19" s="25" t="s">
        <v>172</v>
      </c>
      <c r="AE19" s="25" t="s">
        <v>174</v>
      </c>
      <c r="AF19" s="26" t="s">
        <v>175</v>
      </c>
      <c r="AG19" s="32">
        <f t="shared" si="0"/>
        <v>1</v>
      </c>
      <c r="AH19" s="32">
        <v>1</v>
      </c>
      <c r="AI19" s="32"/>
      <c r="AJ19" s="32">
        <v>1</v>
      </c>
      <c r="AK19" s="30"/>
      <c r="AL19" s="32">
        <f t="shared" si="1"/>
        <v>1</v>
      </c>
      <c r="AM19" s="30"/>
      <c r="AN19" s="32"/>
      <c r="AO19" s="32"/>
      <c r="AP19" s="32">
        <v>1</v>
      </c>
      <c r="AQ19" s="32">
        <v>1</v>
      </c>
      <c r="AR19" s="32">
        <v>1</v>
      </c>
      <c r="AS19" s="32"/>
      <c r="AT19" s="32">
        <v>1</v>
      </c>
      <c r="AU19" s="30"/>
      <c r="AV19" s="30"/>
      <c r="AW19" s="30"/>
      <c r="AX19" s="30" t="s">
        <v>9315</v>
      </c>
      <c r="AY19" s="30"/>
      <c r="AZ19" s="94" t="s">
        <v>9347</v>
      </c>
    </row>
    <row r="20" spans="1:52" ht="16.5">
      <c r="A20" s="30" t="s">
        <v>9411</v>
      </c>
      <c r="B20" s="30" t="s">
        <v>4398</v>
      </c>
      <c r="C20" s="30" t="s">
        <v>68</v>
      </c>
      <c r="D20" s="32" t="s">
        <v>5200</v>
      </c>
      <c r="E20" s="39" t="s">
        <v>9412</v>
      </c>
      <c r="F20" s="30" t="s">
        <v>5202</v>
      </c>
      <c r="G20" s="30" t="s">
        <v>165</v>
      </c>
      <c r="H20" s="30" t="s">
        <v>165</v>
      </c>
      <c r="I20" s="30" t="s">
        <v>4402</v>
      </c>
      <c r="J20" s="30" t="s">
        <v>9281</v>
      </c>
      <c r="K20" s="32">
        <v>7.21</v>
      </c>
      <c r="L20" s="30" t="s">
        <v>73</v>
      </c>
      <c r="M20" s="39" t="s">
        <v>9310</v>
      </c>
      <c r="N20" s="30" t="s">
        <v>9413</v>
      </c>
      <c r="O20" s="27" t="s">
        <v>9414</v>
      </c>
      <c r="P20" s="30"/>
      <c r="Q20" s="92">
        <v>4</v>
      </c>
      <c r="R20" s="92">
        <v>16</v>
      </c>
      <c r="S20" s="92">
        <v>308.63</v>
      </c>
      <c r="T20" s="30" t="s">
        <v>88</v>
      </c>
      <c r="U20" s="30" t="s">
        <v>78</v>
      </c>
      <c r="V20" s="30" t="s">
        <v>89</v>
      </c>
      <c r="W20" s="26" t="s">
        <v>9285</v>
      </c>
      <c r="X20" s="26" t="s">
        <v>4412</v>
      </c>
      <c r="Y20" s="26" t="s">
        <v>91</v>
      </c>
      <c r="Z20" s="26" t="s">
        <v>91</v>
      </c>
      <c r="AA20" s="30"/>
      <c r="AB20" s="93" t="s">
        <v>7</v>
      </c>
      <c r="AC20" s="30" t="s">
        <v>172</v>
      </c>
      <c r="AD20" s="25" t="s">
        <v>172</v>
      </c>
      <c r="AE20" s="25" t="s">
        <v>174</v>
      </c>
      <c r="AF20" s="26" t="s">
        <v>175</v>
      </c>
      <c r="AG20" s="32">
        <f t="shared" si="0"/>
        <v>1</v>
      </c>
      <c r="AH20" s="32">
        <v>1</v>
      </c>
      <c r="AI20" s="32"/>
      <c r="AJ20" s="32">
        <v>1</v>
      </c>
      <c r="AK20" s="30"/>
      <c r="AL20" s="32">
        <f t="shared" si="1"/>
        <v>1</v>
      </c>
      <c r="AM20" s="30"/>
      <c r="AN20" s="32"/>
      <c r="AO20" s="32"/>
      <c r="AP20" s="32">
        <v>1</v>
      </c>
      <c r="AQ20" s="32">
        <v>1</v>
      </c>
      <c r="AR20" s="32">
        <v>1</v>
      </c>
      <c r="AS20" s="32"/>
      <c r="AT20" s="32">
        <v>1</v>
      </c>
      <c r="AU20" s="30"/>
      <c r="AV20" s="30"/>
      <c r="AW20" s="30"/>
      <c r="AX20" s="30" t="s">
        <v>9415</v>
      </c>
      <c r="AY20" s="30"/>
      <c r="AZ20" s="94" t="s">
        <v>9339</v>
      </c>
    </row>
    <row r="21" spans="1:52" ht="16.5">
      <c r="A21" s="30" t="s">
        <v>9416</v>
      </c>
      <c r="B21" s="30" t="s">
        <v>4398</v>
      </c>
      <c r="C21" s="30" t="s">
        <v>68</v>
      </c>
      <c r="D21" s="32" t="s">
        <v>9337</v>
      </c>
      <c r="E21" s="260" t="s">
        <v>9417</v>
      </c>
      <c r="F21" s="30" t="s">
        <v>9418</v>
      </c>
      <c r="G21" s="30" t="s">
        <v>165</v>
      </c>
      <c r="H21" s="30" t="s">
        <v>165</v>
      </c>
      <c r="I21" s="30" t="s">
        <v>4402</v>
      </c>
      <c r="J21" s="30" t="s">
        <v>9281</v>
      </c>
      <c r="K21" s="32">
        <v>7.21</v>
      </c>
      <c r="L21" s="30" t="s">
        <v>73</v>
      </c>
      <c r="M21" s="30" t="s">
        <v>9415</v>
      </c>
      <c r="N21" s="30" t="s">
        <v>9419</v>
      </c>
      <c r="O21" s="27" t="s">
        <v>9420</v>
      </c>
      <c r="P21" s="30"/>
      <c r="Q21" s="92">
        <v>8</v>
      </c>
      <c r="R21" s="92">
        <v>32</v>
      </c>
      <c r="S21" s="92">
        <v>550.74</v>
      </c>
      <c r="T21" s="30" t="s">
        <v>88</v>
      </c>
      <c r="U21" s="30" t="s">
        <v>78</v>
      </c>
      <c r="V21" s="30" t="s">
        <v>89</v>
      </c>
      <c r="W21" s="26" t="s">
        <v>9285</v>
      </c>
      <c r="X21" s="26" t="s">
        <v>4412</v>
      </c>
      <c r="Y21" s="26" t="s">
        <v>91</v>
      </c>
      <c r="Z21" s="26" t="s">
        <v>91</v>
      </c>
      <c r="AA21" s="30"/>
      <c r="AB21" s="93" t="s">
        <v>7</v>
      </c>
      <c r="AC21" s="30" t="s">
        <v>172</v>
      </c>
      <c r="AD21" s="25" t="s">
        <v>172</v>
      </c>
      <c r="AE21" s="25" t="s">
        <v>174</v>
      </c>
      <c r="AF21" s="26" t="s">
        <v>175</v>
      </c>
      <c r="AG21" s="32">
        <f t="shared" si="0"/>
        <v>1</v>
      </c>
      <c r="AH21" s="32">
        <v>1</v>
      </c>
      <c r="AI21" s="32"/>
      <c r="AJ21" s="32">
        <v>1</v>
      </c>
      <c r="AK21" s="30"/>
      <c r="AL21" s="32">
        <f t="shared" si="1"/>
        <v>1</v>
      </c>
      <c r="AM21" s="30"/>
      <c r="AN21" s="32"/>
      <c r="AO21" s="32"/>
      <c r="AP21" s="32">
        <v>1</v>
      </c>
      <c r="AQ21" s="32">
        <v>1</v>
      </c>
      <c r="AR21" s="32">
        <v>1</v>
      </c>
      <c r="AS21" s="32"/>
      <c r="AT21" s="32">
        <v>1</v>
      </c>
      <c r="AU21" s="30"/>
      <c r="AV21" s="30"/>
      <c r="AW21" s="30"/>
      <c r="AX21" s="30" t="s">
        <v>9408</v>
      </c>
      <c r="AY21" s="30"/>
      <c r="AZ21" s="94" t="s">
        <v>9320</v>
      </c>
    </row>
    <row r="22" spans="1:52" ht="16.5">
      <c r="A22" s="30" t="s">
        <v>5223</v>
      </c>
      <c r="B22" s="30" t="s">
        <v>4398</v>
      </c>
      <c r="C22" s="30" t="s">
        <v>68</v>
      </c>
      <c r="D22" s="30" t="s">
        <v>5215</v>
      </c>
      <c r="E22" s="39" t="s">
        <v>9421</v>
      </c>
      <c r="F22" s="30" t="s">
        <v>5225</v>
      </c>
      <c r="G22" s="30" t="s">
        <v>165</v>
      </c>
      <c r="H22" s="30" t="s">
        <v>165</v>
      </c>
      <c r="I22" s="30" t="s">
        <v>4402</v>
      </c>
      <c r="J22" s="30" t="s">
        <v>9281</v>
      </c>
      <c r="K22" s="32">
        <v>7.21</v>
      </c>
      <c r="L22" s="30" t="s">
        <v>73</v>
      </c>
      <c r="M22" s="39" t="s">
        <v>9422</v>
      </c>
      <c r="N22" s="30" t="s">
        <v>9423</v>
      </c>
      <c r="O22" s="27" t="s">
        <v>9424</v>
      </c>
      <c r="P22" s="30"/>
      <c r="Q22" s="92">
        <v>4</v>
      </c>
      <c r="R22" s="92">
        <v>16</v>
      </c>
      <c r="S22" s="92">
        <v>311.94</v>
      </c>
      <c r="T22" s="30" t="s">
        <v>88</v>
      </c>
      <c r="U22" s="30" t="s">
        <v>78</v>
      </c>
      <c r="V22" s="30" t="s">
        <v>89</v>
      </c>
      <c r="W22" s="38" t="s">
        <v>9425</v>
      </c>
      <c r="X22" s="26" t="s">
        <v>4412</v>
      </c>
      <c r="Y22" s="26" t="s">
        <v>91</v>
      </c>
      <c r="Z22" s="26" t="s">
        <v>91</v>
      </c>
      <c r="AA22" s="30"/>
      <c r="AB22" s="93" t="s">
        <v>9</v>
      </c>
      <c r="AC22" s="30" t="s">
        <v>172</v>
      </c>
      <c r="AD22" s="25" t="s">
        <v>172</v>
      </c>
      <c r="AE22" s="25" t="s">
        <v>174</v>
      </c>
      <c r="AF22" s="26" t="s">
        <v>175</v>
      </c>
      <c r="AG22" s="32">
        <f t="shared" si="0"/>
        <v>1</v>
      </c>
      <c r="AH22" s="32">
        <v>1</v>
      </c>
      <c r="AI22" s="25" t="s">
        <v>9426</v>
      </c>
      <c r="AJ22" s="32">
        <v>1</v>
      </c>
      <c r="AK22" s="30"/>
      <c r="AL22" s="32">
        <f t="shared" si="1"/>
        <v>1</v>
      </c>
      <c r="AM22" s="30"/>
      <c r="AN22" s="32"/>
      <c r="AO22" s="32"/>
      <c r="AP22" s="25">
        <v>1</v>
      </c>
      <c r="AQ22" s="32">
        <v>1</v>
      </c>
      <c r="AR22" s="32">
        <v>1</v>
      </c>
      <c r="AS22" s="32"/>
      <c r="AT22" s="32">
        <v>1</v>
      </c>
      <c r="AU22" s="30"/>
      <c r="AV22" s="30"/>
      <c r="AW22" s="30"/>
      <c r="AX22" s="30" t="s">
        <v>9392</v>
      </c>
      <c r="AY22" s="30"/>
      <c r="AZ22" s="94" t="s">
        <v>5200</v>
      </c>
    </row>
    <row r="23" spans="1:52" ht="16.5">
      <c r="A23" s="30" t="s">
        <v>5160</v>
      </c>
      <c r="B23" s="30" t="s">
        <v>4398</v>
      </c>
      <c r="C23" s="30" t="s">
        <v>68</v>
      </c>
      <c r="D23" s="30" t="s">
        <v>5161</v>
      </c>
      <c r="E23" s="260" t="s">
        <v>5162</v>
      </c>
      <c r="F23" s="30" t="s">
        <v>5163</v>
      </c>
      <c r="G23" s="30" t="s">
        <v>165</v>
      </c>
      <c r="H23" s="30" t="s">
        <v>165</v>
      </c>
      <c r="I23" s="30" t="s">
        <v>4402</v>
      </c>
      <c r="J23" s="30" t="s">
        <v>9281</v>
      </c>
      <c r="K23" s="32">
        <v>7.21</v>
      </c>
      <c r="L23" s="30" t="s">
        <v>73</v>
      </c>
      <c r="M23" s="30" t="s">
        <v>4670</v>
      </c>
      <c r="N23" s="30" t="s">
        <v>9427</v>
      </c>
      <c r="O23" s="27" t="s">
        <v>9428</v>
      </c>
      <c r="P23" s="30"/>
      <c r="Q23" s="92">
        <v>4</v>
      </c>
      <c r="R23" s="92">
        <v>16</v>
      </c>
      <c r="S23" s="92">
        <v>485.21</v>
      </c>
      <c r="T23" s="30" t="s">
        <v>88</v>
      </c>
      <c r="U23" s="30" t="s">
        <v>78</v>
      </c>
      <c r="V23" s="30" t="s">
        <v>89</v>
      </c>
      <c r="W23" s="38" t="s">
        <v>9425</v>
      </c>
      <c r="X23" s="26" t="s">
        <v>4412</v>
      </c>
      <c r="Y23" s="26" t="s">
        <v>91</v>
      </c>
      <c r="Z23" s="26" t="s">
        <v>91</v>
      </c>
      <c r="AA23" s="30"/>
      <c r="AB23" s="93" t="s">
        <v>9</v>
      </c>
      <c r="AC23" s="30" t="s">
        <v>172</v>
      </c>
      <c r="AD23" s="25" t="s">
        <v>172</v>
      </c>
      <c r="AE23" s="25" t="s">
        <v>174</v>
      </c>
      <c r="AF23" s="26" t="s">
        <v>175</v>
      </c>
      <c r="AG23" s="32">
        <f t="shared" si="0"/>
        <v>1</v>
      </c>
      <c r="AH23" s="32">
        <v>1</v>
      </c>
      <c r="AI23" s="32"/>
      <c r="AJ23" s="32">
        <v>1</v>
      </c>
      <c r="AK23" s="30"/>
      <c r="AL23" s="32">
        <f t="shared" si="1"/>
        <v>1</v>
      </c>
      <c r="AM23" s="30"/>
      <c r="AN23" s="32"/>
      <c r="AO23" s="32"/>
      <c r="AP23" s="32">
        <v>1</v>
      </c>
      <c r="AQ23" s="32">
        <v>1</v>
      </c>
      <c r="AR23" s="32">
        <v>1</v>
      </c>
      <c r="AS23" s="32"/>
      <c r="AT23" s="32">
        <v>1</v>
      </c>
      <c r="AU23" s="30"/>
      <c r="AV23" s="30"/>
      <c r="AW23" s="30"/>
      <c r="AX23" s="30" t="s">
        <v>9386</v>
      </c>
      <c r="AY23" s="30"/>
      <c r="AZ23" s="94" t="s">
        <v>69</v>
      </c>
    </row>
    <row r="24" spans="1:52" ht="16.5">
      <c r="A24" s="30" t="s">
        <v>9429</v>
      </c>
      <c r="B24" s="30" t="s">
        <v>4398</v>
      </c>
      <c r="C24" s="30" t="s">
        <v>68</v>
      </c>
      <c r="D24" s="30" t="s">
        <v>9430</v>
      </c>
      <c r="E24" s="260" t="s">
        <v>9431</v>
      </c>
      <c r="F24" s="30" t="s">
        <v>9432</v>
      </c>
      <c r="G24" s="30" t="s">
        <v>165</v>
      </c>
      <c r="H24" s="30" t="s">
        <v>165</v>
      </c>
      <c r="I24" s="30" t="s">
        <v>4402</v>
      </c>
      <c r="J24" s="30" t="s">
        <v>9281</v>
      </c>
      <c r="K24" s="32">
        <v>7.21</v>
      </c>
      <c r="L24" s="30" t="s">
        <v>73</v>
      </c>
      <c r="M24" s="30" t="s">
        <v>9433</v>
      </c>
      <c r="N24" s="30" t="s">
        <v>9434</v>
      </c>
      <c r="O24" s="27" t="s">
        <v>9435</v>
      </c>
      <c r="P24" s="30"/>
      <c r="Q24" s="92">
        <v>8</v>
      </c>
      <c r="R24" s="92">
        <v>16</v>
      </c>
      <c r="S24" s="92">
        <v>346.14</v>
      </c>
      <c r="T24" s="30" t="s">
        <v>88</v>
      </c>
      <c r="U24" s="30" t="s">
        <v>78</v>
      </c>
      <c r="V24" s="30" t="s">
        <v>89</v>
      </c>
      <c r="W24" s="38" t="s">
        <v>9425</v>
      </c>
      <c r="X24" s="26" t="s">
        <v>4412</v>
      </c>
      <c r="Y24" s="26" t="s">
        <v>91</v>
      </c>
      <c r="Z24" s="26" t="s">
        <v>91</v>
      </c>
      <c r="AA24" s="30"/>
      <c r="AB24" s="93" t="s">
        <v>9</v>
      </c>
      <c r="AC24" s="30" t="s">
        <v>172</v>
      </c>
      <c r="AD24" s="25" t="s">
        <v>172</v>
      </c>
      <c r="AE24" s="25" t="s">
        <v>174</v>
      </c>
      <c r="AF24" s="26" t="s">
        <v>175</v>
      </c>
      <c r="AG24" s="32">
        <f t="shared" si="0"/>
        <v>1</v>
      </c>
      <c r="AH24" s="32">
        <v>1</v>
      </c>
      <c r="AI24" s="32"/>
      <c r="AJ24" s="32">
        <v>1</v>
      </c>
      <c r="AK24" s="30"/>
      <c r="AL24" s="32">
        <f t="shared" si="1"/>
        <v>1</v>
      </c>
      <c r="AM24" s="30"/>
      <c r="AN24" s="32"/>
      <c r="AO24" s="32"/>
      <c r="AP24" s="32">
        <v>1</v>
      </c>
      <c r="AQ24" s="32">
        <v>1</v>
      </c>
      <c r="AR24" s="32">
        <v>1</v>
      </c>
      <c r="AS24" s="32"/>
      <c r="AT24" s="32">
        <v>1</v>
      </c>
      <c r="AU24" s="30"/>
      <c r="AV24" s="30"/>
      <c r="AW24" s="30"/>
      <c r="AX24" s="30" t="s">
        <v>9377</v>
      </c>
      <c r="AY24" s="30"/>
      <c r="AZ24" s="94" t="s">
        <v>7943</v>
      </c>
    </row>
    <row r="25" spans="1:52" ht="16.5">
      <c r="A25" s="30" t="s">
        <v>9436</v>
      </c>
      <c r="B25" s="30" t="s">
        <v>4398</v>
      </c>
      <c r="C25" s="30" t="s">
        <v>68</v>
      </c>
      <c r="D25" s="30" t="s">
        <v>9437</v>
      </c>
      <c r="E25" s="260" t="s">
        <v>9438</v>
      </c>
      <c r="F25" s="30" t="s">
        <v>9439</v>
      </c>
      <c r="G25" s="30" t="s">
        <v>165</v>
      </c>
      <c r="H25" s="30" t="s">
        <v>165</v>
      </c>
      <c r="I25" s="30" t="s">
        <v>4402</v>
      </c>
      <c r="J25" s="30" t="s">
        <v>9281</v>
      </c>
      <c r="K25" s="32">
        <v>7.21</v>
      </c>
      <c r="L25" s="30" t="s">
        <v>73</v>
      </c>
      <c r="M25" s="30" t="s">
        <v>9440</v>
      </c>
      <c r="N25" s="30" t="s">
        <v>9441</v>
      </c>
      <c r="O25" s="27" t="s">
        <v>9442</v>
      </c>
      <c r="P25" s="30"/>
      <c r="Q25" s="92">
        <v>8</v>
      </c>
      <c r="R25" s="92">
        <v>32</v>
      </c>
      <c r="S25" s="92">
        <v>558.54</v>
      </c>
      <c r="T25" s="30" t="s">
        <v>88</v>
      </c>
      <c r="U25" s="30" t="s">
        <v>78</v>
      </c>
      <c r="V25" s="30" t="s">
        <v>89</v>
      </c>
      <c r="W25" s="38" t="s">
        <v>9425</v>
      </c>
      <c r="X25" s="26" t="s">
        <v>4412</v>
      </c>
      <c r="Y25" s="26" t="s">
        <v>91</v>
      </c>
      <c r="Z25" s="26" t="s">
        <v>91</v>
      </c>
      <c r="AA25" s="30"/>
      <c r="AB25" s="93" t="s">
        <v>9</v>
      </c>
      <c r="AC25" s="30" t="s">
        <v>172</v>
      </c>
      <c r="AD25" s="25" t="s">
        <v>172</v>
      </c>
      <c r="AE25" s="25" t="s">
        <v>174</v>
      </c>
      <c r="AF25" s="26" t="s">
        <v>175</v>
      </c>
      <c r="AG25" s="32">
        <f t="shared" si="0"/>
        <v>1</v>
      </c>
      <c r="AH25" s="32">
        <v>1</v>
      </c>
      <c r="AI25" s="32"/>
      <c r="AJ25" s="32">
        <v>1</v>
      </c>
      <c r="AK25" s="30"/>
      <c r="AL25" s="32">
        <f t="shared" si="1"/>
        <v>1</v>
      </c>
      <c r="AM25" s="30"/>
      <c r="AN25" s="32"/>
      <c r="AO25" s="32"/>
      <c r="AP25" s="32">
        <v>1</v>
      </c>
      <c r="AQ25" s="32">
        <v>1</v>
      </c>
      <c r="AR25" s="32">
        <v>1</v>
      </c>
      <c r="AS25" s="32"/>
      <c r="AT25" s="32">
        <v>1</v>
      </c>
      <c r="AU25" s="30"/>
      <c r="AV25" s="30"/>
      <c r="AW25" s="30"/>
      <c r="AX25" s="30" t="s">
        <v>9369</v>
      </c>
      <c r="AY25" s="30"/>
      <c r="AZ25" s="75" t="s">
        <v>5239</v>
      </c>
    </row>
    <row r="26" spans="1:52" ht="16.5">
      <c r="A26" s="30" t="s">
        <v>9443</v>
      </c>
      <c r="B26" s="30" t="s">
        <v>4398</v>
      </c>
      <c r="C26" s="30" t="s">
        <v>73</v>
      </c>
      <c r="D26" s="30" t="s">
        <v>9444</v>
      </c>
      <c r="E26" s="260" t="s">
        <v>9445</v>
      </c>
      <c r="F26" s="50" t="s">
        <v>9446</v>
      </c>
      <c r="G26" s="30" t="s">
        <v>165</v>
      </c>
      <c r="H26" s="30" t="s">
        <v>165</v>
      </c>
      <c r="I26" s="30" t="s">
        <v>4402</v>
      </c>
      <c r="J26" s="30" t="s">
        <v>9281</v>
      </c>
      <c r="K26" s="32">
        <v>7.21</v>
      </c>
      <c r="L26" s="30" t="s">
        <v>73</v>
      </c>
      <c r="M26" s="30" t="s">
        <v>9363</v>
      </c>
      <c r="N26" s="30" t="s">
        <v>9447</v>
      </c>
      <c r="O26" s="27" t="s">
        <v>9448</v>
      </c>
      <c r="P26" s="30"/>
      <c r="Q26" s="95">
        <v>8</v>
      </c>
      <c r="R26" s="96" t="s">
        <v>9030</v>
      </c>
      <c r="S26" s="96" t="s">
        <v>9449</v>
      </c>
      <c r="T26" s="30" t="s">
        <v>88</v>
      </c>
      <c r="U26" s="30" t="s">
        <v>78</v>
      </c>
      <c r="V26" s="30" t="s">
        <v>89</v>
      </c>
      <c r="W26" s="38" t="s">
        <v>9425</v>
      </c>
      <c r="X26" s="26" t="s">
        <v>4412</v>
      </c>
      <c r="Y26" s="26" t="s">
        <v>91</v>
      </c>
      <c r="Z26" s="26" t="s">
        <v>91</v>
      </c>
      <c r="AA26" s="30"/>
      <c r="AB26" s="93" t="s">
        <v>9</v>
      </c>
      <c r="AC26" s="30" t="s">
        <v>172</v>
      </c>
      <c r="AD26" s="25" t="s">
        <v>7629</v>
      </c>
      <c r="AE26" s="25" t="s">
        <v>172</v>
      </c>
      <c r="AF26" s="26" t="s">
        <v>175</v>
      </c>
      <c r="AG26" s="32">
        <f t="shared" si="0"/>
        <v>1</v>
      </c>
      <c r="AH26" s="32">
        <v>1</v>
      </c>
      <c r="AI26" s="32"/>
      <c r="AJ26" s="32">
        <v>1</v>
      </c>
      <c r="AK26" s="30"/>
      <c r="AL26" s="32">
        <f t="shared" si="1"/>
        <v>1</v>
      </c>
      <c r="AM26" s="30"/>
      <c r="AN26" s="32"/>
      <c r="AO26" s="32">
        <v>1</v>
      </c>
      <c r="AP26" s="32">
        <v>1</v>
      </c>
      <c r="AQ26" s="32">
        <v>1</v>
      </c>
      <c r="AR26" s="32">
        <v>1</v>
      </c>
      <c r="AS26" s="32"/>
      <c r="AT26" s="32">
        <v>1</v>
      </c>
      <c r="AU26" s="30" t="s">
        <v>9450</v>
      </c>
      <c r="AV26" s="30"/>
      <c r="AW26" s="30"/>
      <c r="AX26" s="30" t="s">
        <v>9359</v>
      </c>
      <c r="AY26" s="30"/>
      <c r="AZ26" s="94" t="s">
        <v>9430</v>
      </c>
    </row>
    <row r="27" spans="1:52" ht="16.5">
      <c r="A27" s="30" t="s">
        <v>9451</v>
      </c>
      <c r="B27" s="30" t="s">
        <v>4398</v>
      </c>
      <c r="C27" s="30" t="s">
        <v>68</v>
      </c>
      <c r="D27" s="30" t="s">
        <v>9452</v>
      </c>
      <c r="E27" s="260" t="s">
        <v>9453</v>
      </c>
      <c r="F27" s="30" t="s">
        <v>9454</v>
      </c>
      <c r="G27" s="30" t="s">
        <v>165</v>
      </c>
      <c r="H27" s="30" t="s">
        <v>165</v>
      </c>
      <c r="I27" s="30" t="s">
        <v>4402</v>
      </c>
      <c r="J27" s="30" t="s">
        <v>9281</v>
      </c>
      <c r="K27" s="32">
        <v>7.21</v>
      </c>
      <c r="L27" s="30" t="s">
        <v>73</v>
      </c>
      <c r="M27" s="30" t="s">
        <v>9455</v>
      </c>
      <c r="N27" s="30" t="s">
        <v>9456</v>
      </c>
      <c r="O27" s="27" t="s">
        <v>9457</v>
      </c>
      <c r="P27" s="30"/>
      <c r="Q27" s="92">
        <v>4</v>
      </c>
      <c r="R27" s="92">
        <v>16</v>
      </c>
      <c r="S27" s="92">
        <v>287.64</v>
      </c>
      <c r="T27" s="30" t="s">
        <v>88</v>
      </c>
      <c r="U27" s="30" t="s">
        <v>78</v>
      </c>
      <c r="V27" s="30" t="s">
        <v>89</v>
      </c>
      <c r="W27" s="38" t="s">
        <v>9425</v>
      </c>
      <c r="X27" s="26" t="s">
        <v>4412</v>
      </c>
      <c r="Y27" s="26" t="s">
        <v>91</v>
      </c>
      <c r="Z27" s="26" t="s">
        <v>91</v>
      </c>
      <c r="AA27" s="30"/>
      <c r="AB27" s="93" t="s">
        <v>9</v>
      </c>
      <c r="AC27" s="30" t="s">
        <v>172</v>
      </c>
      <c r="AD27" s="25" t="s">
        <v>172</v>
      </c>
      <c r="AE27" s="25" t="s">
        <v>174</v>
      </c>
      <c r="AF27" s="26" t="s">
        <v>175</v>
      </c>
      <c r="AG27" s="32">
        <f t="shared" si="0"/>
        <v>1</v>
      </c>
      <c r="AH27" s="32">
        <v>1</v>
      </c>
      <c r="AI27" s="32"/>
      <c r="AJ27" s="32">
        <v>1</v>
      </c>
      <c r="AK27" s="30"/>
      <c r="AL27" s="32">
        <f t="shared" si="1"/>
        <v>1</v>
      </c>
      <c r="AM27" s="30"/>
      <c r="AN27" s="32"/>
      <c r="AO27" s="32"/>
      <c r="AP27" s="32">
        <v>1</v>
      </c>
      <c r="AQ27" s="32">
        <v>1</v>
      </c>
      <c r="AR27" s="32">
        <v>1</v>
      </c>
      <c r="AS27" s="32"/>
      <c r="AT27" s="32">
        <v>1</v>
      </c>
      <c r="AU27" s="30"/>
      <c r="AV27" s="30"/>
      <c r="AW27" s="30"/>
      <c r="AX27" s="30" t="s">
        <v>9331</v>
      </c>
      <c r="AY27" s="30"/>
      <c r="AZ27" s="94" t="s">
        <v>9458</v>
      </c>
    </row>
    <row r="28" spans="1:52" ht="16.5">
      <c r="A28" s="30" t="s">
        <v>4782</v>
      </c>
      <c r="B28" s="30" t="s">
        <v>4398</v>
      </c>
      <c r="C28" s="30" t="s">
        <v>73</v>
      </c>
      <c r="D28" s="30" t="s">
        <v>4783</v>
      </c>
      <c r="E28" s="260" t="s">
        <v>4784</v>
      </c>
      <c r="F28" s="30" t="s">
        <v>4785</v>
      </c>
      <c r="G28" s="30" t="s">
        <v>165</v>
      </c>
      <c r="H28" s="30" t="s">
        <v>165</v>
      </c>
      <c r="I28" s="30" t="s">
        <v>4402</v>
      </c>
      <c r="J28" s="30" t="s">
        <v>9281</v>
      </c>
      <c r="K28" s="32">
        <v>7.21</v>
      </c>
      <c r="L28" s="30" t="s">
        <v>73</v>
      </c>
      <c r="M28" s="30" t="s">
        <v>4787</v>
      </c>
      <c r="N28" s="30" t="s">
        <v>9459</v>
      </c>
      <c r="O28" s="27" t="s">
        <v>9460</v>
      </c>
      <c r="P28" s="30"/>
      <c r="Q28" s="95">
        <v>4</v>
      </c>
      <c r="R28" s="96" t="s">
        <v>4409</v>
      </c>
      <c r="S28" s="96" t="s">
        <v>9461</v>
      </c>
      <c r="T28" s="30" t="s">
        <v>88</v>
      </c>
      <c r="U28" s="30" t="s">
        <v>78</v>
      </c>
      <c r="V28" s="30" t="s">
        <v>89</v>
      </c>
      <c r="W28" s="38" t="s">
        <v>9425</v>
      </c>
      <c r="X28" s="26" t="s">
        <v>4412</v>
      </c>
      <c r="Y28" s="26" t="s">
        <v>91</v>
      </c>
      <c r="Z28" s="26" t="s">
        <v>91</v>
      </c>
      <c r="AA28" s="30"/>
      <c r="AB28" s="93" t="s">
        <v>9</v>
      </c>
      <c r="AC28" s="30" t="s">
        <v>172</v>
      </c>
      <c r="AD28" s="25" t="s">
        <v>7629</v>
      </c>
      <c r="AE28" s="25" t="s">
        <v>172</v>
      </c>
      <c r="AF28" s="26" t="s">
        <v>175</v>
      </c>
      <c r="AG28" s="32">
        <f t="shared" si="0"/>
        <v>1</v>
      </c>
      <c r="AH28" s="32">
        <v>1</v>
      </c>
      <c r="AI28" s="32"/>
      <c r="AJ28" s="32">
        <v>1</v>
      </c>
      <c r="AK28" s="30"/>
      <c r="AL28" s="32">
        <f t="shared" si="1"/>
        <v>1</v>
      </c>
      <c r="AM28" s="30"/>
      <c r="AN28" s="32"/>
      <c r="AO28" s="32"/>
      <c r="AP28" s="32">
        <v>1</v>
      </c>
      <c r="AQ28" s="32">
        <v>1</v>
      </c>
      <c r="AR28" s="32">
        <v>1</v>
      </c>
      <c r="AS28" s="32"/>
      <c r="AT28" s="32">
        <v>1</v>
      </c>
      <c r="AU28" s="30"/>
      <c r="AV28" s="30"/>
      <c r="AW28" s="30"/>
      <c r="AX28" s="30" t="s">
        <v>9433</v>
      </c>
      <c r="AY28" s="30"/>
      <c r="AZ28" s="94" t="s">
        <v>9462</v>
      </c>
    </row>
    <row r="29" spans="1:52" ht="16.5">
      <c r="A29" s="30" t="s">
        <v>9463</v>
      </c>
      <c r="B29" s="30" t="s">
        <v>4398</v>
      </c>
      <c r="C29" s="30" t="s">
        <v>68</v>
      </c>
      <c r="D29" s="30" t="s">
        <v>9464</v>
      </c>
      <c r="E29" s="260" t="s">
        <v>9465</v>
      </c>
      <c r="F29" s="30" t="s">
        <v>9466</v>
      </c>
      <c r="G29" s="30" t="s">
        <v>165</v>
      </c>
      <c r="H29" s="30" t="s">
        <v>165</v>
      </c>
      <c r="I29" s="30" t="s">
        <v>4402</v>
      </c>
      <c r="J29" s="30" t="s">
        <v>9281</v>
      </c>
      <c r="K29" s="32">
        <v>7.21</v>
      </c>
      <c r="L29" s="30" t="s">
        <v>73</v>
      </c>
      <c r="M29" s="30" t="s">
        <v>9467</v>
      </c>
      <c r="N29" s="30" t="s">
        <v>9468</v>
      </c>
      <c r="O29" s="27" t="s">
        <v>9469</v>
      </c>
      <c r="P29" s="30"/>
      <c r="Q29" s="92">
        <v>8</v>
      </c>
      <c r="R29" s="92">
        <v>32</v>
      </c>
      <c r="S29" s="92">
        <v>283.62</v>
      </c>
      <c r="T29" s="30" t="s">
        <v>88</v>
      </c>
      <c r="U29" s="30" t="s">
        <v>78</v>
      </c>
      <c r="V29" s="30" t="s">
        <v>89</v>
      </c>
      <c r="W29" s="38" t="s">
        <v>9425</v>
      </c>
      <c r="X29" s="26" t="s">
        <v>4412</v>
      </c>
      <c r="Y29" s="26" t="s">
        <v>91</v>
      </c>
      <c r="Z29" s="26" t="s">
        <v>91</v>
      </c>
      <c r="AA29" s="30"/>
      <c r="AB29" s="93" t="s">
        <v>9</v>
      </c>
      <c r="AC29" s="30" t="s">
        <v>172</v>
      </c>
      <c r="AD29" s="25" t="s">
        <v>172</v>
      </c>
      <c r="AE29" s="25" t="s">
        <v>174</v>
      </c>
      <c r="AF29" s="26" t="s">
        <v>175</v>
      </c>
      <c r="AG29" s="32">
        <f t="shared" si="0"/>
        <v>1</v>
      </c>
      <c r="AH29" s="32">
        <v>1</v>
      </c>
      <c r="AI29" s="32"/>
      <c r="AJ29" s="32">
        <v>1</v>
      </c>
      <c r="AK29" s="30"/>
      <c r="AL29" s="32">
        <f t="shared" si="1"/>
        <v>1</v>
      </c>
      <c r="AM29" s="30"/>
      <c r="AN29" s="32"/>
      <c r="AO29" s="32"/>
      <c r="AP29" s="32">
        <v>1</v>
      </c>
      <c r="AQ29" s="32">
        <v>1</v>
      </c>
      <c r="AR29" s="32">
        <v>1</v>
      </c>
      <c r="AS29" s="32"/>
      <c r="AT29" s="32">
        <v>1</v>
      </c>
      <c r="AU29" s="30"/>
      <c r="AV29" s="30"/>
      <c r="AW29" s="30"/>
      <c r="AX29" s="30" t="s">
        <v>9440</v>
      </c>
      <c r="AY29" s="30"/>
      <c r="AZ29" s="94" t="s">
        <v>9437</v>
      </c>
    </row>
    <row r="30" spans="1:52" ht="16.5">
      <c r="A30" s="30" t="s">
        <v>9470</v>
      </c>
      <c r="B30" s="30" t="s">
        <v>4398</v>
      </c>
      <c r="C30" s="30" t="s">
        <v>68</v>
      </c>
      <c r="D30" s="30" t="s">
        <v>9471</v>
      </c>
      <c r="E30" s="260" t="s">
        <v>9472</v>
      </c>
      <c r="F30" s="30" t="s">
        <v>9473</v>
      </c>
      <c r="G30" s="30" t="s">
        <v>165</v>
      </c>
      <c r="H30" s="30" t="s">
        <v>165</v>
      </c>
      <c r="I30" s="30" t="s">
        <v>4402</v>
      </c>
      <c r="J30" s="30" t="s">
        <v>9281</v>
      </c>
      <c r="K30" s="32">
        <v>7.21</v>
      </c>
      <c r="L30" s="30" t="s">
        <v>73</v>
      </c>
      <c r="M30" s="30" t="s">
        <v>9474</v>
      </c>
      <c r="N30" s="30" t="s">
        <v>9475</v>
      </c>
      <c r="O30" s="27" t="s">
        <v>9476</v>
      </c>
      <c r="P30" s="30"/>
      <c r="Q30" s="92">
        <v>8</v>
      </c>
      <c r="R30" s="92">
        <v>32</v>
      </c>
      <c r="S30" s="92">
        <v>964.9</v>
      </c>
      <c r="T30" s="30" t="s">
        <v>88</v>
      </c>
      <c r="U30" s="30" t="s">
        <v>78</v>
      </c>
      <c r="V30" s="30" t="s">
        <v>89</v>
      </c>
      <c r="W30" s="38" t="s">
        <v>9425</v>
      </c>
      <c r="X30" s="26" t="s">
        <v>4412</v>
      </c>
      <c r="Y30" s="26" t="s">
        <v>91</v>
      </c>
      <c r="Z30" s="26" t="s">
        <v>91</v>
      </c>
      <c r="AA30" s="30"/>
      <c r="AB30" s="93" t="s">
        <v>9</v>
      </c>
      <c r="AC30" s="30" t="s">
        <v>172</v>
      </c>
      <c r="AD30" s="25" t="s">
        <v>172</v>
      </c>
      <c r="AE30" s="25" t="s">
        <v>174</v>
      </c>
      <c r="AF30" s="26" t="s">
        <v>175</v>
      </c>
      <c r="AG30" s="32">
        <f t="shared" si="0"/>
        <v>1</v>
      </c>
      <c r="AH30" s="32">
        <v>1</v>
      </c>
      <c r="AI30" s="32"/>
      <c r="AJ30" s="32">
        <v>1</v>
      </c>
      <c r="AK30" s="30"/>
      <c r="AL30" s="32">
        <f t="shared" si="1"/>
        <v>1</v>
      </c>
      <c r="AM30" s="30"/>
      <c r="AN30" s="32"/>
      <c r="AO30" s="32"/>
      <c r="AP30" s="25" t="s">
        <v>1211</v>
      </c>
      <c r="AQ30" s="32"/>
      <c r="AR30" s="25" t="s">
        <v>1211</v>
      </c>
      <c r="AS30" s="32"/>
      <c r="AT30" s="25" t="s">
        <v>1211</v>
      </c>
      <c r="AU30" s="30"/>
      <c r="AV30" s="30"/>
      <c r="AW30" s="30"/>
      <c r="AX30" s="30" t="s">
        <v>9474</v>
      </c>
      <c r="AY30" s="30"/>
      <c r="AZ30" s="94" t="s">
        <v>9471</v>
      </c>
    </row>
    <row r="31" spans="1:52" ht="16.5">
      <c r="A31" s="30" t="s">
        <v>9477</v>
      </c>
      <c r="B31" s="30" t="s">
        <v>4398</v>
      </c>
      <c r="C31" s="30" t="s">
        <v>68</v>
      </c>
      <c r="D31" s="30" t="s">
        <v>9478</v>
      </c>
      <c r="E31" s="260" t="s">
        <v>9479</v>
      </c>
      <c r="F31" s="30" t="s">
        <v>9480</v>
      </c>
      <c r="G31" s="30" t="s">
        <v>165</v>
      </c>
      <c r="H31" s="30" t="s">
        <v>165</v>
      </c>
      <c r="I31" s="30" t="s">
        <v>4402</v>
      </c>
      <c r="J31" s="30" t="s">
        <v>9281</v>
      </c>
      <c r="K31" s="32">
        <v>7.21</v>
      </c>
      <c r="L31" s="30" t="s">
        <v>73</v>
      </c>
      <c r="M31" s="30" t="s">
        <v>9481</v>
      </c>
      <c r="N31" s="30" t="s">
        <v>9482</v>
      </c>
      <c r="O31" s="27" t="s">
        <v>9483</v>
      </c>
      <c r="P31" s="30"/>
      <c r="Q31" s="92">
        <v>8</v>
      </c>
      <c r="R31" s="92">
        <v>32</v>
      </c>
      <c r="S31" s="92">
        <v>302.76</v>
      </c>
      <c r="T31" s="30" t="s">
        <v>88</v>
      </c>
      <c r="U31" s="30" t="s">
        <v>78</v>
      </c>
      <c r="V31" s="30" t="s">
        <v>89</v>
      </c>
      <c r="W31" s="38" t="s">
        <v>9425</v>
      </c>
      <c r="X31" s="26" t="s">
        <v>4412</v>
      </c>
      <c r="Y31" s="26" t="s">
        <v>91</v>
      </c>
      <c r="Z31" s="26" t="s">
        <v>91</v>
      </c>
      <c r="AA31" s="30"/>
      <c r="AB31" s="93" t="s">
        <v>9</v>
      </c>
      <c r="AC31" s="30" t="s">
        <v>172</v>
      </c>
      <c r="AD31" s="25" t="s">
        <v>172</v>
      </c>
      <c r="AE31" s="25" t="s">
        <v>174</v>
      </c>
      <c r="AF31" s="26" t="s">
        <v>175</v>
      </c>
      <c r="AG31" s="32">
        <f t="shared" si="0"/>
        <v>1</v>
      </c>
      <c r="AH31" s="32">
        <v>1</v>
      </c>
      <c r="AI31" s="32"/>
      <c r="AJ31" s="32">
        <v>1</v>
      </c>
      <c r="AK31" s="30"/>
      <c r="AL31" s="32">
        <f t="shared" si="1"/>
        <v>1</v>
      </c>
      <c r="AM31" s="30"/>
      <c r="AN31" s="32"/>
      <c r="AO31" s="32"/>
      <c r="AP31" s="32">
        <v>1</v>
      </c>
      <c r="AQ31" s="32">
        <v>1</v>
      </c>
      <c r="AR31" s="32">
        <v>1</v>
      </c>
      <c r="AS31" s="32"/>
      <c r="AT31" s="32">
        <v>1</v>
      </c>
      <c r="AU31" s="30"/>
      <c r="AV31" s="30"/>
      <c r="AW31" s="30"/>
      <c r="AX31" s="30" t="s">
        <v>5149</v>
      </c>
      <c r="AY31" s="30"/>
      <c r="AZ31" s="94" t="s">
        <v>5146</v>
      </c>
    </row>
    <row r="32" spans="1:52" ht="16.5">
      <c r="A32" s="30" t="s">
        <v>9484</v>
      </c>
      <c r="B32" s="30" t="s">
        <v>4398</v>
      </c>
      <c r="C32" s="30" t="s">
        <v>68</v>
      </c>
      <c r="D32" s="30" t="s">
        <v>9458</v>
      </c>
      <c r="E32" s="260" t="s">
        <v>9485</v>
      </c>
      <c r="F32" s="30" t="s">
        <v>9486</v>
      </c>
      <c r="G32" s="30" t="s">
        <v>165</v>
      </c>
      <c r="H32" s="30" t="s">
        <v>165</v>
      </c>
      <c r="I32" s="30" t="s">
        <v>4402</v>
      </c>
      <c r="J32" s="30" t="s">
        <v>9281</v>
      </c>
      <c r="K32" s="32">
        <v>7.21</v>
      </c>
      <c r="L32" s="30" t="s">
        <v>73</v>
      </c>
      <c r="M32" s="30" t="s">
        <v>9336</v>
      </c>
      <c r="N32" s="30" t="s">
        <v>9487</v>
      </c>
      <c r="O32" s="27" t="s">
        <v>9488</v>
      </c>
      <c r="P32" s="30"/>
      <c r="Q32" s="92">
        <v>8</v>
      </c>
      <c r="R32" s="92">
        <v>32</v>
      </c>
      <c r="S32" s="92">
        <v>816.57</v>
      </c>
      <c r="T32" s="30" t="s">
        <v>88</v>
      </c>
      <c r="U32" s="30" t="s">
        <v>78</v>
      </c>
      <c r="V32" s="30" t="s">
        <v>89</v>
      </c>
      <c r="W32" s="38" t="s">
        <v>9425</v>
      </c>
      <c r="X32" s="26" t="s">
        <v>4412</v>
      </c>
      <c r="Y32" s="26" t="s">
        <v>91</v>
      </c>
      <c r="Z32" s="26" t="s">
        <v>91</v>
      </c>
      <c r="AA32" s="30"/>
      <c r="AB32" s="93" t="s">
        <v>9</v>
      </c>
      <c r="AC32" s="30" t="s">
        <v>172</v>
      </c>
      <c r="AD32" s="25" t="s">
        <v>172</v>
      </c>
      <c r="AE32" s="25" t="s">
        <v>174</v>
      </c>
      <c r="AF32" s="26" t="s">
        <v>175</v>
      </c>
      <c r="AG32" s="32">
        <f t="shared" si="0"/>
        <v>1</v>
      </c>
      <c r="AH32" s="32">
        <v>1</v>
      </c>
      <c r="AI32" s="32"/>
      <c r="AJ32" s="32">
        <v>1</v>
      </c>
      <c r="AK32" s="30"/>
      <c r="AL32" s="32">
        <f t="shared" si="1"/>
        <v>1</v>
      </c>
      <c r="AM32" s="30"/>
      <c r="AN32" s="32"/>
      <c r="AO32" s="32"/>
      <c r="AP32" s="32">
        <v>1</v>
      </c>
      <c r="AQ32" s="32">
        <v>1</v>
      </c>
      <c r="AR32" s="32">
        <v>1</v>
      </c>
      <c r="AS32" s="32"/>
      <c r="AT32" s="32">
        <v>1</v>
      </c>
      <c r="AU32" s="30"/>
      <c r="AV32" s="30"/>
      <c r="AW32" s="30"/>
      <c r="AX32" s="30" t="s">
        <v>9467</v>
      </c>
      <c r="AY32" s="30"/>
      <c r="AZ32" s="94" t="s">
        <v>9464</v>
      </c>
    </row>
    <row r="33" spans="1:52" ht="101.5">
      <c r="A33" s="30" t="s">
        <v>9489</v>
      </c>
      <c r="B33" s="30" t="s">
        <v>4398</v>
      </c>
      <c r="C33" s="30" t="s">
        <v>68</v>
      </c>
      <c r="D33" s="30" t="s">
        <v>9490</v>
      </c>
      <c r="E33" s="260" t="s">
        <v>9491</v>
      </c>
      <c r="F33" s="30" t="s">
        <v>9492</v>
      </c>
      <c r="G33" s="30" t="s">
        <v>165</v>
      </c>
      <c r="H33" s="30" t="s">
        <v>165</v>
      </c>
      <c r="I33" s="30" t="s">
        <v>4402</v>
      </c>
      <c r="J33" s="30" t="s">
        <v>9281</v>
      </c>
      <c r="K33" s="34" t="s">
        <v>9493</v>
      </c>
      <c r="L33" s="30" t="s">
        <v>73</v>
      </c>
      <c r="M33" s="30" t="s">
        <v>9494</v>
      </c>
      <c r="N33" s="30" t="s">
        <v>9495</v>
      </c>
      <c r="O33" s="27" t="s">
        <v>9496</v>
      </c>
      <c r="P33" s="30"/>
      <c r="Q33" s="92">
        <v>8</v>
      </c>
      <c r="R33" s="92">
        <v>32</v>
      </c>
      <c r="S33" s="92">
        <v>628.87</v>
      </c>
      <c r="T33" s="30" t="s">
        <v>88</v>
      </c>
      <c r="U33" s="30" t="s">
        <v>78</v>
      </c>
      <c r="V33" s="30" t="s">
        <v>89</v>
      </c>
      <c r="W33" s="38" t="s">
        <v>9425</v>
      </c>
      <c r="X33" s="26" t="s">
        <v>4412</v>
      </c>
      <c r="Y33" s="26" t="s">
        <v>91</v>
      </c>
      <c r="Z33" s="26" t="s">
        <v>91</v>
      </c>
      <c r="AA33" s="30"/>
      <c r="AB33" s="93" t="s">
        <v>9</v>
      </c>
      <c r="AC33" s="30" t="s">
        <v>172</v>
      </c>
      <c r="AD33" s="25" t="s">
        <v>172</v>
      </c>
      <c r="AE33" s="25" t="s">
        <v>174</v>
      </c>
      <c r="AF33" s="26" t="s">
        <v>175</v>
      </c>
      <c r="AG33" s="65" t="s">
        <v>9497</v>
      </c>
      <c r="AH33" s="32"/>
      <c r="AI33" s="32"/>
      <c r="AJ33" s="32"/>
      <c r="AK33" s="30"/>
      <c r="AL33" s="32"/>
      <c r="AM33" s="30"/>
      <c r="AN33" s="32"/>
      <c r="AO33" s="32"/>
      <c r="AP33" s="32"/>
      <c r="AQ33" s="32"/>
      <c r="AR33" s="32"/>
      <c r="AS33" s="30"/>
      <c r="AT33" s="32"/>
      <c r="AU33" s="30"/>
      <c r="AV33" s="30"/>
      <c r="AW33" s="30"/>
      <c r="AX33" s="30"/>
      <c r="AY33" s="30"/>
      <c r="AZ33" s="94" t="s">
        <v>9452</v>
      </c>
    </row>
    <row r="34" spans="1:52" ht="16.5">
      <c r="A34" s="30" t="s">
        <v>5145</v>
      </c>
      <c r="B34" s="30" t="s">
        <v>4398</v>
      </c>
      <c r="C34" s="30" t="s">
        <v>68</v>
      </c>
      <c r="D34" s="30" t="s">
        <v>5146</v>
      </c>
      <c r="E34" s="260" t="s">
        <v>5147</v>
      </c>
      <c r="F34" s="30" t="s">
        <v>5148</v>
      </c>
      <c r="G34" s="30" t="s">
        <v>165</v>
      </c>
      <c r="H34" s="30" t="s">
        <v>165</v>
      </c>
      <c r="I34" s="30" t="s">
        <v>4402</v>
      </c>
      <c r="J34" s="30" t="s">
        <v>9281</v>
      </c>
      <c r="K34" s="32">
        <v>7.21</v>
      </c>
      <c r="L34" s="30" t="s">
        <v>73</v>
      </c>
      <c r="M34" s="30" t="s">
        <v>5149</v>
      </c>
      <c r="N34" s="30" t="s">
        <v>9498</v>
      </c>
      <c r="O34" s="27" t="s">
        <v>9499</v>
      </c>
      <c r="P34" s="30"/>
      <c r="Q34" s="92">
        <v>8</v>
      </c>
      <c r="R34" s="92">
        <v>32</v>
      </c>
      <c r="S34" s="92">
        <v>674.82</v>
      </c>
      <c r="T34" s="30" t="s">
        <v>88</v>
      </c>
      <c r="U34" s="30" t="s">
        <v>78</v>
      </c>
      <c r="V34" s="30" t="s">
        <v>89</v>
      </c>
      <c r="W34" s="38" t="s">
        <v>9425</v>
      </c>
      <c r="X34" s="26" t="s">
        <v>4412</v>
      </c>
      <c r="Y34" s="26" t="s">
        <v>91</v>
      </c>
      <c r="Z34" s="26" t="s">
        <v>91</v>
      </c>
      <c r="AA34" s="30"/>
      <c r="AB34" s="93" t="s">
        <v>9</v>
      </c>
      <c r="AC34" s="30" t="s">
        <v>172</v>
      </c>
      <c r="AD34" s="25" t="s">
        <v>172</v>
      </c>
      <c r="AE34" s="25" t="s">
        <v>174</v>
      </c>
      <c r="AF34" s="26" t="s">
        <v>175</v>
      </c>
      <c r="AG34" s="32">
        <f t="shared" si="0"/>
        <v>1</v>
      </c>
      <c r="AH34" s="32">
        <v>1</v>
      </c>
      <c r="AI34" s="32"/>
      <c r="AJ34" s="32">
        <v>1</v>
      </c>
      <c r="AK34" s="30"/>
      <c r="AL34" s="32">
        <f>IF(COUNTIF(AX:AX,"*"&amp;M34&amp;"*")&gt;0,1,0)</f>
        <v>1</v>
      </c>
      <c r="AM34" s="30"/>
      <c r="AN34" s="32"/>
      <c r="AO34" s="32"/>
      <c r="AP34" s="32">
        <v>1</v>
      </c>
      <c r="AQ34" s="32">
        <v>1</v>
      </c>
      <c r="AR34" s="32">
        <v>1</v>
      </c>
      <c r="AS34" s="32"/>
      <c r="AT34" s="32">
        <v>1</v>
      </c>
      <c r="AU34" s="30"/>
      <c r="AV34" s="30"/>
      <c r="AW34" s="30"/>
      <c r="AX34" s="30" t="s">
        <v>9455</v>
      </c>
      <c r="AY34" s="30"/>
      <c r="AZ34" s="94" t="s">
        <v>5161</v>
      </c>
    </row>
    <row r="35" spans="1:52" ht="16.5">
      <c r="A35" s="30" t="s">
        <v>5007</v>
      </c>
      <c r="B35" s="30" t="s">
        <v>4398</v>
      </c>
      <c r="C35" s="30" t="s">
        <v>68</v>
      </c>
      <c r="D35" s="30" t="s">
        <v>5008</v>
      </c>
      <c r="E35" s="260" t="s">
        <v>5009</v>
      </c>
      <c r="F35" s="30" t="s">
        <v>5010</v>
      </c>
      <c r="G35" s="30" t="s">
        <v>165</v>
      </c>
      <c r="H35" s="30" t="s">
        <v>165</v>
      </c>
      <c r="I35" s="30" t="s">
        <v>4402</v>
      </c>
      <c r="J35" s="30" t="s">
        <v>9281</v>
      </c>
      <c r="K35" s="32">
        <v>7.21</v>
      </c>
      <c r="L35" s="30" t="s">
        <v>73</v>
      </c>
      <c r="M35" s="30" t="s">
        <v>4596</v>
      </c>
      <c r="N35" s="30" t="s">
        <v>9500</v>
      </c>
      <c r="O35" s="27" t="s">
        <v>9501</v>
      </c>
      <c r="P35" s="30"/>
      <c r="Q35" s="92">
        <v>4</v>
      </c>
      <c r="R35" s="92">
        <v>16</v>
      </c>
      <c r="S35" s="92">
        <v>490.48</v>
      </c>
      <c r="T35" s="30" t="s">
        <v>88</v>
      </c>
      <c r="U35" s="30" t="s">
        <v>78</v>
      </c>
      <c r="V35" s="30" t="s">
        <v>89</v>
      </c>
      <c r="W35" s="38" t="s">
        <v>9425</v>
      </c>
      <c r="X35" s="26" t="s">
        <v>4412</v>
      </c>
      <c r="Y35" s="26" t="s">
        <v>91</v>
      </c>
      <c r="Z35" s="26" t="s">
        <v>91</v>
      </c>
      <c r="AA35" s="30"/>
      <c r="AB35" s="93" t="s">
        <v>9</v>
      </c>
      <c r="AC35" s="30" t="s">
        <v>172</v>
      </c>
      <c r="AD35" s="25" t="s">
        <v>172</v>
      </c>
      <c r="AE35" s="25" t="s">
        <v>174</v>
      </c>
      <c r="AF35" s="26" t="s">
        <v>175</v>
      </c>
      <c r="AG35" s="32">
        <f t="shared" ref="AG35:AG66" si="2">IF(COUNTIF(AZ:AZ,D35)&gt;0,1,0)</f>
        <v>1</v>
      </c>
      <c r="AH35" s="32">
        <v>1</v>
      </c>
      <c r="AI35" s="32"/>
      <c r="AJ35" s="32">
        <v>1</v>
      </c>
      <c r="AK35" s="30"/>
      <c r="AL35" s="32">
        <f>IF(COUNTIF(AX:AX,"*"&amp;M35&amp;"*")&gt;0,1,0)</f>
        <v>1</v>
      </c>
      <c r="AM35" s="30"/>
      <c r="AN35" s="32"/>
      <c r="AO35" s="32"/>
      <c r="AP35" s="32">
        <v>1</v>
      </c>
      <c r="AQ35" s="32">
        <v>1</v>
      </c>
      <c r="AR35" s="32">
        <v>1</v>
      </c>
      <c r="AS35" s="32"/>
      <c r="AT35" s="32">
        <v>1</v>
      </c>
      <c r="AU35" s="30"/>
      <c r="AV35" s="30"/>
      <c r="AW35" s="30"/>
      <c r="AX35" s="30" t="s">
        <v>9481</v>
      </c>
      <c r="AY35" s="30"/>
      <c r="AZ35" s="94" t="s">
        <v>9478</v>
      </c>
    </row>
    <row r="36" spans="1:52" ht="16.5">
      <c r="A36" s="30" t="s">
        <v>9502</v>
      </c>
      <c r="B36" s="30" t="s">
        <v>4398</v>
      </c>
      <c r="C36" s="30" t="s">
        <v>68</v>
      </c>
      <c r="D36" s="30" t="s">
        <v>9503</v>
      </c>
      <c r="E36" s="260" t="s">
        <v>9504</v>
      </c>
      <c r="F36" s="30" t="s">
        <v>9505</v>
      </c>
      <c r="G36" s="30" t="s">
        <v>165</v>
      </c>
      <c r="H36" s="30" t="s">
        <v>165</v>
      </c>
      <c r="I36" s="30" t="s">
        <v>4402</v>
      </c>
      <c r="J36" s="30" t="s">
        <v>9281</v>
      </c>
      <c r="K36" s="34" t="s">
        <v>3213</v>
      </c>
      <c r="L36" s="30" t="s">
        <v>73</v>
      </c>
      <c r="M36" s="30" t="s">
        <v>9506</v>
      </c>
      <c r="N36" s="30" t="s">
        <v>9507</v>
      </c>
      <c r="O36" s="27" t="s">
        <v>9508</v>
      </c>
      <c r="P36" s="30"/>
      <c r="Q36" s="92">
        <v>12</v>
      </c>
      <c r="R36" s="92">
        <v>48</v>
      </c>
      <c r="S36" s="92">
        <v>298.24</v>
      </c>
      <c r="T36" s="30" t="s">
        <v>88</v>
      </c>
      <c r="U36" s="30" t="s">
        <v>78</v>
      </c>
      <c r="V36" s="30" t="s">
        <v>89</v>
      </c>
      <c r="W36" s="38" t="s">
        <v>9425</v>
      </c>
      <c r="X36" s="26" t="s">
        <v>4412</v>
      </c>
      <c r="Y36" s="26" t="s">
        <v>91</v>
      </c>
      <c r="Z36" s="26" t="s">
        <v>91</v>
      </c>
      <c r="AA36" s="30"/>
      <c r="AB36" s="93" t="s">
        <v>9</v>
      </c>
      <c r="AC36" s="30" t="s">
        <v>172</v>
      </c>
      <c r="AD36" s="25" t="s">
        <v>172</v>
      </c>
      <c r="AE36" s="25" t="s">
        <v>174</v>
      </c>
      <c r="AF36" s="26" t="s">
        <v>175</v>
      </c>
      <c r="AG36" s="32">
        <f t="shared" si="2"/>
        <v>1</v>
      </c>
      <c r="AH36" s="32">
        <v>1</v>
      </c>
      <c r="AI36" s="32"/>
      <c r="AJ36" s="32"/>
      <c r="AK36" s="30"/>
      <c r="AL36" s="32"/>
      <c r="AM36" s="30"/>
      <c r="AN36" s="32"/>
      <c r="AO36" s="32"/>
      <c r="AP36" s="32"/>
      <c r="AQ36" s="32"/>
      <c r="AR36" s="32"/>
      <c r="AS36" s="30"/>
      <c r="AT36" s="32"/>
      <c r="AU36" s="30"/>
      <c r="AV36" s="30"/>
      <c r="AW36" s="30"/>
      <c r="AX36" s="30"/>
      <c r="AY36" s="30"/>
      <c r="AZ36" s="94" t="s">
        <v>9509</v>
      </c>
    </row>
    <row r="37" spans="1:52" ht="16.5">
      <c r="A37" s="30" t="s">
        <v>9510</v>
      </c>
      <c r="B37" s="30" t="s">
        <v>4398</v>
      </c>
      <c r="C37" s="30" t="s">
        <v>68</v>
      </c>
      <c r="D37" s="30" t="s">
        <v>9509</v>
      </c>
      <c r="E37" s="260" t="s">
        <v>9511</v>
      </c>
      <c r="F37" s="30" t="s">
        <v>9512</v>
      </c>
      <c r="G37" s="30" t="s">
        <v>165</v>
      </c>
      <c r="H37" s="30" t="s">
        <v>165</v>
      </c>
      <c r="I37" s="30" t="s">
        <v>4402</v>
      </c>
      <c r="J37" s="30" t="s">
        <v>9281</v>
      </c>
      <c r="K37" s="32">
        <v>7.21</v>
      </c>
      <c r="L37" s="30" t="s">
        <v>73</v>
      </c>
      <c r="M37" s="30" t="s">
        <v>9513</v>
      </c>
      <c r="N37" s="30" t="s">
        <v>9514</v>
      </c>
      <c r="O37" s="27" t="s">
        <v>9515</v>
      </c>
      <c r="P37" s="30"/>
      <c r="Q37" s="92">
        <v>8</v>
      </c>
      <c r="R37" s="92">
        <v>32</v>
      </c>
      <c r="S37" s="92">
        <v>500.39</v>
      </c>
      <c r="T37" s="30" t="s">
        <v>88</v>
      </c>
      <c r="U37" s="30" t="s">
        <v>78</v>
      </c>
      <c r="V37" s="30" t="s">
        <v>89</v>
      </c>
      <c r="W37" s="38" t="s">
        <v>9425</v>
      </c>
      <c r="X37" s="26" t="s">
        <v>4412</v>
      </c>
      <c r="Y37" s="26" t="s">
        <v>91</v>
      </c>
      <c r="Z37" s="26" t="s">
        <v>91</v>
      </c>
      <c r="AA37" s="30"/>
      <c r="AB37" s="93" t="s">
        <v>9</v>
      </c>
      <c r="AC37" s="30" t="s">
        <v>172</v>
      </c>
      <c r="AD37" s="25" t="s">
        <v>172</v>
      </c>
      <c r="AE37" s="25" t="s">
        <v>174</v>
      </c>
      <c r="AF37" s="26" t="s">
        <v>175</v>
      </c>
      <c r="AG37" s="32">
        <f t="shared" si="2"/>
        <v>1</v>
      </c>
      <c r="AH37" s="32">
        <v>1</v>
      </c>
      <c r="AI37" s="32"/>
      <c r="AJ37" s="32">
        <v>1</v>
      </c>
      <c r="AK37" s="30"/>
      <c r="AL37" s="32">
        <f t="shared" ref="AL37:AL61" si="3">IF(COUNTIF(AX:AX,"*"&amp;M37&amp;"*")&gt;0,1,0)</f>
        <v>1</v>
      </c>
      <c r="AM37" s="30"/>
      <c r="AN37" s="32"/>
      <c r="AO37" s="32"/>
      <c r="AP37" s="32">
        <v>1</v>
      </c>
      <c r="AQ37" s="32">
        <v>1</v>
      </c>
      <c r="AR37" s="32">
        <v>1</v>
      </c>
      <c r="AS37" s="32"/>
      <c r="AT37" s="32">
        <v>1</v>
      </c>
      <c r="AU37" s="30"/>
      <c r="AV37" s="30"/>
      <c r="AW37" s="30"/>
      <c r="AX37" s="30" t="s">
        <v>9513</v>
      </c>
      <c r="AY37" s="30"/>
      <c r="AZ37" s="94" t="s">
        <v>9516</v>
      </c>
    </row>
    <row r="38" spans="1:52" ht="16.5">
      <c r="A38" s="30" t="s">
        <v>9517</v>
      </c>
      <c r="B38" s="30" t="s">
        <v>4398</v>
      </c>
      <c r="C38" s="30" t="s">
        <v>68</v>
      </c>
      <c r="D38" s="30" t="s">
        <v>9462</v>
      </c>
      <c r="E38" s="260" t="s">
        <v>9518</v>
      </c>
      <c r="F38" s="30" t="s">
        <v>9519</v>
      </c>
      <c r="G38" s="30" t="s">
        <v>165</v>
      </c>
      <c r="H38" s="30" t="s">
        <v>165</v>
      </c>
      <c r="I38" s="30" t="s">
        <v>4402</v>
      </c>
      <c r="J38" s="30" t="s">
        <v>9281</v>
      </c>
      <c r="K38" s="32">
        <v>7.21</v>
      </c>
      <c r="L38" s="30" t="s">
        <v>73</v>
      </c>
      <c r="M38" s="30" t="s">
        <v>9345</v>
      </c>
      <c r="N38" s="30" t="s">
        <v>9520</v>
      </c>
      <c r="O38" s="27" t="s">
        <v>9521</v>
      </c>
      <c r="P38" s="30"/>
      <c r="Q38" s="92">
        <v>8</v>
      </c>
      <c r="R38" s="92">
        <v>32</v>
      </c>
      <c r="S38" s="92">
        <v>283.14</v>
      </c>
      <c r="T38" s="30" t="s">
        <v>88</v>
      </c>
      <c r="U38" s="30" t="s">
        <v>78</v>
      </c>
      <c r="V38" s="30" t="s">
        <v>89</v>
      </c>
      <c r="W38" s="38" t="s">
        <v>9425</v>
      </c>
      <c r="X38" s="26" t="s">
        <v>4412</v>
      </c>
      <c r="Y38" s="26" t="s">
        <v>91</v>
      </c>
      <c r="Z38" s="26" t="s">
        <v>91</v>
      </c>
      <c r="AA38" s="30"/>
      <c r="AB38" s="93" t="s">
        <v>9</v>
      </c>
      <c r="AC38" s="30" t="s">
        <v>172</v>
      </c>
      <c r="AD38" s="25" t="s">
        <v>172</v>
      </c>
      <c r="AE38" s="25" t="s">
        <v>174</v>
      </c>
      <c r="AF38" s="26" t="s">
        <v>175</v>
      </c>
      <c r="AG38" s="32">
        <f t="shared" si="2"/>
        <v>1</v>
      </c>
      <c r="AH38" s="32">
        <v>1</v>
      </c>
      <c r="AI38" s="32"/>
      <c r="AJ38" s="32">
        <v>1</v>
      </c>
      <c r="AK38" s="30"/>
      <c r="AL38" s="32">
        <f t="shared" si="3"/>
        <v>1</v>
      </c>
      <c r="AM38" s="30"/>
      <c r="AN38" s="32"/>
      <c r="AO38" s="32"/>
      <c r="AP38" s="32">
        <v>1</v>
      </c>
      <c r="AQ38" s="32">
        <v>1</v>
      </c>
      <c r="AR38" s="32">
        <v>1</v>
      </c>
      <c r="AS38" s="32"/>
      <c r="AT38" s="32">
        <v>1</v>
      </c>
      <c r="AU38" s="30"/>
      <c r="AV38" s="30"/>
      <c r="AW38" s="30"/>
      <c r="AX38" s="30" t="s">
        <v>9522</v>
      </c>
      <c r="AY38" s="30"/>
      <c r="AZ38" s="94" t="s">
        <v>9503</v>
      </c>
    </row>
    <row r="39" spans="1:52" ht="16.5">
      <c r="A39" s="30" t="s">
        <v>5279</v>
      </c>
      <c r="B39" s="30" t="s">
        <v>4398</v>
      </c>
      <c r="C39" s="30" t="s">
        <v>68</v>
      </c>
      <c r="D39" s="30" t="s">
        <v>5239</v>
      </c>
      <c r="E39" s="260" t="s">
        <v>5280</v>
      </c>
      <c r="F39" s="30" t="s">
        <v>5281</v>
      </c>
      <c r="G39" s="30" t="s">
        <v>165</v>
      </c>
      <c r="H39" s="30" t="s">
        <v>165</v>
      </c>
      <c r="I39" s="30" t="s">
        <v>4402</v>
      </c>
      <c r="J39" s="30" t="s">
        <v>9281</v>
      </c>
      <c r="K39" s="32">
        <v>7.21</v>
      </c>
      <c r="L39" s="30" t="s">
        <v>73</v>
      </c>
      <c r="M39" s="30" t="s">
        <v>4736</v>
      </c>
      <c r="N39" s="30" t="s">
        <v>9523</v>
      </c>
      <c r="O39" s="27" t="s">
        <v>9524</v>
      </c>
      <c r="P39" s="30"/>
      <c r="Q39" s="92">
        <v>4</v>
      </c>
      <c r="R39" s="92">
        <v>16</v>
      </c>
      <c r="S39" s="92">
        <v>703.74</v>
      </c>
      <c r="T39" s="30" t="s">
        <v>88</v>
      </c>
      <c r="U39" s="30" t="s">
        <v>78</v>
      </c>
      <c r="V39" s="30" t="s">
        <v>89</v>
      </c>
      <c r="W39" s="38" t="s">
        <v>9425</v>
      </c>
      <c r="X39" s="26" t="s">
        <v>4412</v>
      </c>
      <c r="Y39" s="26" t="s">
        <v>91</v>
      </c>
      <c r="Z39" s="26" t="s">
        <v>91</v>
      </c>
      <c r="AA39" s="30"/>
      <c r="AB39" s="93" t="s">
        <v>9</v>
      </c>
      <c r="AC39" s="30" t="s">
        <v>172</v>
      </c>
      <c r="AD39" s="25" t="s">
        <v>172</v>
      </c>
      <c r="AE39" s="25" t="s">
        <v>174</v>
      </c>
      <c r="AF39" s="26" t="s">
        <v>175</v>
      </c>
      <c r="AG39" s="32">
        <f t="shared" si="2"/>
        <v>1</v>
      </c>
      <c r="AH39" s="32">
        <v>1</v>
      </c>
      <c r="AI39" s="32"/>
      <c r="AJ39" s="32">
        <v>1</v>
      </c>
      <c r="AK39" s="30"/>
      <c r="AL39" s="32">
        <f t="shared" si="3"/>
        <v>1</v>
      </c>
      <c r="AM39" s="30"/>
      <c r="AN39" s="32"/>
      <c r="AO39" s="32"/>
      <c r="AP39" s="32">
        <v>1</v>
      </c>
      <c r="AQ39" s="32">
        <v>1</v>
      </c>
      <c r="AR39" s="32">
        <v>1</v>
      </c>
      <c r="AS39" s="32"/>
      <c r="AT39" s="32">
        <v>1</v>
      </c>
      <c r="AU39" s="30"/>
      <c r="AV39" s="30"/>
      <c r="AW39" s="30"/>
      <c r="AX39" s="30" t="s">
        <v>4596</v>
      </c>
      <c r="AY39" s="30"/>
      <c r="AZ39" s="94" t="s">
        <v>5008</v>
      </c>
    </row>
    <row r="40" spans="1:52" ht="16.5">
      <c r="A40" s="30" t="s">
        <v>9525</v>
      </c>
      <c r="B40" s="30" t="s">
        <v>4398</v>
      </c>
      <c r="C40" s="30" t="s">
        <v>68</v>
      </c>
      <c r="D40" s="30" t="s">
        <v>9516</v>
      </c>
      <c r="E40" s="260" t="s">
        <v>9526</v>
      </c>
      <c r="F40" s="30" t="s">
        <v>9527</v>
      </c>
      <c r="G40" s="30" t="s">
        <v>165</v>
      </c>
      <c r="H40" s="30" t="s">
        <v>165</v>
      </c>
      <c r="I40" s="30" t="s">
        <v>9528</v>
      </c>
      <c r="J40" s="30" t="s">
        <v>9281</v>
      </c>
      <c r="K40" s="32">
        <v>7.21</v>
      </c>
      <c r="L40" s="30" t="s">
        <v>73</v>
      </c>
      <c r="M40" s="30" t="s">
        <v>9522</v>
      </c>
      <c r="N40" s="30" t="s">
        <v>9529</v>
      </c>
      <c r="O40" s="27" t="s">
        <v>9530</v>
      </c>
      <c r="P40" s="30"/>
      <c r="Q40" s="92">
        <v>4</v>
      </c>
      <c r="R40" s="92">
        <v>16</v>
      </c>
      <c r="S40" s="92">
        <v>356.11</v>
      </c>
      <c r="T40" s="30" t="s">
        <v>88</v>
      </c>
      <c r="U40" s="30" t="s">
        <v>78</v>
      </c>
      <c r="V40" s="30" t="s">
        <v>89</v>
      </c>
      <c r="W40" s="38" t="s">
        <v>9425</v>
      </c>
      <c r="X40" s="26" t="s">
        <v>4412</v>
      </c>
      <c r="Y40" s="26" t="s">
        <v>91</v>
      </c>
      <c r="Z40" s="26" t="s">
        <v>91</v>
      </c>
      <c r="AA40" s="30"/>
      <c r="AB40" s="93" t="s">
        <v>9</v>
      </c>
      <c r="AC40" s="30" t="s">
        <v>172</v>
      </c>
      <c r="AD40" s="25" t="s">
        <v>172</v>
      </c>
      <c r="AE40" s="25" t="s">
        <v>174</v>
      </c>
      <c r="AF40" s="26" t="s">
        <v>175</v>
      </c>
      <c r="AG40" s="32">
        <f t="shared" si="2"/>
        <v>1</v>
      </c>
      <c r="AH40" s="32">
        <v>1</v>
      </c>
      <c r="AI40" s="32"/>
      <c r="AJ40" s="32">
        <v>1</v>
      </c>
      <c r="AK40" s="30"/>
      <c r="AL40" s="32">
        <f t="shared" si="3"/>
        <v>1</v>
      </c>
      <c r="AM40" s="30"/>
      <c r="AN40" s="32"/>
      <c r="AO40" s="32"/>
      <c r="AP40" s="32">
        <v>1</v>
      </c>
      <c r="AQ40" s="32">
        <v>1</v>
      </c>
      <c r="AR40" s="32">
        <v>1</v>
      </c>
      <c r="AS40" s="32"/>
      <c r="AT40" s="32">
        <v>1</v>
      </c>
      <c r="AU40" s="30"/>
      <c r="AV40" s="30"/>
      <c r="AW40" s="30"/>
      <c r="AX40" s="30" t="s">
        <v>4787</v>
      </c>
      <c r="AY40" s="30"/>
      <c r="AZ40" s="94" t="s">
        <v>5215</v>
      </c>
    </row>
    <row r="41" spans="1:52" ht="16.5">
      <c r="A41" s="30" t="s">
        <v>9531</v>
      </c>
      <c r="B41" s="30" t="s">
        <v>4398</v>
      </c>
      <c r="C41" s="30" t="s">
        <v>68</v>
      </c>
      <c r="D41" s="30" t="s">
        <v>9532</v>
      </c>
      <c r="E41" s="260" t="s">
        <v>9533</v>
      </c>
      <c r="F41" s="30" t="s">
        <v>9534</v>
      </c>
      <c r="G41" s="30" t="s">
        <v>165</v>
      </c>
      <c r="H41" s="30" t="s">
        <v>165</v>
      </c>
      <c r="I41" s="30" t="s">
        <v>9528</v>
      </c>
      <c r="J41" s="30" t="s">
        <v>9281</v>
      </c>
      <c r="K41" s="32">
        <v>7.21</v>
      </c>
      <c r="L41" s="30" t="s">
        <v>73</v>
      </c>
      <c r="M41" s="30" t="s">
        <v>9353</v>
      </c>
      <c r="N41" s="30" t="s">
        <v>9535</v>
      </c>
      <c r="O41" s="27" t="s">
        <v>9536</v>
      </c>
      <c r="P41" s="30"/>
      <c r="Q41" s="92">
        <v>4</v>
      </c>
      <c r="R41" s="92">
        <v>16</v>
      </c>
      <c r="S41" s="92">
        <v>326.37</v>
      </c>
      <c r="T41" s="30" t="s">
        <v>88</v>
      </c>
      <c r="U41" s="30" t="s">
        <v>78</v>
      </c>
      <c r="V41" s="30" t="s">
        <v>89</v>
      </c>
      <c r="W41" s="38" t="s">
        <v>9425</v>
      </c>
      <c r="X41" s="26" t="s">
        <v>4412</v>
      </c>
      <c r="Y41" s="26" t="s">
        <v>91</v>
      </c>
      <c r="Z41" s="26" t="s">
        <v>91</v>
      </c>
      <c r="AA41" s="30"/>
      <c r="AB41" s="93" t="s">
        <v>9</v>
      </c>
      <c r="AC41" s="30" t="s">
        <v>172</v>
      </c>
      <c r="AD41" s="25" t="s">
        <v>172</v>
      </c>
      <c r="AE41" s="25" t="s">
        <v>174</v>
      </c>
      <c r="AF41" s="26" t="s">
        <v>175</v>
      </c>
      <c r="AG41" s="32">
        <f t="shared" si="2"/>
        <v>1</v>
      </c>
      <c r="AH41" s="32">
        <v>1</v>
      </c>
      <c r="AI41" s="32"/>
      <c r="AJ41" s="32">
        <v>1</v>
      </c>
      <c r="AK41" s="30"/>
      <c r="AL41" s="32">
        <f t="shared" si="3"/>
        <v>1</v>
      </c>
      <c r="AM41" s="30"/>
      <c r="AN41" s="32"/>
      <c r="AO41" s="32"/>
      <c r="AP41" s="32">
        <v>1</v>
      </c>
      <c r="AQ41" s="32">
        <v>1</v>
      </c>
      <c r="AR41" s="25" t="s">
        <v>1211</v>
      </c>
      <c r="AS41" s="32"/>
      <c r="AT41" s="25" t="s">
        <v>1211</v>
      </c>
      <c r="AU41" s="30"/>
      <c r="AV41" s="30"/>
      <c r="AW41" s="30"/>
      <c r="AX41" s="30" t="s">
        <v>4635</v>
      </c>
      <c r="AY41" s="30"/>
      <c r="AZ41" s="94" t="s">
        <v>4783</v>
      </c>
    </row>
    <row r="42" spans="1:52" ht="16.5">
      <c r="A42" s="30" t="s">
        <v>9537</v>
      </c>
      <c r="B42" s="30" t="s">
        <v>4398</v>
      </c>
      <c r="C42" s="30" t="s">
        <v>68</v>
      </c>
      <c r="D42" s="30" t="s">
        <v>9538</v>
      </c>
      <c r="E42" s="260" t="s">
        <v>9539</v>
      </c>
      <c r="F42" s="30" t="s">
        <v>9540</v>
      </c>
      <c r="G42" s="30" t="s">
        <v>165</v>
      </c>
      <c r="H42" s="30" t="s">
        <v>165</v>
      </c>
      <c r="I42" s="30" t="s">
        <v>9528</v>
      </c>
      <c r="J42" s="30" t="s">
        <v>9281</v>
      </c>
      <c r="K42" s="32">
        <v>7.21</v>
      </c>
      <c r="L42" s="30" t="s">
        <v>73</v>
      </c>
      <c r="M42" s="30" t="s">
        <v>9541</v>
      </c>
      <c r="N42" s="30" t="s">
        <v>9542</v>
      </c>
      <c r="O42" s="27" t="s">
        <v>9543</v>
      </c>
      <c r="P42" s="30"/>
      <c r="Q42" s="92">
        <v>4</v>
      </c>
      <c r="R42" s="92">
        <v>16</v>
      </c>
      <c r="S42" s="92">
        <v>266.26</v>
      </c>
      <c r="T42" s="30" t="s">
        <v>88</v>
      </c>
      <c r="U42" s="30" t="s">
        <v>78</v>
      </c>
      <c r="V42" s="30" t="s">
        <v>89</v>
      </c>
      <c r="W42" s="38" t="s">
        <v>9544</v>
      </c>
      <c r="X42" s="26" t="s">
        <v>4412</v>
      </c>
      <c r="Y42" s="26" t="s">
        <v>91</v>
      </c>
      <c r="Z42" s="26" t="s">
        <v>91</v>
      </c>
      <c r="AA42" s="30"/>
      <c r="AB42" s="93" t="s">
        <v>11</v>
      </c>
      <c r="AC42" s="30" t="s">
        <v>172</v>
      </c>
      <c r="AD42" s="25" t="s">
        <v>172</v>
      </c>
      <c r="AE42" s="25" t="s">
        <v>174</v>
      </c>
      <c r="AF42" s="26" t="s">
        <v>175</v>
      </c>
      <c r="AG42" s="32">
        <f t="shared" si="2"/>
        <v>1</v>
      </c>
      <c r="AH42" s="32">
        <v>1</v>
      </c>
      <c r="AI42" s="32"/>
      <c r="AJ42" s="32">
        <v>1</v>
      </c>
      <c r="AK42" s="30"/>
      <c r="AL42" s="32">
        <f t="shared" si="3"/>
        <v>1</v>
      </c>
      <c r="AM42" s="30"/>
      <c r="AN42" s="32">
        <v>1</v>
      </c>
      <c r="AO42" s="32"/>
      <c r="AP42" s="32">
        <v>1</v>
      </c>
      <c r="AQ42" s="32">
        <v>1</v>
      </c>
      <c r="AR42" s="32">
        <v>1</v>
      </c>
      <c r="AS42" s="32"/>
      <c r="AT42" s="32">
        <v>1</v>
      </c>
      <c r="AU42" s="30"/>
      <c r="AV42" s="30"/>
      <c r="AW42" s="30"/>
      <c r="AX42" s="30" t="s">
        <v>9541</v>
      </c>
      <c r="AY42" s="30"/>
      <c r="AZ42" s="94" t="s">
        <v>9444</v>
      </c>
    </row>
    <row r="43" spans="1:52" ht="16.5">
      <c r="A43" s="30" t="s">
        <v>9545</v>
      </c>
      <c r="B43" s="30" t="s">
        <v>4398</v>
      </c>
      <c r="C43" s="30" t="s">
        <v>73</v>
      </c>
      <c r="D43" s="30" t="s">
        <v>9546</v>
      </c>
      <c r="E43" s="260" t="s">
        <v>9547</v>
      </c>
      <c r="F43" s="30" t="s">
        <v>9548</v>
      </c>
      <c r="G43" s="30" t="s">
        <v>165</v>
      </c>
      <c r="H43" s="30" t="s">
        <v>165</v>
      </c>
      <c r="I43" s="30" t="s">
        <v>9528</v>
      </c>
      <c r="J43" s="30" t="s">
        <v>9281</v>
      </c>
      <c r="K43" s="32">
        <v>7.21</v>
      </c>
      <c r="L43" s="30" t="s">
        <v>73</v>
      </c>
      <c r="M43" s="30" t="s">
        <v>9549</v>
      </c>
      <c r="N43" s="30" t="s">
        <v>9550</v>
      </c>
      <c r="O43" s="27" t="s">
        <v>9551</v>
      </c>
      <c r="P43" s="30"/>
      <c r="Q43" s="95">
        <v>4</v>
      </c>
      <c r="R43" s="96" t="s">
        <v>4409</v>
      </c>
      <c r="S43" s="96" t="s">
        <v>9552</v>
      </c>
      <c r="T43" s="30" t="s">
        <v>88</v>
      </c>
      <c r="U43" s="30" t="s">
        <v>78</v>
      </c>
      <c r="V43" s="30" t="s">
        <v>89</v>
      </c>
      <c r="W43" s="38" t="s">
        <v>9544</v>
      </c>
      <c r="X43" s="26" t="s">
        <v>4412</v>
      </c>
      <c r="Y43" s="26" t="s">
        <v>91</v>
      </c>
      <c r="Z43" s="26" t="s">
        <v>91</v>
      </c>
      <c r="AA43" s="30"/>
      <c r="AB43" s="93" t="s">
        <v>11</v>
      </c>
      <c r="AC43" s="30" t="s">
        <v>172</v>
      </c>
      <c r="AD43" s="25" t="s">
        <v>7629</v>
      </c>
      <c r="AE43" s="25" t="s">
        <v>172</v>
      </c>
      <c r="AF43" s="26" t="s">
        <v>175</v>
      </c>
      <c r="AG43" s="32">
        <f t="shared" si="2"/>
        <v>1</v>
      </c>
      <c r="AH43" s="32">
        <v>1</v>
      </c>
      <c r="AI43" s="32"/>
      <c r="AJ43" s="32">
        <v>1</v>
      </c>
      <c r="AK43" s="30"/>
      <c r="AL43" s="32">
        <f t="shared" si="3"/>
        <v>1</v>
      </c>
      <c r="AM43" s="30"/>
      <c r="AN43" s="32">
        <v>1</v>
      </c>
      <c r="AO43" s="32"/>
      <c r="AP43" s="32">
        <v>1</v>
      </c>
      <c r="AQ43" s="32">
        <v>1</v>
      </c>
      <c r="AR43" s="32">
        <v>1</v>
      </c>
      <c r="AS43" s="32"/>
      <c r="AT43" s="32">
        <v>1</v>
      </c>
      <c r="AU43" s="30"/>
      <c r="AV43" s="30"/>
      <c r="AW43" s="30"/>
      <c r="AX43" s="30" t="s">
        <v>9553</v>
      </c>
      <c r="AY43" s="30"/>
      <c r="AZ43" s="75" t="s">
        <v>9538</v>
      </c>
    </row>
    <row r="44" spans="1:52" ht="16.5">
      <c r="A44" s="30" t="s">
        <v>9554</v>
      </c>
      <c r="B44" s="30" t="s">
        <v>4398</v>
      </c>
      <c r="C44" s="30" t="s">
        <v>73</v>
      </c>
      <c r="D44" s="30" t="s">
        <v>9555</v>
      </c>
      <c r="E44" s="260" t="s">
        <v>9556</v>
      </c>
      <c r="F44" s="30" t="s">
        <v>9557</v>
      </c>
      <c r="G44" s="30" t="s">
        <v>165</v>
      </c>
      <c r="H44" s="30" t="s">
        <v>165</v>
      </c>
      <c r="I44" s="30" t="s">
        <v>9528</v>
      </c>
      <c r="J44" s="30" t="s">
        <v>9281</v>
      </c>
      <c r="K44" s="32">
        <v>7.21</v>
      </c>
      <c r="L44" s="30" t="s">
        <v>73</v>
      </c>
      <c r="M44" s="30" t="s">
        <v>9558</v>
      </c>
      <c r="N44" s="30" t="s">
        <v>9559</v>
      </c>
      <c r="O44" s="27" t="s">
        <v>9560</v>
      </c>
      <c r="P44" s="30"/>
      <c r="Q44" s="95">
        <v>8</v>
      </c>
      <c r="R44" s="96" t="s">
        <v>9030</v>
      </c>
      <c r="S44" s="96" t="s">
        <v>9561</v>
      </c>
      <c r="T44" s="30" t="s">
        <v>88</v>
      </c>
      <c r="U44" s="30" t="s">
        <v>78</v>
      </c>
      <c r="V44" s="30" t="s">
        <v>89</v>
      </c>
      <c r="W44" s="38" t="s">
        <v>9544</v>
      </c>
      <c r="X44" s="26" t="s">
        <v>4412</v>
      </c>
      <c r="Y44" s="26" t="s">
        <v>91</v>
      </c>
      <c r="Z44" s="26" t="s">
        <v>91</v>
      </c>
      <c r="AA44" s="30"/>
      <c r="AB44" s="93" t="s">
        <v>11</v>
      </c>
      <c r="AC44" s="30" t="s">
        <v>172</v>
      </c>
      <c r="AD44" s="25" t="s">
        <v>7629</v>
      </c>
      <c r="AE44" s="25" t="s">
        <v>172</v>
      </c>
      <c r="AF44" s="26" t="s">
        <v>175</v>
      </c>
      <c r="AG44" s="32">
        <f t="shared" si="2"/>
        <v>1</v>
      </c>
      <c r="AH44" s="32">
        <v>1</v>
      </c>
      <c r="AI44" s="32"/>
      <c r="AJ44" s="32">
        <v>1</v>
      </c>
      <c r="AK44" s="30"/>
      <c r="AL44" s="32">
        <f t="shared" si="3"/>
        <v>1</v>
      </c>
      <c r="AM44" s="30"/>
      <c r="AN44" s="32">
        <v>1</v>
      </c>
      <c r="AO44" s="32"/>
      <c r="AP44" s="32">
        <v>1</v>
      </c>
      <c r="AQ44" s="32">
        <v>1</v>
      </c>
      <c r="AR44" s="32">
        <v>1</v>
      </c>
      <c r="AS44" s="32"/>
      <c r="AT44" s="32">
        <v>1</v>
      </c>
      <c r="AU44" s="30"/>
      <c r="AV44" s="30"/>
      <c r="AW44" s="30"/>
      <c r="AX44" s="30" t="s">
        <v>4670</v>
      </c>
      <c r="AY44" s="30"/>
      <c r="AZ44" s="94" t="s">
        <v>9562</v>
      </c>
    </row>
    <row r="45" spans="1:52" ht="16.5">
      <c r="A45" s="30" t="s">
        <v>9563</v>
      </c>
      <c r="B45" s="30" t="s">
        <v>4398</v>
      </c>
      <c r="C45" s="30" t="s">
        <v>68</v>
      </c>
      <c r="D45" s="30" t="s">
        <v>9564</v>
      </c>
      <c r="E45" s="260" t="s">
        <v>9565</v>
      </c>
      <c r="F45" s="30" t="s">
        <v>9566</v>
      </c>
      <c r="G45" s="30" t="s">
        <v>165</v>
      </c>
      <c r="H45" s="30" t="s">
        <v>165</v>
      </c>
      <c r="I45" s="30" t="s">
        <v>9528</v>
      </c>
      <c r="J45" s="30" t="s">
        <v>9281</v>
      </c>
      <c r="K45" s="32">
        <v>7.21</v>
      </c>
      <c r="L45" s="30" t="s">
        <v>73</v>
      </c>
      <c r="M45" s="30" t="s">
        <v>9567</v>
      </c>
      <c r="N45" s="30" t="s">
        <v>9568</v>
      </c>
      <c r="O45" s="27" t="s">
        <v>9569</v>
      </c>
      <c r="P45" s="30"/>
      <c r="Q45" s="92">
        <v>4</v>
      </c>
      <c r="R45" s="92">
        <v>16</v>
      </c>
      <c r="S45" s="92">
        <v>266.11</v>
      </c>
      <c r="T45" s="30" t="s">
        <v>88</v>
      </c>
      <c r="U45" s="30" t="s">
        <v>78</v>
      </c>
      <c r="V45" s="30" t="s">
        <v>89</v>
      </c>
      <c r="W45" s="38" t="s">
        <v>9544</v>
      </c>
      <c r="X45" s="26" t="s">
        <v>4412</v>
      </c>
      <c r="Y45" s="26" t="s">
        <v>91</v>
      </c>
      <c r="Z45" s="26" t="s">
        <v>91</v>
      </c>
      <c r="AA45" s="30"/>
      <c r="AB45" s="93" t="s">
        <v>11</v>
      </c>
      <c r="AC45" s="30" t="s">
        <v>172</v>
      </c>
      <c r="AD45" s="25" t="s">
        <v>172</v>
      </c>
      <c r="AE45" s="25" t="s">
        <v>174</v>
      </c>
      <c r="AF45" s="26" t="s">
        <v>175</v>
      </c>
      <c r="AG45" s="32">
        <f t="shared" si="2"/>
        <v>1</v>
      </c>
      <c r="AH45" s="32">
        <v>1</v>
      </c>
      <c r="AI45" s="32"/>
      <c r="AJ45" s="32">
        <v>1</v>
      </c>
      <c r="AK45" s="30"/>
      <c r="AL45" s="32">
        <f t="shared" si="3"/>
        <v>1</v>
      </c>
      <c r="AM45" s="30"/>
      <c r="AN45" s="32">
        <v>1</v>
      </c>
      <c r="AO45" s="32"/>
      <c r="AP45" s="32">
        <v>1</v>
      </c>
      <c r="AQ45" s="32">
        <v>1</v>
      </c>
      <c r="AR45" s="32">
        <v>1</v>
      </c>
      <c r="AS45" s="32"/>
      <c r="AT45" s="32">
        <v>1</v>
      </c>
      <c r="AU45" s="30"/>
      <c r="AV45" s="30"/>
      <c r="AW45" s="30"/>
      <c r="AX45" s="30" t="s">
        <v>9570</v>
      </c>
      <c r="AY45" s="30"/>
      <c r="AZ45" s="94" t="s">
        <v>9571</v>
      </c>
    </row>
    <row r="46" spans="1:52" ht="16.5">
      <c r="A46" s="30" t="s">
        <v>9572</v>
      </c>
      <c r="B46" s="30" t="s">
        <v>4398</v>
      </c>
      <c r="C46" s="30" t="s">
        <v>68</v>
      </c>
      <c r="D46" s="30" t="s">
        <v>9573</v>
      </c>
      <c r="E46" s="260" t="s">
        <v>9574</v>
      </c>
      <c r="F46" s="30" t="s">
        <v>9575</v>
      </c>
      <c r="G46" s="30" t="s">
        <v>165</v>
      </c>
      <c r="H46" s="30" t="s">
        <v>165</v>
      </c>
      <c r="I46" s="30" t="s">
        <v>9528</v>
      </c>
      <c r="J46" s="30" t="s">
        <v>9281</v>
      </c>
      <c r="K46" s="32">
        <v>7.21</v>
      </c>
      <c r="L46" s="30" t="s">
        <v>73</v>
      </c>
      <c r="M46" s="30" t="s">
        <v>9576</v>
      </c>
      <c r="N46" s="30" t="s">
        <v>9577</v>
      </c>
      <c r="O46" s="27" t="s">
        <v>9578</v>
      </c>
      <c r="P46" s="30"/>
      <c r="Q46" s="92">
        <v>4</v>
      </c>
      <c r="R46" s="92">
        <v>16</v>
      </c>
      <c r="S46" s="92">
        <v>266.11</v>
      </c>
      <c r="T46" s="30" t="s">
        <v>88</v>
      </c>
      <c r="U46" s="30" t="s">
        <v>78</v>
      </c>
      <c r="V46" s="30" t="s">
        <v>89</v>
      </c>
      <c r="W46" s="38" t="s">
        <v>9544</v>
      </c>
      <c r="X46" s="26" t="s">
        <v>4412</v>
      </c>
      <c r="Y46" s="26" t="s">
        <v>91</v>
      </c>
      <c r="Z46" s="26" t="s">
        <v>91</v>
      </c>
      <c r="AA46" s="30"/>
      <c r="AB46" s="93" t="s">
        <v>11</v>
      </c>
      <c r="AC46" s="30" t="s">
        <v>172</v>
      </c>
      <c r="AD46" s="25" t="s">
        <v>172</v>
      </c>
      <c r="AE46" s="25" t="s">
        <v>174</v>
      </c>
      <c r="AF46" s="26" t="s">
        <v>175</v>
      </c>
      <c r="AG46" s="32">
        <f t="shared" si="2"/>
        <v>1</v>
      </c>
      <c r="AH46" s="32">
        <v>1</v>
      </c>
      <c r="AI46" s="32"/>
      <c r="AJ46" s="32">
        <v>1</v>
      </c>
      <c r="AK46" s="30"/>
      <c r="AL46" s="32">
        <f t="shared" si="3"/>
        <v>1</v>
      </c>
      <c r="AM46" s="30"/>
      <c r="AN46" s="32">
        <v>1</v>
      </c>
      <c r="AO46" s="32"/>
      <c r="AP46" s="32">
        <v>1</v>
      </c>
      <c r="AQ46" s="32">
        <v>1</v>
      </c>
      <c r="AR46" s="32">
        <v>1</v>
      </c>
      <c r="AS46" s="32"/>
      <c r="AT46" s="32">
        <v>1</v>
      </c>
      <c r="AU46" s="30"/>
      <c r="AV46" s="30"/>
      <c r="AW46" s="30"/>
      <c r="AX46" s="30" t="s">
        <v>9579</v>
      </c>
      <c r="AY46" s="30"/>
      <c r="AZ46" s="94" t="s">
        <v>9580</v>
      </c>
    </row>
    <row r="47" spans="1:52" ht="16.5">
      <c r="A47" s="30" t="s">
        <v>9581</v>
      </c>
      <c r="B47" s="30" t="s">
        <v>4398</v>
      </c>
      <c r="C47" s="30" t="s">
        <v>73</v>
      </c>
      <c r="D47" s="30" t="s">
        <v>9582</v>
      </c>
      <c r="E47" s="260" t="s">
        <v>9583</v>
      </c>
      <c r="F47" s="30" t="s">
        <v>9584</v>
      </c>
      <c r="G47" s="30" t="s">
        <v>165</v>
      </c>
      <c r="H47" s="30" t="s">
        <v>165</v>
      </c>
      <c r="I47" s="30" t="s">
        <v>9528</v>
      </c>
      <c r="J47" s="30" t="s">
        <v>9281</v>
      </c>
      <c r="K47" s="32">
        <v>7.21</v>
      </c>
      <c r="L47" s="30" t="s">
        <v>73</v>
      </c>
      <c r="M47" s="30" t="s">
        <v>9585</v>
      </c>
      <c r="N47" s="30" t="s">
        <v>9586</v>
      </c>
      <c r="O47" s="27" t="s">
        <v>9587</v>
      </c>
      <c r="P47" s="30"/>
      <c r="Q47" s="95">
        <v>8</v>
      </c>
      <c r="R47" s="96" t="s">
        <v>9030</v>
      </c>
      <c r="S47" s="96" t="s">
        <v>8529</v>
      </c>
      <c r="T47" s="30" t="s">
        <v>88</v>
      </c>
      <c r="U47" s="30" t="s">
        <v>78</v>
      </c>
      <c r="V47" s="30" t="s">
        <v>89</v>
      </c>
      <c r="W47" s="38" t="s">
        <v>9544</v>
      </c>
      <c r="X47" s="26" t="s">
        <v>4412</v>
      </c>
      <c r="Y47" s="26" t="s">
        <v>91</v>
      </c>
      <c r="Z47" s="26" t="s">
        <v>91</v>
      </c>
      <c r="AA47" s="30"/>
      <c r="AB47" s="93" t="s">
        <v>11</v>
      </c>
      <c r="AC47" s="30" t="s">
        <v>172</v>
      </c>
      <c r="AD47" s="25" t="s">
        <v>7629</v>
      </c>
      <c r="AE47" s="25" t="s">
        <v>172</v>
      </c>
      <c r="AF47" s="26" t="s">
        <v>175</v>
      </c>
      <c r="AG47" s="32">
        <f t="shared" si="2"/>
        <v>1</v>
      </c>
      <c r="AH47" s="32">
        <v>1</v>
      </c>
      <c r="AI47" s="32"/>
      <c r="AJ47" s="32">
        <v>1</v>
      </c>
      <c r="AK47" s="30"/>
      <c r="AL47" s="32">
        <f t="shared" si="3"/>
        <v>1</v>
      </c>
      <c r="AM47" s="30"/>
      <c r="AN47" s="32">
        <v>1</v>
      </c>
      <c r="AO47" s="32"/>
      <c r="AP47" s="32">
        <v>1</v>
      </c>
      <c r="AQ47" s="32">
        <v>1</v>
      </c>
      <c r="AR47" s="32">
        <v>1</v>
      </c>
      <c r="AS47" s="32"/>
      <c r="AT47" s="32">
        <v>1</v>
      </c>
      <c r="AU47" s="30"/>
      <c r="AV47" s="30"/>
      <c r="AW47" s="30"/>
      <c r="AX47" s="30" t="s">
        <v>9588</v>
      </c>
      <c r="AY47" s="30"/>
      <c r="AZ47" s="94" t="s">
        <v>9589</v>
      </c>
    </row>
    <row r="48" spans="1:52" ht="16.5">
      <c r="A48" s="30" t="s">
        <v>9590</v>
      </c>
      <c r="B48" s="30" t="s">
        <v>4398</v>
      </c>
      <c r="C48" s="30" t="s">
        <v>68</v>
      </c>
      <c r="D48" s="30" t="s">
        <v>9589</v>
      </c>
      <c r="E48" s="260" t="s">
        <v>9591</v>
      </c>
      <c r="F48" s="30" t="s">
        <v>9592</v>
      </c>
      <c r="G48" s="30" t="s">
        <v>165</v>
      </c>
      <c r="H48" s="30" t="s">
        <v>165</v>
      </c>
      <c r="I48" s="30" t="s">
        <v>9528</v>
      </c>
      <c r="J48" s="30" t="s">
        <v>9281</v>
      </c>
      <c r="K48" s="32">
        <v>7.21</v>
      </c>
      <c r="L48" s="30" t="s">
        <v>73</v>
      </c>
      <c r="M48" s="30" t="s">
        <v>9593</v>
      </c>
      <c r="N48" s="30" t="s">
        <v>9594</v>
      </c>
      <c r="O48" s="27" t="s">
        <v>9595</v>
      </c>
      <c r="P48" s="30"/>
      <c r="Q48" s="92">
        <v>4</v>
      </c>
      <c r="R48" s="92">
        <v>16</v>
      </c>
      <c r="S48" s="92">
        <v>286.16000000000003</v>
      </c>
      <c r="T48" s="30" t="s">
        <v>88</v>
      </c>
      <c r="U48" s="30" t="s">
        <v>78</v>
      </c>
      <c r="V48" s="30" t="s">
        <v>89</v>
      </c>
      <c r="W48" s="38" t="s">
        <v>9544</v>
      </c>
      <c r="X48" s="26" t="s">
        <v>4412</v>
      </c>
      <c r="Y48" s="26" t="s">
        <v>91</v>
      </c>
      <c r="Z48" s="26" t="s">
        <v>91</v>
      </c>
      <c r="AA48" s="30"/>
      <c r="AB48" s="93" t="s">
        <v>11</v>
      </c>
      <c r="AC48" s="30" t="s">
        <v>172</v>
      </c>
      <c r="AD48" s="25" t="s">
        <v>172</v>
      </c>
      <c r="AE48" s="25" t="s">
        <v>174</v>
      </c>
      <c r="AF48" s="26" t="s">
        <v>175</v>
      </c>
      <c r="AG48" s="32">
        <f t="shared" si="2"/>
        <v>1</v>
      </c>
      <c r="AH48" s="32">
        <v>1</v>
      </c>
      <c r="AI48" s="32"/>
      <c r="AJ48" s="32">
        <v>1</v>
      </c>
      <c r="AK48" s="30"/>
      <c r="AL48" s="32">
        <f t="shared" si="3"/>
        <v>1</v>
      </c>
      <c r="AM48" s="30"/>
      <c r="AN48" s="32">
        <v>1</v>
      </c>
      <c r="AO48" s="32"/>
      <c r="AP48" s="32">
        <v>1</v>
      </c>
      <c r="AQ48" s="32">
        <v>1</v>
      </c>
      <c r="AR48" s="32">
        <v>1</v>
      </c>
      <c r="AS48" s="32"/>
      <c r="AT48" s="32">
        <v>1</v>
      </c>
      <c r="AU48" s="30"/>
      <c r="AV48" s="30"/>
      <c r="AW48" s="30"/>
      <c r="AX48" s="30" t="s">
        <v>9596</v>
      </c>
      <c r="AY48" s="30"/>
      <c r="AZ48" s="94" t="s">
        <v>9597</v>
      </c>
    </row>
    <row r="49" spans="1:52" ht="16.5">
      <c r="A49" s="30" t="s">
        <v>9598</v>
      </c>
      <c r="B49" s="30" t="s">
        <v>4398</v>
      </c>
      <c r="C49" s="30" t="s">
        <v>73</v>
      </c>
      <c r="D49" s="30" t="s">
        <v>9599</v>
      </c>
      <c r="E49" s="260" t="s">
        <v>9600</v>
      </c>
      <c r="F49" s="30" t="s">
        <v>9601</v>
      </c>
      <c r="G49" s="30" t="s">
        <v>165</v>
      </c>
      <c r="H49" s="30" t="s">
        <v>165</v>
      </c>
      <c r="I49" s="30" t="s">
        <v>9528</v>
      </c>
      <c r="J49" s="30" t="s">
        <v>9281</v>
      </c>
      <c r="K49" s="32">
        <v>7.21</v>
      </c>
      <c r="L49" s="30" t="s">
        <v>73</v>
      </c>
      <c r="M49" s="30" t="s">
        <v>9602</v>
      </c>
      <c r="N49" s="30" t="s">
        <v>9603</v>
      </c>
      <c r="O49" s="27" t="s">
        <v>9604</v>
      </c>
      <c r="P49" s="30"/>
      <c r="Q49" s="95">
        <v>8</v>
      </c>
      <c r="R49" s="96" t="s">
        <v>9030</v>
      </c>
      <c r="S49" s="96" t="s">
        <v>9605</v>
      </c>
      <c r="T49" s="30" t="s">
        <v>88</v>
      </c>
      <c r="U49" s="30" t="s">
        <v>78</v>
      </c>
      <c r="V49" s="30" t="s">
        <v>89</v>
      </c>
      <c r="W49" s="38" t="s">
        <v>9544</v>
      </c>
      <c r="X49" s="26" t="s">
        <v>4412</v>
      </c>
      <c r="Y49" s="26" t="s">
        <v>91</v>
      </c>
      <c r="Z49" s="26" t="s">
        <v>91</v>
      </c>
      <c r="AA49" s="30"/>
      <c r="AB49" s="93" t="s">
        <v>11</v>
      </c>
      <c r="AC49" s="30" t="s">
        <v>172</v>
      </c>
      <c r="AD49" s="25" t="s">
        <v>7629</v>
      </c>
      <c r="AE49" s="25" t="s">
        <v>172</v>
      </c>
      <c r="AF49" s="26" t="s">
        <v>175</v>
      </c>
      <c r="AG49" s="32">
        <f t="shared" si="2"/>
        <v>1</v>
      </c>
      <c r="AH49" s="32">
        <v>1</v>
      </c>
      <c r="AI49" s="32"/>
      <c r="AJ49" s="32">
        <v>1</v>
      </c>
      <c r="AK49" s="30"/>
      <c r="AL49" s="32">
        <f t="shared" si="3"/>
        <v>1</v>
      </c>
      <c r="AM49" s="30"/>
      <c r="AN49" s="32">
        <v>1</v>
      </c>
      <c r="AO49" s="32"/>
      <c r="AP49" s="32">
        <v>1</v>
      </c>
      <c r="AQ49" s="32">
        <v>1</v>
      </c>
      <c r="AR49" s="32">
        <v>1</v>
      </c>
      <c r="AS49" s="32"/>
      <c r="AT49" s="32">
        <v>1</v>
      </c>
      <c r="AU49" s="30"/>
      <c r="AV49" s="30"/>
      <c r="AW49" s="30"/>
      <c r="AX49" s="30" t="s">
        <v>9606</v>
      </c>
      <c r="AY49" s="30"/>
      <c r="AZ49" s="94" t="s">
        <v>9573</v>
      </c>
    </row>
    <row r="50" spans="1:52" ht="16.5">
      <c r="A50" s="30" t="s">
        <v>9607</v>
      </c>
      <c r="B50" s="30" t="s">
        <v>4398</v>
      </c>
      <c r="C50" s="30" t="s">
        <v>73</v>
      </c>
      <c r="D50" s="30" t="s">
        <v>9608</v>
      </c>
      <c r="E50" s="260" t="s">
        <v>9609</v>
      </c>
      <c r="F50" s="30" t="s">
        <v>9610</v>
      </c>
      <c r="G50" s="30" t="s">
        <v>165</v>
      </c>
      <c r="H50" s="30" t="s">
        <v>165</v>
      </c>
      <c r="I50" s="30" t="s">
        <v>9528</v>
      </c>
      <c r="J50" s="30" t="s">
        <v>9281</v>
      </c>
      <c r="K50" s="32">
        <v>7.21</v>
      </c>
      <c r="L50" s="30" t="s">
        <v>73</v>
      </c>
      <c r="M50" s="30" t="s">
        <v>9611</v>
      </c>
      <c r="N50" s="30" t="s">
        <v>9612</v>
      </c>
      <c r="O50" s="27" t="s">
        <v>9613</v>
      </c>
      <c r="P50" s="30"/>
      <c r="Q50" s="95">
        <v>4</v>
      </c>
      <c r="R50" s="96" t="s">
        <v>4409</v>
      </c>
      <c r="S50" s="96" t="s">
        <v>9614</v>
      </c>
      <c r="T50" s="30" t="s">
        <v>88</v>
      </c>
      <c r="U50" s="30" t="s">
        <v>78</v>
      </c>
      <c r="V50" s="30" t="s">
        <v>89</v>
      </c>
      <c r="W50" s="38" t="s">
        <v>9544</v>
      </c>
      <c r="X50" s="26" t="s">
        <v>4412</v>
      </c>
      <c r="Y50" s="26" t="s">
        <v>91</v>
      </c>
      <c r="Z50" s="26" t="s">
        <v>91</v>
      </c>
      <c r="AA50" s="30"/>
      <c r="AB50" s="93" t="s">
        <v>11</v>
      </c>
      <c r="AC50" s="30" t="s">
        <v>172</v>
      </c>
      <c r="AD50" s="25" t="s">
        <v>7629</v>
      </c>
      <c r="AE50" s="25" t="s">
        <v>172</v>
      </c>
      <c r="AF50" s="26" t="s">
        <v>175</v>
      </c>
      <c r="AG50" s="32">
        <f t="shared" si="2"/>
        <v>1</v>
      </c>
      <c r="AH50" s="32">
        <v>1</v>
      </c>
      <c r="AI50" s="32"/>
      <c r="AJ50" s="32">
        <v>1</v>
      </c>
      <c r="AK50" s="30"/>
      <c r="AL50" s="32">
        <f t="shared" si="3"/>
        <v>1</v>
      </c>
      <c r="AM50" s="30"/>
      <c r="AN50" s="32">
        <v>1</v>
      </c>
      <c r="AO50" s="32"/>
      <c r="AP50" s="32">
        <v>1</v>
      </c>
      <c r="AQ50" s="32">
        <v>1</v>
      </c>
      <c r="AR50" s="32">
        <v>1</v>
      </c>
      <c r="AS50" s="32"/>
      <c r="AT50" s="32">
        <v>1</v>
      </c>
      <c r="AU50" s="30"/>
      <c r="AV50" s="30"/>
      <c r="AW50" s="30"/>
      <c r="AX50" s="30" t="s">
        <v>9615</v>
      </c>
      <c r="AY50" s="30"/>
      <c r="AZ50" s="94" t="s">
        <v>9564</v>
      </c>
    </row>
    <row r="51" spans="1:52" ht="16.5">
      <c r="A51" s="30" t="s">
        <v>9616</v>
      </c>
      <c r="B51" s="30" t="s">
        <v>4398</v>
      </c>
      <c r="C51" s="30" t="s">
        <v>68</v>
      </c>
      <c r="D51" s="30" t="s">
        <v>9562</v>
      </c>
      <c r="E51" s="260" t="s">
        <v>9617</v>
      </c>
      <c r="F51" s="30" t="s">
        <v>9618</v>
      </c>
      <c r="G51" s="30" t="s">
        <v>165</v>
      </c>
      <c r="H51" s="30" t="s">
        <v>165</v>
      </c>
      <c r="I51" s="30" t="s">
        <v>9528</v>
      </c>
      <c r="J51" s="30" t="s">
        <v>9281</v>
      </c>
      <c r="K51" s="32">
        <v>7.21</v>
      </c>
      <c r="L51" s="30" t="s">
        <v>73</v>
      </c>
      <c r="M51" s="30" t="s">
        <v>9553</v>
      </c>
      <c r="N51" s="30" t="s">
        <v>9619</v>
      </c>
      <c r="O51" s="27" t="s">
        <v>9620</v>
      </c>
      <c r="P51" s="30"/>
      <c r="Q51" s="92">
        <v>4</v>
      </c>
      <c r="R51" s="92">
        <v>16</v>
      </c>
      <c r="S51" s="92">
        <v>386.11</v>
      </c>
      <c r="T51" s="30" t="s">
        <v>88</v>
      </c>
      <c r="U51" s="30" t="s">
        <v>78</v>
      </c>
      <c r="V51" s="30" t="s">
        <v>89</v>
      </c>
      <c r="W51" s="38" t="s">
        <v>9544</v>
      </c>
      <c r="X51" s="26" t="s">
        <v>4412</v>
      </c>
      <c r="Y51" s="26" t="s">
        <v>91</v>
      </c>
      <c r="Z51" s="26" t="s">
        <v>91</v>
      </c>
      <c r="AA51" s="30"/>
      <c r="AB51" s="93" t="s">
        <v>11</v>
      </c>
      <c r="AC51" s="30" t="s">
        <v>172</v>
      </c>
      <c r="AD51" s="25" t="s">
        <v>172</v>
      </c>
      <c r="AE51" s="25" t="s">
        <v>174</v>
      </c>
      <c r="AF51" s="26" t="s">
        <v>175</v>
      </c>
      <c r="AG51" s="32">
        <f t="shared" si="2"/>
        <v>1</v>
      </c>
      <c r="AH51" s="32">
        <v>1</v>
      </c>
      <c r="AI51" s="32"/>
      <c r="AJ51" s="32">
        <v>1</v>
      </c>
      <c r="AK51" s="30"/>
      <c r="AL51" s="32">
        <f t="shared" si="3"/>
        <v>1</v>
      </c>
      <c r="AM51" s="30"/>
      <c r="AN51" s="32">
        <v>1</v>
      </c>
      <c r="AO51" s="32"/>
      <c r="AP51" s="32">
        <v>1</v>
      </c>
      <c r="AQ51" s="32">
        <v>1</v>
      </c>
      <c r="AR51" s="32">
        <v>1</v>
      </c>
      <c r="AS51" s="32"/>
      <c r="AT51" s="32">
        <v>1</v>
      </c>
      <c r="AU51" s="30"/>
      <c r="AV51" s="30"/>
      <c r="AW51" s="30"/>
      <c r="AX51" s="30" t="s">
        <v>9621</v>
      </c>
      <c r="AY51" s="30"/>
      <c r="AZ51" s="94" t="s">
        <v>4632</v>
      </c>
    </row>
    <row r="52" spans="1:52" ht="16.5">
      <c r="A52" s="30" t="s">
        <v>9622</v>
      </c>
      <c r="B52" s="30" t="s">
        <v>4398</v>
      </c>
      <c r="C52" s="30" t="s">
        <v>68</v>
      </c>
      <c r="D52" s="30" t="s">
        <v>9580</v>
      </c>
      <c r="E52" s="260" t="s">
        <v>9623</v>
      </c>
      <c r="F52" s="30" t="s">
        <v>9624</v>
      </c>
      <c r="G52" s="30" t="s">
        <v>165</v>
      </c>
      <c r="H52" s="30" t="s">
        <v>165</v>
      </c>
      <c r="I52" s="30" t="s">
        <v>9528</v>
      </c>
      <c r="J52" s="30" t="s">
        <v>9281</v>
      </c>
      <c r="K52" s="32">
        <v>7.21</v>
      </c>
      <c r="L52" s="30" t="s">
        <v>73</v>
      </c>
      <c r="M52" s="30" t="s">
        <v>9570</v>
      </c>
      <c r="N52" s="30" t="s">
        <v>9625</v>
      </c>
      <c r="O52" s="27" t="s">
        <v>9626</v>
      </c>
      <c r="P52" s="30"/>
      <c r="Q52" s="92">
        <v>8</v>
      </c>
      <c r="R52" s="92">
        <v>32</v>
      </c>
      <c r="S52" s="92">
        <v>342.65</v>
      </c>
      <c r="T52" s="30" t="s">
        <v>88</v>
      </c>
      <c r="U52" s="30" t="s">
        <v>78</v>
      </c>
      <c r="V52" s="30" t="s">
        <v>89</v>
      </c>
      <c r="W52" s="38" t="s">
        <v>9544</v>
      </c>
      <c r="X52" s="26" t="s">
        <v>4412</v>
      </c>
      <c r="Y52" s="26" t="s">
        <v>91</v>
      </c>
      <c r="Z52" s="26" t="s">
        <v>91</v>
      </c>
      <c r="AA52" s="30"/>
      <c r="AB52" s="93" t="s">
        <v>11</v>
      </c>
      <c r="AC52" s="30" t="s">
        <v>172</v>
      </c>
      <c r="AD52" s="25" t="s">
        <v>172</v>
      </c>
      <c r="AE52" s="25" t="s">
        <v>174</v>
      </c>
      <c r="AF52" s="26" t="s">
        <v>175</v>
      </c>
      <c r="AG52" s="32">
        <f t="shared" si="2"/>
        <v>1</v>
      </c>
      <c r="AH52" s="32">
        <v>1</v>
      </c>
      <c r="AI52" s="32"/>
      <c r="AJ52" s="32">
        <v>1</v>
      </c>
      <c r="AK52" s="30"/>
      <c r="AL52" s="32">
        <f t="shared" si="3"/>
        <v>1</v>
      </c>
      <c r="AM52" s="30"/>
      <c r="AN52" s="32">
        <v>1</v>
      </c>
      <c r="AO52" s="32"/>
      <c r="AP52" s="32">
        <v>1</v>
      </c>
      <c r="AQ52" s="32">
        <v>1</v>
      </c>
      <c r="AR52" s="32">
        <v>1</v>
      </c>
      <c r="AS52" s="32"/>
      <c r="AT52" s="32">
        <v>1</v>
      </c>
      <c r="AU52" s="30"/>
      <c r="AV52" s="30"/>
      <c r="AW52" s="30"/>
      <c r="AX52" s="30" t="s">
        <v>9627</v>
      </c>
      <c r="AY52" s="30"/>
      <c r="AZ52" s="94" t="s">
        <v>9628</v>
      </c>
    </row>
    <row r="53" spans="1:52" ht="16.5">
      <c r="A53" s="30" t="s">
        <v>9629</v>
      </c>
      <c r="B53" s="30" t="s">
        <v>4398</v>
      </c>
      <c r="C53" s="30" t="s">
        <v>73</v>
      </c>
      <c r="D53" s="30" t="s">
        <v>9630</v>
      </c>
      <c r="E53" s="260" t="s">
        <v>9631</v>
      </c>
      <c r="F53" s="30" t="s">
        <v>9632</v>
      </c>
      <c r="G53" s="30" t="s">
        <v>165</v>
      </c>
      <c r="H53" s="30" t="s">
        <v>165</v>
      </c>
      <c r="I53" s="30" t="s">
        <v>9528</v>
      </c>
      <c r="J53" s="30" t="s">
        <v>9281</v>
      </c>
      <c r="K53" s="32">
        <v>7.21</v>
      </c>
      <c r="L53" s="30" t="s">
        <v>73</v>
      </c>
      <c r="M53" s="30" t="s">
        <v>9627</v>
      </c>
      <c r="N53" s="30" t="s">
        <v>9633</v>
      </c>
      <c r="O53" s="27" t="s">
        <v>9634</v>
      </c>
      <c r="P53" s="30"/>
      <c r="Q53" s="95">
        <v>8</v>
      </c>
      <c r="R53" s="96" t="s">
        <v>9030</v>
      </c>
      <c r="S53" s="96" t="s">
        <v>9635</v>
      </c>
      <c r="T53" s="30" t="s">
        <v>88</v>
      </c>
      <c r="U53" s="30" t="s">
        <v>78</v>
      </c>
      <c r="V53" s="30" t="s">
        <v>89</v>
      </c>
      <c r="W53" s="38" t="s">
        <v>9544</v>
      </c>
      <c r="X53" s="26" t="s">
        <v>4412</v>
      </c>
      <c r="Y53" s="26" t="s">
        <v>91</v>
      </c>
      <c r="Z53" s="26" t="s">
        <v>91</v>
      </c>
      <c r="AA53" s="30"/>
      <c r="AB53" s="93" t="s">
        <v>11</v>
      </c>
      <c r="AC53" s="30" t="s">
        <v>172</v>
      </c>
      <c r="AD53" s="25" t="s">
        <v>7629</v>
      </c>
      <c r="AE53" s="25" t="s">
        <v>172</v>
      </c>
      <c r="AF53" s="26" t="s">
        <v>175</v>
      </c>
      <c r="AG53" s="32">
        <f t="shared" si="2"/>
        <v>1</v>
      </c>
      <c r="AH53" s="32">
        <v>1</v>
      </c>
      <c r="AI53" s="32"/>
      <c r="AJ53" s="32">
        <v>1</v>
      </c>
      <c r="AK53" s="30"/>
      <c r="AL53" s="32">
        <f t="shared" si="3"/>
        <v>1</v>
      </c>
      <c r="AM53" s="30"/>
      <c r="AN53" s="32">
        <v>1</v>
      </c>
      <c r="AO53" s="32"/>
      <c r="AP53" s="32">
        <v>1</v>
      </c>
      <c r="AQ53" s="32">
        <v>1</v>
      </c>
      <c r="AR53" s="32">
        <v>1</v>
      </c>
      <c r="AS53" s="32"/>
      <c r="AT53" s="32">
        <v>1</v>
      </c>
      <c r="AU53" s="30"/>
      <c r="AV53" s="30"/>
      <c r="AW53" s="30"/>
      <c r="AX53" s="30" t="s">
        <v>9558</v>
      </c>
      <c r="AY53" s="30"/>
      <c r="AZ53" s="94" t="s">
        <v>9636</v>
      </c>
    </row>
    <row r="54" spans="1:52" ht="16.5">
      <c r="A54" s="30" t="s">
        <v>9637</v>
      </c>
      <c r="B54" s="30" t="s">
        <v>4398</v>
      </c>
      <c r="C54" s="30" t="s">
        <v>73</v>
      </c>
      <c r="D54" s="30" t="s">
        <v>9638</v>
      </c>
      <c r="E54" s="260" t="s">
        <v>9639</v>
      </c>
      <c r="F54" s="30" t="s">
        <v>9640</v>
      </c>
      <c r="G54" s="30" t="s">
        <v>165</v>
      </c>
      <c r="H54" s="30" t="s">
        <v>165</v>
      </c>
      <c r="I54" s="30" t="s">
        <v>9528</v>
      </c>
      <c r="J54" s="30" t="s">
        <v>9281</v>
      </c>
      <c r="K54" s="32">
        <v>7.21</v>
      </c>
      <c r="L54" s="30" t="s">
        <v>73</v>
      </c>
      <c r="M54" s="30" t="s">
        <v>9621</v>
      </c>
      <c r="N54" s="30" t="s">
        <v>9641</v>
      </c>
      <c r="O54" s="27" t="s">
        <v>9642</v>
      </c>
      <c r="P54" s="30"/>
      <c r="Q54" s="95">
        <v>4</v>
      </c>
      <c r="R54" s="96" t="s">
        <v>4409</v>
      </c>
      <c r="S54" s="96" t="s">
        <v>5253</v>
      </c>
      <c r="T54" s="30" t="s">
        <v>88</v>
      </c>
      <c r="U54" s="30" t="s">
        <v>78</v>
      </c>
      <c r="V54" s="30" t="s">
        <v>89</v>
      </c>
      <c r="W54" s="38" t="s">
        <v>9544</v>
      </c>
      <c r="X54" s="26" t="s">
        <v>4412</v>
      </c>
      <c r="Y54" s="26" t="s">
        <v>91</v>
      </c>
      <c r="Z54" s="26" t="s">
        <v>91</v>
      </c>
      <c r="AA54" s="30"/>
      <c r="AB54" s="93" t="s">
        <v>11</v>
      </c>
      <c r="AC54" s="30" t="s">
        <v>172</v>
      </c>
      <c r="AD54" s="25" t="s">
        <v>7629</v>
      </c>
      <c r="AE54" s="25" t="s">
        <v>172</v>
      </c>
      <c r="AF54" s="26" t="s">
        <v>175</v>
      </c>
      <c r="AG54" s="32">
        <f t="shared" si="2"/>
        <v>1</v>
      </c>
      <c r="AH54" s="32">
        <v>1</v>
      </c>
      <c r="AI54" s="32"/>
      <c r="AJ54" s="32">
        <v>1</v>
      </c>
      <c r="AK54" s="30"/>
      <c r="AL54" s="32">
        <f t="shared" si="3"/>
        <v>1</v>
      </c>
      <c r="AM54" s="30"/>
      <c r="AN54" s="32">
        <v>1</v>
      </c>
      <c r="AO54" s="32"/>
      <c r="AP54" s="32">
        <v>1</v>
      </c>
      <c r="AQ54" s="32">
        <v>1</v>
      </c>
      <c r="AR54" s="32">
        <v>1</v>
      </c>
      <c r="AS54" s="32"/>
      <c r="AT54" s="32">
        <v>1</v>
      </c>
      <c r="AU54" s="30"/>
      <c r="AV54" s="30"/>
      <c r="AW54" s="30"/>
      <c r="AX54" s="30" t="s">
        <v>9611</v>
      </c>
      <c r="AY54" s="30"/>
      <c r="AZ54" s="94" t="s">
        <v>4783</v>
      </c>
    </row>
    <row r="55" spans="1:52" ht="16.5">
      <c r="A55" s="30" t="s">
        <v>9643</v>
      </c>
      <c r="B55" s="30" t="s">
        <v>4398</v>
      </c>
      <c r="C55" s="30" t="s">
        <v>73</v>
      </c>
      <c r="D55" s="30" t="s">
        <v>9628</v>
      </c>
      <c r="E55" s="260" t="s">
        <v>9644</v>
      </c>
      <c r="F55" s="30" t="s">
        <v>9645</v>
      </c>
      <c r="G55" s="30" t="s">
        <v>165</v>
      </c>
      <c r="H55" s="30" t="s">
        <v>165</v>
      </c>
      <c r="I55" s="30" t="s">
        <v>9528</v>
      </c>
      <c r="J55" s="30" t="s">
        <v>9281</v>
      </c>
      <c r="K55" s="32">
        <v>7.21</v>
      </c>
      <c r="L55" s="30" t="s">
        <v>73</v>
      </c>
      <c r="M55" s="30" t="s">
        <v>9588</v>
      </c>
      <c r="N55" s="30" t="s">
        <v>9646</v>
      </c>
      <c r="O55" s="27" t="s">
        <v>9647</v>
      </c>
      <c r="P55" s="30"/>
      <c r="Q55" s="95">
        <v>4</v>
      </c>
      <c r="R55" s="96" t="s">
        <v>4409</v>
      </c>
      <c r="S55" s="96" t="s">
        <v>9648</v>
      </c>
      <c r="T55" s="30" t="s">
        <v>88</v>
      </c>
      <c r="U55" s="30" t="s">
        <v>78</v>
      </c>
      <c r="V55" s="30" t="s">
        <v>89</v>
      </c>
      <c r="W55" s="38" t="s">
        <v>9544</v>
      </c>
      <c r="X55" s="26" t="s">
        <v>4412</v>
      </c>
      <c r="Y55" s="26" t="s">
        <v>91</v>
      </c>
      <c r="Z55" s="26" t="s">
        <v>91</v>
      </c>
      <c r="AA55" s="30"/>
      <c r="AB55" s="93" t="s">
        <v>11</v>
      </c>
      <c r="AC55" s="30" t="s">
        <v>172</v>
      </c>
      <c r="AD55" s="25" t="s">
        <v>7629</v>
      </c>
      <c r="AE55" s="25" t="s">
        <v>172</v>
      </c>
      <c r="AF55" s="26" t="s">
        <v>175</v>
      </c>
      <c r="AG55" s="32">
        <f t="shared" si="2"/>
        <v>1</v>
      </c>
      <c r="AH55" s="32">
        <v>1</v>
      </c>
      <c r="AI55" s="32"/>
      <c r="AJ55" s="32">
        <v>1</v>
      </c>
      <c r="AK55" s="30"/>
      <c r="AL55" s="32">
        <f t="shared" si="3"/>
        <v>1</v>
      </c>
      <c r="AM55" s="30"/>
      <c r="AN55" s="32">
        <v>1</v>
      </c>
      <c r="AO55" s="32"/>
      <c r="AP55" s="32">
        <v>1</v>
      </c>
      <c r="AQ55" s="32">
        <v>1</v>
      </c>
      <c r="AR55" s="32">
        <v>1</v>
      </c>
      <c r="AS55" s="32"/>
      <c r="AT55" s="32">
        <v>1</v>
      </c>
      <c r="AU55" s="30"/>
      <c r="AV55" s="30"/>
      <c r="AW55" s="30"/>
      <c r="AX55" s="30" t="s">
        <v>9602</v>
      </c>
      <c r="AY55" s="30"/>
      <c r="AZ55" s="94" t="s">
        <v>9649</v>
      </c>
    </row>
    <row r="56" spans="1:52" ht="16.5">
      <c r="A56" s="30" t="s">
        <v>9650</v>
      </c>
      <c r="B56" s="30" t="s">
        <v>4398</v>
      </c>
      <c r="C56" s="30" t="s">
        <v>73</v>
      </c>
      <c r="D56" s="30" t="s">
        <v>9649</v>
      </c>
      <c r="E56" s="260" t="s">
        <v>9651</v>
      </c>
      <c r="F56" s="30" t="s">
        <v>9652</v>
      </c>
      <c r="G56" s="30" t="s">
        <v>165</v>
      </c>
      <c r="H56" s="30" t="s">
        <v>165</v>
      </c>
      <c r="I56" s="30" t="s">
        <v>9528</v>
      </c>
      <c r="J56" s="30" t="s">
        <v>9281</v>
      </c>
      <c r="K56" s="32">
        <v>7.21</v>
      </c>
      <c r="L56" s="30" t="s">
        <v>73</v>
      </c>
      <c r="M56" s="30" t="s">
        <v>9596</v>
      </c>
      <c r="N56" s="30" t="s">
        <v>9653</v>
      </c>
      <c r="O56" s="27" t="s">
        <v>9654</v>
      </c>
      <c r="P56" s="30"/>
      <c r="Q56" s="95">
        <v>4</v>
      </c>
      <c r="R56" s="96" t="s">
        <v>4409</v>
      </c>
      <c r="S56" s="96" t="s">
        <v>9655</v>
      </c>
      <c r="T56" s="30" t="s">
        <v>88</v>
      </c>
      <c r="U56" s="30" t="s">
        <v>78</v>
      </c>
      <c r="V56" s="30" t="s">
        <v>89</v>
      </c>
      <c r="W56" s="38" t="s">
        <v>9544</v>
      </c>
      <c r="X56" s="26" t="s">
        <v>4412</v>
      </c>
      <c r="Y56" s="26" t="s">
        <v>91</v>
      </c>
      <c r="Z56" s="26" t="s">
        <v>91</v>
      </c>
      <c r="AA56" s="30"/>
      <c r="AB56" s="93" t="s">
        <v>11</v>
      </c>
      <c r="AC56" s="30" t="s">
        <v>172</v>
      </c>
      <c r="AD56" s="25" t="s">
        <v>7629</v>
      </c>
      <c r="AE56" s="25" t="s">
        <v>172</v>
      </c>
      <c r="AF56" s="26" t="s">
        <v>175</v>
      </c>
      <c r="AG56" s="32">
        <f t="shared" si="2"/>
        <v>1</v>
      </c>
      <c r="AH56" s="32">
        <v>1</v>
      </c>
      <c r="AI56" s="32"/>
      <c r="AJ56" s="32">
        <v>1</v>
      </c>
      <c r="AK56" s="30"/>
      <c r="AL56" s="32">
        <f t="shared" si="3"/>
        <v>1</v>
      </c>
      <c r="AM56" s="30"/>
      <c r="AN56" s="32">
        <v>1</v>
      </c>
      <c r="AO56" s="32"/>
      <c r="AP56" s="32">
        <v>1</v>
      </c>
      <c r="AQ56" s="32">
        <v>1</v>
      </c>
      <c r="AR56" s="32">
        <v>1</v>
      </c>
      <c r="AS56" s="32"/>
      <c r="AT56" s="32">
        <v>1</v>
      </c>
      <c r="AU56" s="30"/>
      <c r="AV56" s="30"/>
      <c r="AW56" s="30"/>
      <c r="AX56" s="30" t="s">
        <v>9585</v>
      </c>
      <c r="AY56" s="30"/>
      <c r="AZ56" s="94" t="s">
        <v>9656</v>
      </c>
    </row>
    <row r="57" spans="1:52" ht="16.5">
      <c r="A57" s="30" t="s">
        <v>9657</v>
      </c>
      <c r="B57" s="30" t="s">
        <v>4398</v>
      </c>
      <c r="C57" s="30" t="s">
        <v>73</v>
      </c>
      <c r="D57" s="30" t="s">
        <v>9658</v>
      </c>
      <c r="E57" s="260" t="s">
        <v>9659</v>
      </c>
      <c r="F57" s="50" t="s">
        <v>9660</v>
      </c>
      <c r="G57" s="30" t="s">
        <v>165</v>
      </c>
      <c r="H57" s="30" t="s">
        <v>165</v>
      </c>
      <c r="I57" s="30" t="s">
        <v>9528</v>
      </c>
      <c r="J57" s="30" t="s">
        <v>9281</v>
      </c>
      <c r="K57" s="32">
        <v>7.21</v>
      </c>
      <c r="L57" s="30" t="s">
        <v>73</v>
      </c>
      <c r="M57" s="30" t="s">
        <v>9615</v>
      </c>
      <c r="N57" s="30" t="s">
        <v>9661</v>
      </c>
      <c r="O57" s="27" t="s">
        <v>9662</v>
      </c>
      <c r="P57" s="30"/>
      <c r="Q57" s="95">
        <v>4</v>
      </c>
      <c r="R57" s="96" t="s">
        <v>4409</v>
      </c>
      <c r="S57" s="96" t="s">
        <v>8070</v>
      </c>
      <c r="T57" s="30" t="s">
        <v>88</v>
      </c>
      <c r="U57" s="30" t="s">
        <v>78</v>
      </c>
      <c r="V57" s="30" t="s">
        <v>89</v>
      </c>
      <c r="W57" s="38" t="s">
        <v>9544</v>
      </c>
      <c r="X57" s="26" t="s">
        <v>4412</v>
      </c>
      <c r="Y57" s="26" t="s">
        <v>91</v>
      </c>
      <c r="Z57" s="26" t="s">
        <v>91</v>
      </c>
      <c r="AA57" s="30"/>
      <c r="AB57" s="93" t="s">
        <v>11</v>
      </c>
      <c r="AC57" s="30" t="s">
        <v>172</v>
      </c>
      <c r="AD57" s="25" t="s">
        <v>7629</v>
      </c>
      <c r="AE57" s="25" t="s">
        <v>172</v>
      </c>
      <c r="AF57" s="26" t="s">
        <v>175</v>
      </c>
      <c r="AG57" s="32">
        <f t="shared" si="2"/>
        <v>1</v>
      </c>
      <c r="AH57" s="32">
        <v>1</v>
      </c>
      <c r="AI57" s="32"/>
      <c r="AJ57" s="32">
        <v>1</v>
      </c>
      <c r="AK57" s="30"/>
      <c r="AL57" s="32">
        <f t="shared" si="3"/>
        <v>1</v>
      </c>
      <c r="AM57" s="30"/>
      <c r="AN57" s="32">
        <v>1</v>
      </c>
      <c r="AO57" s="32">
        <v>1</v>
      </c>
      <c r="AP57" s="32">
        <v>1</v>
      </c>
      <c r="AQ57" s="32">
        <v>1</v>
      </c>
      <c r="AR57" s="32">
        <v>1</v>
      </c>
      <c r="AS57" s="32"/>
      <c r="AT57" s="32">
        <v>1</v>
      </c>
      <c r="AU57" s="30" t="s">
        <v>9663</v>
      </c>
      <c r="AV57" s="30"/>
      <c r="AW57" s="30"/>
      <c r="AX57" s="30" t="s">
        <v>9576</v>
      </c>
      <c r="AY57" s="30"/>
      <c r="AZ57" s="94" t="s">
        <v>9658</v>
      </c>
    </row>
    <row r="58" spans="1:52" ht="16.5">
      <c r="A58" s="30" t="s">
        <v>9664</v>
      </c>
      <c r="B58" s="30" t="s">
        <v>4398</v>
      </c>
      <c r="C58" s="30" t="s">
        <v>73</v>
      </c>
      <c r="D58" s="30" t="s">
        <v>9656</v>
      </c>
      <c r="E58" s="260" t="s">
        <v>9665</v>
      </c>
      <c r="F58" s="30" t="s">
        <v>9666</v>
      </c>
      <c r="G58" s="30" t="s">
        <v>165</v>
      </c>
      <c r="H58" s="30" t="s">
        <v>165</v>
      </c>
      <c r="I58" s="30" t="s">
        <v>9528</v>
      </c>
      <c r="J58" s="30" t="s">
        <v>9281</v>
      </c>
      <c r="K58" s="32">
        <v>7.21</v>
      </c>
      <c r="L58" s="30" t="s">
        <v>73</v>
      </c>
      <c r="M58" s="30" t="s">
        <v>9606</v>
      </c>
      <c r="N58" s="30" t="s">
        <v>9667</v>
      </c>
      <c r="O58" s="27" t="s">
        <v>9668</v>
      </c>
      <c r="P58" s="30"/>
      <c r="Q58" s="95">
        <v>8</v>
      </c>
      <c r="R58" s="96" t="s">
        <v>9030</v>
      </c>
      <c r="S58" s="96" t="s">
        <v>9669</v>
      </c>
      <c r="T58" s="30" t="s">
        <v>88</v>
      </c>
      <c r="U58" s="30" t="s">
        <v>78</v>
      </c>
      <c r="V58" s="30" t="s">
        <v>89</v>
      </c>
      <c r="W58" s="38" t="s">
        <v>9544</v>
      </c>
      <c r="X58" s="26" t="s">
        <v>4412</v>
      </c>
      <c r="Y58" s="26" t="s">
        <v>91</v>
      </c>
      <c r="Z58" s="26" t="s">
        <v>91</v>
      </c>
      <c r="AA58" s="30"/>
      <c r="AB58" s="93" t="s">
        <v>11</v>
      </c>
      <c r="AC58" s="30" t="s">
        <v>172</v>
      </c>
      <c r="AD58" s="25" t="s">
        <v>7629</v>
      </c>
      <c r="AE58" s="25" t="s">
        <v>172</v>
      </c>
      <c r="AF58" s="26" t="s">
        <v>175</v>
      </c>
      <c r="AG58" s="32">
        <f t="shared" si="2"/>
        <v>1</v>
      </c>
      <c r="AH58" s="32">
        <v>1</v>
      </c>
      <c r="AI58" s="32"/>
      <c r="AJ58" s="32">
        <v>1</v>
      </c>
      <c r="AK58" s="30"/>
      <c r="AL58" s="32">
        <f t="shared" si="3"/>
        <v>1</v>
      </c>
      <c r="AM58" s="30"/>
      <c r="AN58" s="32">
        <v>1</v>
      </c>
      <c r="AO58" s="32"/>
      <c r="AP58" s="32">
        <v>1</v>
      </c>
      <c r="AQ58" s="32">
        <v>1</v>
      </c>
      <c r="AR58" s="32">
        <v>1</v>
      </c>
      <c r="AS58" s="32"/>
      <c r="AT58" s="32">
        <v>1</v>
      </c>
      <c r="AU58" s="30"/>
      <c r="AV58" s="30"/>
      <c r="AW58" s="30"/>
      <c r="AX58" s="30" t="s">
        <v>9567</v>
      </c>
      <c r="AY58" s="30"/>
      <c r="AZ58" s="94" t="s">
        <v>9638</v>
      </c>
    </row>
    <row r="59" spans="1:52" ht="16.5">
      <c r="A59" s="30" t="s">
        <v>9670</v>
      </c>
      <c r="B59" s="30" t="s">
        <v>4398</v>
      </c>
      <c r="C59" s="30" t="s">
        <v>68</v>
      </c>
      <c r="D59" s="30" t="s">
        <v>9571</v>
      </c>
      <c r="E59" s="260" t="s">
        <v>9671</v>
      </c>
      <c r="F59" s="30" t="s">
        <v>9672</v>
      </c>
      <c r="G59" s="30" t="s">
        <v>165</v>
      </c>
      <c r="H59" s="30" t="s">
        <v>165</v>
      </c>
      <c r="I59" s="30" t="s">
        <v>9528</v>
      </c>
      <c r="J59" s="30" t="s">
        <v>9281</v>
      </c>
      <c r="K59" s="32">
        <v>7.21</v>
      </c>
      <c r="L59" s="30" t="s">
        <v>73</v>
      </c>
      <c r="M59" s="30" t="s">
        <v>9673</v>
      </c>
      <c r="N59" s="30" t="s">
        <v>9674</v>
      </c>
      <c r="O59" s="27" t="s">
        <v>9675</v>
      </c>
      <c r="P59" s="30"/>
      <c r="Q59" s="92">
        <v>4</v>
      </c>
      <c r="R59" s="92">
        <v>16</v>
      </c>
      <c r="S59" s="92">
        <v>316.11</v>
      </c>
      <c r="T59" s="30" t="s">
        <v>88</v>
      </c>
      <c r="U59" s="30" t="s">
        <v>78</v>
      </c>
      <c r="V59" s="30" t="s">
        <v>89</v>
      </c>
      <c r="W59" s="38" t="s">
        <v>9544</v>
      </c>
      <c r="X59" s="26" t="s">
        <v>4412</v>
      </c>
      <c r="Y59" s="26" t="s">
        <v>91</v>
      </c>
      <c r="Z59" s="26" t="s">
        <v>91</v>
      </c>
      <c r="AA59" s="30"/>
      <c r="AB59" s="93" t="s">
        <v>11</v>
      </c>
      <c r="AC59" s="30" t="s">
        <v>172</v>
      </c>
      <c r="AD59" s="25" t="s">
        <v>172</v>
      </c>
      <c r="AE59" s="25" t="s">
        <v>174</v>
      </c>
      <c r="AF59" s="26" t="s">
        <v>175</v>
      </c>
      <c r="AG59" s="32">
        <f t="shared" si="2"/>
        <v>1</v>
      </c>
      <c r="AH59" s="32">
        <v>1</v>
      </c>
      <c r="AI59" s="32"/>
      <c r="AJ59" s="32">
        <v>1</v>
      </c>
      <c r="AK59" s="30"/>
      <c r="AL59" s="32">
        <f t="shared" si="3"/>
        <v>1</v>
      </c>
      <c r="AM59" s="30"/>
      <c r="AN59" s="32">
        <v>1</v>
      </c>
      <c r="AO59" s="32"/>
      <c r="AP59" s="32">
        <v>1</v>
      </c>
      <c r="AQ59" s="32">
        <v>1</v>
      </c>
      <c r="AR59" s="32">
        <v>1</v>
      </c>
      <c r="AS59" s="32"/>
      <c r="AT59" s="32">
        <v>1</v>
      </c>
      <c r="AU59" s="30"/>
      <c r="AV59" s="30"/>
      <c r="AW59" s="30"/>
      <c r="AX59" s="30" t="s">
        <v>9549</v>
      </c>
      <c r="AY59" s="30"/>
      <c r="AZ59" s="94" t="s">
        <v>9630</v>
      </c>
    </row>
    <row r="60" spans="1:52" ht="16.5">
      <c r="A60" s="30" t="s">
        <v>9676</v>
      </c>
      <c r="B60" s="30" t="s">
        <v>4398</v>
      </c>
      <c r="C60" s="30" t="s">
        <v>73</v>
      </c>
      <c r="D60" s="30" t="s">
        <v>9636</v>
      </c>
      <c r="E60" s="260" t="s">
        <v>9677</v>
      </c>
      <c r="F60" s="30" t="s">
        <v>9678</v>
      </c>
      <c r="G60" s="30" t="s">
        <v>165</v>
      </c>
      <c r="H60" s="30" t="s">
        <v>165</v>
      </c>
      <c r="I60" s="30" t="s">
        <v>9528</v>
      </c>
      <c r="J60" s="30" t="s">
        <v>9281</v>
      </c>
      <c r="K60" s="32">
        <v>7.21</v>
      </c>
      <c r="L60" s="30" t="s">
        <v>73</v>
      </c>
      <c r="M60" s="30" t="s">
        <v>9679</v>
      </c>
      <c r="N60" s="30" t="s">
        <v>9680</v>
      </c>
      <c r="O60" s="27" t="s">
        <v>9681</v>
      </c>
      <c r="P60" s="30"/>
      <c r="Q60" s="95">
        <v>4</v>
      </c>
      <c r="R60" s="96" t="s">
        <v>4409</v>
      </c>
      <c r="S60" s="96" t="s">
        <v>9682</v>
      </c>
      <c r="T60" s="30" t="s">
        <v>88</v>
      </c>
      <c r="U60" s="30" t="s">
        <v>78</v>
      </c>
      <c r="V60" s="30" t="s">
        <v>89</v>
      </c>
      <c r="W60" s="38" t="s">
        <v>9544</v>
      </c>
      <c r="X60" s="26" t="s">
        <v>4412</v>
      </c>
      <c r="Y60" s="26" t="s">
        <v>91</v>
      </c>
      <c r="Z60" s="26" t="s">
        <v>91</v>
      </c>
      <c r="AA60" s="30"/>
      <c r="AB60" s="93" t="s">
        <v>11</v>
      </c>
      <c r="AC60" s="30" t="s">
        <v>172</v>
      </c>
      <c r="AD60" s="25" t="s">
        <v>7629</v>
      </c>
      <c r="AE60" s="25" t="s">
        <v>172</v>
      </c>
      <c r="AF60" s="26" t="s">
        <v>175</v>
      </c>
      <c r="AG60" s="32">
        <f t="shared" si="2"/>
        <v>1</v>
      </c>
      <c r="AH60" s="32">
        <v>1</v>
      </c>
      <c r="AI60" s="32"/>
      <c r="AJ60" s="32">
        <v>1</v>
      </c>
      <c r="AK60" s="30"/>
      <c r="AL60" s="32">
        <f t="shared" si="3"/>
        <v>1</v>
      </c>
      <c r="AM60" s="30"/>
      <c r="AN60" s="32">
        <v>1</v>
      </c>
      <c r="AO60" s="32"/>
      <c r="AP60" s="32">
        <v>1</v>
      </c>
      <c r="AQ60" s="32">
        <v>1</v>
      </c>
      <c r="AR60" s="32">
        <v>1</v>
      </c>
      <c r="AS60" s="32"/>
      <c r="AT60" s="32">
        <v>1</v>
      </c>
      <c r="AU60" s="30"/>
      <c r="AV60" s="30"/>
      <c r="AW60" s="30"/>
      <c r="AX60" s="30" t="s">
        <v>9683</v>
      </c>
      <c r="AY60" s="30"/>
      <c r="AZ60" s="94" t="s">
        <v>9555</v>
      </c>
    </row>
    <row r="61" spans="1:52" ht="16.5">
      <c r="A61" s="30" t="s">
        <v>9684</v>
      </c>
      <c r="B61" s="30" t="s">
        <v>4398</v>
      </c>
      <c r="C61" s="30" t="s">
        <v>68</v>
      </c>
      <c r="D61" s="30" t="s">
        <v>9597</v>
      </c>
      <c r="E61" s="260" t="s">
        <v>9685</v>
      </c>
      <c r="F61" s="30" t="s">
        <v>9686</v>
      </c>
      <c r="G61" s="30" t="s">
        <v>165</v>
      </c>
      <c r="H61" s="30" t="s">
        <v>165</v>
      </c>
      <c r="I61" s="30" t="s">
        <v>9528</v>
      </c>
      <c r="J61" s="30" t="s">
        <v>9281</v>
      </c>
      <c r="K61" s="32">
        <v>7.21</v>
      </c>
      <c r="L61" s="30" t="s">
        <v>73</v>
      </c>
      <c r="M61" s="30" t="s">
        <v>9579</v>
      </c>
      <c r="N61" s="30" t="s">
        <v>9687</v>
      </c>
      <c r="O61" s="27" t="s">
        <v>9688</v>
      </c>
      <c r="P61" s="30"/>
      <c r="Q61" s="92">
        <v>4</v>
      </c>
      <c r="R61" s="92">
        <v>16</v>
      </c>
      <c r="S61" s="92">
        <v>266.13</v>
      </c>
      <c r="T61" s="30" t="s">
        <v>88</v>
      </c>
      <c r="U61" s="30" t="s">
        <v>78</v>
      </c>
      <c r="V61" s="30" t="s">
        <v>89</v>
      </c>
      <c r="W61" s="38" t="s">
        <v>9544</v>
      </c>
      <c r="X61" s="26" t="s">
        <v>4412</v>
      </c>
      <c r="Y61" s="26" t="s">
        <v>91</v>
      </c>
      <c r="Z61" s="26" t="s">
        <v>91</v>
      </c>
      <c r="AA61" s="30"/>
      <c r="AB61" s="93" t="s">
        <v>11</v>
      </c>
      <c r="AC61" s="30" t="s">
        <v>172</v>
      </c>
      <c r="AD61" s="25" t="s">
        <v>172</v>
      </c>
      <c r="AE61" s="25" t="s">
        <v>174</v>
      </c>
      <c r="AF61" s="26" t="s">
        <v>175</v>
      </c>
      <c r="AG61" s="32">
        <f t="shared" si="2"/>
        <v>1</v>
      </c>
      <c r="AH61" s="32">
        <v>1</v>
      </c>
      <c r="AI61" s="32"/>
      <c r="AJ61" s="32">
        <v>1</v>
      </c>
      <c r="AK61" s="30"/>
      <c r="AL61" s="32">
        <f t="shared" si="3"/>
        <v>1</v>
      </c>
      <c r="AM61" s="30"/>
      <c r="AN61" s="32">
        <v>1</v>
      </c>
      <c r="AO61" s="32"/>
      <c r="AP61" s="32">
        <v>1</v>
      </c>
      <c r="AQ61" s="32">
        <v>1</v>
      </c>
      <c r="AR61" s="32">
        <v>1</v>
      </c>
      <c r="AS61" s="32"/>
      <c r="AT61" s="32">
        <v>1</v>
      </c>
      <c r="AU61" s="30"/>
      <c r="AV61" s="30"/>
      <c r="AW61" s="30"/>
      <c r="AX61" s="30" t="s">
        <v>9689</v>
      </c>
      <c r="AY61" s="30"/>
      <c r="AZ61" s="94" t="s">
        <v>9608</v>
      </c>
    </row>
    <row r="62" spans="1:52" ht="16.5">
      <c r="A62" s="30" t="s">
        <v>9690</v>
      </c>
      <c r="B62" s="30" t="s">
        <v>4398</v>
      </c>
      <c r="C62" s="30" t="s">
        <v>68</v>
      </c>
      <c r="D62" s="30" t="s">
        <v>9691</v>
      </c>
      <c r="E62" s="260" t="s">
        <v>9692</v>
      </c>
      <c r="F62" s="30" t="s">
        <v>9693</v>
      </c>
      <c r="G62" s="30" t="s">
        <v>165</v>
      </c>
      <c r="H62" s="30" t="s">
        <v>165</v>
      </c>
      <c r="I62" s="30" t="s">
        <v>9528</v>
      </c>
      <c r="J62" s="30" t="s">
        <v>9281</v>
      </c>
      <c r="K62" s="34" t="s">
        <v>166</v>
      </c>
      <c r="L62" s="30" t="s">
        <v>73</v>
      </c>
      <c r="M62" s="30" t="s">
        <v>9694</v>
      </c>
      <c r="N62" s="30" t="s">
        <v>9695</v>
      </c>
      <c r="O62" s="27" t="s">
        <v>9696</v>
      </c>
      <c r="P62" s="30"/>
      <c r="Q62" s="92" t="e">
        <v>#N/A</v>
      </c>
      <c r="R62" s="92" t="e">
        <v>#N/A</v>
      </c>
      <c r="S62" s="92" t="e">
        <v>#N/A</v>
      </c>
      <c r="T62" s="30" t="s">
        <v>88</v>
      </c>
      <c r="U62" s="30" t="s">
        <v>78</v>
      </c>
      <c r="V62" s="30" t="s">
        <v>89</v>
      </c>
      <c r="W62" s="38" t="s">
        <v>9697</v>
      </c>
      <c r="X62" s="26" t="s">
        <v>4412</v>
      </c>
      <c r="Y62" s="26" t="s">
        <v>91</v>
      </c>
      <c r="Z62" s="26" t="s">
        <v>91</v>
      </c>
      <c r="AA62" s="30"/>
      <c r="AB62" s="30"/>
      <c r="AC62" s="30" t="s">
        <v>172</v>
      </c>
      <c r="AD62" s="25" t="s">
        <v>172</v>
      </c>
      <c r="AE62" s="25" t="s">
        <v>174</v>
      </c>
      <c r="AF62" s="30"/>
      <c r="AG62" s="32">
        <f t="shared" si="2"/>
        <v>0</v>
      </c>
      <c r="AH62" s="32"/>
      <c r="AI62" s="32"/>
      <c r="AJ62" s="32"/>
      <c r="AK62" s="30"/>
      <c r="AL62" s="32"/>
      <c r="AM62" s="30"/>
      <c r="AN62" s="32"/>
      <c r="AO62" s="32"/>
      <c r="AP62" s="32"/>
      <c r="AQ62" s="32"/>
      <c r="AR62" s="32"/>
      <c r="AS62" s="30"/>
      <c r="AT62" s="32"/>
      <c r="AU62" s="30"/>
      <c r="AV62" s="30"/>
      <c r="AW62" s="30"/>
      <c r="AX62" s="30"/>
      <c r="AY62" s="30"/>
      <c r="AZ62" s="94" t="s">
        <v>9599</v>
      </c>
    </row>
    <row r="63" spans="1:52" ht="16.5">
      <c r="A63" s="30" t="s">
        <v>9698</v>
      </c>
      <c r="B63" s="30" t="s">
        <v>4398</v>
      </c>
      <c r="C63" s="30" t="s">
        <v>68</v>
      </c>
      <c r="D63" s="30" t="s">
        <v>9699</v>
      </c>
      <c r="E63" s="260" t="s">
        <v>9700</v>
      </c>
      <c r="F63" s="30" t="s">
        <v>9701</v>
      </c>
      <c r="G63" s="30" t="s">
        <v>165</v>
      </c>
      <c r="H63" s="30" t="s">
        <v>165</v>
      </c>
      <c r="I63" s="30" t="s">
        <v>9528</v>
      </c>
      <c r="J63" s="30" t="s">
        <v>9281</v>
      </c>
      <c r="K63" s="32">
        <v>7.21</v>
      </c>
      <c r="L63" s="30" t="s">
        <v>73</v>
      </c>
      <c r="M63" s="30" t="s">
        <v>9702</v>
      </c>
      <c r="N63" s="30" t="s">
        <v>9703</v>
      </c>
      <c r="O63" s="27" t="s">
        <v>9704</v>
      </c>
      <c r="P63" s="30"/>
      <c r="Q63" s="92">
        <v>4</v>
      </c>
      <c r="R63" s="92">
        <v>16</v>
      </c>
      <c r="S63" s="92">
        <v>286.3</v>
      </c>
      <c r="T63" s="30" t="s">
        <v>88</v>
      </c>
      <c r="U63" s="30" t="s">
        <v>78</v>
      </c>
      <c r="V63" s="30" t="s">
        <v>89</v>
      </c>
      <c r="W63" s="38" t="s">
        <v>9697</v>
      </c>
      <c r="X63" s="26" t="s">
        <v>4412</v>
      </c>
      <c r="Y63" s="26" t="s">
        <v>91</v>
      </c>
      <c r="Z63" s="26" t="s">
        <v>91</v>
      </c>
      <c r="AA63" s="30"/>
      <c r="AB63" s="93" t="s">
        <v>13</v>
      </c>
      <c r="AC63" s="30" t="s">
        <v>172</v>
      </c>
      <c r="AD63" s="25" t="s">
        <v>172</v>
      </c>
      <c r="AE63" s="25" t="s">
        <v>174</v>
      </c>
      <c r="AF63" s="26" t="s">
        <v>175</v>
      </c>
      <c r="AG63" s="32">
        <f t="shared" si="2"/>
        <v>1</v>
      </c>
      <c r="AH63" s="32">
        <v>1</v>
      </c>
      <c r="AI63" s="32"/>
      <c r="AJ63" s="32">
        <v>1</v>
      </c>
      <c r="AK63" s="30"/>
      <c r="AL63" s="32">
        <f t="shared" ref="AL63:AL94" si="4">IF(COUNTIF(AX:AX,"*"&amp;M63&amp;"*")&gt;0,1,0)</f>
        <v>1</v>
      </c>
      <c r="AM63" s="30"/>
      <c r="AN63" s="32"/>
      <c r="AO63" s="32"/>
      <c r="AP63" s="32">
        <v>1</v>
      </c>
      <c r="AQ63" s="32">
        <v>1</v>
      </c>
      <c r="AR63" s="32">
        <v>1</v>
      </c>
      <c r="AS63" s="25" t="s">
        <v>8933</v>
      </c>
      <c r="AT63" s="32">
        <v>1</v>
      </c>
      <c r="AU63" s="30"/>
      <c r="AV63" s="30"/>
      <c r="AW63" s="30"/>
      <c r="AX63" s="30" t="s">
        <v>9705</v>
      </c>
      <c r="AY63" s="30"/>
      <c r="AZ63" s="94" t="s">
        <v>9582</v>
      </c>
    </row>
    <row r="64" spans="1:52" ht="16.5">
      <c r="A64" s="30" t="s">
        <v>9706</v>
      </c>
      <c r="B64" s="30" t="s">
        <v>4398</v>
      </c>
      <c r="C64" s="30" t="s">
        <v>68</v>
      </c>
      <c r="D64" s="30" t="s">
        <v>9707</v>
      </c>
      <c r="E64" s="260" t="s">
        <v>9708</v>
      </c>
      <c r="F64" s="30" t="s">
        <v>9709</v>
      </c>
      <c r="G64" s="30" t="s">
        <v>165</v>
      </c>
      <c r="H64" s="30" t="s">
        <v>165</v>
      </c>
      <c r="I64" s="30" t="s">
        <v>9528</v>
      </c>
      <c r="J64" s="30" t="s">
        <v>9281</v>
      </c>
      <c r="K64" s="32">
        <v>7.21</v>
      </c>
      <c r="L64" s="30" t="s">
        <v>73</v>
      </c>
      <c r="M64" s="30" t="s">
        <v>9710</v>
      </c>
      <c r="N64" s="30" t="s">
        <v>9711</v>
      </c>
      <c r="O64" s="27" t="s">
        <v>9712</v>
      </c>
      <c r="P64" s="30"/>
      <c r="Q64" s="92">
        <v>8</v>
      </c>
      <c r="R64" s="92">
        <v>32</v>
      </c>
      <c r="S64" s="92">
        <v>302.20999999999998</v>
      </c>
      <c r="T64" s="30" t="s">
        <v>88</v>
      </c>
      <c r="U64" s="30" t="s">
        <v>78</v>
      </c>
      <c r="V64" s="30" t="s">
        <v>89</v>
      </c>
      <c r="W64" s="38" t="s">
        <v>9697</v>
      </c>
      <c r="X64" s="26" t="s">
        <v>4412</v>
      </c>
      <c r="Y64" s="26" t="s">
        <v>91</v>
      </c>
      <c r="Z64" s="26" t="s">
        <v>91</v>
      </c>
      <c r="AA64" s="30"/>
      <c r="AB64" s="93" t="s">
        <v>13</v>
      </c>
      <c r="AC64" s="30" t="s">
        <v>172</v>
      </c>
      <c r="AD64" s="25" t="s">
        <v>172</v>
      </c>
      <c r="AE64" s="25" t="s">
        <v>174</v>
      </c>
      <c r="AF64" s="26" t="s">
        <v>175</v>
      </c>
      <c r="AG64" s="32">
        <f t="shared" si="2"/>
        <v>1</v>
      </c>
      <c r="AH64" s="32">
        <v>1</v>
      </c>
      <c r="AI64" s="32"/>
      <c r="AJ64" s="32">
        <v>1</v>
      </c>
      <c r="AK64" s="30"/>
      <c r="AL64" s="32">
        <f t="shared" si="4"/>
        <v>1</v>
      </c>
      <c r="AM64" s="30"/>
      <c r="AN64" s="32"/>
      <c r="AO64" s="32"/>
      <c r="AP64" s="32">
        <v>1</v>
      </c>
      <c r="AQ64" s="32">
        <v>1</v>
      </c>
      <c r="AR64" s="32">
        <v>1</v>
      </c>
      <c r="AS64" s="32"/>
      <c r="AT64" s="32">
        <v>1</v>
      </c>
      <c r="AU64" s="30"/>
      <c r="AV64" s="30"/>
      <c r="AW64" s="30"/>
      <c r="AX64" s="30" t="s">
        <v>9713</v>
      </c>
      <c r="AY64" s="30"/>
      <c r="AZ64" s="94" t="s">
        <v>4738</v>
      </c>
    </row>
    <row r="65" spans="1:52" ht="16.5">
      <c r="A65" s="30" t="s">
        <v>9714</v>
      </c>
      <c r="B65" s="30" t="s">
        <v>4398</v>
      </c>
      <c r="C65" s="30" t="s">
        <v>68</v>
      </c>
      <c r="D65" s="30" t="s">
        <v>9715</v>
      </c>
      <c r="E65" s="260" t="s">
        <v>9716</v>
      </c>
      <c r="F65" s="30" t="s">
        <v>9717</v>
      </c>
      <c r="G65" s="30" t="s">
        <v>165</v>
      </c>
      <c r="H65" s="30" t="s">
        <v>165</v>
      </c>
      <c r="I65" s="30" t="s">
        <v>9528</v>
      </c>
      <c r="J65" s="30" t="s">
        <v>9281</v>
      </c>
      <c r="K65" s="32">
        <v>7.21</v>
      </c>
      <c r="L65" s="30" t="s">
        <v>73</v>
      </c>
      <c r="M65" s="30" t="s">
        <v>9718</v>
      </c>
      <c r="N65" s="30" t="s">
        <v>9719</v>
      </c>
      <c r="O65" s="27" t="s">
        <v>9720</v>
      </c>
      <c r="P65" s="30"/>
      <c r="Q65" s="92">
        <v>4</v>
      </c>
      <c r="R65" s="92">
        <v>16</v>
      </c>
      <c r="S65" s="92">
        <v>416.15</v>
      </c>
      <c r="T65" s="30" t="s">
        <v>88</v>
      </c>
      <c r="U65" s="30" t="s">
        <v>78</v>
      </c>
      <c r="V65" s="30" t="s">
        <v>89</v>
      </c>
      <c r="W65" s="38" t="s">
        <v>9697</v>
      </c>
      <c r="X65" s="26" t="s">
        <v>4412</v>
      </c>
      <c r="Y65" s="26" t="s">
        <v>91</v>
      </c>
      <c r="Z65" s="26" t="s">
        <v>91</v>
      </c>
      <c r="AA65" s="30"/>
      <c r="AB65" s="93" t="s">
        <v>13</v>
      </c>
      <c r="AC65" s="30" t="s">
        <v>172</v>
      </c>
      <c r="AD65" s="25" t="s">
        <v>172</v>
      </c>
      <c r="AE65" s="25" t="s">
        <v>174</v>
      </c>
      <c r="AF65" s="26" t="s">
        <v>175</v>
      </c>
      <c r="AG65" s="32">
        <f t="shared" si="2"/>
        <v>1</v>
      </c>
      <c r="AH65" s="32">
        <v>1</v>
      </c>
      <c r="AI65" s="32"/>
      <c r="AJ65" s="32">
        <v>1</v>
      </c>
      <c r="AK65" s="30"/>
      <c r="AL65" s="32">
        <f t="shared" si="4"/>
        <v>1</v>
      </c>
      <c r="AM65" s="30"/>
      <c r="AN65" s="32"/>
      <c r="AO65" s="32"/>
      <c r="AP65" s="32">
        <v>1</v>
      </c>
      <c r="AQ65" s="32">
        <v>1</v>
      </c>
      <c r="AR65" s="32">
        <v>1</v>
      </c>
      <c r="AS65" s="32"/>
      <c r="AT65" s="32">
        <v>1</v>
      </c>
      <c r="AU65" s="30"/>
      <c r="AV65" s="30"/>
      <c r="AW65" s="30"/>
      <c r="AX65" s="30" t="s">
        <v>9721</v>
      </c>
      <c r="AY65" s="30"/>
      <c r="AZ65" s="94" t="s">
        <v>9546</v>
      </c>
    </row>
    <row r="66" spans="1:52" ht="16.5">
      <c r="A66" s="30" t="s">
        <v>9722</v>
      </c>
      <c r="B66" s="30" t="s">
        <v>4398</v>
      </c>
      <c r="C66" s="30" t="s">
        <v>68</v>
      </c>
      <c r="D66" s="30" t="s">
        <v>9723</v>
      </c>
      <c r="E66" s="260" t="s">
        <v>9724</v>
      </c>
      <c r="F66" s="30" t="s">
        <v>9725</v>
      </c>
      <c r="G66" s="30" t="s">
        <v>165</v>
      </c>
      <c r="H66" s="30" t="s">
        <v>165</v>
      </c>
      <c r="I66" s="30" t="s">
        <v>9528</v>
      </c>
      <c r="J66" s="30" t="s">
        <v>9281</v>
      </c>
      <c r="K66" s="32">
        <v>7.21</v>
      </c>
      <c r="L66" s="30" t="s">
        <v>73</v>
      </c>
      <c r="M66" s="30" t="s">
        <v>9726</v>
      </c>
      <c r="N66" s="30" t="s">
        <v>9727</v>
      </c>
      <c r="O66" s="27" t="s">
        <v>9728</v>
      </c>
      <c r="P66" s="30"/>
      <c r="Q66" s="92">
        <v>4</v>
      </c>
      <c r="R66" s="92">
        <v>16</v>
      </c>
      <c r="S66" s="92">
        <v>266.14</v>
      </c>
      <c r="T66" s="30" t="s">
        <v>88</v>
      </c>
      <c r="U66" s="30" t="s">
        <v>78</v>
      </c>
      <c r="V66" s="30" t="s">
        <v>89</v>
      </c>
      <c r="W66" s="38" t="s">
        <v>9697</v>
      </c>
      <c r="X66" s="26" t="s">
        <v>4412</v>
      </c>
      <c r="Y66" s="26" t="s">
        <v>91</v>
      </c>
      <c r="Z66" s="26" t="s">
        <v>91</v>
      </c>
      <c r="AA66" s="30"/>
      <c r="AB66" s="93" t="s">
        <v>13</v>
      </c>
      <c r="AC66" s="30" t="s">
        <v>172</v>
      </c>
      <c r="AD66" s="25" t="s">
        <v>172</v>
      </c>
      <c r="AE66" s="25" t="s">
        <v>174</v>
      </c>
      <c r="AF66" s="26" t="s">
        <v>175</v>
      </c>
      <c r="AG66" s="32">
        <f t="shared" si="2"/>
        <v>1</v>
      </c>
      <c r="AH66" s="32">
        <v>1</v>
      </c>
      <c r="AI66" s="32"/>
      <c r="AJ66" s="32">
        <v>1</v>
      </c>
      <c r="AK66" s="30"/>
      <c r="AL66" s="32">
        <f t="shared" si="4"/>
        <v>1</v>
      </c>
      <c r="AM66" s="30"/>
      <c r="AN66" s="32"/>
      <c r="AO66" s="32"/>
      <c r="AP66" s="32">
        <v>1</v>
      </c>
      <c r="AQ66" s="32">
        <v>1</v>
      </c>
      <c r="AR66" s="32">
        <v>1</v>
      </c>
      <c r="AS66" s="32"/>
      <c r="AT66" s="32">
        <v>1</v>
      </c>
      <c r="AU66" s="30"/>
      <c r="AV66" s="30"/>
      <c r="AW66" s="30"/>
      <c r="AX66" s="30" t="s">
        <v>9729</v>
      </c>
      <c r="AY66" s="30"/>
      <c r="AZ66" s="94" t="s">
        <v>4701</v>
      </c>
    </row>
    <row r="67" spans="1:52" ht="16.5">
      <c r="A67" s="30" t="s">
        <v>9730</v>
      </c>
      <c r="B67" s="30" t="s">
        <v>4398</v>
      </c>
      <c r="C67" s="30" t="s">
        <v>68</v>
      </c>
      <c r="D67" s="30" t="s">
        <v>9731</v>
      </c>
      <c r="E67" s="260" t="s">
        <v>9732</v>
      </c>
      <c r="F67" s="30" t="s">
        <v>9733</v>
      </c>
      <c r="G67" s="30" t="s">
        <v>165</v>
      </c>
      <c r="H67" s="30" t="s">
        <v>165</v>
      </c>
      <c r="I67" s="30" t="s">
        <v>9528</v>
      </c>
      <c r="J67" s="30" t="s">
        <v>9281</v>
      </c>
      <c r="K67" s="32">
        <v>7.21</v>
      </c>
      <c r="L67" s="30" t="s">
        <v>73</v>
      </c>
      <c r="M67" s="30" t="s">
        <v>9729</v>
      </c>
      <c r="N67" s="30" t="s">
        <v>9734</v>
      </c>
      <c r="O67" s="27" t="s">
        <v>9735</v>
      </c>
      <c r="P67" s="30"/>
      <c r="Q67" s="92">
        <v>4</v>
      </c>
      <c r="R67" s="92">
        <v>16</v>
      </c>
      <c r="S67" s="92">
        <v>267.83999999999997</v>
      </c>
      <c r="T67" s="30" t="s">
        <v>88</v>
      </c>
      <c r="U67" s="30" t="s">
        <v>78</v>
      </c>
      <c r="V67" s="30" t="s">
        <v>89</v>
      </c>
      <c r="W67" s="38" t="s">
        <v>9697</v>
      </c>
      <c r="X67" s="26" t="s">
        <v>4412</v>
      </c>
      <c r="Y67" s="26" t="s">
        <v>91</v>
      </c>
      <c r="Z67" s="26" t="s">
        <v>91</v>
      </c>
      <c r="AA67" s="30"/>
      <c r="AB67" s="93" t="s">
        <v>13</v>
      </c>
      <c r="AC67" s="30" t="s">
        <v>172</v>
      </c>
      <c r="AD67" s="25" t="s">
        <v>172</v>
      </c>
      <c r="AE67" s="25" t="s">
        <v>174</v>
      </c>
      <c r="AF67" s="26" t="s">
        <v>175</v>
      </c>
      <c r="AG67" s="32">
        <f t="shared" ref="AG67:AG98" si="5">IF(COUNTIF(AZ:AZ,D67)&gt;0,1,0)</f>
        <v>1</v>
      </c>
      <c r="AH67" s="32">
        <v>1</v>
      </c>
      <c r="AI67" s="32"/>
      <c r="AJ67" s="32">
        <v>1</v>
      </c>
      <c r="AK67" s="30"/>
      <c r="AL67" s="32">
        <f t="shared" si="4"/>
        <v>1</v>
      </c>
      <c r="AM67" s="30"/>
      <c r="AN67" s="32"/>
      <c r="AO67" s="32"/>
      <c r="AP67" s="32">
        <v>1</v>
      </c>
      <c r="AQ67" s="32">
        <v>1</v>
      </c>
      <c r="AR67" s="32">
        <v>1</v>
      </c>
      <c r="AS67" s="32"/>
      <c r="AT67" s="32">
        <v>1</v>
      </c>
      <c r="AU67" s="30"/>
      <c r="AV67" s="30"/>
      <c r="AW67" s="30"/>
      <c r="AX67" s="30" t="s">
        <v>9726</v>
      </c>
      <c r="AY67" s="30"/>
      <c r="AZ67" s="75" t="s">
        <v>812</v>
      </c>
    </row>
    <row r="68" spans="1:52" ht="16.5">
      <c r="A68" s="30" t="s">
        <v>9736</v>
      </c>
      <c r="B68" s="30" t="s">
        <v>4398</v>
      </c>
      <c r="C68" s="30" t="s">
        <v>68</v>
      </c>
      <c r="D68" s="30" t="s">
        <v>9737</v>
      </c>
      <c r="E68" s="260" t="s">
        <v>9738</v>
      </c>
      <c r="F68" s="30" t="s">
        <v>9739</v>
      </c>
      <c r="G68" s="30" t="s">
        <v>165</v>
      </c>
      <c r="H68" s="30" t="s">
        <v>165</v>
      </c>
      <c r="I68" s="30" t="s">
        <v>9528</v>
      </c>
      <c r="J68" s="30" t="s">
        <v>9281</v>
      </c>
      <c r="K68" s="32">
        <v>7.21</v>
      </c>
      <c r="L68" s="30" t="s">
        <v>73</v>
      </c>
      <c r="M68" s="30" t="s">
        <v>9721</v>
      </c>
      <c r="N68" s="30" t="s">
        <v>9740</v>
      </c>
      <c r="O68" s="27" t="s">
        <v>9741</v>
      </c>
      <c r="P68" s="30"/>
      <c r="Q68" s="92">
        <v>4</v>
      </c>
      <c r="R68" s="92">
        <v>16</v>
      </c>
      <c r="S68" s="92">
        <v>266.17</v>
      </c>
      <c r="T68" s="30" t="s">
        <v>88</v>
      </c>
      <c r="U68" s="30" t="s">
        <v>78</v>
      </c>
      <c r="V68" s="30" t="s">
        <v>89</v>
      </c>
      <c r="W68" s="38" t="s">
        <v>9697</v>
      </c>
      <c r="X68" s="26" t="s">
        <v>4412</v>
      </c>
      <c r="Y68" s="26" t="s">
        <v>91</v>
      </c>
      <c r="Z68" s="26" t="s">
        <v>91</v>
      </c>
      <c r="AA68" s="30"/>
      <c r="AB68" s="93" t="s">
        <v>13</v>
      </c>
      <c r="AC68" s="30" t="s">
        <v>172</v>
      </c>
      <c r="AD68" s="25" t="s">
        <v>172</v>
      </c>
      <c r="AE68" s="25" t="s">
        <v>174</v>
      </c>
      <c r="AF68" s="26" t="s">
        <v>175</v>
      </c>
      <c r="AG68" s="32">
        <f t="shared" si="5"/>
        <v>1</v>
      </c>
      <c r="AH68" s="32">
        <v>1</v>
      </c>
      <c r="AI68" s="32"/>
      <c r="AJ68" s="32">
        <v>1</v>
      </c>
      <c r="AK68" s="30"/>
      <c r="AL68" s="32">
        <f t="shared" si="4"/>
        <v>1</v>
      </c>
      <c r="AM68" s="30"/>
      <c r="AN68" s="32"/>
      <c r="AO68" s="32"/>
      <c r="AP68" s="32">
        <v>1</v>
      </c>
      <c r="AQ68" s="32">
        <v>1</v>
      </c>
      <c r="AR68" s="32">
        <v>1</v>
      </c>
      <c r="AS68" s="32"/>
      <c r="AT68" s="32">
        <v>1</v>
      </c>
      <c r="AU68" s="30"/>
      <c r="AV68" s="30"/>
      <c r="AW68" s="30"/>
      <c r="AX68" s="30" t="s">
        <v>9679</v>
      </c>
      <c r="AY68" s="30"/>
      <c r="AZ68" s="94" t="s">
        <v>7178</v>
      </c>
    </row>
    <row r="69" spans="1:52" ht="16.5">
      <c r="A69" s="30" t="s">
        <v>9742</v>
      </c>
      <c r="B69" s="30" t="s">
        <v>4398</v>
      </c>
      <c r="C69" s="30" t="s">
        <v>68</v>
      </c>
      <c r="D69" s="30" t="s">
        <v>9743</v>
      </c>
      <c r="E69" s="260" t="s">
        <v>9744</v>
      </c>
      <c r="F69" s="30" t="s">
        <v>9745</v>
      </c>
      <c r="G69" s="30" t="s">
        <v>165</v>
      </c>
      <c r="H69" s="30" t="s">
        <v>165</v>
      </c>
      <c r="I69" s="30" t="s">
        <v>9528</v>
      </c>
      <c r="J69" s="30" t="s">
        <v>9281</v>
      </c>
      <c r="K69" s="32">
        <v>7.21</v>
      </c>
      <c r="L69" s="30" t="s">
        <v>73</v>
      </c>
      <c r="M69" s="30" t="s">
        <v>9713</v>
      </c>
      <c r="N69" s="30" t="s">
        <v>9746</v>
      </c>
      <c r="O69" s="27" t="s">
        <v>9747</v>
      </c>
      <c r="P69" s="30"/>
      <c r="Q69" s="92">
        <v>4</v>
      </c>
      <c r="R69" s="92">
        <v>16</v>
      </c>
      <c r="S69" s="92">
        <v>266.12</v>
      </c>
      <c r="T69" s="30" t="s">
        <v>88</v>
      </c>
      <c r="U69" s="30" t="s">
        <v>78</v>
      </c>
      <c r="V69" s="30" t="s">
        <v>89</v>
      </c>
      <c r="W69" s="38" t="s">
        <v>9697</v>
      </c>
      <c r="X69" s="26" t="s">
        <v>4412</v>
      </c>
      <c r="Y69" s="26" t="s">
        <v>91</v>
      </c>
      <c r="Z69" s="26" t="s">
        <v>91</v>
      </c>
      <c r="AA69" s="30"/>
      <c r="AB69" s="93" t="s">
        <v>13</v>
      </c>
      <c r="AC69" s="30" t="s">
        <v>172</v>
      </c>
      <c r="AD69" s="25" t="s">
        <v>172</v>
      </c>
      <c r="AE69" s="25" t="s">
        <v>174</v>
      </c>
      <c r="AF69" s="26" t="s">
        <v>175</v>
      </c>
      <c r="AG69" s="32">
        <f t="shared" si="5"/>
        <v>1</v>
      </c>
      <c r="AH69" s="32">
        <v>1</v>
      </c>
      <c r="AI69" s="32"/>
      <c r="AJ69" s="32">
        <v>1</v>
      </c>
      <c r="AK69" s="30"/>
      <c r="AL69" s="32">
        <f t="shared" si="4"/>
        <v>1</v>
      </c>
      <c r="AM69" s="30"/>
      <c r="AN69" s="32"/>
      <c r="AO69" s="32"/>
      <c r="AP69" s="32">
        <v>1</v>
      </c>
      <c r="AQ69" s="32">
        <v>1</v>
      </c>
      <c r="AR69" s="32">
        <v>1</v>
      </c>
      <c r="AS69" s="32"/>
      <c r="AT69" s="32">
        <v>1</v>
      </c>
      <c r="AU69" s="30"/>
      <c r="AV69" s="30"/>
      <c r="AW69" s="30"/>
      <c r="AX69" s="30" t="s">
        <v>9748</v>
      </c>
      <c r="AY69" s="30"/>
      <c r="AZ69" s="94" t="s">
        <v>2427</v>
      </c>
    </row>
    <row r="70" spans="1:52" ht="16.5">
      <c r="A70" s="30" t="s">
        <v>9749</v>
      </c>
      <c r="B70" s="30" t="s">
        <v>4398</v>
      </c>
      <c r="C70" s="30" t="s">
        <v>68</v>
      </c>
      <c r="D70" s="30" t="s">
        <v>9750</v>
      </c>
      <c r="E70" s="260" t="s">
        <v>9751</v>
      </c>
      <c r="F70" s="30" t="s">
        <v>9752</v>
      </c>
      <c r="G70" s="30" t="s">
        <v>165</v>
      </c>
      <c r="H70" s="30" t="s">
        <v>165</v>
      </c>
      <c r="I70" s="30" t="s">
        <v>9528</v>
      </c>
      <c r="J70" s="30" t="s">
        <v>9281</v>
      </c>
      <c r="K70" s="32">
        <v>7.21</v>
      </c>
      <c r="L70" s="30" t="s">
        <v>73</v>
      </c>
      <c r="M70" s="30" t="s">
        <v>9753</v>
      </c>
      <c r="N70" s="30" t="s">
        <v>9754</v>
      </c>
      <c r="O70" s="27" t="s">
        <v>9755</v>
      </c>
      <c r="P70" s="30"/>
      <c r="Q70" s="92">
        <v>4</v>
      </c>
      <c r="R70" s="92">
        <v>16</v>
      </c>
      <c r="S70" s="92">
        <v>266.14</v>
      </c>
      <c r="T70" s="30" t="s">
        <v>88</v>
      </c>
      <c r="U70" s="30" t="s">
        <v>78</v>
      </c>
      <c r="V70" s="30" t="s">
        <v>89</v>
      </c>
      <c r="W70" s="38" t="s">
        <v>9697</v>
      </c>
      <c r="X70" s="26" t="s">
        <v>4412</v>
      </c>
      <c r="Y70" s="26" t="s">
        <v>91</v>
      </c>
      <c r="Z70" s="26" t="s">
        <v>91</v>
      </c>
      <c r="AA70" s="30"/>
      <c r="AB70" s="93" t="s">
        <v>13</v>
      </c>
      <c r="AC70" s="30" t="s">
        <v>172</v>
      </c>
      <c r="AD70" s="25" t="s">
        <v>172</v>
      </c>
      <c r="AE70" s="25" t="s">
        <v>174</v>
      </c>
      <c r="AF70" s="26" t="s">
        <v>175</v>
      </c>
      <c r="AG70" s="32">
        <f t="shared" si="5"/>
        <v>1</v>
      </c>
      <c r="AH70" s="32">
        <v>1</v>
      </c>
      <c r="AI70" s="32"/>
      <c r="AJ70" s="32">
        <v>1</v>
      </c>
      <c r="AK70" s="30"/>
      <c r="AL70" s="32">
        <f t="shared" si="4"/>
        <v>1</v>
      </c>
      <c r="AM70" s="30"/>
      <c r="AN70" s="32"/>
      <c r="AO70" s="32"/>
      <c r="AP70" s="32">
        <v>1</v>
      </c>
      <c r="AQ70" s="32">
        <v>1</v>
      </c>
      <c r="AR70" s="32">
        <v>1</v>
      </c>
      <c r="AS70" s="32"/>
      <c r="AT70" s="32">
        <v>1</v>
      </c>
      <c r="AU70" s="26" t="s">
        <v>9756</v>
      </c>
      <c r="AV70" s="30"/>
      <c r="AW70" s="30"/>
      <c r="AX70" s="30" t="s">
        <v>9757</v>
      </c>
      <c r="AY70" s="30"/>
      <c r="AZ70" s="94" t="s">
        <v>7778</v>
      </c>
    </row>
    <row r="71" spans="1:52" ht="16.5">
      <c r="A71" s="30" t="s">
        <v>9758</v>
      </c>
      <c r="B71" s="30" t="s">
        <v>4398</v>
      </c>
      <c r="C71" s="30" t="s">
        <v>68</v>
      </c>
      <c r="D71" s="30" t="s">
        <v>9759</v>
      </c>
      <c r="E71" s="260" t="s">
        <v>9760</v>
      </c>
      <c r="F71" s="30" t="s">
        <v>9761</v>
      </c>
      <c r="G71" s="30" t="s">
        <v>165</v>
      </c>
      <c r="H71" s="30" t="s">
        <v>165</v>
      </c>
      <c r="I71" s="30" t="s">
        <v>9528</v>
      </c>
      <c r="J71" s="30" t="s">
        <v>9281</v>
      </c>
      <c r="K71" s="32">
        <v>7.21</v>
      </c>
      <c r="L71" s="30" t="s">
        <v>73</v>
      </c>
      <c r="M71" s="30" t="s">
        <v>9762</v>
      </c>
      <c r="N71" s="30" t="s">
        <v>9763</v>
      </c>
      <c r="O71" s="27" t="s">
        <v>9764</v>
      </c>
      <c r="P71" s="30"/>
      <c r="Q71" s="92">
        <v>4</v>
      </c>
      <c r="R71" s="92">
        <v>16</v>
      </c>
      <c r="S71" s="92">
        <v>436.19</v>
      </c>
      <c r="T71" s="30" t="s">
        <v>88</v>
      </c>
      <c r="U71" s="30" t="s">
        <v>78</v>
      </c>
      <c r="V71" s="30" t="s">
        <v>89</v>
      </c>
      <c r="W71" s="38" t="s">
        <v>9697</v>
      </c>
      <c r="X71" s="26" t="s">
        <v>4412</v>
      </c>
      <c r="Y71" s="26" t="s">
        <v>91</v>
      </c>
      <c r="Z71" s="26" t="s">
        <v>91</v>
      </c>
      <c r="AA71" s="30"/>
      <c r="AB71" s="93" t="s">
        <v>13</v>
      </c>
      <c r="AC71" s="30" t="s">
        <v>172</v>
      </c>
      <c r="AD71" s="25" t="s">
        <v>172</v>
      </c>
      <c r="AE71" s="25" t="s">
        <v>174</v>
      </c>
      <c r="AF71" s="26" t="s">
        <v>175</v>
      </c>
      <c r="AG71" s="32">
        <f t="shared" si="5"/>
        <v>1</v>
      </c>
      <c r="AH71" s="32">
        <v>1</v>
      </c>
      <c r="AI71" s="32"/>
      <c r="AJ71" s="32">
        <v>1</v>
      </c>
      <c r="AK71" s="30"/>
      <c r="AL71" s="32">
        <f t="shared" si="4"/>
        <v>1</v>
      </c>
      <c r="AM71" s="30"/>
      <c r="AN71" s="32"/>
      <c r="AO71" s="32"/>
      <c r="AP71" s="32">
        <v>1</v>
      </c>
      <c r="AQ71" s="32">
        <v>1</v>
      </c>
      <c r="AR71" s="32">
        <v>1</v>
      </c>
      <c r="AS71" s="32"/>
      <c r="AT71" s="32">
        <v>1</v>
      </c>
      <c r="AU71" s="30"/>
      <c r="AV71" s="30"/>
      <c r="AW71" s="30"/>
      <c r="AX71" s="30" t="s">
        <v>9765</v>
      </c>
      <c r="AY71" s="30"/>
      <c r="AZ71" s="94" t="s">
        <v>9766</v>
      </c>
    </row>
    <row r="72" spans="1:52" ht="16.5">
      <c r="A72" s="30" t="s">
        <v>9767</v>
      </c>
      <c r="B72" s="30" t="s">
        <v>4398</v>
      </c>
      <c r="C72" s="30" t="s">
        <v>68</v>
      </c>
      <c r="D72" s="30" t="s">
        <v>9768</v>
      </c>
      <c r="E72" s="260" t="s">
        <v>9769</v>
      </c>
      <c r="F72" s="30" t="s">
        <v>9770</v>
      </c>
      <c r="G72" s="30" t="s">
        <v>165</v>
      </c>
      <c r="H72" s="30" t="s">
        <v>165</v>
      </c>
      <c r="I72" s="30" t="s">
        <v>9528</v>
      </c>
      <c r="J72" s="30" t="s">
        <v>9281</v>
      </c>
      <c r="K72" s="32">
        <v>7.21</v>
      </c>
      <c r="L72" s="30" t="s">
        <v>73</v>
      </c>
      <c r="M72" s="30" t="s">
        <v>9705</v>
      </c>
      <c r="N72" s="30" t="s">
        <v>9771</v>
      </c>
      <c r="O72" s="27" t="s">
        <v>9772</v>
      </c>
      <c r="P72" s="30"/>
      <c r="Q72" s="92">
        <v>4</v>
      </c>
      <c r="R72" s="92">
        <v>16</v>
      </c>
      <c r="S72" s="92">
        <v>266.26</v>
      </c>
      <c r="T72" s="30" t="s">
        <v>88</v>
      </c>
      <c r="U72" s="30" t="s">
        <v>78</v>
      </c>
      <c r="V72" s="30" t="s">
        <v>89</v>
      </c>
      <c r="W72" s="38" t="s">
        <v>9697</v>
      </c>
      <c r="X72" s="26" t="s">
        <v>4412</v>
      </c>
      <c r="Y72" s="26" t="s">
        <v>91</v>
      </c>
      <c r="Z72" s="26" t="s">
        <v>91</v>
      </c>
      <c r="AA72" s="30"/>
      <c r="AB72" s="93" t="s">
        <v>13</v>
      </c>
      <c r="AC72" s="30" t="s">
        <v>172</v>
      </c>
      <c r="AD72" s="25" t="s">
        <v>172</v>
      </c>
      <c r="AE72" s="25" t="s">
        <v>174</v>
      </c>
      <c r="AF72" s="26" t="s">
        <v>175</v>
      </c>
      <c r="AG72" s="32">
        <v>1</v>
      </c>
      <c r="AH72" s="32">
        <v>1</v>
      </c>
      <c r="AI72" s="32"/>
      <c r="AJ72" s="32">
        <v>1</v>
      </c>
      <c r="AK72" s="30"/>
      <c r="AL72" s="32">
        <f t="shared" si="4"/>
        <v>1</v>
      </c>
      <c r="AM72" s="30"/>
      <c r="AN72" s="32"/>
      <c r="AO72" s="32"/>
      <c r="AP72" s="32">
        <v>1</v>
      </c>
      <c r="AQ72" s="32">
        <v>1</v>
      </c>
      <c r="AR72" s="32">
        <v>1</v>
      </c>
      <c r="AS72" s="32"/>
      <c r="AT72" s="32">
        <v>1</v>
      </c>
      <c r="AU72" s="30"/>
      <c r="AV72" s="30"/>
      <c r="AW72" s="30"/>
      <c r="AX72" s="30" t="s">
        <v>9773</v>
      </c>
      <c r="AY72" s="30"/>
      <c r="AZ72" s="94" t="s">
        <v>9774</v>
      </c>
    </row>
    <row r="73" spans="1:52" ht="16.5">
      <c r="A73" s="30" t="s">
        <v>9775</v>
      </c>
      <c r="B73" s="30" t="s">
        <v>4398</v>
      </c>
      <c r="C73" s="30" t="s">
        <v>68</v>
      </c>
      <c r="D73" s="30" t="s">
        <v>9776</v>
      </c>
      <c r="E73" s="260" t="s">
        <v>9777</v>
      </c>
      <c r="F73" s="30" t="s">
        <v>9778</v>
      </c>
      <c r="G73" s="30" t="s">
        <v>165</v>
      </c>
      <c r="H73" s="30" t="s">
        <v>165</v>
      </c>
      <c r="I73" s="30" t="s">
        <v>9528</v>
      </c>
      <c r="J73" s="30" t="s">
        <v>9281</v>
      </c>
      <c r="K73" s="32">
        <v>7.21</v>
      </c>
      <c r="L73" s="30" t="s">
        <v>73</v>
      </c>
      <c r="M73" s="30" t="s">
        <v>9779</v>
      </c>
      <c r="N73" s="30" t="s">
        <v>9780</v>
      </c>
      <c r="O73" s="27" t="s">
        <v>9781</v>
      </c>
      <c r="P73" s="30"/>
      <c r="Q73" s="92">
        <v>4</v>
      </c>
      <c r="R73" s="92">
        <v>16</v>
      </c>
      <c r="S73" s="92">
        <v>286.11</v>
      </c>
      <c r="T73" s="30" t="s">
        <v>88</v>
      </c>
      <c r="U73" s="30" t="s">
        <v>78</v>
      </c>
      <c r="V73" s="30" t="s">
        <v>89</v>
      </c>
      <c r="W73" s="38" t="s">
        <v>9697</v>
      </c>
      <c r="X73" s="26" t="s">
        <v>4412</v>
      </c>
      <c r="Y73" s="26" t="s">
        <v>91</v>
      </c>
      <c r="Z73" s="26" t="s">
        <v>91</v>
      </c>
      <c r="AA73" s="30"/>
      <c r="AB73" s="93" t="s">
        <v>13</v>
      </c>
      <c r="AC73" s="30" t="s">
        <v>172</v>
      </c>
      <c r="AD73" s="25" t="s">
        <v>172</v>
      </c>
      <c r="AE73" s="25" t="s">
        <v>174</v>
      </c>
      <c r="AF73" s="26" t="s">
        <v>175</v>
      </c>
      <c r="AG73" s="32">
        <f t="shared" si="5"/>
        <v>1</v>
      </c>
      <c r="AH73" s="32">
        <v>1</v>
      </c>
      <c r="AI73" s="32"/>
      <c r="AJ73" s="32">
        <v>1</v>
      </c>
      <c r="AK73" s="30"/>
      <c r="AL73" s="32">
        <f t="shared" si="4"/>
        <v>1</v>
      </c>
      <c r="AM73" s="30"/>
      <c r="AN73" s="32"/>
      <c r="AO73" s="32"/>
      <c r="AP73" s="32">
        <v>1</v>
      </c>
      <c r="AQ73" s="32">
        <v>1</v>
      </c>
      <c r="AR73" s="32">
        <v>1</v>
      </c>
      <c r="AS73" s="32"/>
      <c r="AT73" s="32">
        <v>1</v>
      </c>
      <c r="AU73" s="30"/>
      <c r="AV73" s="30"/>
      <c r="AW73" s="30"/>
      <c r="AX73" s="30" t="s">
        <v>9673</v>
      </c>
      <c r="AY73" s="30"/>
      <c r="AZ73" s="94" t="s">
        <v>9782</v>
      </c>
    </row>
    <row r="74" spans="1:52" ht="16.5">
      <c r="A74" s="30" t="s">
        <v>9783</v>
      </c>
      <c r="B74" s="30" t="s">
        <v>4398</v>
      </c>
      <c r="C74" s="30" t="s">
        <v>68</v>
      </c>
      <c r="D74" s="30" t="s">
        <v>9784</v>
      </c>
      <c r="E74" s="260" t="s">
        <v>9785</v>
      </c>
      <c r="F74" s="30" t="s">
        <v>9786</v>
      </c>
      <c r="G74" s="30" t="s">
        <v>165</v>
      </c>
      <c r="H74" s="30" t="s">
        <v>165</v>
      </c>
      <c r="I74" s="30" t="s">
        <v>9528</v>
      </c>
      <c r="J74" s="30" t="s">
        <v>9281</v>
      </c>
      <c r="K74" s="32">
        <v>7.21</v>
      </c>
      <c r="L74" s="30" t="s">
        <v>73</v>
      </c>
      <c r="M74" s="30" t="s">
        <v>9787</v>
      </c>
      <c r="N74" s="30" t="s">
        <v>9788</v>
      </c>
      <c r="O74" s="27" t="s">
        <v>9789</v>
      </c>
      <c r="P74" s="30"/>
      <c r="Q74" s="92">
        <v>4</v>
      </c>
      <c r="R74" s="92">
        <v>16</v>
      </c>
      <c r="S74" s="92">
        <v>266.12</v>
      </c>
      <c r="T74" s="30" t="s">
        <v>88</v>
      </c>
      <c r="U74" s="30" t="s">
        <v>78</v>
      </c>
      <c r="V74" s="30" t="s">
        <v>89</v>
      </c>
      <c r="W74" s="38" t="s">
        <v>9697</v>
      </c>
      <c r="X74" s="26" t="s">
        <v>4412</v>
      </c>
      <c r="Y74" s="26" t="s">
        <v>91</v>
      </c>
      <c r="Z74" s="26" t="s">
        <v>91</v>
      </c>
      <c r="AA74" s="30"/>
      <c r="AB74" s="93" t="s">
        <v>13</v>
      </c>
      <c r="AC74" s="30" t="s">
        <v>172</v>
      </c>
      <c r="AD74" s="25" t="s">
        <v>172</v>
      </c>
      <c r="AE74" s="25" t="s">
        <v>174</v>
      </c>
      <c r="AF74" s="26" t="s">
        <v>175</v>
      </c>
      <c r="AG74" s="32">
        <f t="shared" si="5"/>
        <v>1</v>
      </c>
      <c r="AH74" s="32">
        <v>1</v>
      </c>
      <c r="AI74" s="32"/>
      <c r="AJ74" s="32">
        <v>1</v>
      </c>
      <c r="AK74" s="30"/>
      <c r="AL74" s="32">
        <f t="shared" si="4"/>
        <v>1</v>
      </c>
      <c r="AM74" s="30"/>
      <c r="AN74" s="32"/>
      <c r="AO74" s="32"/>
      <c r="AP74" s="32">
        <v>1</v>
      </c>
      <c r="AQ74" s="32">
        <v>1</v>
      </c>
      <c r="AR74" s="32">
        <v>1</v>
      </c>
      <c r="AS74" s="32"/>
      <c r="AT74" s="32">
        <v>1</v>
      </c>
      <c r="AU74" s="30"/>
      <c r="AV74" s="30"/>
      <c r="AW74" s="30"/>
      <c r="AX74" s="30" t="s">
        <v>9790</v>
      </c>
      <c r="AY74" s="30"/>
      <c r="AZ74" s="94" t="s">
        <v>9791</v>
      </c>
    </row>
    <row r="75" spans="1:52" ht="16.5">
      <c r="A75" s="30" t="s">
        <v>9792</v>
      </c>
      <c r="B75" s="30" t="s">
        <v>4398</v>
      </c>
      <c r="C75" s="30" t="s">
        <v>68</v>
      </c>
      <c r="D75" s="30" t="s">
        <v>9793</v>
      </c>
      <c r="E75" s="260" t="s">
        <v>9794</v>
      </c>
      <c r="F75" s="30" t="s">
        <v>9795</v>
      </c>
      <c r="G75" s="30" t="s">
        <v>165</v>
      </c>
      <c r="H75" s="30" t="s">
        <v>165</v>
      </c>
      <c r="I75" s="30" t="s">
        <v>9528</v>
      </c>
      <c r="J75" s="30" t="s">
        <v>9281</v>
      </c>
      <c r="K75" s="32">
        <v>7.21</v>
      </c>
      <c r="L75" s="30" t="s">
        <v>73</v>
      </c>
      <c r="M75" s="30" t="s">
        <v>9796</v>
      </c>
      <c r="N75" s="30" t="s">
        <v>9797</v>
      </c>
      <c r="O75" s="27" t="s">
        <v>9798</v>
      </c>
      <c r="P75" s="30"/>
      <c r="Q75" s="92">
        <v>4</v>
      </c>
      <c r="R75" s="92">
        <v>16</v>
      </c>
      <c r="S75" s="92">
        <v>286.13</v>
      </c>
      <c r="T75" s="30" t="s">
        <v>88</v>
      </c>
      <c r="U75" s="30" t="s">
        <v>78</v>
      </c>
      <c r="V75" s="30" t="s">
        <v>89</v>
      </c>
      <c r="W75" s="38" t="s">
        <v>9697</v>
      </c>
      <c r="X75" s="26" t="s">
        <v>4412</v>
      </c>
      <c r="Y75" s="26" t="s">
        <v>91</v>
      </c>
      <c r="Z75" s="26" t="s">
        <v>91</v>
      </c>
      <c r="AA75" s="30"/>
      <c r="AB75" s="93" t="s">
        <v>13</v>
      </c>
      <c r="AC75" s="30" t="s">
        <v>172</v>
      </c>
      <c r="AD75" s="25" t="s">
        <v>172</v>
      </c>
      <c r="AE75" s="25" t="s">
        <v>174</v>
      </c>
      <c r="AF75" s="26" t="s">
        <v>175</v>
      </c>
      <c r="AG75" s="32">
        <f t="shared" si="5"/>
        <v>1</v>
      </c>
      <c r="AH75" s="32">
        <v>1</v>
      </c>
      <c r="AI75" s="32"/>
      <c r="AJ75" s="32">
        <v>1</v>
      </c>
      <c r="AK75" s="30"/>
      <c r="AL75" s="32">
        <f t="shared" si="4"/>
        <v>1</v>
      </c>
      <c r="AM75" s="30"/>
      <c r="AN75" s="32"/>
      <c r="AO75" s="32"/>
      <c r="AP75" s="32">
        <v>1</v>
      </c>
      <c r="AQ75" s="32">
        <v>1</v>
      </c>
      <c r="AR75" s="32">
        <v>1</v>
      </c>
      <c r="AS75" s="25" t="s">
        <v>8933</v>
      </c>
      <c r="AT75" s="32">
        <v>1</v>
      </c>
      <c r="AU75" s="30"/>
      <c r="AV75" s="30"/>
      <c r="AW75" s="30"/>
      <c r="AX75" s="30" t="s">
        <v>9796</v>
      </c>
      <c r="AY75" s="30"/>
      <c r="AZ75" s="94" t="s">
        <v>9799</v>
      </c>
    </row>
    <row r="76" spans="1:52" ht="16.5">
      <c r="A76" s="30" t="s">
        <v>9800</v>
      </c>
      <c r="B76" s="30" t="s">
        <v>4398</v>
      </c>
      <c r="C76" s="30" t="s">
        <v>68</v>
      </c>
      <c r="D76" s="30" t="s">
        <v>9801</v>
      </c>
      <c r="E76" s="260" t="s">
        <v>9802</v>
      </c>
      <c r="F76" s="30" t="s">
        <v>9803</v>
      </c>
      <c r="G76" s="30" t="s">
        <v>165</v>
      </c>
      <c r="H76" s="30" t="s">
        <v>165</v>
      </c>
      <c r="I76" s="30" t="s">
        <v>9528</v>
      </c>
      <c r="J76" s="30" t="s">
        <v>9281</v>
      </c>
      <c r="K76" s="32">
        <v>7.21</v>
      </c>
      <c r="L76" s="30" t="s">
        <v>73</v>
      </c>
      <c r="M76" s="30" t="s">
        <v>9790</v>
      </c>
      <c r="N76" s="30" t="s">
        <v>9804</v>
      </c>
      <c r="O76" s="27" t="s">
        <v>9805</v>
      </c>
      <c r="P76" s="30"/>
      <c r="Q76" s="92">
        <v>4</v>
      </c>
      <c r="R76" s="92">
        <v>16</v>
      </c>
      <c r="S76" s="92">
        <v>266.12</v>
      </c>
      <c r="T76" s="30" t="s">
        <v>88</v>
      </c>
      <c r="U76" s="30" t="s">
        <v>78</v>
      </c>
      <c r="V76" s="30" t="s">
        <v>89</v>
      </c>
      <c r="W76" s="38" t="s">
        <v>9697</v>
      </c>
      <c r="X76" s="26" t="s">
        <v>4412</v>
      </c>
      <c r="Y76" s="26" t="s">
        <v>91</v>
      </c>
      <c r="Z76" s="26" t="s">
        <v>91</v>
      </c>
      <c r="AA76" s="30"/>
      <c r="AB76" s="93" t="s">
        <v>13</v>
      </c>
      <c r="AC76" s="30" t="s">
        <v>172</v>
      </c>
      <c r="AD76" s="25" t="s">
        <v>172</v>
      </c>
      <c r="AE76" s="25" t="s">
        <v>174</v>
      </c>
      <c r="AF76" s="26" t="s">
        <v>175</v>
      </c>
      <c r="AG76" s="32">
        <f t="shared" si="5"/>
        <v>1</v>
      </c>
      <c r="AH76" s="32">
        <v>1</v>
      </c>
      <c r="AI76" s="32"/>
      <c r="AJ76" s="32">
        <v>1</v>
      </c>
      <c r="AK76" s="30"/>
      <c r="AL76" s="32">
        <f t="shared" si="4"/>
        <v>1</v>
      </c>
      <c r="AM76" s="30"/>
      <c r="AN76" s="32"/>
      <c r="AO76" s="32"/>
      <c r="AP76" s="32">
        <v>1</v>
      </c>
      <c r="AQ76" s="32">
        <v>1</v>
      </c>
      <c r="AR76" s="32">
        <v>1</v>
      </c>
      <c r="AS76" s="32"/>
      <c r="AT76" s="32">
        <v>1</v>
      </c>
      <c r="AU76" s="30"/>
      <c r="AV76" s="30"/>
      <c r="AW76" s="30"/>
      <c r="AX76" s="30" t="s">
        <v>9787</v>
      </c>
      <c r="AY76" s="30"/>
      <c r="AZ76" s="94" t="s">
        <v>9801</v>
      </c>
    </row>
    <row r="77" spans="1:52" ht="16.5">
      <c r="A77" s="30" t="s">
        <v>9806</v>
      </c>
      <c r="B77" s="30" t="s">
        <v>4398</v>
      </c>
      <c r="C77" s="30" t="s">
        <v>68</v>
      </c>
      <c r="D77" s="30" t="s">
        <v>9799</v>
      </c>
      <c r="E77" s="260" t="s">
        <v>9807</v>
      </c>
      <c r="F77" s="30" t="s">
        <v>9808</v>
      </c>
      <c r="G77" s="30" t="s">
        <v>165</v>
      </c>
      <c r="H77" s="30" t="s">
        <v>165</v>
      </c>
      <c r="I77" s="30" t="s">
        <v>9528</v>
      </c>
      <c r="J77" s="30" t="s">
        <v>9281</v>
      </c>
      <c r="K77" s="32">
        <v>7.21</v>
      </c>
      <c r="L77" s="30" t="s">
        <v>73</v>
      </c>
      <c r="M77" s="30" t="s">
        <v>9809</v>
      </c>
      <c r="N77" s="30" t="s">
        <v>9810</v>
      </c>
      <c r="O77" s="27" t="s">
        <v>9811</v>
      </c>
      <c r="P77" s="30"/>
      <c r="Q77" s="92">
        <v>4</v>
      </c>
      <c r="R77" s="92">
        <v>16</v>
      </c>
      <c r="S77" s="92">
        <v>266.43</v>
      </c>
      <c r="T77" s="30" t="s">
        <v>88</v>
      </c>
      <c r="U77" s="30" t="s">
        <v>78</v>
      </c>
      <c r="V77" s="30" t="s">
        <v>89</v>
      </c>
      <c r="W77" s="38" t="s">
        <v>9697</v>
      </c>
      <c r="X77" s="26" t="s">
        <v>4412</v>
      </c>
      <c r="Y77" s="26" t="s">
        <v>91</v>
      </c>
      <c r="Z77" s="26" t="s">
        <v>91</v>
      </c>
      <c r="AA77" s="30"/>
      <c r="AB77" s="93" t="s">
        <v>13</v>
      </c>
      <c r="AC77" s="30" t="s">
        <v>172</v>
      </c>
      <c r="AD77" s="25" t="s">
        <v>172</v>
      </c>
      <c r="AE77" s="25" t="s">
        <v>174</v>
      </c>
      <c r="AF77" s="26" t="s">
        <v>175</v>
      </c>
      <c r="AG77" s="32">
        <f t="shared" si="5"/>
        <v>1</v>
      </c>
      <c r="AH77" s="32">
        <v>1</v>
      </c>
      <c r="AI77" s="32"/>
      <c r="AJ77" s="32">
        <v>1</v>
      </c>
      <c r="AK77" s="30"/>
      <c r="AL77" s="32">
        <f t="shared" si="4"/>
        <v>1</v>
      </c>
      <c r="AM77" s="30"/>
      <c r="AN77" s="32"/>
      <c r="AO77" s="32"/>
      <c r="AP77" s="32">
        <v>1</v>
      </c>
      <c r="AQ77" s="32">
        <v>1</v>
      </c>
      <c r="AR77" s="32">
        <v>1</v>
      </c>
      <c r="AS77" s="32"/>
      <c r="AT77" s="32">
        <v>1</v>
      </c>
      <c r="AU77" s="30"/>
      <c r="AV77" s="30"/>
      <c r="AW77" s="30"/>
      <c r="AX77" s="30" t="s">
        <v>9812</v>
      </c>
      <c r="AY77" s="30"/>
      <c r="AZ77" s="94" t="s">
        <v>9793</v>
      </c>
    </row>
    <row r="78" spans="1:52" ht="16.5">
      <c r="A78" s="30" t="s">
        <v>9813</v>
      </c>
      <c r="B78" s="30" t="s">
        <v>4398</v>
      </c>
      <c r="C78" s="30" t="s">
        <v>68</v>
      </c>
      <c r="D78" s="30" t="s">
        <v>9791</v>
      </c>
      <c r="E78" s="260" t="s">
        <v>9814</v>
      </c>
      <c r="F78" s="30" t="s">
        <v>9815</v>
      </c>
      <c r="G78" s="30" t="s">
        <v>165</v>
      </c>
      <c r="H78" s="30" t="s">
        <v>165</v>
      </c>
      <c r="I78" s="30" t="s">
        <v>9528</v>
      </c>
      <c r="J78" s="30" t="s">
        <v>9281</v>
      </c>
      <c r="K78" s="32">
        <v>7.21</v>
      </c>
      <c r="L78" s="30" t="s">
        <v>73</v>
      </c>
      <c r="M78" s="30" t="s">
        <v>9773</v>
      </c>
      <c r="N78" s="30" t="s">
        <v>9816</v>
      </c>
      <c r="O78" s="27" t="s">
        <v>9817</v>
      </c>
      <c r="P78" s="30"/>
      <c r="Q78" s="92">
        <v>4</v>
      </c>
      <c r="R78" s="92">
        <v>16</v>
      </c>
      <c r="S78" s="92">
        <v>266.13</v>
      </c>
      <c r="T78" s="30" t="s">
        <v>88</v>
      </c>
      <c r="U78" s="30" t="s">
        <v>78</v>
      </c>
      <c r="V78" s="30" t="s">
        <v>89</v>
      </c>
      <c r="W78" s="38" t="s">
        <v>9697</v>
      </c>
      <c r="X78" s="26" t="s">
        <v>4412</v>
      </c>
      <c r="Y78" s="26" t="s">
        <v>91</v>
      </c>
      <c r="Z78" s="26" t="s">
        <v>91</v>
      </c>
      <c r="AA78" s="30"/>
      <c r="AB78" s="93" t="s">
        <v>13</v>
      </c>
      <c r="AC78" s="30" t="s">
        <v>172</v>
      </c>
      <c r="AD78" s="25" t="s">
        <v>172</v>
      </c>
      <c r="AE78" s="25" t="s">
        <v>174</v>
      </c>
      <c r="AF78" s="26" t="s">
        <v>175</v>
      </c>
      <c r="AG78" s="32">
        <f t="shared" si="5"/>
        <v>1</v>
      </c>
      <c r="AH78" s="32">
        <v>1</v>
      </c>
      <c r="AI78" s="32"/>
      <c r="AJ78" s="32">
        <v>1</v>
      </c>
      <c r="AK78" s="30"/>
      <c r="AL78" s="32">
        <f t="shared" si="4"/>
        <v>1</v>
      </c>
      <c r="AM78" s="30"/>
      <c r="AN78" s="32"/>
      <c r="AO78" s="32"/>
      <c r="AP78" s="32">
        <v>1</v>
      </c>
      <c r="AQ78" s="32">
        <v>1</v>
      </c>
      <c r="AR78" s="32">
        <v>1</v>
      </c>
      <c r="AS78" s="32"/>
      <c r="AT78" s="32">
        <v>1</v>
      </c>
      <c r="AU78" s="30"/>
      <c r="AV78" s="30"/>
      <c r="AW78" s="30"/>
      <c r="AX78" s="30" t="s">
        <v>9779</v>
      </c>
      <c r="AY78" s="30"/>
      <c r="AZ78" s="94" t="s">
        <v>9784</v>
      </c>
    </row>
    <row r="79" spans="1:52" ht="16.5">
      <c r="A79" s="30" t="s">
        <v>9818</v>
      </c>
      <c r="B79" s="30" t="s">
        <v>4398</v>
      </c>
      <c r="C79" s="30" t="s">
        <v>68</v>
      </c>
      <c r="D79" s="30" t="s">
        <v>9782</v>
      </c>
      <c r="E79" s="260" t="s">
        <v>9819</v>
      </c>
      <c r="F79" s="30" t="s">
        <v>9820</v>
      </c>
      <c r="G79" s="30" t="s">
        <v>165</v>
      </c>
      <c r="H79" s="30" t="s">
        <v>165</v>
      </c>
      <c r="I79" s="30" t="s">
        <v>9528</v>
      </c>
      <c r="J79" s="30" t="s">
        <v>9281</v>
      </c>
      <c r="K79" s="32">
        <v>7.21</v>
      </c>
      <c r="L79" s="30" t="s">
        <v>73</v>
      </c>
      <c r="M79" s="30" t="s">
        <v>9689</v>
      </c>
      <c r="N79" s="30" t="s">
        <v>9821</v>
      </c>
      <c r="O79" s="27" t="s">
        <v>9822</v>
      </c>
      <c r="P79" s="30"/>
      <c r="Q79" s="92">
        <v>8</v>
      </c>
      <c r="R79" s="92">
        <v>32</v>
      </c>
      <c r="S79" s="92">
        <v>282.20999999999998</v>
      </c>
      <c r="T79" s="30" t="s">
        <v>88</v>
      </c>
      <c r="U79" s="30" t="s">
        <v>78</v>
      </c>
      <c r="V79" s="30" t="s">
        <v>89</v>
      </c>
      <c r="W79" s="38" t="s">
        <v>9697</v>
      </c>
      <c r="X79" s="26" t="s">
        <v>4412</v>
      </c>
      <c r="Y79" s="26" t="s">
        <v>91</v>
      </c>
      <c r="Z79" s="26" t="s">
        <v>91</v>
      </c>
      <c r="AA79" s="30"/>
      <c r="AB79" s="93" t="s">
        <v>13</v>
      </c>
      <c r="AC79" s="30" t="s">
        <v>172</v>
      </c>
      <c r="AD79" s="25" t="s">
        <v>172</v>
      </c>
      <c r="AE79" s="25" t="s">
        <v>174</v>
      </c>
      <c r="AF79" s="26" t="s">
        <v>175</v>
      </c>
      <c r="AG79" s="32">
        <f t="shared" si="5"/>
        <v>1</v>
      </c>
      <c r="AH79" s="32">
        <v>1</v>
      </c>
      <c r="AI79" s="32"/>
      <c r="AJ79" s="32">
        <v>1</v>
      </c>
      <c r="AK79" s="30"/>
      <c r="AL79" s="32">
        <f t="shared" si="4"/>
        <v>1</v>
      </c>
      <c r="AM79" s="30"/>
      <c r="AN79" s="32"/>
      <c r="AO79" s="32"/>
      <c r="AP79" s="32">
        <v>1</v>
      </c>
      <c r="AQ79" s="32">
        <v>1</v>
      </c>
      <c r="AR79" s="32">
        <v>1</v>
      </c>
      <c r="AS79" s="32"/>
      <c r="AT79" s="32">
        <v>1</v>
      </c>
      <c r="AU79" s="30"/>
      <c r="AV79" s="30"/>
      <c r="AW79" s="30"/>
      <c r="AX79" s="30" t="s">
        <v>9762</v>
      </c>
      <c r="AY79" s="30"/>
      <c r="AZ79" s="94" t="s">
        <v>9776</v>
      </c>
    </row>
    <row r="80" spans="1:52" ht="16.5">
      <c r="A80" s="30" t="s">
        <v>9823</v>
      </c>
      <c r="B80" s="30" t="s">
        <v>4398</v>
      </c>
      <c r="C80" s="30" t="s">
        <v>68</v>
      </c>
      <c r="D80" s="30" t="s">
        <v>9774</v>
      </c>
      <c r="E80" s="260" t="s">
        <v>9824</v>
      </c>
      <c r="F80" s="30" t="s">
        <v>9825</v>
      </c>
      <c r="G80" s="30" t="s">
        <v>165</v>
      </c>
      <c r="H80" s="30" t="s">
        <v>165</v>
      </c>
      <c r="I80" s="30" t="s">
        <v>9528</v>
      </c>
      <c r="J80" s="30" t="s">
        <v>9281</v>
      </c>
      <c r="K80" s="32">
        <v>7.21</v>
      </c>
      <c r="L80" s="30" t="s">
        <v>73</v>
      </c>
      <c r="M80" s="30" t="s">
        <v>9765</v>
      </c>
      <c r="N80" s="30" t="s">
        <v>9826</v>
      </c>
      <c r="O80" s="27" t="s">
        <v>9827</v>
      </c>
      <c r="P80" s="30"/>
      <c r="Q80" s="92">
        <v>4</v>
      </c>
      <c r="R80" s="92">
        <v>16</v>
      </c>
      <c r="S80" s="92">
        <v>286.13</v>
      </c>
      <c r="T80" s="30" t="s">
        <v>88</v>
      </c>
      <c r="U80" s="30" t="s">
        <v>78</v>
      </c>
      <c r="V80" s="30" t="s">
        <v>89</v>
      </c>
      <c r="W80" s="38" t="s">
        <v>9697</v>
      </c>
      <c r="X80" s="26" t="s">
        <v>4412</v>
      </c>
      <c r="Y80" s="26" t="s">
        <v>91</v>
      </c>
      <c r="Z80" s="26" t="s">
        <v>91</v>
      </c>
      <c r="AA80" s="30"/>
      <c r="AB80" s="93" t="s">
        <v>13</v>
      </c>
      <c r="AC80" s="30" t="s">
        <v>172</v>
      </c>
      <c r="AD80" s="25" t="s">
        <v>172</v>
      </c>
      <c r="AE80" s="25" t="s">
        <v>174</v>
      </c>
      <c r="AF80" s="26" t="s">
        <v>175</v>
      </c>
      <c r="AG80" s="32">
        <f t="shared" si="5"/>
        <v>1</v>
      </c>
      <c r="AH80" s="32">
        <v>1</v>
      </c>
      <c r="AI80" s="32"/>
      <c r="AJ80" s="32">
        <v>1</v>
      </c>
      <c r="AK80" s="30"/>
      <c r="AL80" s="32">
        <f t="shared" si="4"/>
        <v>1</v>
      </c>
      <c r="AM80" s="30"/>
      <c r="AN80" s="32"/>
      <c r="AO80" s="32"/>
      <c r="AP80" s="32">
        <v>1</v>
      </c>
      <c r="AQ80" s="32">
        <v>1</v>
      </c>
      <c r="AR80" s="32">
        <v>1</v>
      </c>
      <c r="AS80" s="32"/>
      <c r="AT80" s="32">
        <v>1</v>
      </c>
      <c r="AU80" s="30"/>
      <c r="AV80" s="30"/>
      <c r="AW80" s="30"/>
      <c r="AX80" s="30" t="s">
        <v>9828</v>
      </c>
      <c r="AY80" s="30"/>
      <c r="AZ80" s="94" t="s">
        <v>9759</v>
      </c>
    </row>
    <row r="81" spans="1:52" ht="16.5">
      <c r="A81" s="30" t="s">
        <v>9829</v>
      </c>
      <c r="B81" s="30" t="s">
        <v>4398</v>
      </c>
      <c r="C81" s="30" t="s">
        <v>68</v>
      </c>
      <c r="D81" s="30" t="s">
        <v>9766</v>
      </c>
      <c r="E81" s="260" t="s">
        <v>9830</v>
      </c>
      <c r="F81" s="30" t="s">
        <v>9831</v>
      </c>
      <c r="G81" s="30" t="s">
        <v>165</v>
      </c>
      <c r="H81" s="30" t="s">
        <v>165</v>
      </c>
      <c r="I81" s="30" t="s">
        <v>9528</v>
      </c>
      <c r="J81" s="30" t="s">
        <v>9281</v>
      </c>
      <c r="K81" s="32">
        <v>7.21</v>
      </c>
      <c r="L81" s="30" t="s">
        <v>73</v>
      </c>
      <c r="M81" s="30" t="s">
        <v>9683</v>
      </c>
      <c r="N81" s="30" t="s">
        <v>9832</v>
      </c>
      <c r="O81" s="27" t="s">
        <v>9833</v>
      </c>
      <c r="P81" s="30"/>
      <c r="Q81" s="92">
        <v>4</v>
      </c>
      <c r="R81" s="92">
        <v>16</v>
      </c>
      <c r="S81" s="92">
        <v>266.19</v>
      </c>
      <c r="T81" s="30" t="s">
        <v>88</v>
      </c>
      <c r="U81" s="30" t="s">
        <v>78</v>
      </c>
      <c r="V81" s="30" t="s">
        <v>89</v>
      </c>
      <c r="W81" s="38" t="s">
        <v>9697</v>
      </c>
      <c r="X81" s="26" t="s">
        <v>4412</v>
      </c>
      <c r="Y81" s="26" t="s">
        <v>91</v>
      </c>
      <c r="Z81" s="26" t="s">
        <v>91</v>
      </c>
      <c r="AA81" s="30"/>
      <c r="AB81" s="93" t="s">
        <v>13</v>
      </c>
      <c r="AC81" s="30" t="s">
        <v>172</v>
      </c>
      <c r="AD81" s="25" t="s">
        <v>172</v>
      </c>
      <c r="AE81" s="25" t="s">
        <v>174</v>
      </c>
      <c r="AF81" s="26" t="s">
        <v>175</v>
      </c>
      <c r="AG81" s="32">
        <f t="shared" si="5"/>
        <v>1</v>
      </c>
      <c r="AH81" s="32">
        <v>1</v>
      </c>
      <c r="AI81" s="32"/>
      <c r="AJ81" s="32">
        <v>1</v>
      </c>
      <c r="AK81" s="30"/>
      <c r="AL81" s="32">
        <f t="shared" si="4"/>
        <v>1</v>
      </c>
      <c r="AM81" s="30"/>
      <c r="AN81" s="32"/>
      <c r="AO81" s="32"/>
      <c r="AP81" s="32">
        <v>1</v>
      </c>
      <c r="AQ81" s="32">
        <v>1</v>
      </c>
      <c r="AR81" s="32">
        <v>1</v>
      </c>
      <c r="AS81" s="32"/>
      <c r="AT81" s="32">
        <v>1</v>
      </c>
      <c r="AU81" s="30"/>
      <c r="AV81" s="30"/>
      <c r="AW81" s="30"/>
      <c r="AX81" s="30" t="s">
        <v>9753</v>
      </c>
      <c r="AY81" s="30"/>
      <c r="AZ81" s="94" t="s">
        <v>9750</v>
      </c>
    </row>
    <row r="82" spans="1:52" ht="16.5">
      <c r="A82" s="30" t="s">
        <v>9834</v>
      </c>
      <c r="B82" s="30" t="s">
        <v>4398</v>
      </c>
      <c r="C82" s="30" t="s">
        <v>68</v>
      </c>
      <c r="D82" s="30" t="s">
        <v>9835</v>
      </c>
      <c r="E82" s="260" t="s">
        <v>9836</v>
      </c>
      <c r="F82" s="30" t="s">
        <v>9837</v>
      </c>
      <c r="G82" s="30" t="s">
        <v>165</v>
      </c>
      <c r="H82" s="30" t="s">
        <v>165</v>
      </c>
      <c r="I82" s="30" t="s">
        <v>9838</v>
      </c>
      <c r="J82" s="30" t="s">
        <v>9281</v>
      </c>
      <c r="K82" s="32">
        <v>7.21</v>
      </c>
      <c r="L82" s="30" t="s">
        <v>73</v>
      </c>
      <c r="M82" s="30" t="s">
        <v>9839</v>
      </c>
      <c r="N82" s="30" t="s">
        <v>9840</v>
      </c>
      <c r="O82" s="27" t="s">
        <v>9841</v>
      </c>
      <c r="P82" s="30"/>
      <c r="Q82" s="92">
        <v>8</v>
      </c>
      <c r="R82" s="92">
        <v>32</v>
      </c>
      <c r="S82" s="92">
        <v>302.74</v>
      </c>
      <c r="T82" s="30" t="s">
        <v>88</v>
      </c>
      <c r="U82" s="30" t="s">
        <v>78</v>
      </c>
      <c r="V82" s="30" t="s">
        <v>89</v>
      </c>
      <c r="W82" s="38" t="s">
        <v>90</v>
      </c>
      <c r="X82" s="26" t="s">
        <v>4412</v>
      </c>
      <c r="Y82" s="26" t="s">
        <v>91</v>
      </c>
      <c r="Z82" s="26" t="s">
        <v>91</v>
      </c>
      <c r="AA82" s="30"/>
      <c r="AB82" s="93" t="s">
        <v>15</v>
      </c>
      <c r="AC82" s="30" t="s">
        <v>172</v>
      </c>
      <c r="AD82" s="25" t="s">
        <v>172</v>
      </c>
      <c r="AE82" s="25" t="s">
        <v>174</v>
      </c>
      <c r="AF82" s="26" t="s">
        <v>175</v>
      </c>
      <c r="AG82" s="32">
        <f t="shared" si="5"/>
        <v>1</v>
      </c>
      <c r="AH82" s="32">
        <v>1</v>
      </c>
      <c r="AI82" s="32"/>
      <c r="AJ82" s="32">
        <v>1</v>
      </c>
      <c r="AK82" s="30">
        <v>1</v>
      </c>
      <c r="AL82" s="32">
        <f t="shared" si="4"/>
        <v>1</v>
      </c>
      <c r="AM82" s="30"/>
      <c r="AN82" s="32">
        <v>1</v>
      </c>
      <c r="AO82" s="32">
        <v>1</v>
      </c>
      <c r="AP82" s="32">
        <v>1</v>
      </c>
      <c r="AQ82" s="32">
        <v>1</v>
      </c>
      <c r="AR82" s="32">
        <v>1</v>
      </c>
      <c r="AS82" s="32"/>
      <c r="AT82" s="32">
        <v>1</v>
      </c>
      <c r="AU82" s="30"/>
      <c r="AV82" s="30"/>
      <c r="AW82" s="30"/>
      <c r="AX82" s="30" t="s">
        <v>9718</v>
      </c>
      <c r="AY82" s="30"/>
      <c r="AZ82" s="94" t="s">
        <v>9743</v>
      </c>
    </row>
    <row r="83" spans="1:52" ht="16.5">
      <c r="A83" s="30" t="s">
        <v>9842</v>
      </c>
      <c r="B83" s="30" t="s">
        <v>4398</v>
      </c>
      <c r="C83" s="30" t="s">
        <v>68</v>
      </c>
      <c r="D83" s="30" t="s">
        <v>9843</v>
      </c>
      <c r="E83" s="260" t="s">
        <v>9844</v>
      </c>
      <c r="F83" s="30" t="s">
        <v>9845</v>
      </c>
      <c r="G83" s="30" t="s">
        <v>165</v>
      </c>
      <c r="H83" s="30" t="s">
        <v>165</v>
      </c>
      <c r="I83" s="30" t="s">
        <v>9838</v>
      </c>
      <c r="J83" s="30" t="s">
        <v>9281</v>
      </c>
      <c r="K83" s="32">
        <v>7.21</v>
      </c>
      <c r="L83" s="30" t="s">
        <v>73</v>
      </c>
      <c r="M83" s="30" t="s">
        <v>9846</v>
      </c>
      <c r="N83" s="30" t="s">
        <v>9847</v>
      </c>
      <c r="O83" s="27" t="s">
        <v>9848</v>
      </c>
      <c r="P83" s="30"/>
      <c r="Q83" s="92">
        <v>8</v>
      </c>
      <c r="R83" s="92">
        <v>32</v>
      </c>
      <c r="S83" s="92">
        <v>282.14</v>
      </c>
      <c r="T83" s="30" t="s">
        <v>88</v>
      </c>
      <c r="U83" s="30" t="s">
        <v>78</v>
      </c>
      <c r="V83" s="30" t="s">
        <v>89</v>
      </c>
      <c r="W83" s="38" t="s">
        <v>90</v>
      </c>
      <c r="X83" s="26" t="s">
        <v>4412</v>
      </c>
      <c r="Y83" s="26" t="s">
        <v>91</v>
      </c>
      <c r="Z83" s="26" t="s">
        <v>91</v>
      </c>
      <c r="AA83" s="30"/>
      <c r="AB83" s="93" t="s">
        <v>15</v>
      </c>
      <c r="AC83" s="30" t="s">
        <v>172</v>
      </c>
      <c r="AD83" s="25" t="s">
        <v>172</v>
      </c>
      <c r="AE83" s="25" t="s">
        <v>174</v>
      </c>
      <c r="AF83" s="26" t="s">
        <v>175</v>
      </c>
      <c r="AG83" s="32">
        <f t="shared" si="5"/>
        <v>1</v>
      </c>
      <c r="AH83" s="32">
        <v>1</v>
      </c>
      <c r="AI83" s="32"/>
      <c r="AJ83" s="32">
        <v>1</v>
      </c>
      <c r="AK83" s="30">
        <v>1</v>
      </c>
      <c r="AL83" s="32">
        <f t="shared" si="4"/>
        <v>1</v>
      </c>
      <c r="AM83" s="30"/>
      <c r="AN83" s="32">
        <v>1</v>
      </c>
      <c r="AO83" s="32">
        <v>1</v>
      </c>
      <c r="AP83" s="32">
        <v>1</v>
      </c>
      <c r="AQ83" s="32">
        <v>1</v>
      </c>
      <c r="AR83" s="32">
        <v>1</v>
      </c>
      <c r="AS83" s="32"/>
      <c r="AT83" s="32">
        <v>1</v>
      </c>
      <c r="AU83" s="30"/>
      <c r="AV83" s="30"/>
      <c r="AW83" s="30"/>
      <c r="AX83" s="30" t="s">
        <v>9710</v>
      </c>
      <c r="AY83" s="30"/>
      <c r="AZ83" s="94" t="s">
        <v>9737</v>
      </c>
    </row>
    <row r="84" spans="1:52" ht="16.5">
      <c r="A84" s="30" t="s">
        <v>9849</v>
      </c>
      <c r="B84" s="30" t="s">
        <v>4398</v>
      </c>
      <c r="C84" s="30" t="s">
        <v>68</v>
      </c>
      <c r="D84" s="30" t="s">
        <v>9850</v>
      </c>
      <c r="E84" s="260" t="s">
        <v>9851</v>
      </c>
      <c r="F84" s="30" t="s">
        <v>9852</v>
      </c>
      <c r="G84" s="30" t="s">
        <v>165</v>
      </c>
      <c r="H84" s="30" t="s">
        <v>165</v>
      </c>
      <c r="I84" s="30" t="s">
        <v>9838</v>
      </c>
      <c r="J84" s="30" t="s">
        <v>9281</v>
      </c>
      <c r="K84" s="32">
        <v>7.21</v>
      </c>
      <c r="L84" s="30" t="s">
        <v>73</v>
      </c>
      <c r="M84" s="30" t="s">
        <v>9853</v>
      </c>
      <c r="N84" s="30" t="s">
        <v>9854</v>
      </c>
      <c r="O84" s="27" t="s">
        <v>9855</v>
      </c>
      <c r="P84" s="30"/>
      <c r="Q84" s="92">
        <v>8</v>
      </c>
      <c r="R84" s="92">
        <v>32</v>
      </c>
      <c r="S84" s="92">
        <v>383.62</v>
      </c>
      <c r="T84" s="30" t="s">
        <v>88</v>
      </c>
      <c r="U84" s="30" t="s">
        <v>78</v>
      </c>
      <c r="V84" s="30" t="s">
        <v>89</v>
      </c>
      <c r="W84" s="38" t="s">
        <v>90</v>
      </c>
      <c r="X84" s="26" t="s">
        <v>4412</v>
      </c>
      <c r="Y84" s="26" t="s">
        <v>91</v>
      </c>
      <c r="Z84" s="26" t="s">
        <v>91</v>
      </c>
      <c r="AA84" s="30"/>
      <c r="AB84" s="93" t="s">
        <v>15</v>
      </c>
      <c r="AC84" s="30" t="s">
        <v>172</v>
      </c>
      <c r="AD84" s="25" t="s">
        <v>172</v>
      </c>
      <c r="AE84" s="25" t="s">
        <v>174</v>
      </c>
      <c r="AF84" s="26" t="s">
        <v>175</v>
      </c>
      <c r="AG84" s="32">
        <f t="shared" si="5"/>
        <v>1</v>
      </c>
      <c r="AH84" s="32">
        <v>1</v>
      </c>
      <c r="AI84" s="32"/>
      <c r="AJ84" s="32">
        <v>1</v>
      </c>
      <c r="AK84" s="30">
        <v>1</v>
      </c>
      <c r="AL84" s="32">
        <f t="shared" si="4"/>
        <v>1</v>
      </c>
      <c r="AM84" s="30"/>
      <c r="AN84" s="32"/>
      <c r="AO84" s="32"/>
      <c r="AP84" s="25" t="s">
        <v>1211</v>
      </c>
      <c r="AQ84" s="32"/>
      <c r="AR84" s="25" t="s">
        <v>1211</v>
      </c>
      <c r="AS84" s="32"/>
      <c r="AT84" s="25" t="s">
        <v>1211</v>
      </c>
      <c r="AU84" s="30"/>
      <c r="AV84" s="30"/>
      <c r="AW84" s="30"/>
      <c r="AX84" s="30" t="s">
        <v>9856</v>
      </c>
      <c r="AY84" s="30"/>
      <c r="AZ84" s="94" t="s">
        <v>9731</v>
      </c>
    </row>
    <row r="85" spans="1:52" ht="16.5">
      <c r="A85" s="30" t="s">
        <v>9857</v>
      </c>
      <c r="B85" s="30" t="s">
        <v>4398</v>
      </c>
      <c r="C85" s="30" t="s">
        <v>68</v>
      </c>
      <c r="D85" s="30" t="s">
        <v>9858</v>
      </c>
      <c r="E85" s="260" t="s">
        <v>9859</v>
      </c>
      <c r="F85" s="30" t="s">
        <v>9860</v>
      </c>
      <c r="G85" s="30" t="s">
        <v>165</v>
      </c>
      <c r="H85" s="30" t="s">
        <v>165</v>
      </c>
      <c r="I85" s="30" t="s">
        <v>9838</v>
      </c>
      <c r="J85" s="30" t="s">
        <v>9281</v>
      </c>
      <c r="K85" s="32">
        <v>7.21</v>
      </c>
      <c r="L85" s="30" t="s">
        <v>73</v>
      </c>
      <c r="M85" s="30" t="s">
        <v>9856</v>
      </c>
      <c r="N85" s="30" t="s">
        <v>9861</v>
      </c>
      <c r="O85" s="27" t="s">
        <v>9862</v>
      </c>
      <c r="P85" s="30"/>
      <c r="Q85" s="92">
        <v>8</v>
      </c>
      <c r="R85" s="92">
        <v>32</v>
      </c>
      <c r="S85" s="92">
        <v>302.49</v>
      </c>
      <c r="T85" s="30" t="s">
        <v>88</v>
      </c>
      <c r="U85" s="30" t="s">
        <v>78</v>
      </c>
      <c r="V85" s="30" t="s">
        <v>89</v>
      </c>
      <c r="W85" s="38" t="s">
        <v>90</v>
      </c>
      <c r="X85" s="26" t="s">
        <v>4412</v>
      </c>
      <c r="Y85" s="26" t="s">
        <v>91</v>
      </c>
      <c r="Z85" s="26" t="s">
        <v>91</v>
      </c>
      <c r="AA85" s="30"/>
      <c r="AB85" s="93" t="s">
        <v>15</v>
      </c>
      <c r="AC85" s="30" t="s">
        <v>172</v>
      </c>
      <c r="AD85" s="25" t="s">
        <v>172</v>
      </c>
      <c r="AE85" s="25" t="s">
        <v>174</v>
      </c>
      <c r="AF85" s="26" t="s">
        <v>175</v>
      </c>
      <c r="AG85" s="32">
        <f t="shared" si="5"/>
        <v>1</v>
      </c>
      <c r="AH85" s="32">
        <v>1</v>
      </c>
      <c r="AI85" s="32"/>
      <c r="AJ85" s="32">
        <v>1</v>
      </c>
      <c r="AK85" s="30">
        <v>1</v>
      </c>
      <c r="AL85" s="32">
        <f t="shared" si="4"/>
        <v>1</v>
      </c>
      <c r="AM85" s="30"/>
      <c r="AN85" s="32">
        <v>1</v>
      </c>
      <c r="AO85" s="32">
        <v>1</v>
      </c>
      <c r="AP85" s="32">
        <v>1</v>
      </c>
      <c r="AQ85" s="32">
        <v>1</v>
      </c>
      <c r="AR85" s="32">
        <v>1</v>
      </c>
      <c r="AS85" s="32"/>
      <c r="AT85" s="32">
        <v>1</v>
      </c>
      <c r="AU85" s="30"/>
      <c r="AV85" s="30"/>
      <c r="AW85" s="30"/>
      <c r="AX85" s="30" t="s">
        <v>9702</v>
      </c>
      <c r="AY85" s="30"/>
      <c r="AZ85" s="94" t="s">
        <v>9723</v>
      </c>
    </row>
    <row r="86" spans="1:52" ht="16.5">
      <c r="A86" s="30" t="s">
        <v>9863</v>
      </c>
      <c r="B86" s="30" t="s">
        <v>4398</v>
      </c>
      <c r="C86" s="30" t="s">
        <v>68</v>
      </c>
      <c r="D86" s="30" t="s">
        <v>9864</v>
      </c>
      <c r="E86" s="260" t="s">
        <v>9865</v>
      </c>
      <c r="F86" s="30" t="s">
        <v>9866</v>
      </c>
      <c r="G86" s="30" t="s">
        <v>165</v>
      </c>
      <c r="H86" s="30" t="s">
        <v>165</v>
      </c>
      <c r="I86" s="30" t="s">
        <v>9838</v>
      </c>
      <c r="J86" s="30" t="s">
        <v>9281</v>
      </c>
      <c r="K86" s="32">
        <v>7.21</v>
      </c>
      <c r="L86" s="30" t="s">
        <v>73</v>
      </c>
      <c r="M86" s="30" t="s">
        <v>9867</v>
      </c>
      <c r="N86" s="30" t="s">
        <v>9868</v>
      </c>
      <c r="O86" s="27" t="s">
        <v>9869</v>
      </c>
      <c r="P86" s="30"/>
      <c r="Q86" s="92">
        <v>8</v>
      </c>
      <c r="R86" s="92">
        <v>32</v>
      </c>
      <c r="S86" s="92">
        <v>372.36</v>
      </c>
      <c r="T86" s="30" t="s">
        <v>88</v>
      </c>
      <c r="U86" s="30" t="s">
        <v>78</v>
      </c>
      <c r="V86" s="30" t="s">
        <v>89</v>
      </c>
      <c r="W86" s="38" t="s">
        <v>90</v>
      </c>
      <c r="X86" s="26" t="s">
        <v>4412</v>
      </c>
      <c r="Y86" s="26" t="s">
        <v>91</v>
      </c>
      <c r="Z86" s="26" t="s">
        <v>91</v>
      </c>
      <c r="AA86" s="30"/>
      <c r="AB86" s="93" t="s">
        <v>15</v>
      </c>
      <c r="AC86" s="30" t="s">
        <v>172</v>
      </c>
      <c r="AD86" s="25" t="s">
        <v>172</v>
      </c>
      <c r="AE86" s="25" t="s">
        <v>174</v>
      </c>
      <c r="AF86" s="26" t="s">
        <v>175</v>
      </c>
      <c r="AG86" s="32">
        <f t="shared" si="5"/>
        <v>1</v>
      </c>
      <c r="AH86" s="32">
        <v>1</v>
      </c>
      <c r="AI86" s="32"/>
      <c r="AJ86" s="32">
        <v>1</v>
      </c>
      <c r="AK86" s="30">
        <v>1</v>
      </c>
      <c r="AL86" s="32">
        <f t="shared" si="4"/>
        <v>1</v>
      </c>
      <c r="AM86" s="30"/>
      <c r="AN86" s="32">
        <v>1</v>
      </c>
      <c r="AO86" s="32">
        <v>1</v>
      </c>
      <c r="AP86" s="32">
        <v>1</v>
      </c>
      <c r="AQ86" s="32">
        <v>1</v>
      </c>
      <c r="AR86" s="32">
        <v>1</v>
      </c>
      <c r="AS86" s="32"/>
      <c r="AT86" s="32">
        <v>1</v>
      </c>
      <c r="AU86" s="30" t="s">
        <v>9756</v>
      </c>
      <c r="AV86" s="30"/>
      <c r="AW86" s="30"/>
      <c r="AX86" s="30" t="s">
        <v>9593</v>
      </c>
      <c r="AY86" s="30"/>
      <c r="AZ86" s="94" t="s">
        <v>9715</v>
      </c>
    </row>
    <row r="87" spans="1:52" ht="16.5">
      <c r="A87" s="30" t="s">
        <v>9870</v>
      </c>
      <c r="B87" s="30" t="s">
        <v>4398</v>
      </c>
      <c r="C87" s="30" t="s">
        <v>68</v>
      </c>
      <c r="D87" s="30" t="s">
        <v>9871</v>
      </c>
      <c r="E87" s="260" t="s">
        <v>9872</v>
      </c>
      <c r="F87" s="30" t="s">
        <v>9873</v>
      </c>
      <c r="G87" s="30" t="s">
        <v>165</v>
      </c>
      <c r="H87" s="30" t="s">
        <v>165</v>
      </c>
      <c r="I87" s="30" t="s">
        <v>9838</v>
      </c>
      <c r="J87" s="30" t="s">
        <v>9281</v>
      </c>
      <c r="K87" s="32">
        <v>7.21</v>
      </c>
      <c r="L87" s="30" t="s">
        <v>73</v>
      </c>
      <c r="M87" s="30" t="s">
        <v>9874</v>
      </c>
      <c r="N87" s="30" t="s">
        <v>9875</v>
      </c>
      <c r="O87" s="27" t="s">
        <v>9876</v>
      </c>
      <c r="P87" s="30"/>
      <c r="Q87" s="92">
        <v>8</v>
      </c>
      <c r="R87" s="92">
        <v>32</v>
      </c>
      <c r="S87" s="92">
        <v>282.64</v>
      </c>
      <c r="T87" s="30" t="s">
        <v>88</v>
      </c>
      <c r="U87" s="30" t="s">
        <v>78</v>
      </c>
      <c r="V87" s="30" t="s">
        <v>89</v>
      </c>
      <c r="W87" s="38" t="s">
        <v>90</v>
      </c>
      <c r="X87" s="26" t="s">
        <v>4412</v>
      </c>
      <c r="Y87" s="26" t="s">
        <v>91</v>
      </c>
      <c r="Z87" s="26" t="s">
        <v>91</v>
      </c>
      <c r="AA87" s="30"/>
      <c r="AB87" s="93" t="s">
        <v>15</v>
      </c>
      <c r="AC87" s="30" t="s">
        <v>172</v>
      </c>
      <c r="AD87" s="25" t="s">
        <v>172</v>
      </c>
      <c r="AE87" s="25" t="s">
        <v>174</v>
      </c>
      <c r="AF87" s="26" t="s">
        <v>175</v>
      </c>
      <c r="AG87" s="32">
        <f t="shared" si="5"/>
        <v>1</v>
      </c>
      <c r="AH87" s="32">
        <v>1</v>
      </c>
      <c r="AI87" s="32"/>
      <c r="AJ87" s="32">
        <v>1</v>
      </c>
      <c r="AK87" s="30">
        <v>1</v>
      </c>
      <c r="AL87" s="32">
        <f t="shared" si="4"/>
        <v>1</v>
      </c>
      <c r="AM87" s="30"/>
      <c r="AN87" s="32">
        <v>1</v>
      </c>
      <c r="AO87" s="32">
        <v>1</v>
      </c>
      <c r="AP87" s="32">
        <v>1</v>
      </c>
      <c r="AQ87" s="32">
        <v>1</v>
      </c>
      <c r="AR87" s="32">
        <v>1</v>
      </c>
      <c r="AS87" s="32"/>
      <c r="AT87" s="32">
        <v>1</v>
      </c>
      <c r="AU87" s="30"/>
      <c r="AV87" s="30"/>
      <c r="AW87" s="30"/>
      <c r="AX87" s="30" t="s">
        <v>9846</v>
      </c>
      <c r="AY87" s="30"/>
      <c r="AZ87" s="94" t="s">
        <v>9707</v>
      </c>
    </row>
    <row r="88" spans="1:52" ht="16.5">
      <c r="A88" s="30" t="s">
        <v>9877</v>
      </c>
      <c r="B88" s="30" t="s">
        <v>4398</v>
      </c>
      <c r="C88" s="30" t="s">
        <v>73</v>
      </c>
      <c r="D88" s="30" t="s">
        <v>9878</v>
      </c>
      <c r="E88" s="260" t="s">
        <v>9879</v>
      </c>
      <c r="F88" s="30" t="s">
        <v>9880</v>
      </c>
      <c r="G88" s="30" t="s">
        <v>165</v>
      </c>
      <c r="H88" s="30" t="s">
        <v>165</v>
      </c>
      <c r="I88" s="30" t="s">
        <v>9838</v>
      </c>
      <c r="J88" s="30" t="s">
        <v>9281</v>
      </c>
      <c r="K88" s="32">
        <v>7.21</v>
      </c>
      <c r="L88" s="30" t="s">
        <v>73</v>
      </c>
      <c r="M88" s="30" t="s">
        <v>9881</v>
      </c>
      <c r="N88" s="30" t="s">
        <v>9882</v>
      </c>
      <c r="O88" s="27" t="s">
        <v>9883</v>
      </c>
      <c r="P88" s="30"/>
      <c r="Q88" s="95">
        <v>8</v>
      </c>
      <c r="R88" s="96" t="s">
        <v>9030</v>
      </c>
      <c r="S88" s="96" t="s">
        <v>9884</v>
      </c>
      <c r="T88" s="30" t="s">
        <v>88</v>
      </c>
      <c r="U88" s="30" t="s">
        <v>78</v>
      </c>
      <c r="V88" s="30" t="s">
        <v>89</v>
      </c>
      <c r="W88" s="38" t="s">
        <v>90</v>
      </c>
      <c r="X88" s="26" t="s">
        <v>4412</v>
      </c>
      <c r="Y88" s="26" t="s">
        <v>91</v>
      </c>
      <c r="Z88" s="26" t="s">
        <v>91</v>
      </c>
      <c r="AA88" s="30"/>
      <c r="AB88" s="93" t="s">
        <v>15</v>
      </c>
      <c r="AC88" s="30" t="s">
        <v>172</v>
      </c>
      <c r="AD88" s="25" t="s">
        <v>7629</v>
      </c>
      <c r="AE88" s="25" t="s">
        <v>172</v>
      </c>
      <c r="AF88" s="26" t="s">
        <v>175</v>
      </c>
      <c r="AG88" s="32">
        <f t="shared" si="5"/>
        <v>1</v>
      </c>
      <c r="AH88" s="32">
        <v>1</v>
      </c>
      <c r="AI88" s="32"/>
      <c r="AJ88" s="32">
        <v>1</v>
      </c>
      <c r="AK88" s="30">
        <v>1</v>
      </c>
      <c r="AL88" s="32">
        <f t="shared" si="4"/>
        <v>1</v>
      </c>
      <c r="AM88" s="30"/>
      <c r="AN88" s="32">
        <v>1</v>
      </c>
      <c r="AO88" s="32">
        <v>1</v>
      </c>
      <c r="AP88" s="32">
        <v>1</v>
      </c>
      <c r="AQ88" s="32">
        <v>1</v>
      </c>
      <c r="AR88" s="32">
        <v>1</v>
      </c>
      <c r="AS88" s="32"/>
      <c r="AT88" s="32">
        <v>1</v>
      </c>
      <c r="AU88" s="30"/>
      <c r="AV88" s="30"/>
      <c r="AW88" s="30"/>
      <c r="AX88" s="30" t="s">
        <v>9885</v>
      </c>
      <c r="AY88" s="30"/>
      <c r="AZ88" s="94" t="s">
        <v>9699</v>
      </c>
    </row>
    <row r="89" spans="1:52" ht="16.5">
      <c r="A89" s="30" t="s">
        <v>9886</v>
      </c>
      <c r="B89" s="30" t="s">
        <v>4398</v>
      </c>
      <c r="C89" s="30" t="s">
        <v>68</v>
      </c>
      <c r="D89" s="30" t="s">
        <v>9887</v>
      </c>
      <c r="E89" s="260" t="s">
        <v>9888</v>
      </c>
      <c r="F89" s="30" t="s">
        <v>9889</v>
      </c>
      <c r="G89" s="30" t="s">
        <v>165</v>
      </c>
      <c r="H89" s="30" t="s">
        <v>165</v>
      </c>
      <c r="I89" s="30" t="s">
        <v>9838</v>
      </c>
      <c r="J89" s="30" t="s">
        <v>9281</v>
      </c>
      <c r="K89" s="32">
        <v>7.21</v>
      </c>
      <c r="L89" s="30" t="s">
        <v>73</v>
      </c>
      <c r="M89" s="30" t="s">
        <v>9812</v>
      </c>
      <c r="N89" s="30" t="s">
        <v>9890</v>
      </c>
      <c r="O89" s="27" t="s">
        <v>9891</v>
      </c>
      <c r="P89" s="30"/>
      <c r="Q89" s="92">
        <v>8</v>
      </c>
      <c r="R89" s="92">
        <v>32</v>
      </c>
      <c r="S89" s="92">
        <v>302.64</v>
      </c>
      <c r="T89" s="30" t="s">
        <v>88</v>
      </c>
      <c r="U89" s="30" t="s">
        <v>78</v>
      </c>
      <c r="V89" s="30" t="s">
        <v>89</v>
      </c>
      <c r="W89" s="38" t="s">
        <v>90</v>
      </c>
      <c r="X89" s="26" t="s">
        <v>4412</v>
      </c>
      <c r="Y89" s="26" t="s">
        <v>91</v>
      </c>
      <c r="Z89" s="26" t="s">
        <v>91</v>
      </c>
      <c r="AA89" s="30"/>
      <c r="AB89" s="93" t="s">
        <v>15</v>
      </c>
      <c r="AC89" s="30" t="s">
        <v>172</v>
      </c>
      <c r="AD89" s="25" t="s">
        <v>172</v>
      </c>
      <c r="AE89" s="25" t="s">
        <v>174</v>
      </c>
      <c r="AF89" s="26" t="s">
        <v>175</v>
      </c>
      <c r="AG89" s="32">
        <f t="shared" si="5"/>
        <v>1</v>
      </c>
      <c r="AH89" s="32">
        <v>1</v>
      </c>
      <c r="AI89" s="32"/>
      <c r="AJ89" s="32">
        <v>1</v>
      </c>
      <c r="AK89" s="30">
        <v>1</v>
      </c>
      <c r="AL89" s="32">
        <f t="shared" si="4"/>
        <v>1</v>
      </c>
      <c r="AM89" s="30"/>
      <c r="AN89" s="32">
        <v>1</v>
      </c>
      <c r="AO89" s="32">
        <v>1</v>
      </c>
      <c r="AP89" s="32">
        <v>1</v>
      </c>
      <c r="AQ89" s="32">
        <v>1</v>
      </c>
      <c r="AR89" s="32">
        <v>1</v>
      </c>
      <c r="AS89" s="32"/>
      <c r="AT89" s="32">
        <v>1</v>
      </c>
      <c r="AU89" s="30"/>
      <c r="AV89" s="30"/>
      <c r="AW89" s="30"/>
      <c r="AX89" s="30" t="s">
        <v>9892</v>
      </c>
      <c r="AY89" s="30"/>
      <c r="AZ89" s="75" t="s">
        <v>9893</v>
      </c>
    </row>
    <row r="90" spans="1:52" ht="16.5">
      <c r="A90" s="30" t="s">
        <v>9894</v>
      </c>
      <c r="B90" s="30" t="s">
        <v>4398</v>
      </c>
      <c r="C90" s="30" t="s">
        <v>68</v>
      </c>
      <c r="D90" s="30" t="s">
        <v>9895</v>
      </c>
      <c r="E90" s="260" t="s">
        <v>9896</v>
      </c>
      <c r="F90" s="30" t="s">
        <v>9897</v>
      </c>
      <c r="G90" s="30" t="s">
        <v>165</v>
      </c>
      <c r="H90" s="30" t="s">
        <v>165</v>
      </c>
      <c r="I90" s="30" t="s">
        <v>9838</v>
      </c>
      <c r="J90" s="30" t="s">
        <v>9281</v>
      </c>
      <c r="K90" s="32">
        <v>7.21</v>
      </c>
      <c r="L90" s="30" t="s">
        <v>73</v>
      </c>
      <c r="M90" s="30" t="s">
        <v>9757</v>
      </c>
      <c r="N90" s="30" t="s">
        <v>9898</v>
      </c>
      <c r="O90" s="27" t="s">
        <v>9899</v>
      </c>
      <c r="P90" s="30"/>
      <c r="Q90" s="92">
        <v>8</v>
      </c>
      <c r="R90" s="92">
        <v>32</v>
      </c>
      <c r="S90" s="92">
        <v>332.66</v>
      </c>
      <c r="T90" s="30" t="s">
        <v>88</v>
      </c>
      <c r="U90" s="30" t="s">
        <v>78</v>
      </c>
      <c r="V90" s="30" t="s">
        <v>89</v>
      </c>
      <c r="W90" s="38" t="s">
        <v>90</v>
      </c>
      <c r="X90" s="26" t="s">
        <v>4412</v>
      </c>
      <c r="Y90" s="26" t="s">
        <v>91</v>
      </c>
      <c r="Z90" s="26" t="s">
        <v>91</v>
      </c>
      <c r="AA90" s="30"/>
      <c r="AB90" s="93" t="s">
        <v>15</v>
      </c>
      <c r="AC90" s="30" t="s">
        <v>172</v>
      </c>
      <c r="AD90" s="25" t="s">
        <v>172</v>
      </c>
      <c r="AE90" s="25" t="s">
        <v>174</v>
      </c>
      <c r="AF90" s="26" t="s">
        <v>175</v>
      </c>
      <c r="AG90" s="32">
        <f t="shared" si="5"/>
        <v>1</v>
      </c>
      <c r="AH90" s="32">
        <v>1</v>
      </c>
      <c r="AI90" s="32"/>
      <c r="AJ90" s="32">
        <v>1</v>
      </c>
      <c r="AK90" s="30">
        <v>1</v>
      </c>
      <c r="AL90" s="32">
        <f t="shared" si="4"/>
        <v>1</v>
      </c>
      <c r="AM90" s="30"/>
      <c r="AN90" s="32">
        <v>1</v>
      </c>
      <c r="AO90" s="32">
        <v>1</v>
      </c>
      <c r="AP90" s="32">
        <v>1</v>
      </c>
      <c r="AQ90" s="32">
        <v>1</v>
      </c>
      <c r="AR90" s="32">
        <v>1</v>
      </c>
      <c r="AS90" s="32"/>
      <c r="AT90" s="32">
        <v>1</v>
      </c>
      <c r="AU90" s="30"/>
      <c r="AV90" s="30"/>
      <c r="AW90" s="30"/>
      <c r="AX90" s="30" t="s">
        <v>9900</v>
      </c>
      <c r="AY90" s="30"/>
      <c r="AZ90" s="94" t="s">
        <v>7955</v>
      </c>
    </row>
    <row r="91" spans="1:52" ht="16.5">
      <c r="A91" s="30" t="s">
        <v>9901</v>
      </c>
      <c r="B91" s="30" t="s">
        <v>4398</v>
      </c>
      <c r="C91" s="30" t="s">
        <v>68</v>
      </c>
      <c r="D91" s="30" t="s">
        <v>9893</v>
      </c>
      <c r="E91" s="260" t="s">
        <v>9902</v>
      </c>
      <c r="F91" s="30" t="s">
        <v>9903</v>
      </c>
      <c r="G91" s="30" t="s">
        <v>165</v>
      </c>
      <c r="H91" s="30" t="s">
        <v>165</v>
      </c>
      <c r="I91" s="30" t="s">
        <v>9838</v>
      </c>
      <c r="J91" s="30" t="s">
        <v>9281</v>
      </c>
      <c r="K91" s="32">
        <v>7.21</v>
      </c>
      <c r="L91" s="30" t="s">
        <v>73</v>
      </c>
      <c r="M91" s="30" t="s">
        <v>9904</v>
      </c>
      <c r="N91" s="30" t="s">
        <v>9905</v>
      </c>
      <c r="O91" s="27" t="s">
        <v>9906</v>
      </c>
      <c r="P91" s="30"/>
      <c r="Q91" s="92">
        <v>8</v>
      </c>
      <c r="R91" s="92">
        <v>32</v>
      </c>
      <c r="S91" s="92">
        <v>322.8</v>
      </c>
      <c r="T91" s="30" t="s">
        <v>88</v>
      </c>
      <c r="U91" s="30" t="s">
        <v>78</v>
      </c>
      <c r="V91" s="30" t="s">
        <v>89</v>
      </c>
      <c r="W91" s="38" t="s">
        <v>90</v>
      </c>
      <c r="X91" s="26" t="s">
        <v>4412</v>
      </c>
      <c r="Y91" s="26" t="s">
        <v>91</v>
      </c>
      <c r="Z91" s="26" t="s">
        <v>91</v>
      </c>
      <c r="AA91" s="30"/>
      <c r="AB91" s="93" t="s">
        <v>15</v>
      </c>
      <c r="AC91" s="30" t="s">
        <v>172</v>
      </c>
      <c r="AD91" s="25" t="s">
        <v>172</v>
      </c>
      <c r="AE91" s="25" t="s">
        <v>174</v>
      </c>
      <c r="AF91" s="26" t="s">
        <v>175</v>
      </c>
      <c r="AG91" s="32">
        <f t="shared" si="5"/>
        <v>1</v>
      </c>
      <c r="AH91" s="32">
        <v>1</v>
      </c>
      <c r="AI91" s="32"/>
      <c r="AJ91" s="32">
        <v>1</v>
      </c>
      <c r="AK91" s="30">
        <v>1</v>
      </c>
      <c r="AL91" s="32">
        <f t="shared" si="4"/>
        <v>1</v>
      </c>
      <c r="AM91" s="30"/>
      <c r="AN91" s="32">
        <v>1</v>
      </c>
      <c r="AO91" s="32">
        <v>1</v>
      </c>
      <c r="AP91" s="32">
        <v>1</v>
      </c>
      <c r="AQ91" s="32">
        <v>1</v>
      </c>
      <c r="AR91" s="32">
        <v>1</v>
      </c>
      <c r="AS91" s="32"/>
      <c r="AT91" s="32">
        <v>1</v>
      </c>
      <c r="AU91" s="30"/>
      <c r="AV91" s="30"/>
      <c r="AW91" s="30"/>
      <c r="AX91" s="30" t="s">
        <v>9907</v>
      </c>
      <c r="AY91" s="30"/>
      <c r="AZ91" s="94" t="s">
        <v>9908</v>
      </c>
    </row>
    <row r="92" spans="1:52" ht="16.5">
      <c r="A92" s="30" t="s">
        <v>9909</v>
      </c>
      <c r="B92" s="30" t="s">
        <v>4398</v>
      </c>
      <c r="C92" s="30" t="s">
        <v>68</v>
      </c>
      <c r="D92" s="30" t="s">
        <v>9910</v>
      </c>
      <c r="E92" s="260" t="s">
        <v>9911</v>
      </c>
      <c r="F92" s="30" t="s">
        <v>9527</v>
      </c>
      <c r="G92" s="30" t="s">
        <v>165</v>
      </c>
      <c r="H92" s="30" t="s">
        <v>165</v>
      </c>
      <c r="I92" s="30" t="s">
        <v>9838</v>
      </c>
      <c r="J92" s="30" t="s">
        <v>9281</v>
      </c>
      <c r="K92" s="32">
        <v>7.21</v>
      </c>
      <c r="L92" s="30" t="s">
        <v>73</v>
      </c>
      <c r="M92" s="30" t="s">
        <v>9912</v>
      </c>
      <c r="N92" s="30" t="s">
        <v>9913</v>
      </c>
      <c r="O92" s="27" t="s">
        <v>9914</v>
      </c>
      <c r="P92" s="30"/>
      <c r="Q92" s="92">
        <v>4</v>
      </c>
      <c r="R92" s="92">
        <v>16</v>
      </c>
      <c r="S92" s="92">
        <v>266.11</v>
      </c>
      <c r="T92" s="30" t="s">
        <v>88</v>
      </c>
      <c r="U92" s="30" t="s">
        <v>78</v>
      </c>
      <c r="V92" s="30" t="s">
        <v>89</v>
      </c>
      <c r="W92" s="38" t="s">
        <v>90</v>
      </c>
      <c r="X92" s="26" t="s">
        <v>4412</v>
      </c>
      <c r="Y92" s="26" t="s">
        <v>91</v>
      </c>
      <c r="Z92" s="26" t="s">
        <v>91</v>
      </c>
      <c r="AA92" s="30"/>
      <c r="AB92" s="93" t="s">
        <v>15</v>
      </c>
      <c r="AC92" s="30" t="s">
        <v>172</v>
      </c>
      <c r="AD92" s="25" t="s">
        <v>172</v>
      </c>
      <c r="AE92" s="25" t="s">
        <v>174</v>
      </c>
      <c r="AF92" s="26" t="s">
        <v>175</v>
      </c>
      <c r="AG92" s="32">
        <f t="shared" si="5"/>
        <v>1</v>
      </c>
      <c r="AH92" s="32">
        <v>1</v>
      </c>
      <c r="AI92" s="32"/>
      <c r="AJ92" s="32">
        <v>1</v>
      </c>
      <c r="AK92" s="30">
        <v>1</v>
      </c>
      <c r="AL92" s="32">
        <f t="shared" si="4"/>
        <v>1</v>
      </c>
      <c r="AM92" s="30"/>
      <c r="AN92" s="32">
        <v>1</v>
      </c>
      <c r="AO92" s="32">
        <v>1</v>
      </c>
      <c r="AP92" s="32">
        <v>1</v>
      </c>
      <c r="AQ92" s="32">
        <v>1</v>
      </c>
      <c r="AR92" s="32">
        <v>1</v>
      </c>
      <c r="AS92" s="32"/>
      <c r="AT92" s="32">
        <v>1</v>
      </c>
      <c r="AU92" s="30"/>
      <c r="AV92" s="30"/>
      <c r="AW92" s="30"/>
      <c r="AX92" s="30" t="s">
        <v>9915</v>
      </c>
      <c r="AY92" s="30"/>
      <c r="AZ92" s="94" t="s">
        <v>9916</v>
      </c>
    </row>
    <row r="93" spans="1:52" ht="16.5">
      <c r="A93" s="30" t="s">
        <v>9917</v>
      </c>
      <c r="B93" s="30" t="s">
        <v>4398</v>
      </c>
      <c r="C93" s="30" t="s">
        <v>73</v>
      </c>
      <c r="D93" s="30" t="s">
        <v>9918</v>
      </c>
      <c r="E93" s="260" t="s">
        <v>9919</v>
      </c>
      <c r="F93" s="30" t="s">
        <v>9920</v>
      </c>
      <c r="G93" s="30" t="s">
        <v>165</v>
      </c>
      <c r="H93" s="30" t="s">
        <v>165</v>
      </c>
      <c r="I93" s="30" t="s">
        <v>9838</v>
      </c>
      <c r="J93" s="30" t="s">
        <v>9281</v>
      </c>
      <c r="K93" s="32">
        <v>7.21</v>
      </c>
      <c r="L93" s="30" t="s">
        <v>73</v>
      </c>
      <c r="M93" s="30" t="s">
        <v>9907</v>
      </c>
      <c r="N93" s="30" t="s">
        <v>9921</v>
      </c>
      <c r="O93" s="27" t="s">
        <v>9922</v>
      </c>
      <c r="P93" s="30"/>
      <c r="Q93" s="95">
        <v>8</v>
      </c>
      <c r="R93" s="96" t="s">
        <v>9030</v>
      </c>
      <c r="S93" s="96" t="s">
        <v>9923</v>
      </c>
      <c r="T93" s="30" t="s">
        <v>88</v>
      </c>
      <c r="U93" s="30" t="s">
        <v>78</v>
      </c>
      <c r="V93" s="30" t="s">
        <v>89</v>
      </c>
      <c r="W93" s="38" t="s">
        <v>90</v>
      </c>
      <c r="X93" s="26" t="s">
        <v>4412</v>
      </c>
      <c r="Y93" s="26" t="s">
        <v>91</v>
      </c>
      <c r="Z93" s="26" t="s">
        <v>91</v>
      </c>
      <c r="AA93" s="30"/>
      <c r="AB93" s="93" t="s">
        <v>15</v>
      </c>
      <c r="AC93" s="30" t="s">
        <v>172</v>
      </c>
      <c r="AD93" s="25" t="s">
        <v>7629</v>
      </c>
      <c r="AE93" s="25" t="s">
        <v>172</v>
      </c>
      <c r="AF93" s="26" t="s">
        <v>175</v>
      </c>
      <c r="AG93" s="32">
        <f t="shared" si="5"/>
        <v>1</v>
      </c>
      <c r="AH93" s="32">
        <v>1</v>
      </c>
      <c r="AI93" s="32"/>
      <c r="AJ93" s="32">
        <v>1</v>
      </c>
      <c r="AK93" s="30">
        <v>1</v>
      </c>
      <c r="AL93" s="32">
        <f t="shared" si="4"/>
        <v>1</v>
      </c>
      <c r="AM93" s="30"/>
      <c r="AN93" s="32">
        <v>1</v>
      </c>
      <c r="AO93" s="32">
        <v>1</v>
      </c>
      <c r="AP93" s="32">
        <v>1</v>
      </c>
      <c r="AQ93" s="32">
        <v>1</v>
      </c>
      <c r="AR93" s="32">
        <v>1</v>
      </c>
      <c r="AS93" s="32"/>
      <c r="AT93" s="32">
        <v>1</v>
      </c>
      <c r="AU93" s="30"/>
      <c r="AV93" s="30"/>
      <c r="AW93" s="30"/>
      <c r="AX93" s="30" t="s">
        <v>9874</v>
      </c>
      <c r="AY93" s="30"/>
      <c r="AZ93" s="94" t="s">
        <v>9895</v>
      </c>
    </row>
    <row r="94" spans="1:52" ht="16.5">
      <c r="A94" s="30" t="s">
        <v>9924</v>
      </c>
      <c r="B94" s="30" t="s">
        <v>4398</v>
      </c>
      <c r="C94" s="30" t="s">
        <v>68</v>
      </c>
      <c r="D94" s="30" t="s">
        <v>9908</v>
      </c>
      <c r="E94" s="260" t="s">
        <v>9925</v>
      </c>
      <c r="F94" s="30" t="s">
        <v>9926</v>
      </c>
      <c r="G94" s="30" t="s">
        <v>165</v>
      </c>
      <c r="H94" s="30" t="s">
        <v>165</v>
      </c>
      <c r="I94" s="30" t="s">
        <v>9838</v>
      </c>
      <c r="J94" s="30" t="s">
        <v>9281</v>
      </c>
      <c r="K94" s="32">
        <v>7.21</v>
      </c>
      <c r="L94" s="30" t="s">
        <v>73</v>
      </c>
      <c r="M94" s="30" t="s">
        <v>9748</v>
      </c>
      <c r="N94" s="30" t="s">
        <v>9927</v>
      </c>
      <c r="O94" s="27" t="s">
        <v>9928</v>
      </c>
      <c r="P94" s="30"/>
      <c r="Q94" s="92">
        <v>4</v>
      </c>
      <c r="R94" s="92">
        <v>16</v>
      </c>
      <c r="S94" s="92">
        <v>286.10000000000002</v>
      </c>
      <c r="T94" s="30" t="s">
        <v>88</v>
      </c>
      <c r="U94" s="30" t="s">
        <v>78</v>
      </c>
      <c r="V94" s="30" t="s">
        <v>89</v>
      </c>
      <c r="W94" s="38" t="s">
        <v>90</v>
      </c>
      <c r="X94" s="26" t="s">
        <v>4412</v>
      </c>
      <c r="Y94" s="26" t="s">
        <v>91</v>
      </c>
      <c r="Z94" s="26" t="s">
        <v>91</v>
      </c>
      <c r="AA94" s="30"/>
      <c r="AB94" s="93" t="s">
        <v>15</v>
      </c>
      <c r="AC94" s="30" t="s">
        <v>172</v>
      </c>
      <c r="AD94" s="25" t="s">
        <v>172</v>
      </c>
      <c r="AE94" s="25" t="s">
        <v>174</v>
      </c>
      <c r="AF94" s="26" t="s">
        <v>175</v>
      </c>
      <c r="AG94" s="32">
        <f t="shared" si="5"/>
        <v>1</v>
      </c>
      <c r="AH94" s="32">
        <v>1</v>
      </c>
      <c r="AI94" s="32"/>
      <c r="AJ94" s="32">
        <v>1</v>
      </c>
      <c r="AK94" s="30">
        <v>1</v>
      </c>
      <c r="AL94" s="32">
        <f t="shared" si="4"/>
        <v>1</v>
      </c>
      <c r="AM94" s="30"/>
      <c r="AN94" s="32">
        <v>1</v>
      </c>
      <c r="AO94" s="32">
        <v>1</v>
      </c>
      <c r="AP94" s="32">
        <v>1</v>
      </c>
      <c r="AQ94" s="32">
        <v>1</v>
      </c>
      <c r="AR94" s="32">
        <v>1</v>
      </c>
      <c r="AS94" s="32"/>
      <c r="AT94" s="32">
        <v>1</v>
      </c>
      <c r="AU94" s="30"/>
      <c r="AV94" s="30"/>
      <c r="AW94" s="30"/>
      <c r="AX94" s="30" t="s">
        <v>9912</v>
      </c>
      <c r="AY94" s="30"/>
      <c r="AZ94" s="94" t="s">
        <v>9929</v>
      </c>
    </row>
    <row r="95" spans="1:52" ht="16.5">
      <c r="A95" s="30" t="s">
        <v>9930</v>
      </c>
      <c r="B95" s="30" t="s">
        <v>4398</v>
      </c>
      <c r="C95" s="30" t="s">
        <v>68</v>
      </c>
      <c r="D95" s="30" t="s">
        <v>9929</v>
      </c>
      <c r="E95" s="260" t="s">
        <v>9931</v>
      </c>
      <c r="F95" s="30" t="s">
        <v>9932</v>
      </c>
      <c r="G95" s="30" t="s">
        <v>165</v>
      </c>
      <c r="H95" s="30" t="s">
        <v>165</v>
      </c>
      <c r="I95" s="30" t="s">
        <v>9838</v>
      </c>
      <c r="J95" s="30" t="s">
        <v>9281</v>
      </c>
      <c r="K95" s="34" t="s">
        <v>3213</v>
      </c>
      <c r="L95" s="30" t="s">
        <v>73</v>
      </c>
      <c r="M95" s="30" t="s">
        <v>9933</v>
      </c>
      <c r="N95" s="30" t="s">
        <v>9934</v>
      </c>
      <c r="O95" s="27" t="s">
        <v>9935</v>
      </c>
      <c r="P95" s="30"/>
      <c r="Q95" s="92">
        <v>8</v>
      </c>
      <c r="R95" s="92">
        <v>32</v>
      </c>
      <c r="S95" s="92">
        <v>342.71</v>
      </c>
      <c r="T95" s="30" t="s">
        <v>88</v>
      </c>
      <c r="U95" s="30" t="s">
        <v>78</v>
      </c>
      <c r="V95" s="30" t="s">
        <v>89</v>
      </c>
      <c r="W95" s="38" t="s">
        <v>90</v>
      </c>
      <c r="X95" s="26" t="s">
        <v>4412</v>
      </c>
      <c r="Y95" s="26" t="s">
        <v>91</v>
      </c>
      <c r="Z95" s="26" t="s">
        <v>91</v>
      </c>
      <c r="AA95" s="30"/>
      <c r="AB95" s="93" t="s">
        <v>15</v>
      </c>
      <c r="AC95" s="30" t="s">
        <v>172</v>
      </c>
      <c r="AD95" s="25" t="s">
        <v>172</v>
      </c>
      <c r="AE95" s="25" t="s">
        <v>174</v>
      </c>
      <c r="AF95" s="26"/>
      <c r="AG95" s="32">
        <f t="shared" si="5"/>
        <v>1</v>
      </c>
      <c r="AH95" s="32">
        <v>1</v>
      </c>
      <c r="AI95" s="32"/>
      <c r="AJ95" s="32"/>
      <c r="AK95" s="30"/>
      <c r="AL95" s="32"/>
      <c r="AM95" s="30"/>
      <c r="AN95" s="32"/>
      <c r="AO95" s="32"/>
      <c r="AP95" s="32"/>
      <c r="AQ95" s="32"/>
      <c r="AR95" s="32"/>
      <c r="AS95" s="30"/>
      <c r="AT95" s="32"/>
      <c r="AU95" s="30"/>
      <c r="AV95" s="30"/>
      <c r="AW95" s="30"/>
      <c r="AX95" s="30"/>
      <c r="AY95" s="30"/>
      <c r="AZ95" s="94" t="s">
        <v>9864</v>
      </c>
    </row>
    <row r="96" spans="1:52" ht="16.5">
      <c r="A96" s="30" t="s">
        <v>9936</v>
      </c>
      <c r="B96" s="30" t="s">
        <v>4398</v>
      </c>
      <c r="C96" s="30" t="s">
        <v>68</v>
      </c>
      <c r="D96" s="30" t="s">
        <v>9937</v>
      </c>
      <c r="E96" s="260" t="s">
        <v>9938</v>
      </c>
      <c r="F96" s="30" t="s">
        <v>9939</v>
      </c>
      <c r="G96" s="30" t="s">
        <v>165</v>
      </c>
      <c r="H96" s="30" t="s">
        <v>165</v>
      </c>
      <c r="I96" s="30" t="s">
        <v>9838</v>
      </c>
      <c r="J96" s="30" t="s">
        <v>9281</v>
      </c>
      <c r="K96" s="32">
        <v>7.21</v>
      </c>
      <c r="L96" s="30" t="s">
        <v>73</v>
      </c>
      <c r="M96" s="30" t="s">
        <v>9828</v>
      </c>
      <c r="N96" s="30" t="s">
        <v>9940</v>
      </c>
      <c r="O96" s="27" t="s">
        <v>9941</v>
      </c>
      <c r="P96" s="30"/>
      <c r="Q96" s="92">
        <v>8</v>
      </c>
      <c r="R96" s="92">
        <v>32</v>
      </c>
      <c r="S96" s="92">
        <v>303.04000000000002</v>
      </c>
      <c r="T96" s="30" t="s">
        <v>88</v>
      </c>
      <c r="U96" s="30" t="s">
        <v>78</v>
      </c>
      <c r="V96" s="30" t="s">
        <v>89</v>
      </c>
      <c r="W96" s="38" t="s">
        <v>90</v>
      </c>
      <c r="X96" s="26" t="s">
        <v>4412</v>
      </c>
      <c r="Y96" s="26" t="s">
        <v>91</v>
      </c>
      <c r="Z96" s="26" t="s">
        <v>91</v>
      </c>
      <c r="AA96" s="30"/>
      <c r="AB96" s="93" t="s">
        <v>15</v>
      </c>
      <c r="AC96" s="30" t="s">
        <v>172</v>
      </c>
      <c r="AD96" s="25" t="s">
        <v>172</v>
      </c>
      <c r="AE96" s="25" t="s">
        <v>174</v>
      </c>
      <c r="AF96" s="26" t="s">
        <v>175</v>
      </c>
      <c r="AG96" s="32">
        <f t="shared" si="5"/>
        <v>1</v>
      </c>
      <c r="AH96" s="32">
        <v>1</v>
      </c>
      <c r="AI96" s="32"/>
      <c r="AJ96" s="32">
        <v>1</v>
      </c>
      <c r="AK96" s="30">
        <v>1</v>
      </c>
      <c r="AL96" s="32">
        <f t="shared" ref="AL96:AL107" si="6">IF(COUNTIF(AX:AX,"*"&amp;M96&amp;"*")&gt;0,1,0)</f>
        <v>1</v>
      </c>
      <c r="AM96" s="30"/>
      <c r="AN96" s="32">
        <v>1</v>
      </c>
      <c r="AO96" s="32">
        <v>1</v>
      </c>
      <c r="AP96" s="32">
        <v>1</v>
      </c>
      <c r="AQ96" s="32">
        <v>1</v>
      </c>
      <c r="AR96" s="32">
        <v>1</v>
      </c>
      <c r="AS96" s="32"/>
      <c r="AT96" s="32">
        <v>1</v>
      </c>
      <c r="AU96" s="30"/>
      <c r="AV96" s="30"/>
      <c r="AW96" s="30"/>
      <c r="AX96" s="30" t="s">
        <v>9881</v>
      </c>
      <c r="AY96" s="30"/>
      <c r="AZ96" s="94" t="s">
        <v>9850</v>
      </c>
    </row>
    <row r="97" spans="1:52" ht="16.5">
      <c r="A97" s="30" t="s">
        <v>9942</v>
      </c>
      <c r="B97" s="30" t="s">
        <v>4398</v>
      </c>
      <c r="C97" s="30" t="s">
        <v>68</v>
      </c>
      <c r="D97" s="30" t="s">
        <v>9943</v>
      </c>
      <c r="E97" s="260" t="s">
        <v>9944</v>
      </c>
      <c r="F97" s="30" t="s">
        <v>9945</v>
      </c>
      <c r="G97" s="30" t="s">
        <v>165</v>
      </c>
      <c r="H97" s="30" t="s">
        <v>165</v>
      </c>
      <c r="I97" s="30" t="s">
        <v>9838</v>
      </c>
      <c r="J97" s="30" t="s">
        <v>9281</v>
      </c>
      <c r="K97" s="32">
        <v>7.21</v>
      </c>
      <c r="L97" s="30" t="s">
        <v>73</v>
      </c>
      <c r="M97" s="30" t="s">
        <v>9915</v>
      </c>
      <c r="N97" s="30" t="s">
        <v>9946</v>
      </c>
      <c r="O97" s="27" t="s">
        <v>9947</v>
      </c>
      <c r="P97" s="30"/>
      <c r="Q97" s="92">
        <v>4</v>
      </c>
      <c r="R97" s="92">
        <v>16</v>
      </c>
      <c r="S97" s="92">
        <v>266.10000000000002</v>
      </c>
      <c r="T97" s="30" t="s">
        <v>88</v>
      </c>
      <c r="U97" s="30" t="s">
        <v>78</v>
      </c>
      <c r="V97" s="30" t="s">
        <v>89</v>
      </c>
      <c r="W97" s="38" t="s">
        <v>90</v>
      </c>
      <c r="X97" s="26" t="s">
        <v>4412</v>
      </c>
      <c r="Y97" s="26" t="s">
        <v>91</v>
      </c>
      <c r="Z97" s="26" t="s">
        <v>91</v>
      </c>
      <c r="AA97" s="30"/>
      <c r="AB97" s="93" t="s">
        <v>15</v>
      </c>
      <c r="AC97" s="30" t="s">
        <v>172</v>
      </c>
      <c r="AD97" s="25" t="s">
        <v>172</v>
      </c>
      <c r="AE97" s="25" t="s">
        <v>174</v>
      </c>
      <c r="AF97" s="26" t="s">
        <v>175</v>
      </c>
      <c r="AG97" s="32">
        <f t="shared" si="5"/>
        <v>1</v>
      </c>
      <c r="AH97" s="32">
        <v>1</v>
      </c>
      <c r="AI97" s="32"/>
      <c r="AJ97" s="32">
        <v>1</v>
      </c>
      <c r="AK97" s="30">
        <v>1</v>
      </c>
      <c r="AL97" s="32">
        <f t="shared" si="6"/>
        <v>1</v>
      </c>
      <c r="AM97" s="30"/>
      <c r="AN97" s="32">
        <v>1</v>
      </c>
      <c r="AO97" s="32">
        <v>1</v>
      </c>
      <c r="AP97" s="32">
        <v>1</v>
      </c>
      <c r="AQ97" s="32">
        <v>1</v>
      </c>
      <c r="AR97" s="32">
        <v>1</v>
      </c>
      <c r="AS97" s="32"/>
      <c r="AT97" s="32">
        <v>1</v>
      </c>
      <c r="AU97" s="30"/>
      <c r="AV97" s="30"/>
      <c r="AW97" s="30"/>
      <c r="AX97" s="30" t="s">
        <v>9904</v>
      </c>
      <c r="AY97" s="30"/>
      <c r="AZ97" s="94" t="s">
        <v>9887</v>
      </c>
    </row>
    <row r="98" spans="1:52" ht="16.5">
      <c r="A98" s="30" t="s">
        <v>9948</v>
      </c>
      <c r="B98" s="30" t="s">
        <v>4398</v>
      </c>
      <c r="C98" s="30" t="s">
        <v>73</v>
      </c>
      <c r="D98" s="30" t="s">
        <v>9949</v>
      </c>
      <c r="E98" s="260" t="s">
        <v>9950</v>
      </c>
      <c r="F98" s="30" t="s">
        <v>9951</v>
      </c>
      <c r="G98" s="30" t="s">
        <v>165</v>
      </c>
      <c r="H98" s="30" t="s">
        <v>165</v>
      </c>
      <c r="I98" s="30" t="s">
        <v>9838</v>
      </c>
      <c r="J98" s="30" t="s">
        <v>9281</v>
      </c>
      <c r="K98" s="32">
        <v>7.21</v>
      </c>
      <c r="L98" s="30" t="s">
        <v>73</v>
      </c>
      <c r="M98" s="30" t="s">
        <v>9885</v>
      </c>
      <c r="N98" s="30" t="s">
        <v>9952</v>
      </c>
      <c r="O98" s="27" t="s">
        <v>9953</v>
      </c>
      <c r="P98" s="30"/>
      <c r="Q98" s="95">
        <v>8</v>
      </c>
      <c r="R98" s="96" t="s">
        <v>9030</v>
      </c>
      <c r="S98" s="96" t="s">
        <v>9954</v>
      </c>
      <c r="T98" s="30" t="s">
        <v>88</v>
      </c>
      <c r="U98" s="30" t="s">
        <v>78</v>
      </c>
      <c r="V98" s="30" t="s">
        <v>89</v>
      </c>
      <c r="W98" s="38" t="s">
        <v>90</v>
      </c>
      <c r="X98" s="26" t="s">
        <v>4412</v>
      </c>
      <c r="Y98" s="26" t="s">
        <v>91</v>
      </c>
      <c r="Z98" s="26" t="s">
        <v>91</v>
      </c>
      <c r="AA98" s="30"/>
      <c r="AB98" s="93" t="s">
        <v>15</v>
      </c>
      <c r="AC98" s="30" t="s">
        <v>172</v>
      </c>
      <c r="AD98" s="25" t="s">
        <v>7629</v>
      </c>
      <c r="AE98" s="25" t="s">
        <v>172</v>
      </c>
      <c r="AF98" s="26" t="s">
        <v>175</v>
      </c>
      <c r="AG98" s="32">
        <f t="shared" si="5"/>
        <v>1</v>
      </c>
      <c r="AH98" s="32">
        <v>1</v>
      </c>
      <c r="AI98" s="32"/>
      <c r="AJ98" s="32">
        <v>1</v>
      </c>
      <c r="AK98" s="30">
        <v>1</v>
      </c>
      <c r="AL98" s="32">
        <f t="shared" si="6"/>
        <v>1</v>
      </c>
      <c r="AM98" s="30"/>
      <c r="AN98" s="32">
        <v>1</v>
      </c>
      <c r="AO98" s="32">
        <v>1</v>
      </c>
      <c r="AP98" s="32">
        <v>1</v>
      </c>
      <c r="AQ98" s="32">
        <v>1</v>
      </c>
      <c r="AR98" s="32">
        <v>1</v>
      </c>
      <c r="AS98" s="32"/>
      <c r="AT98" s="32">
        <v>1</v>
      </c>
      <c r="AU98" s="30"/>
      <c r="AV98" s="30"/>
      <c r="AW98" s="30"/>
      <c r="AX98" s="30" t="s">
        <v>9955</v>
      </c>
      <c r="AY98" s="30"/>
      <c r="AZ98" s="94" t="s">
        <v>9937</v>
      </c>
    </row>
    <row r="99" spans="1:52" ht="16.5">
      <c r="A99" s="30" t="s">
        <v>9956</v>
      </c>
      <c r="B99" s="30" t="s">
        <v>4398</v>
      </c>
      <c r="C99" s="30" t="s">
        <v>73</v>
      </c>
      <c r="D99" s="30" t="s">
        <v>9957</v>
      </c>
      <c r="E99" s="260" t="s">
        <v>9958</v>
      </c>
      <c r="F99" s="30" t="s">
        <v>9959</v>
      </c>
      <c r="G99" s="30" t="s">
        <v>165</v>
      </c>
      <c r="H99" s="30" t="s">
        <v>165</v>
      </c>
      <c r="I99" s="30" t="s">
        <v>9838</v>
      </c>
      <c r="J99" s="30" t="s">
        <v>9281</v>
      </c>
      <c r="K99" s="32">
        <v>7.21</v>
      </c>
      <c r="L99" s="30" t="s">
        <v>73</v>
      </c>
      <c r="M99" s="30" t="s">
        <v>9892</v>
      </c>
      <c r="N99" s="30" t="s">
        <v>9960</v>
      </c>
      <c r="O99" s="27" t="s">
        <v>9961</v>
      </c>
      <c r="P99" s="30"/>
      <c r="Q99" s="95">
        <v>8</v>
      </c>
      <c r="R99" s="96" t="s">
        <v>9030</v>
      </c>
      <c r="S99" s="96" t="s">
        <v>9962</v>
      </c>
      <c r="T99" s="30" t="s">
        <v>88</v>
      </c>
      <c r="U99" s="30" t="s">
        <v>78</v>
      </c>
      <c r="V99" s="30" t="s">
        <v>89</v>
      </c>
      <c r="W99" s="38" t="s">
        <v>90</v>
      </c>
      <c r="X99" s="26" t="s">
        <v>4412</v>
      </c>
      <c r="Y99" s="26" t="s">
        <v>91</v>
      </c>
      <c r="Z99" s="26" t="s">
        <v>91</v>
      </c>
      <c r="AA99" s="30"/>
      <c r="AB99" s="93" t="s">
        <v>15</v>
      </c>
      <c r="AC99" s="30" t="s">
        <v>172</v>
      </c>
      <c r="AD99" s="25" t="s">
        <v>7629</v>
      </c>
      <c r="AE99" s="25" t="s">
        <v>172</v>
      </c>
      <c r="AF99" s="26" t="s">
        <v>175</v>
      </c>
      <c r="AG99" s="32">
        <f t="shared" ref="AG99:AG130" si="7">IF(COUNTIF(AZ:AZ,D99)&gt;0,1,0)</f>
        <v>1</v>
      </c>
      <c r="AH99" s="32">
        <v>1</v>
      </c>
      <c r="AI99" s="32"/>
      <c r="AJ99" s="32">
        <v>1</v>
      </c>
      <c r="AK99" s="30">
        <v>1</v>
      </c>
      <c r="AL99" s="32">
        <f t="shared" si="6"/>
        <v>1</v>
      </c>
      <c r="AM99" s="30"/>
      <c r="AN99" s="32">
        <v>1</v>
      </c>
      <c r="AO99" s="32">
        <v>1</v>
      </c>
      <c r="AP99" s="32">
        <v>1</v>
      </c>
      <c r="AQ99" s="32">
        <v>1</v>
      </c>
      <c r="AR99" s="32">
        <v>1</v>
      </c>
      <c r="AS99" s="32"/>
      <c r="AT99" s="32">
        <v>1</v>
      </c>
      <c r="AU99" s="30"/>
      <c r="AV99" s="30"/>
      <c r="AW99" s="30"/>
      <c r="AX99" s="30" t="s">
        <v>9963</v>
      </c>
      <c r="AY99" s="30"/>
      <c r="AZ99" s="94" t="s">
        <v>5008</v>
      </c>
    </row>
    <row r="100" spans="1:52" ht="16.5">
      <c r="A100" s="30" t="s">
        <v>9964</v>
      </c>
      <c r="B100" s="30" t="s">
        <v>4398</v>
      </c>
      <c r="C100" s="30" t="s">
        <v>68</v>
      </c>
      <c r="D100" s="30" t="s">
        <v>9916</v>
      </c>
      <c r="E100" s="260" t="s">
        <v>9965</v>
      </c>
      <c r="F100" s="30" t="s">
        <v>9966</v>
      </c>
      <c r="G100" s="30" t="s">
        <v>165</v>
      </c>
      <c r="H100" s="30" t="s">
        <v>165</v>
      </c>
      <c r="I100" s="30" t="s">
        <v>9838</v>
      </c>
      <c r="J100" s="30" t="s">
        <v>9281</v>
      </c>
      <c r="K100" s="32">
        <v>7.21</v>
      </c>
      <c r="L100" s="30" t="s">
        <v>73</v>
      </c>
      <c r="M100" s="30" t="s">
        <v>9967</v>
      </c>
      <c r="N100" s="30" t="s">
        <v>9968</v>
      </c>
      <c r="O100" s="27" t="s">
        <v>9969</v>
      </c>
      <c r="P100" s="30"/>
      <c r="Q100" s="92">
        <v>4</v>
      </c>
      <c r="R100" s="92">
        <v>16</v>
      </c>
      <c r="S100" s="92">
        <v>286.27</v>
      </c>
      <c r="T100" s="30" t="s">
        <v>88</v>
      </c>
      <c r="U100" s="30" t="s">
        <v>78</v>
      </c>
      <c r="V100" s="30" t="s">
        <v>89</v>
      </c>
      <c r="W100" s="38" t="s">
        <v>90</v>
      </c>
      <c r="X100" s="26" t="s">
        <v>4412</v>
      </c>
      <c r="Y100" s="26" t="s">
        <v>91</v>
      </c>
      <c r="Z100" s="26" t="s">
        <v>91</v>
      </c>
      <c r="AA100" s="30"/>
      <c r="AB100" s="93" t="s">
        <v>15</v>
      </c>
      <c r="AC100" s="30" t="s">
        <v>172</v>
      </c>
      <c r="AD100" s="25" t="s">
        <v>172</v>
      </c>
      <c r="AE100" s="25" t="s">
        <v>174</v>
      </c>
      <c r="AF100" s="26" t="s">
        <v>175</v>
      </c>
      <c r="AG100" s="32">
        <f t="shared" si="7"/>
        <v>1</v>
      </c>
      <c r="AH100" s="32">
        <v>1</v>
      </c>
      <c r="AI100" s="32"/>
      <c r="AJ100" s="32">
        <v>1</v>
      </c>
      <c r="AK100" s="30">
        <v>1</v>
      </c>
      <c r="AL100" s="32">
        <f t="shared" si="6"/>
        <v>1</v>
      </c>
      <c r="AM100" s="30"/>
      <c r="AN100" s="32">
        <v>1</v>
      </c>
      <c r="AO100" s="32">
        <v>1</v>
      </c>
      <c r="AP100" s="32">
        <v>1</v>
      </c>
      <c r="AQ100" s="32">
        <v>1</v>
      </c>
      <c r="AR100" s="32">
        <v>1</v>
      </c>
      <c r="AS100" s="32"/>
      <c r="AT100" s="32">
        <v>1</v>
      </c>
      <c r="AU100" s="30"/>
      <c r="AV100" s="30"/>
      <c r="AW100" s="30"/>
      <c r="AX100" s="30" t="s">
        <v>9970</v>
      </c>
      <c r="AY100" s="30"/>
      <c r="AZ100" s="94" t="s">
        <v>9835</v>
      </c>
    </row>
    <row r="101" spans="1:52" ht="16.5">
      <c r="A101" s="30" t="s">
        <v>9971</v>
      </c>
      <c r="B101" s="30" t="s">
        <v>4398</v>
      </c>
      <c r="C101" s="30" t="s">
        <v>73</v>
      </c>
      <c r="D101" s="30" t="s">
        <v>9972</v>
      </c>
      <c r="E101" s="260" t="s">
        <v>9973</v>
      </c>
      <c r="F101" s="30" t="s">
        <v>9974</v>
      </c>
      <c r="G101" s="30" t="s">
        <v>165</v>
      </c>
      <c r="H101" s="30" t="s">
        <v>165</v>
      </c>
      <c r="I101" s="30" t="s">
        <v>9838</v>
      </c>
      <c r="J101" s="30" t="s">
        <v>9281</v>
      </c>
      <c r="K101" s="32">
        <v>7.21</v>
      </c>
      <c r="L101" s="30" t="s">
        <v>73</v>
      </c>
      <c r="M101" s="30" t="s">
        <v>9900</v>
      </c>
      <c r="N101" s="30" t="s">
        <v>9975</v>
      </c>
      <c r="O101" s="27" t="s">
        <v>9976</v>
      </c>
      <c r="P101" s="30"/>
      <c r="Q101" s="95">
        <v>8</v>
      </c>
      <c r="R101" s="96" t="s">
        <v>9030</v>
      </c>
      <c r="S101" s="96" t="s">
        <v>9977</v>
      </c>
      <c r="T101" s="30" t="s">
        <v>88</v>
      </c>
      <c r="U101" s="30" t="s">
        <v>78</v>
      </c>
      <c r="V101" s="30" t="s">
        <v>89</v>
      </c>
      <c r="W101" s="38" t="s">
        <v>90</v>
      </c>
      <c r="X101" s="26" t="s">
        <v>4412</v>
      </c>
      <c r="Y101" s="26" t="s">
        <v>91</v>
      </c>
      <c r="Z101" s="26" t="s">
        <v>91</v>
      </c>
      <c r="AA101" s="30"/>
      <c r="AB101" s="93" t="s">
        <v>15</v>
      </c>
      <c r="AC101" s="30" t="s">
        <v>172</v>
      </c>
      <c r="AD101" s="25" t="s">
        <v>7629</v>
      </c>
      <c r="AE101" s="25" t="s">
        <v>172</v>
      </c>
      <c r="AF101" s="26" t="s">
        <v>175</v>
      </c>
      <c r="AG101" s="32">
        <f t="shared" si="7"/>
        <v>1</v>
      </c>
      <c r="AH101" s="32">
        <v>1</v>
      </c>
      <c r="AI101" s="32"/>
      <c r="AJ101" s="32">
        <v>1</v>
      </c>
      <c r="AK101" s="30">
        <v>1</v>
      </c>
      <c r="AL101" s="32">
        <f t="shared" si="6"/>
        <v>1</v>
      </c>
      <c r="AM101" s="30"/>
      <c r="AN101" s="32">
        <v>1</v>
      </c>
      <c r="AO101" s="32">
        <v>1</v>
      </c>
      <c r="AP101" s="32">
        <v>1</v>
      </c>
      <c r="AQ101" s="32">
        <v>1</v>
      </c>
      <c r="AR101" s="32">
        <v>1</v>
      </c>
      <c r="AS101" s="32"/>
      <c r="AT101" s="32">
        <v>1</v>
      </c>
      <c r="AU101" s="30"/>
      <c r="AV101" s="30"/>
      <c r="AW101" s="30"/>
      <c r="AX101" s="30" t="s">
        <v>9978</v>
      </c>
      <c r="AY101" s="30"/>
      <c r="AZ101" s="94" t="s">
        <v>9858</v>
      </c>
    </row>
    <row r="102" spans="1:52" ht="16.5">
      <c r="A102" s="30" t="s">
        <v>9979</v>
      </c>
      <c r="B102" s="30" t="s">
        <v>4398</v>
      </c>
      <c r="C102" s="30" t="s">
        <v>73</v>
      </c>
      <c r="D102" s="30" t="s">
        <v>9980</v>
      </c>
      <c r="E102" s="260" t="s">
        <v>9981</v>
      </c>
      <c r="F102" s="30" t="s">
        <v>9982</v>
      </c>
      <c r="G102" s="30" t="s">
        <v>165</v>
      </c>
      <c r="H102" s="30" t="s">
        <v>165</v>
      </c>
      <c r="I102" s="30" t="s">
        <v>9838</v>
      </c>
      <c r="J102" s="30" t="s">
        <v>9281</v>
      </c>
      <c r="K102" s="32">
        <v>7.21</v>
      </c>
      <c r="L102" s="30" t="s">
        <v>73</v>
      </c>
      <c r="M102" s="30" t="s">
        <v>9983</v>
      </c>
      <c r="N102" s="30" t="s">
        <v>9984</v>
      </c>
      <c r="O102" s="27" t="s">
        <v>9985</v>
      </c>
      <c r="P102" s="30"/>
      <c r="Q102" s="95">
        <v>8</v>
      </c>
      <c r="R102" s="96" t="s">
        <v>9030</v>
      </c>
      <c r="S102" s="96" t="s">
        <v>9986</v>
      </c>
      <c r="T102" s="30" t="s">
        <v>88</v>
      </c>
      <c r="U102" s="30" t="s">
        <v>78</v>
      </c>
      <c r="V102" s="30" t="s">
        <v>89</v>
      </c>
      <c r="W102" s="38" t="s">
        <v>9987</v>
      </c>
      <c r="X102" s="26" t="s">
        <v>4412</v>
      </c>
      <c r="Y102" s="26" t="s">
        <v>91</v>
      </c>
      <c r="Z102" s="26" t="s">
        <v>91</v>
      </c>
      <c r="AA102" s="30"/>
      <c r="AB102" s="93" t="s">
        <v>17</v>
      </c>
      <c r="AC102" s="30" t="s">
        <v>172</v>
      </c>
      <c r="AD102" s="25" t="s">
        <v>7629</v>
      </c>
      <c r="AE102" s="25" t="s">
        <v>172</v>
      </c>
      <c r="AF102" s="26" t="s">
        <v>175</v>
      </c>
      <c r="AG102" s="32">
        <f t="shared" si="7"/>
        <v>1</v>
      </c>
      <c r="AH102" s="32">
        <v>1</v>
      </c>
      <c r="AI102" s="32"/>
      <c r="AJ102" s="32">
        <v>1</v>
      </c>
      <c r="AK102" s="30">
        <v>1</v>
      </c>
      <c r="AL102" s="32">
        <f t="shared" si="6"/>
        <v>1</v>
      </c>
      <c r="AM102" s="30"/>
      <c r="AN102" s="32">
        <v>1</v>
      </c>
      <c r="AO102" s="32">
        <v>1</v>
      </c>
      <c r="AP102" s="32">
        <v>1</v>
      </c>
      <c r="AQ102" s="32">
        <v>1</v>
      </c>
      <c r="AR102" s="32">
        <v>1</v>
      </c>
      <c r="AS102" s="32"/>
      <c r="AT102" s="32">
        <v>1</v>
      </c>
      <c r="AU102" s="30"/>
      <c r="AV102" s="30"/>
      <c r="AW102" s="30"/>
      <c r="AX102" s="30" t="s">
        <v>9988</v>
      </c>
      <c r="AY102" s="30"/>
      <c r="AZ102" s="94" t="s">
        <v>9843</v>
      </c>
    </row>
    <row r="103" spans="1:52" ht="16.5">
      <c r="A103" s="30" t="s">
        <v>9989</v>
      </c>
      <c r="B103" s="30" t="s">
        <v>4398</v>
      </c>
      <c r="C103" s="30" t="s">
        <v>68</v>
      </c>
      <c r="D103" s="30" t="s">
        <v>9990</v>
      </c>
      <c r="E103" s="260" t="s">
        <v>9991</v>
      </c>
      <c r="F103" s="30" t="s">
        <v>9992</v>
      </c>
      <c r="G103" s="30" t="s">
        <v>165</v>
      </c>
      <c r="H103" s="30" t="s">
        <v>165</v>
      </c>
      <c r="I103" s="30" t="s">
        <v>9838</v>
      </c>
      <c r="J103" s="30" t="s">
        <v>9281</v>
      </c>
      <c r="K103" s="32">
        <v>7.21</v>
      </c>
      <c r="L103" s="30" t="s">
        <v>73</v>
      </c>
      <c r="M103" s="30" t="s">
        <v>9993</v>
      </c>
      <c r="N103" s="30" t="s">
        <v>9994</v>
      </c>
      <c r="O103" s="27" t="s">
        <v>9995</v>
      </c>
      <c r="P103" s="30"/>
      <c r="Q103" s="92">
        <v>8</v>
      </c>
      <c r="R103" s="92">
        <v>32</v>
      </c>
      <c r="S103" s="92">
        <v>534.97</v>
      </c>
      <c r="T103" s="30" t="s">
        <v>88</v>
      </c>
      <c r="U103" s="30" t="s">
        <v>78</v>
      </c>
      <c r="V103" s="30" t="s">
        <v>89</v>
      </c>
      <c r="W103" s="38" t="s">
        <v>9987</v>
      </c>
      <c r="X103" s="26" t="s">
        <v>4412</v>
      </c>
      <c r="Y103" s="26" t="s">
        <v>91</v>
      </c>
      <c r="Z103" s="26" t="s">
        <v>91</v>
      </c>
      <c r="AA103" s="30"/>
      <c r="AB103" s="93" t="s">
        <v>17</v>
      </c>
      <c r="AC103" s="30" t="s">
        <v>172</v>
      </c>
      <c r="AD103" s="25" t="s">
        <v>172</v>
      </c>
      <c r="AE103" s="25" t="s">
        <v>174</v>
      </c>
      <c r="AF103" s="26" t="s">
        <v>175</v>
      </c>
      <c r="AG103" s="32">
        <f t="shared" si="7"/>
        <v>1</v>
      </c>
      <c r="AH103" s="32">
        <v>1</v>
      </c>
      <c r="AI103" s="32"/>
      <c r="AJ103" s="32">
        <v>1</v>
      </c>
      <c r="AK103" s="30">
        <v>1</v>
      </c>
      <c r="AL103" s="32">
        <f t="shared" si="6"/>
        <v>1</v>
      </c>
      <c r="AM103" s="30"/>
      <c r="AN103" s="32">
        <v>1</v>
      </c>
      <c r="AO103" s="32">
        <v>1</v>
      </c>
      <c r="AP103" s="32">
        <v>1</v>
      </c>
      <c r="AQ103" s="32">
        <v>1</v>
      </c>
      <c r="AR103" s="32">
        <v>1</v>
      </c>
      <c r="AS103" s="32"/>
      <c r="AT103" s="32">
        <v>1</v>
      </c>
      <c r="AU103" s="30"/>
      <c r="AV103" s="30"/>
      <c r="AW103" s="30"/>
      <c r="AX103" s="30" t="s">
        <v>9996</v>
      </c>
      <c r="AY103" s="30"/>
      <c r="AZ103" s="94" t="s">
        <v>9943</v>
      </c>
    </row>
    <row r="104" spans="1:52" ht="16.5">
      <c r="A104" s="30" t="s">
        <v>9997</v>
      </c>
      <c r="B104" s="30" t="s">
        <v>4398</v>
      </c>
      <c r="C104" s="30" t="s">
        <v>68</v>
      </c>
      <c r="D104" s="30" t="s">
        <v>9998</v>
      </c>
      <c r="E104" s="260" t="s">
        <v>9999</v>
      </c>
      <c r="F104" s="30" t="s">
        <v>10000</v>
      </c>
      <c r="G104" s="30" t="s">
        <v>165</v>
      </c>
      <c r="H104" s="30" t="s">
        <v>165</v>
      </c>
      <c r="I104" s="30" t="s">
        <v>9838</v>
      </c>
      <c r="J104" s="30" t="s">
        <v>9281</v>
      </c>
      <c r="K104" s="32">
        <v>7.21</v>
      </c>
      <c r="L104" s="30" t="s">
        <v>73</v>
      </c>
      <c r="M104" s="30" t="s">
        <v>10001</v>
      </c>
      <c r="N104" s="30" t="s">
        <v>10002</v>
      </c>
      <c r="O104" s="27" t="s">
        <v>10003</v>
      </c>
      <c r="P104" s="30"/>
      <c r="Q104" s="92">
        <v>8</v>
      </c>
      <c r="R104" s="92">
        <v>32</v>
      </c>
      <c r="S104" s="92">
        <v>302.77</v>
      </c>
      <c r="T104" s="30" t="s">
        <v>88</v>
      </c>
      <c r="U104" s="30" t="s">
        <v>78</v>
      </c>
      <c r="V104" s="30" t="s">
        <v>89</v>
      </c>
      <c r="W104" s="38" t="s">
        <v>9987</v>
      </c>
      <c r="X104" s="26" t="s">
        <v>4412</v>
      </c>
      <c r="Y104" s="26" t="s">
        <v>91</v>
      </c>
      <c r="Z104" s="26" t="s">
        <v>91</v>
      </c>
      <c r="AA104" s="30"/>
      <c r="AB104" s="93" t="s">
        <v>17</v>
      </c>
      <c r="AC104" s="30" t="s">
        <v>172</v>
      </c>
      <c r="AD104" s="25" t="s">
        <v>172</v>
      </c>
      <c r="AE104" s="25" t="s">
        <v>174</v>
      </c>
      <c r="AF104" s="26" t="s">
        <v>175</v>
      </c>
      <c r="AG104" s="32">
        <f t="shared" si="7"/>
        <v>1</v>
      </c>
      <c r="AH104" s="32">
        <v>1</v>
      </c>
      <c r="AI104" s="32"/>
      <c r="AJ104" s="32">
        <v>1</v>
      </c>
      <c r="AK104" s="30">
        <v>1</v>
      </c>
      <c r="AL104" s="32">
        <f t="shared" si="6"/>
        <v>1</v>
      </c>
      <c r="AM104" s="30"/>
      <c r="AN104" s="32">
        <v>1</v>
      </c>
      <c r="AO104" s="32">
        <v>1</v>
      </c>
      <c r="AP104" s="32">
        <v>1</v>
      </c>
      <c r="AQ104" s="32">
        <v>1</v>
      </c>
      <c r="AR104" s="32">
        <v>1</v>
      </c>
      <c r="AS104" s="32"/>
      <c r="AT104" s="32">
        <v>1</v>
      </c>
      <c r="AU104" s="30"/>
      <c r="AV104" s="30"/>
      <c r="AW104" s="30"/>
      <c r="AX104" s="30" t="s">
        <v>10004</v>
      </c>
      <c r="AY104" s="30"/>
      <c r="AZ104" s="94" t="s">
        <v>9871</v>
      </c>
    </row>
    <row r="105" spans="1:52" ht="16.5">
      <c r="A105" s="30" t="s">
        <v>10005</v>
      </c>
      <c r="B105" s="30" t="s">
        <v>4398</v>
      </c>
      <c r="C105" s="30" t="s">
        <v>68</v>
      </c>
      <c r="D105" s="30" t="s">
        <v>10006</v>
      </c>
      <c r="E105" s="260" t="s">
        <v>10007</v>
      </c>
      <c r="F105" s="30" t="s">
        <v>10008</v>
      </c>
      <c r="G105" s="30" t="s">
        <v>165</v>
      </c>
      <c r="H105" s="30" t="s">
        <v>165</v>
      </c>
      <c r="I105" s="30" t="s">
        <v>9838</v>
      </c>
      <c r="J105" s="30" t="s">
        <v>9281</v>
      </c>
      <c r="K105" s="32">
        <v>7.21</v>
      </c>
      <c r="L105" s="30" t="s">
        <v>73</v>
      </c>
      <c r="M105" s="30" t="s">
        <v>9955</v>
      </c>
      <c r="N105" s="30" t="s">
        <v>10009</v>
      </c>
      <c r="O105" s="27" t="s">
        <v>10010</v>
      </c>
      <c r="P105" s="30"/>
      <c r="Q105" s="92">
        <v>8</v>
      </c>
      <c r="R105" s="92">
        <v>32</v>
      </c>
      <c r="S105" s="92">
        <v>303.12</v>
      </c>
      <c r="T105" s="30" t="s">
        <v>88</v>
      </c>
      <c r="U105" s="30" t="s">
        <v>78</v>
      </c>
      <c r="V105" s="30" t="s">
        <v>89</v>
      </c>
      <c r="W105" s="38" t="s">
        <v>9987</v>
      </c>
      <c r="X105" s="26" t="s">
        <v>4412</v>
      </c>
      <c r="Y105" s="26" t="s">
        <v>91</v>
      </c>
      <c r="Z105" s="26" t="s">
        <v>91</v>
      </c>
      <c r="AA105" s="30"/>
      <c r="AB105" s="93" t="s">
        <v>17</v>
      </c>
      <c r="AC105" s="30" t="s">
        <v>172</v>
      </c>
      <c r="AD105" s="25" t="s">
        <v>172</v>
      </c>
      <c r="AE105" s="25" t="s">
        <v>174</v>
      </c>
      <c r="AF105" s="26" t="s">
        <v>175</v>
      </c>
      <c r="AG105" s="32">
        <f t="shared" si="7"/>
        <v>1</v>
      </c>
      <c r="AH105" s="32">
        <v>1</v>
      </c>
      <c r="AI105" s="32"/>
      <c r="AJ105" s="32">
        <v>1</v>
      </c>
      <c r="AK105" s="30">
        <v>1</v>
      </c>
      <c r="AL105" s="32">
        <f t="shared" si="6"/>
        <v>1</v>
      </c>
      <c r="AM105" s="30"/>
      <c r="AN105" s="32">
        <v>1</v>
      </c>
      <c r="AO105" s="32">
        <v>1</v>
      </c>
      <c r="AP105" s="32">
        <v>1</v>
      </c>
      <c r="AQ105" s="32">
        <v>1</v>
      </c>
      <c r="AR105" s="32">
        <v>1</v>
      </c>
      <c r="AS105" s="32"/>
      <c r="AT105" s="32">
        <v>1</v>
      </c>
      <c r="AU105" s="30"/>
      <c r="AV105" s="30"/>
      <c r="AW105" s="30"/>
      <c r="AX105" s="30" t="s">
        <v>10011</v>
      </c>
      <c r="AY105" s="30"/>
      <c r="AZ105" s="94" t="s">
        <v>9910</v>
      </c>
    </row>
    <row r="106" spans="1:52" ht="16.5">
      <c r="A106" s="30" t="s">
        <v>10012</v>
      </c>
      <c r="B106" s="30" t="s">
        <v>4398</v>
      </c>
      <c r="C106" s="30" t="s">
        <v>68</v>
      </c>
      <c r="D106" s="30" t="s">
        <v>10013</v>
      </c>
      <c r="E106" s="260" t="s">
        <v>10014</v>
      </c>
      <c r="F106" s="30" t="s">
        <v>10015</v>
      </c>
      <c r="G106" s="30" t="s">
        <v>165</v>
      </c>
      <c r="H106" s="30" t="s">
        <v>165</v>
      </c>
      <c r="I106" s="30" t="s">
        <v>9838</v>
      </c>
      <c r="J106" s="30" t="s">
        <v>9281</v>
      </c>
      <c r="K106" s="32">
        <v>7.21</v>
      </c>
      <c r="L106" s="30" t="s">
        <v>73</v>
      </c>
      <c r="M106" s="30" t="s">
        <v>10016</v>
      </c>
      <c r="N106" s="30" t="s">
        <v>10017</v>
      </c>
      <c r="O106" s="27" t="s">
        <v>10018</v>
      </c>
      <c r="P106" s="30"/>
      <c r="Q106" s="92">
        <v>8</v>
      </c>
      <c r="R106" s="92">
        <v>32</v>
      </c>
      <c r="S106" s="92">
        <v>342.12</v>
      </c>
      <c r="T106" s="30" t="s">
        <v>88</v>
      </c>
      <c r="U106" s="30" t="s">
        <v>78</v>
      </c>
      <c r="V106" s="30" t="s">
        <v>89</v>
      </c>
      <c r="W106" s="38" t="s">
        <v>9987</v>
      </c>
      <c r="X106" s="26" t="s">
        <v>4412</v>
      </c>
      <c r="Y106" s="26" t="s">
        <v>91</v>
      </c>
      <c r="Z106" s="26" t="s">
        <v>91</v>
      </c>
      <c r="AA106" s="30"/>
      <c r="AB106" s="93" t="s">
        <v>17</v>
      </c>
      <c r="AC106" s="30" t="s">
        <v>172</v>
      </c>
      <c r="AD106" s="25" t="s">
        <v>172</v>
      </c>
      <c r="AE106" s="25" t="s">
        <v>174</v>
      </c>
      <c r="AF106" s="26" t="s">
        <v>175</v>
      </c>
      <c r="AG106" s="32">
        <f t="shared" si="7"/>
        <v>1</v>
      </c>
      <c r="AH106" s="32">
        <v>1</v>
      </c>
      <c r="AI106" s="32"/>
      <c r="AJ106" s="32">
        <v>1</v>
      </c>
      <c r="AK106" s="30">
        <v>1</v>
      </c>
      <c r="AL106" s="32">
        <f t="shared" si="6"/>
        <v>1</v>
      </c>
      <c r="AM106" s="30"/>
      <c r="AN106" s="32">
        <v>1</v>
      </c>
      <c r="AO106" s="32">
        <v>1</v>
      </c>
      <c r="AP106" s="32">
        <v>1</v>
      </c>
      <c r="AQ106" s="32">
        <v>1</v>
      </c>
      <c r="AR106" s="32">
        <v>1</v>
      </c>
      <c r="AS106" s="32"/>
      <c r="AT106" s="32">
        <v>1</v>
      </c>
      <c r="AU106" s="30"/>
      <c r="AV106" s="30"/>
      <c r="AW106" s="30"/>
      <c r="AX106" s="30" t="s">
        <v>9853</v>
      </c>
      <c r="AY106" s="30"/>
      <c r="AZ106" s="94" t="s">
        <v>9949</v>
      </c>
    </row>
    <row r="107" spans="1:52" ht="16.5">
      <c r="A107" s="30" t="s">
        <v>10019</v>
      </c>
      <c r="B107" s="30" t="s">
        <v>4398</v>
      </c>
      <c r="C107" s="30" t="s">
        <v>68</v>
      </c>
      <c r="D107" s="30" t="s">
        <v>10020</v>
      </c>
      <c r="E107" s="260" t="s">
        <v>10021</v>
      </c>
      <c r="F107" s="30" t="s">
        <v>10022</v>
      </c>
      <c r="G107" s="30" t="s">
        <v>165</v>
      </c>
      <c r="H107" s="30" t="s">
        <v>165</v>
      </c>
      <c r="I107" s="30" t="s">
        <v>9838</v>
      </c>
      <c r="J107" s="30" t="s">
        <v>9281</v>
      </c>
      <c r="K107" s="32">
        <v>7.21</v>
      </c>
      <c r="L107" s="30" t="s">
        <v>73</v>
      </c>
      <c r="M107" s="30" t="s">
        <v>9963</v>
      </c>
      <c r="N107" s="30" t="s">
        <v>10023</v>
      </c>
      <c r="O107" s="27" t="s">
        <v>10024</v>
      </c>
      <c r="P107" s="30"/>
      <c r="Q107" s="92">
        <v>8</v>
      </c>
      <c r="R107" s="92">
        <v>32</v>
      </c>
      <c r="S107" s="92">
        <v>302.87</v>
      </c>
      <c r="T107" s="30" t="s">
        <v>88</v>
      </c>
      <c r="U107" s="30" t="s">
        <v>78</v>
      </c>
      <c r="V107" s="30" t="s">
        <v>89</v>
      </c>
      <c r="W107" s="38" t="s">
        <v>9987</v>
      </c>
      <c r="X107" s="26" t="s">
        <v>4412</v>
      </c>
      <c r="Y107" s="26" t="s">
        <v>91</v>
      </c>
      <c r="Z107" s="26" t="s">
        <v>91</v>
      </c>
      <c r="AA107" s="30"/>
      <c r="AB107" s="93" t="s">
        <v>17</v>
      </c>
      <c r="AC107" s="30" t="s">
        <v>172</v>
      </c>
      <c r="AD107" s="25" t="s">
        <v>172</v>
      </c>
      <c r="AE107" s="25" t="s">
        <v>174</v>
      </c>
      <c r="AF107" s="26" t="s">
        <v>175</v>
      </c>
      <c r="AG107" s="32">
        <f t="shared" si="7"/>
        <v>1</v>
      </c>
      <c r="AH107" s="32">
        <v>1</v>
      </c>
      <c r="AI107" s="32"/>
      <c r="AJ107" s="32">
        <v>1</v>
      </c>
      <c r="AK107" s="30">
        <v>1</v>
      </c>
      <c r="AL107" s="32">
        <f t="shared" si="6"/>
        <v>1</v>
      </c>
      <c r="AM107" s="30"/>
      <c r="AN107" s="32">
        <v>1</v>
      </c>
      <c r="AO107" s="32">
        <v>1</v>
      </c>
      <c r="AP107" s="32">
        <v>1</v>
      </c>
      <c r="AQ107" s="32">
        <v>1</v>
      </c>
      <c r="AR107" s="32">
        <v>1</v>
      </c>
      <c r="AS107" s="32"/>
      <c r="AT107" s="32">
        <v>1</v>
      </c>
      <c r="AU107" s="30"/>
      <c r="AV107" s="30"/>
      <c r="AW107" s="30"/>
      <c r="AX107" s="30" t="s">
        <v>10016</v>
      </c>
      <c r="AY107" s="30"/>
      <c r="AZ107" s="94" t="s">
        <v>10025</v>
      </c>
    </row>
    <row r="108" spans="1:52" ht="16.5">
      <c r="A108" s="30" t="s">
        <v>10026</v>
      </c>
      <c r="B108" s="30" t="s">
        <v>4398</v>
      </c>
      <c r="C108" s="30" t="s">
        <v>68</v>
      </c>
      <c r="D108" s="30" t="s">
        <v>10027</v>
      </c>
      <c r="E108" s="260" t="s">
        <v>10028</v>
      </c>
      <c r="F108" s="30" t="s">
        <v>10029</v>
      </c>
      <c r="G108" s="30" t="s">
        <v>165</v>
      </c>
      <c r="H108" s="30" t="s">
        <v>165</v>
      </c>
      <c r="I108" s="30" t="s">
        <v>9838</v>
      </c>
      <c r="J108" s="30" t="s">
        <v>9281</v>
      </c>
      <c r="K108" s="34" t="s">
        <v>3213</v>
      </c>
      <c r="L108" s="30" t="s">
        <v>73</v>
      </c>
      <c r="M108" s="30" t="s">
        <v>10030</v>
      </c>
      <c r="N108" s="30" t="s">
        <v>10031</v>
      </c>
      <c r="O108" s="27" t="s">
        <v>10032</v>
      </c>
      <c r="P108" s="30"/>
      <c r="Q108" s="92">
        <v>8</v>
      </c>
      <c r="R108" s="92">
        <v>32</v>
      </c>
      <c r="S108" s="92">
        <v>283.26</v>
      </c>
      <c r="T108" s="30" t="s">
        <v>88</v>
      </c>
      <c r="U108" s="30" t="s">
        <v>78</v>
      </c>
      <c r="V108" s="30" t="s">
        <v>89</v>
      </c>
      <c r="W108" s="38" t="s">
        <v>9987</v>
      </c>
      <c r="X108" s="26" t="s">
        <v>4412</v>
      </c>
      <c r="Y108" s="26" t="s">
        <v>91</v>
      </c>
      <c r="Z108" s="26" t="s">
        <v>91</v>
      </c>
      <c r="AA108" s="30"/>
      <c r="AB108" s="93" t="s">
        <v>17</v>
      </c>
      <c r="AC108" s="30" t="s">
        <v>172</v>
      </c>
      <c r="AD108" s="25" t="s">
        <v>172</v>
      </c>
      <c r="AE108" s="25" t="s">
        <v>174</v>
      </c>
      <c r="AF108" s="26" t="s">
        <v>175</v>
      </c>
      <c r="AG108" s="32">
        <f t="shared" si="7"/>
        <v>1</v>
      </c>
      <c r="AH108" s="32">
        <v>1</v>
      </c>
      <c r="AI108" s="32"/>
      <c r="AJ108" s="32"/>
      <c r="AK108" s="30"/>
      <c r="AL108" s="32"/>
      <c r="AM108" s="30"/>
      <c r="AN108" s="32"/>
      <c r="AO108" s="32"/>
      <c r="AP108" s="32"/>
      <c r="AQ108" s="32"/>
      <c r="AR108" s="32"/>
      <c r="AS108" s="30"/>
      <c r="AT108" s="32"/>
      <c r="AU108" s="30"/>
      <c r="AV108" s="30"/>
      <c r="AW108" s="30"/>
      <c r="AX108" s="30"/>
      <c r="AY108" s="30"/>
      <c r="AZ108" s="94" t="s">
        <v>9972</v>
      </c>
    </row>
    <row r="109" spans="1:52" ht="16.5">
      <c r="A109" s="30" t="s">
        <v>10033</v>
      </c>
      <c r="B109" s="30" t="s">
        <v>4398</v>
      </c>
      <c r="C109" s="30" t="s">
        <v>68</v>
      </c>
      <c r="D109" s="30" t="s">
        <v>10034</v>
      </c>
      <c r="E109" s="260" t="s">
        <v>10035</v>
      </c>
      <c r="F109" s="30" t="s">
        <v>10036</v>
      </c>
      <c r="G109" s="30" t="s">
        <v>165</v>
      </c>
      <c r="H109" s="30" t="s">
        <v>165</v>
      </c>
      <c r="I109" s="30" t="s">
        <v>9838</v>
      </c>
      <c r="J109" s="30" t="s">
        <v>9281</v>
      </c>
      <c r="K109" s="32">
        <v>7.21</v>
      </c>
      <c r="L109" s="30" t="s">
        <v>73</v>
      </c>
      <c r="M109" s="30" t="s">
        <v>9996</v>
      </c>
      <c r="N109" s="30" t="s">
        <v>10037</v>
      </c>
      <c r="O109" s="27" t="s">
        <v>10038</v>
      </c>
      <c r="P109" s="30"/>
      <c r="Q109" s="92">
        <v>4</v>
      </c>
      <c r="R109" s="92">
        <v>16</v>
      </c>
      <c r="S109" s="92">
        <v>286.13</v>
      </c>
      <c r="T109" s="30" t="s">
        <v>88</v>
      </c>
      <c r="U109" s="30" t="s">
        <v>78</v>
      </c>
      <c r="V109" s="30" t="s">
        <v>89</v>
      </c>
      <c r="W109" s="38" t="s">
        <v>9987</v>
      </c>
      <c r="X109" s="26" t="s">
        <v>4412</v>
      </c>
      <c r="Y109" s="26" t="s">
        <v>91</v>
      </c>
      <c r="Z109" s="26" t="s">
        <v>91</v>
      </c>
      <c r="AA109" s="30"/>
      <c r="AB109" s="93" t="s">
        <v>17</v>
      </c>
      <c r="AC109" s="30" t="s">
        <v>172</v>
      </c>
      <c r="AD109" s="25" t="s">
        <v>172</v>
      </c>
      <c r="AE109" s="25" t="s">
        <v>174</v>
      </c>
      <c r="AF109" s="26" t="s">
        <v>175</v>
      </c>
      <c r="AG109" s="32">
        <f t="shared" si="7"/>
        <v>1</v>
      </c>
      <c r="AH109" s="32">
        <v>1</v>
      </c>
      <c r="AI109" s="32"/>
      <c r="AJ109" s="32">
        <v>1</v>
      </c>
      <c r="AK109" s="30">
        <v>1</v>
      </c>
      <c r="AL109" s="32">
        <f t="shared" ref="AL109:AL119" si="8">IF(COUNTIF(AX:AX,"*"&amp;M109&amp;"*")&gt;0,1,0)</f>
        <v>1</v>
      </c>
      <c r="AM109" s="30"/>
      <c r="AN109" s="32">
        <v>1</v>
      </c>
      <c r="AO109" s="32">
        <v>1</v>
      </c>
      <c r="AP109" s="32">
        <v>1</v>
      </c>
      <c r="AQ109" s="32">
        <v>1</v>
      </c>
      <c r="AR109" s="32">
        <v>1</v>
      </c>
      <c r="AS109" s="32"/>
      <c r="AT109" s="32">
        <v>1</v>
      </c>
      <c r="AU109" s="30"/>
      <c r="AV109" s="30"/>
      <c r="AW109" s="30"/>
      <c r="AX109" s="30" t="s">
        <v>10039</v>
      </c>
      <c r="AY109" s="30"/>
      <c r="AZ109" s="94" t="s">
        <v>9918</v>
      </c>
    </row>
    <row r="110" spans="1:52" ht="16.5">
      <c r="A110" s="30" t="s">
        <v>10040</v>
      </c>
      <c r="B110" s="30" t="s">
        <v>4398</v>
      </c>
      <c r="C110" s="30" t="s">
        <v>68</v>
      </c>
      <c r="D110" s="30" t="s">
        <v>10041</v>
      </c>
      <c r="E110" s="260" t="s">
        <v>10042</v>
      </c>
      <c r="F110" s="30" t="s">
        <v>10043</v>
      </c>
      <c r="G110" s="30" t="s">
        <v>165</v>
      </c>
      <c r="H110" s="30" t="s">
        <v>165</v>
      </c>
      <c r="I110" s="30" t="s">
        <v>9838</v>
      </c>
      <c r="J110" s="30" t="s">
        <v>9281</v>
      </c>
      <c r="K110" s="32">
        <v>7.21</v>
      </c>
      <c r="L110" s="30" t="s">
        <v>73</v>
      </c>
      <c r="M110" s="30" t="s">
        <v>9988</v>
      </c>
      <c r="N110" s="30" t="s">
        <v>10044</v>
      </c>
      <c r="O110" s="27" t="s">
        <v>10045</v>
      </c>
      <c r="P110" s="30"/>
      <c r="Q110" s="92">
        <v>4</v>
      </c>
      <c r="R110" s="92">
        <v>16</v>
      </c>
      <c r="S110" s="92">
        <v>286.14</v>
      </c>
      <c r="T110" s="30" t="s">
        <v>88</v>
      </c>
      <c r="U110" s="30" t="s">
        <v>78</v>
      </c>
      <c r="V110" s="30" t="s">
        <v>89</v>
      </c>
      <c r="W110" s="38" t="s">
        <v>9987</v>
      </c>
      <c r="X110" s="26" t="s">
        <v>4412</v>
      </c>
      <c r="Y110" s="26" t="s">
        <v>91</v>
      </c>
      <c r="Z110" s="26" t="s">
        <v>91</v>
      </c>
      <c r="AA110" s="30"/>
      <c r="AB110" s="93" t="s">
        <v>17</v>
      </c>
      <c r="AC110" s="30" t="s">
        <v>172</v>
      </c>
      <c r="AD110" s="25" t="s">
        <v>172</v>
      </c>
      <c r="AE110" s="25" t="s">
        <v>174</v>
      </c>
      <c r="AF110" s="26" t="s">
        <v>175</v>
      </c>
      <c r="AG110" s="32">
        <f t="shared" si="7"/>
        <v>1</v>
      </c>
      <c r="AH110" s="32">
        <v>1</v>
      </c>
      <c r="AI110" s="32"/>
      <c r="AJ110" s="32">
        <v>1</v>
      </c>
      <c r="AK110" s="30">
        <v>1</v>
      </c>
      <c r="AL110" s="32">
        <f t="shared" si="8"/>
        <v>1</v>
      </c>
      <c r="AM110" s="30"/>
      <c r="AN110" s="32">
        <v>1</v>
      </c>
      <c r="AO110" s="32">
        <v>1</v>
      </c>
      <c r="AP110" s="32">
        <v>1</v>
      </c>
      <c r="AQ110" s="32">
        <v>1</v>
      </c>
      <c r="AR110" s="32">
        <v>1</v>
      </c>
      <c r="AS110" s="32"/>
      <c r="AT110" s="32">
        <v>1</v>
      </c>
      <c r="AU110" s="30"/>
      <c r="AV110" s="30"/>
      <c r="AW110" s="30"/>
      <c r="AX110" s="30" t="s">
        <v>10046</v>
      </c>
      <c r="AY110" s="30"/>
      <c r="AZ110" s="94" t="s">
        <v>9878</v>
      </c>
    </row>
    <row r="111" spans="1:52">
      <c r="A111" s="30" t="s">
        <v>10047</v>
      </c>
      <c r="B111" s="30" t="s">
        <v>4398</v>
      </c>
      <c r="C111" s="30" t="s">
        <v>68</v>
      </c>
      <c r="D111" s="30" t="s">
        <v>10048</v>
      </c>
      <c r="E111" s="260" t="s">
        <v>10049</v>
      </c>
      <c r="F111" s="30" t="s">
        <v>9198</v>
      </c>
      <c r="G111" s="30" t="s">
        <v>165</v>
      </c>
      <c r="H111" s="30" t="s">
        <v>165</v>
      </c>
      <c r="I111" s="30" t="s">
        <v>9838</v>
      </c>
      <c r="J111" s="30" t="s">
        <v>9281</v>
      </c>
      <c r="K111" s="32">
        <v>7.21</v>
      </c>
      <c r="L111" s="30" t="s">
        <v>73</v>
      </c>
      <c r="M111" s="30" t="s">
        <v>10050</v>
      </c>
      <c r="N111" s="30" t="s">
        <v>10051</v>
      </c>
      <c r="O111" s="27" t="s">
        <v>10052</v>
      </c>
      <c r="P111" s="30"/>
      <c r="Q111" s="92">
        <v>8</v>
      </c>
      <c r="R111" s="92">
        <v>32</v>
      </c>
      <c r="S111" s="92">
        <v>382.28</v>
      </c>
      <c r="T111" s="30" t="s">
        <v>88</v>
      </c>
      <c r="U111" s="30" t="s">
        <v>78</v>
      </c>
      <c r="V111" s="30" t="s">
        <v>89</v>
      </c>
      <c r="W111" s="38" t="s">
        <v>9987</v>
      </c>
      <c r="X111" s="26" t="s">
        <v>4412</v>
      </c>
      <c r="Y111" s="26" t="s">
        <v>91</v>
      </c>
      <c r="Z111" s="26" t="s">
        <v>91</v>
      </c>
      <c r="AA111" s="30"/>
      <c r="AB111" s="93" t="s">
        <v>17</v>
      </c>
      <c r="AC111" s="30" t="s">
        <v>172</v>
      </c>
      <c r="AD111" s="25" t="s">
        <v>172</v>
      </c>
      <c r="AE111" s="25" t="s">
        <v>174</v>
      </c>
      <c r="AF111" s="26" t="s">
        <v>175</v>
      </c>
      <c r="AG111" s="32">
        <f t="shared" si="7"/>
        <v>1</v>
      </c>
      <c r="AH111" s="32">
        <v>1</v>
      </c>
      <c r="AI111" s="32"/>
      <c r="AJ111" s="32">
        <v>1</v>
      </c>
      <c r="AK111" s="30">
        <v>1</v>
      </c>
      <c r="AL111" s="32">
        <f t="shared" si="8"/>
        <v>1</v>
      </c>
      <c r="AM111" s="30"/>
      <c r="AN111" s="32">
        <v>1</v>
      </c>
      <c r="AO111" s="32">
        <v>1</v>
      </c>
      <c r="AP111" s="32">
        <v>1</v>
      </c>
      <c r="AQ111" s="32">
        <v>1</v>
      </c>
      <c r="AR111" s="32">
        <v>1</v>
      </c>
      <c r="AS111" s="32"/>
      <c r="AT111" s="32">
        <v>1</v>
      </c>
      <c r="AU111" s="30"/>
      <c r="AV111" s="30"/>
      <c r="AW111" s="30"/>
      <c r="AX111" s="30" t="s">
        <v>10053</v>
      </c>
      <c r="AY111" s="30"/>
      <c r="AZ111" s="30" t="s">
        <v>9957</v>
      </c>
    </row>
    <row r="112" spans="1:52" ht="16.5">
      <c r="A112" s="30" t="s">
        <v>10054</v>
      </c>
      <c r="B112" s="30" t="s">
        <v>4398</v>
      </c>
      <c r="C112" s="30" t="s">
        <v>68</v>
      </c>
      <c r="D112" s="30" t="s">
        <v>10055</v>
      </c>
      <c r="E112" s="260" t="s">
        <v>10056</v>
      </c>
      <c r="F112" s="30" t="s">
        <v>10057</v>
      </c>
      <c r="G112" s="30" t="s">
        <v>165</v>
      </c>
      <c r="H112" s="30" t="s">
        <v>165</v>
      </c>
      <c r="I112" s="30" t="s">
        <v>9838</v>
      </c>
      <c r="J112" s="30" t="s">
        <v>9281</v>
      </c>
      <c r="K112" s="32">
        <v>7.21</v>
      </c>
      <c r="L112" s="30" t="s">
        <v>73</v>
      </c>
      <c r="M112" s="30" t="s">
        <v>10039</v>
      </c>
      <c r="N112" s="30" t="s">
        <v>10058</v>
      </c>
      <c r="O112" s="27" t="s">
        <v>10059</v>
      </c>
      <c r="P112" s="30"/>
      <c r="Q112" s="92">
        <v>4</v>
      </c>
      <c r="R112" s="92">
        <v>16</v>
      </c>
      <c r="S112" s="92">
        <v>296.11</v>
      </c>
      <c r="T112" s="30" t="s">
        <v>88</v>
      </c>
      <c r="U112" s="30" t="s">
        <v>78</v>
      </c>
      <c r="V112" s="30" t="s">
        <v>89</v>
      </c>
      <c r="W112" s="38" t="s">
        <v>9987</v>
      </c>
      <c r="X112" s="26" t="s">
        <v>4412</v>
      </c>
      <c r="Y112" s="26" t="s">
        <v>91</v>
      </c>
      <c r="Z112" s="26" t="s">
        <v>91</v>
      </c>
      <c r="AA112" s="30"/>
      <c r="AB112" s="93" t="s">
        <v>17</v>
      </c>
      <c r="AC112" s="30" t="s">
        <v>172</v>
      </c>
      <c r="AD112" s="25" t="s">
        <v>172</v>
      </c>
      <c r="AE112" s="25" t="s">
        <v>174</v>
      </c>
      <c r="AF112" s="26" t="s">
        <v>175</v>
      </c>
      <c r="AG112" s="32">
        <f t="shared" si="7"/>
        <v>1</v>
      </c>
      <c r="AH112" s="32">
        <v>1</v>
      </c>
      <c r="AI112" s="32"/>
      <c r="AJ112" s="32">
        <v>1</v>
      </c>
      <c r="AK112" s="30">
        <v>1</v>
      </c>
      <c r="AL112" s="32">
        <f t="shared" si="8"/>
        <v>1</v>
      </c>
      <c r="AM112" s="30"/>
      <c r="AN112" s="32">
        <v>1</v>
      </c>
      <c r="AO112" s="32">
        <v>1</v>
      </c>
      <c r="AP112" s="32">
        <v>1</v>
      </c>
      <c r="AQ112" s="32">
        <v>1</v>
      </c>
      <c r="AR112" s="32">
        <v>1</v>
      </c>
      <c r="AS112" s="32"/>
      <c r="AT112" s="32">
        <v>1</v>
      </c>
      <c r="AU112" s="30"/>
      <c r="AV112" s="30"/>
      <c r="AW112" s="30"/>
      <c r="AX112" s="30" t="s">
        <v>9839</v>
      </c>
      <c r="AY112" s="30"/>
      <c r="AZ112" s="75" t="s">
        <v>10006</v>
      </c>
    </row>
    <row r="113" spans="1:52" ht="16.5">
      <c r="A113" s="30" t="s">
        <v>10060</v>
      </c>
      <c r="B113" s="30" t="s">
        <v>4398</v>
      </c>
      <c r="C113" s="30" t="s">
        <v>68</v>
      </c>
      <c r="D113" s="30" t="s">
        <v>10061</v>
      </c>
      <c r="E113" s="260" t="s">
        <v>10062</v>
      </c>
      <c r="F113" s="30" t="s">
        <v>10063</v>
      </c>
      <c r="G113" s="30" t="s">
        <v>165</v>
      </c>
      <c r="H113" s="30" t="s">
        <v>165</v>
      </c>
      <c r="I113" s="30" t="s">
        <v>9838</v>
      </c>
      <c r="J113" s="30" t="s">
        <v>9281</v>
      </c>
      <c r="K113" s="32">
        <v>7.21</v>
      </c>
      <c r="L113" s="30" t="s">
        <v>73</v>
      </c>
      <c r="M113" s="30" t="s">
        <v>10046</v>
      </c>
      <c r="N113" s="30" t="s">
        <v>10064</v>
      </c>
      <c r="O113" s="27" t="s">
        <v>10065</v>
      </c>
      <c r="P113" s="30"/>
      <c r="Q113" s="92">
        <v>8</v>
      </c>
      <c r="R113" s="92">
        <v>32</v>
      </c>
      <c r="S113" s="92">
        <v>302.22000000000003</v>
      </c>
      <c r="T113" s="30" t="s">
        <v>88</v>
      </c>
      <c r="U113" s="30" t="s">
        <v>78</v>
      </c>
      <c r="V113" s="30" t="s">
        <v>89</v>
      </c>
      <c r="W113" s="38" t="s">
        <v>9987</v>
      </c>
      <c r="X113" s="26" t="s">
        <v>4412</v>
      </c>
      <c r="Y113" s="26" t="s">
        <v>91</v>
      </c>
      <c r="Z113" s="26" t="s">
        <v>91</v>
      </c>
      <c r="AA113" s="30"/>
      <c r="AB113" s="93" t="s">
        <v>17</v>
      </c>
      <c r="AC113" s="30" t="s">
        <v>172</v>
      </c>
      <c r="AD113" s="25" t="s">
        <v>172</v>
      </c>
      <c r="AE113" s="25" t="s">
        <v>174</v>
      </c>
      <c r="AF113" s="26" t="s">
        <v>175</v>
      </c>
      <c r="AG113" s="32">
        <f t="shared" si="7"/>
        <v>1</v>
      </c>
      <c r="AH113" s="32">
        <v>1</v>
      </c>
      <c r="AI113" s="32"/>
      <c r="AJ113" s="32">
        <v>1</v>
      </c>
      <c r="AK113" s="30">
        <v>1</v>
      </c>
      <c r="AL113" s="32">
        <f t="shared" si="8"/>
        <v>1</v>
      </c>
      <c r="AM113" s="30"/>
      <c r="AN113" s="32">
        <v>1</v>
      </c>
      <c r="AO113" s="32">
        <v>1</v>
      </c>
      <c r="AP113" s="32">
        <v>1</v>
      </c>
      <c r="AQ113" s="32">
        <v>1</v>
      </c>
      <c r="AR113" s="32">
        <v>1</v>
      </c>
      <c r="AS113" s="32"/>
      <c r="AT113" s="32">
        <v>1</v>
      </c>
      <c r="AU113" s="30"/>
      <c r="AV113" s="30"/>
      <c r="AW113" s="30"/>
      <c r="AX113" s="30" t="s">
        <v>10001</v>
      </c>
      <c r="AY113" s="30"/>
      <c r="AZ113" s="94" t="s">
        <v>10020</v>
      </c>
    </row>
    <row r="114" spans="1:52" ht="16.5">
      <c r="A114" s="30" t="s">
        <v>10066</v>
      </c>
      <c r="B114" s="30" t="s">
        <v>4398</v>
      </c>
      <c r="C114" s="30" t="s">
        <v>68</v>
      </c>
      <c r="D114" s="30" t="s">
        <v>10067</v>
      </c>
      <c r="E114" s="260" t="s">
        <v>10068</v>
      </c>
      <c r="F114" s="30" t="s">
        <v>10069</v>
      </c>
      <c r="G114" s="30" t="s">
        <v>165</v>
      </c>
      <c r="H114" s="30" t="s">
        <v>165</v>
      </c>
      <c r="I114" s="30" t="s">
        <v>9838</v>
      </c>
      <c r="J114" s="30" t="s">
        <v>9281</v>
      </c>
      <c r="K114" s="32">
        <v>7.21</v>
      </c>
      <c r="L114" s="30" t="s">
        <v>73</v>
      </c>
      <c r="M114" s="30" t="s">
        <v>10070</v>
      </c>
      <c r="N114" s="30" t="s">
        <v>10071</v>
      </c>
      <c r="O114" s="27" t="s">
        <v>10072</v>
      </c>
      <c r="P114" s="30"/>
      <c r="Q114" s="92">
        <v>8</v>
      </c>
      <c r="R114" s="92">
        <v>32</v>
      </c>
      <c r="S114" s="92">
        <v>322.56</v>
      </c>
      <c r="T114" s="30" t="s">
        <v>88</v>
      </c>
      <c r="U114" s="30" t="s">
        <v>78</v>
      </c>
      <c r="V114" s="30" t="s">
        <v>89</v>
      </c>
      <c r="W114" s="38" t="s">
        <v>9987</v>
      </c>
      <c r="X114" s="26" t="s">
        <v>4412</v>
      </c>
      <c r="Y114" s="26" t="s">
        <v>91</v>
      </c>
      <c r="Z114" s="26" t="s">
        <v>91</v>
      </c>
      <c r="AA114" s="30"/>
      <c r="AB114" s="93" t="s">
        <v>17</v>
      </c>
      <c r="AC114" s="30" t="s">
        <v>172</v>
      </c>
      <c r="AD114" s="25" t="s">
        <v>172</v>
      </c>
      <c r="AE114" s="25" t="s">
        <v>174</v>
      </c>
      <c r="AF114" s="26" t="s">
        <v>175</v>
      </c>
      <c r="AG114" s="32">
        <f t="shared" si="7"/>
        <v>1</v>
      </c>
      <c r="AH114" s="32">
        <v>1</v>
      </c>
      <c r="AI114" s="32"/>
      <c r="AJ114" s="32">
        <v>1</v>
      </c>
      <c r="AK114" s="30">
        <v>1</v>
      </c>
      <c r="AL114" s="32">
        <f t="shared" si="8"/>
        <v>1</v>
      </c>
      <c r="AM114" s="30"/>
      <c r="AN114" s="32">
        <v>1</v>
      </c>
      <c r="AO114" s="32">
        <v>1</v>
      </c>
      <c r="AP114" s="32">
        <v>1</v>
      </c>
      <c r="AQ114" s="32">
        <v>1</v>
      </c>
      <c r="AR114" s="32">
        <v>1</v>
      </c>
      <c r="AS114" s="32"/>
      <c r="AT114" s="32">
        <v>1</v>
      </c>
      <c r="AU114" s="30"/>
      <c r="AV114" s="30"/>
      <c r="AW114" s="30"/>
      <c r="AX114" s="30" t="s">
        <v>10073</v>
      </c>
      <c r="AY114" s="30"/>
      <c r="AZ114" s="94" t="s">
        <v>10074</v>
      </c>
    </row>
    <row r="115" spans="1:52" ht="16.5">
      <c r="A115" s="30" t="s">
        <v>10075</v>
      </c>
      <c r="B115" s="30" t="s">
        <v>4398</v>
      </c>
      <c r="C115" s="30" t="s">
        <v>68</v>
      </c>
      <c r="D115" s="30" t="s">
        <v>10076</v>
      </c>
      <c r="E115" s="260" t="s">
        <v>10077</v>
      </c>
      <c r="F115" s="30" t="s">
        <v>10078</v>
      </c>
      <c r="G115" s="30" t="s">
        <v>165</v>
      </c>
      <c r="H115" s="30" t="s">
        <v>165</v>
      </c>
      <c r="I115" s="30" t="s">
        <v>9838</v>
      </c>
      <c r="J115" s="30" t="s">
        <v>9281</v>
      </c>
      <c r="K115" s="32">
        <v>7.21</v>
      </c>
      <c r="L115" s="30" t="s">
        <v>73</v>
      </c>
      <c r="M115" s="30" t="s">
        <v>10004</v>
      </c>
      <c r="N115" s="30" t="s">
        <v>10079</v>
      </c>
      <c r="O115" s="27" t="s">
        <v>10080</v>
      </c>
      <c r="P115" s="30"/>
      <c r="Q115" s="92">
        <v>8</v>
      </c>
      <c r="R115" s="92">
        <v>32</v>
      </c>
      <c r="S115" s="92">
        <v>322.14999999999998</v>
      </c>
      <c r="T115" s="30" t="s">
        <v>88</v>
      </c>
      <c r="U115" s="30" t="s">
        <v>78</v>
      </c>
      <c r="V115" s="30" t="s">
        <v>89</v>
      </c>
      <c r="W115" s="38" t="s">
        <v>9987</v>
      </c>
      <c r="X115" s="26" t="s">
        <v>4412</v>
      </c>
      <c r="Y115" s="26" t="s">
        <v>91</v>
      </c>
      <c r="Z115" s="26" t="s">
        <v>91</v>
      </c>
      <c r="AA115" s="30"/>
      <c r="AB115" s="93" t="s">
        <v>17</v>
      </c>
      <c r="AC115" s="30" t="s">
        <v>172</v>
      </c>
      <c r="AD115" s="25" t="s">
        <v>172</v>
      </c>
      <c r="AE115" s="25" t="s">
        <v>174</v>
      </c>
      <c r="AF115" s="26" t="s">
        <v>175</v>
      </c>
      <c r="AG115" s="32">
        <f t="shared" si="7"/>
        <v>1</v>
      </c>
      <c r="AH115" s="32">
        <v>1</v>
      </c>
      <c r="AI115" s="32"/>
      <c r="AJ115" s="32">
        <v>1</v>
      </c>
      <c r="AK115" s="30">
        <v>1</v>
      </c>
      <c r="AL115" s="32">
        <f t="shared" si="8"/>
        <v>1</v>
      </c>
      <c r="AM115" s="30"/>
      <c r="AN115" s="32">
        <v>1</v>
      </c>
      <c r="AO115" s="32">
        <v>1</v>
      </c>
      <c r="AP115" s="32">
        <v>1</v>
      </c>
      <c r="AQ115" s="32">
        <v>1</v>
      </c>
      <c r="AR115" s="32">
        <v>1</v>
      </c>
      <c r="AS115" s="32"/>
      <c r="AT115" s="32">
        <v>1</v>
      </c>
      <c r="AU115" s="30"/>
      <c r="AV115" s="30"/>
      <c r="AW115" s="30"/>
      <c r="AX115" s="30" t="s">
        <v>9983</v>
      </c>
      <c r="AY115" s="30"/>
      <c r="AZ115" s="94" t="s">
        <v>10081</v>
      </c>
    </row>
    <row r="116" spans="1:52" ht="16.5">
      <c r="A116" s="30" t="s">
        <v>10082</v>
      </c>
      <c r="B116" s="30" t="s">
        <v>4398</v>
      </c>
      <c r="C116" s="30" t="s">
        <v>68</v>
      </c>
      <c r="D116" s="30" t="s">
        <v>10081</v>
      </c>
      <c r="E116" s="260" t="s">
        <v>10083</v>
      </c>
      <c r="F116" s="30" t="s">
        <v>10084</v>
      </c>
      <c r="G116" s="30" t="s">
        <v>165</v>
      </c>
      <c r="H116" s="30" t="s">
        <v>165</v>
      </c>
      <c r="I116" s="30" t="s">
        <v>9838</v>
      </c>
      <c r="J116" s="30" t="s">
        <v>9281</v>
      </c>
      <c r="K116" s="32">
        <v>7.21</v>
      </c>
      <c r="L116" s="30" t="s">
        <v>73</v>
      </c>
      <c r="M116" s="30" t="s">
        <v>9978</v>
      </c>
      <c r="N116" s="30" t="s">
        <v>10085</v>
      </c>
      <c r="O116" s="27" t="s">
        <v>10086</v>
      </c>
      <c r="P116" s="30"/>
      <c r="Q116" s="92">
        <v>4</v>
      </c>
      <c r="R116" s="92">
        <v>16</v>
      </c>
      <c r="S116" s="92">
        <v>286.14999999999998</v>
      </c>
      <c r="T116" s="30" t="s">
        <v>88</v>
      </c>
      <c r="U116" s="30" t="s">
        <v>78</v>
      </c>
      <c r="V116" s="30" t="s">
        <v>89</v>
      </c>
      <c r="W116" s="38" t="s">
        <v>9987</v>
      </c>
      <c r="X116" s="26" t="s">
        <v>4412</v>
      </c>
      <c r="Y116" s="26" t="s">
        <v>91</v>
      </c>
      <c r="Z116" s="26" t="s">
        <v>91</v>
      </c>
      <c r="AA116" s="30"/>
      <c r="AB116" s="93" t="s">
        <v>17</v>
      </c>
      <c r="AC116" s="30" t="s">
        <v>172</v>
      </c>
      <c r="AD116" s="25" t="s">
        <v>172</v>
      </c>
      <c r="AE116" s="25" t="s">
        <v>174</v>
      </c>
      <c r="AF116" s="26" t="s">
        <v>175</v>
      </c>
      <c r="AG116" s="32">
        <f t="shared" si="7"/>
        <v>1</v>
      </c>
      <c r="AH116" s="32">
        <v>1</v>
      </c>
      <c r="AI116" s="32"/>
      <c r="AJ116" s="32">
        <v>1</v>
      </c>
      <c r="AK116" s="30">
        <v>1</v>
      </c>
      <c r="AL116" s="32">
        <f t="shared" si="8"/>
        <v>1</v>
      </c>
      <c r="AM116" s="30"/>
      <c r="AN116" s="32">
        <v>1</v>
      </c>
      <c r="AO116" s="32">
        <v>1</v>
      </c>
      <c r="AP116" s="32">
        <v>1</v>
      </c>
      <c r="AQ116" s="32">
        <v>1</v>
      </c>
      <c r="AR116" s="32">
        <v>1</v>
      </c>
      <c r="AS116" s="25" t="s">
        <v>10087</v>
      </c>
      <c r="AT116" s="32">
        <v>1</v>
      </c>
      <c r="AU116" s="30"/>
      <c r="AV116" s="30"/>
      <c r="AW116" s="30"/>
      <c r="AX116" s="30" t="s">
        <v>10088</v>
      </c>
      <c r="AY116" s="30"/>
      <c r="AZ116" s="94" t="s">
        <v>10041</v>
      </c>
    </row>
    <row r="117" spans="1:52" ht="16.5">
      <c r="A117" s="30" t="s">
        <v>10089</v>
      </c>
      <c r="B117" s="30" t="s">
        <v>4398</v>
      </c>
      <c r="C117" s="30" t="s">
        <v>68</v>
      </c>
      <c r="D117" s="30" t="s">
        <v>10090</v>
      </c>
      <c r="E117" s="260" t="s">
        <v>10091</v>
      </c>
      <c r="F117" s="30" t="s">
        <v>10092</v>
      </c>
      <c r="G117" s="30" t="s">
        <v>165</v>
      </c>
      <c r="H117" s="30" t="s">
        <v>165</v>
      </c>
      <c r="I117" s="30" t="s">
        <v>9838</v>
      </c>
      <c r="J117" s="30" t="s">
        <v>9281</v>
      </c>
      <c r="K117" s="32">
        <v>7.21</v>
      </c>
      <c r="L117" s="30" t="s">
        <v>73</v>
      </c>
      <c r="M117" s="30" t="s">
        <v>10011</v>
      </c>
      <c r="N117" s="30" t="s">
        <v>10093</v>
      </c>
      <c r="O117" s="27" t="s">
        <v>10094</v>
      </c>
      <c r="P117" s="30"/>
      <c r="Q117" s="92">
        <v>8</v>
      </c>
      <c r="R117" s="92">
        <v>32</v>
      </c>
      <c r="S117" s="92">
        <v>302.82</v>
      </c>
      <c r="T117" s="30" t="s">
        <v>88</v>
      </c>
      <c r="U117" s="30" t="s">
        <v>78</v>
      </c>
      <c r="V117" s="30" t="s">
        <v>89</v>
      </c>
      <c r="W117" s="38" t="s">
        <v>9987</v>
      </c>
      <c r="X117" s="26" t="s">
        <v>4412</v>
      </c>
      <c r="Y117" s="26" t="s">
        <v>91</v>
      </c>
      <c r="Z117" s="26" t="s">
        <v>91</v>
      </c>
      <c r="AA117" s="30"/>
      <c r="AB117" s="93" t="s">
        <v>17</v>
      </c>
      <c r="AC117" s="30" t="s">
        <v>172</v>
      </c>
      <c r="AD117" s="25" t="s">
        <v>172</v>
      </c>
      <c r="AE117" s="25" t="s">
        <v>174</v>
      </c>
      <c r="AF117" s="26" t="s">
        <v>175</v>
      </c>
      <c r="AG117" s="32">
        <f t="shared" si="7"/>
        <v>1</v>
      </c>
      <c r="AH117" s="32">
        <v>1</v>
      </c>
      <c r="AI117" s="32"/>
      <c r="AJ117" s="32">
        <v>1</v>
      </c>
      <c r="AK117" s="30">
        <v>1</v>
      </c>
      <c r="AL117" s="32">
        <f t="shared" si="8"/>
        <v>1</v>
      </c>
      <c r="AM117" s="30"/>
      <c r="AN117" s="32">
        <v>1</v>
      </c>
      <c r="AO117" s="32">
        <v>1</v>
      </c>
      <c r="AP117" s="32">
        <v>1</v>
      </c>
      <c r="AQ117" s="32">
        <v>1</v>
      </c>
      <c r="AR117" s="32">
        <v>1</v>
      </c>
      <c r="AS117" s="32"/>
      <c r="AT117" s="32">
        <v>1</v>
      </c>
      <c r="AU117" s="30"/>
      <c r="AV117" s="30"/>
      <c r="AW117" s="30"/>
      <c r="AX117" s="30" t="s">
        <v>9867</v>
      </c>
      <c r="AY117" s="30"/>
      <c r="AZ117" s="94" t="s">
        <v>10067</v>
      </c>
    </row>
    <row r="118" spans="1:52" ht="16.5">
      <c r="A118" s="30" t="s">
        <v>10095</v>
      </c>
      <c r="B118" s="30" t="s">
        <v>4398</v>
      </c>
      <c r="C118" s="30" t="s">
        <v>68</v>
      </c>
      <c r="D118" s="30" t="s">
        <v>10074</v>
      </c>
      <c r="E118" s="260" t="s">
        <v>10096</v>
      </c>
      <c r="F118" s="30" t="s">
        <v>10097</v>
      </c>
      <c r="G118" s="30" t="s">
        <v>165</v>
      </c>
      <c r="H118" s="30" t="s">
        <v>165</v>
      </c>
      <c r="I118" s="30" t="s">
        <v>9838</v>
      </c>
      <c r="J118" s="30" t="s">
        <v>9281</v>
      </c>
      <c r="K118" s="32">
        <v>7.21</v>
      </c>
      <c r="L118" s="30" t="s">
        <v>73</v>
      </c>
      <c r="M118" s="30" t="s">
        <v>9970</v>
      </c>
      <c r="N118" s="30" t="s">
        <v>10098</v>
      </c>
      <c r="O118" s="27" t="s">
        <v>10099</v>
      </c>
      <c r="P118" s="30"/>
      <c r="Q118" s="92">
        <v>8</v>
      </c>
      <c r="R118" s="92">
        <v>32</v>
      </c>
      <c r="S118" s="92">
        <v>302.7</v>
      </c>
      <c r="T118" s="30" t="s">
        <v>88</v>
      </c>
      <c r="U118" s="30" t="s">
        <v>78</v>
      </c>
      <c r="V118" s="30" t="s">
        <v>89</v>
      </c>
      <c r="W118" s="38" t="s">
        <v>9987</v>
      </c>
      <c r="X118" s="26" t="s">
        <v>4412</v>
      </c>
      <c r="Y118" s="26" t="s">
        <v>91</v>
      </c>
      <c r="Z118" s="26" t="s">
        <v>91</v>
      </c>
      <c r="AA118" s="30"/>
      <c r="AB118" s="93" t="s">
        <v>17</v>
      </c>
      <c r="AC118" s="30" t="s">
        <v>172</v>
      </c>
      <c r="AD118" s="25" t="s">
        <v>172</v>
      </c>
      <c r="AE118" s="25" t="s">
        <v>174</v>
      </c>
      <c r="AF118" s="26" t="s">
        <v>175</v>
      </c>
      <c r="AG118" s="32">
        <f t="shared" si="7"/>
        <v>1</v>
      </c>
      <c r="AH118" s="32">
        <v>1</v>
      </c>
      <c r="AI118" s="32"/>
      <c r="AJ118" s="32">
        <v>1</v>
      </c>
      <c r="AK118" s="30">
        <v>1</v>
      </c>
      <c r="AL118" s="32">
        <f t="shared" si="8"/>
        <v>1</v>
      </c>
      <c r="AM118" s="30"/>
      <c r="AN118" s="32">
        <v>1</v>
      </c>
      <c r="AO118" s="32">
        <v>1</v>
      </c>
      <c r="AP118" s="32">
        <v>1</v>
      </c>
      <c r="AQ118" s="32">
        <v>1</v>
      </c>
      <c r="AR118" s="32">
        <v>1</v>
      </c>
      <c r="AS118" s="32"/>
      <c r="AT118" s="32">
        <v>1</v>
      </c>
      <c r="AU118" s="30"/>
      <c r="AV118" s="30"/>
      <c r="AW118" s="30"/>
      <c r="AX118" s="30" t="s">
        <v>9993</v>
      </c>
      <c r="AY118" s="30"/>
      <c r="AZ118" s="94" t="s">
        <v>5161</v>
      </c>
    </row>
    <row r="119" spans="1:52" ht="16.5">
      <c r="A119" s="39" t="s">
        <v>10100</v>
      </c>
      <c r="B119" s="30" t="s">
        <v>4398</v>
      </c>
      <c r="C119" s="30" t="s">
        <v>68</v>
      </c>
      <c r="D119" s="30" t="s">
        <v>10101</v>
      </c>
      <c r="E119" s="260" t="s">
        <v>10102</v>
      </c>
      <c r="F119" s="30" t="s">
        <v>10103</v>
      </c>
      <c r="G119" s="30" t="s">
        <v>165</v>
      </c>
      <c r="H119" s="30" t="s">
        <v>165</v>
      </c>
      <c r="I119" s="30" t="s">
        <v>9838</v>
      </c>
      <c r="J119" s="30" t="s">
        <v>9281</v>
      </c>
      <c r="K119" s="32">
        <v>7.21</v>
      </c>
      <c r="L119" s="30" t="s">
        <v>73</v>
      </c>
      <c r="M119" s="30" t="s">
        <v>10053</v>
      </c>
      <c r="N119" s="30" t="s">
        <v>10104</v>
      </c>
      <c r="O119" s="27" t="s">
        <v>10105</v>
      </c>
      <c r="P119" s="30"/>
      <c r="Q119" s="92">
        <v>8</v>
      </c>
      <c r="R119" s="92">
        <v>32</v>
      </c>
      <c r="S119" s="92">
        <v>302.19</v>
      </c>
      <c r="T119" s="30" t="s">
        <v>88</v>
      </c>
      <c r="U119" s="30" t="s">
        <v>78</v>
      </c>
      <c r="V119" s="30" t="s">
        <v>89</v>
      </c>
      <c r="W119" s="38" t="s">
        <v>9987</v>
      </c>
      <c r="X119" s="26" t="s">
        <v>4412</v>
      </c>
      <c r="Y119" s="26" t="s">
        <v>91</v>
      </c>
      <c r="Z119" s="26" t="s">
        <v>91</v>
      </c>
      <c r="AA119" s="30"/>
      <c r="AB119" s="93" t="s">
        <v>17</v>
      </c>
      <c r="AC119" s="30" t="s">
        <v>172</v>
      </c>
      <c r="AD119" s="25" t="s">
        <v>172</v>
      </c>
      <c r="AE119" s="25" t="s">
        <v>174</v>
      </c>
      <c r="AF119" s="26" t="s">
        <v>175</v>
      </c>
      <c r="AG119" s="32">
        <f t="shared" si="7"/>
        <v>1</v>
      </c>
      <c r="AH119" s="32">
        <v>1</v>
      </c>
      <c r="AI119" s="32"/>
      <c r="AJ119" s="32">
        <v>1</v>
      </c>
      <c r="AK119" s="30">
        <v>1</v>
      </c>
      <c r="AL119" s="32">
        <f t="shared" si="8"/>
        <v>1</v>
      </c>
      <c r="AM119" s="30"/>
      <c r="AN119" s="32">
        <v>1</v>
      </c>
      <c r="AO119" s="32">
        <v>1</v>
      </c>
      <c r="AP119" s="32">
        <v>1</v>
      </c>
      <c r="AQ119" s="32">
        <v>1</v>
      </c>
      <c r="AR119" s="32">
        <v>1</v>
      </c>
      <c r="AS119" s="32"/>
      <c r="AT119" s="32">
        <v>1</v>
      </c>
      <c r="AU119" s="30"/>
      <c r="AV119" s="30"/>
      <c r="AW119" s="30"/>
      <c r="AX119" s="30" t="s">
        <v>10106</v>
      </c>
      <c r="AY119" s="30"/>
      <c r="AZ119" s="94" t="s">
        <v>10034</v>
      </c>
    </row>
    <row r="120" spans="1:52" ht="16.5">
      <c r="A120" s="30" t="s">
        <v>10107</v>
      </c>
      <c r="B120" s="30" t="s">
        <v>4398</v>
      </c>
      <c r="C120" s="30" t="s">
        <v>68</v>
      </c>
      <c r="D120" s="30" t="s">
        <v>10108</v>
      </c>
      <c r="E120" s="260" t="s">
        <v>10109</v>
      </c>
      <c r="F120" s="30" t="s">
        <v>10110</v>
      </c>
      <c r="G120" s="30" t="s">
        <v>165</v>
      </c>
      <c r="H120" s="30" t="s">
        <v>165</v>
      </c>
      <c r="I120" s="30" t="s">
        <v>9838</v>
      </c>
      <c r="J120" s="30" t="s">
        <v>9281</v>
      </c>
      <c r="K120" s="34" t="s">
        <v>3213</v>
      </c>
      <c r="L120" s="30" t="s">
        <v>73</v>
      </c>
      <c r="M120" s="30" t="s">
        <v>10111</v>
      </c>
      <c r="N120" s="30" t="s">
        <v>10112</v>
      </c>
      <c r="O120" s="27" t="s">
        <v>10113</v>
      </c>
      <c r="P120" s="30"/>
      <c r="Q120" s="92">
        <v>4</v>
      </c>
      <c r="R120" s="92">
        <v>16</v>
      </c>
      <c r="S120" s="92">
        <v>316.18</v>
      </c>
      <c r="T120" s="30" t="s">
        <v>88</v>
      </c>
      <c r="U120" s="30" t="s">
        <v>78</v>
      </c>
      <c r="V120" s="30" t="s">
        <v>89</v>
      </c>
      <c r="W120" s="38" t="s">
        <v>9987</v>
      </c>
      <c r="X120" s="26" t="s">
        <v>4412</v>
      </c>
      <c r="Y120" s="26" t="s">
        <v>91</v>
      </c>
      <c r="Z120" s="26" t="s">
        <v>91</v>
      </c>
      <c r="AA120" s="30"/>
      <c r="AB120" s="30"/>
      <c r="AC120" s="30" t="s">
        <v>172</v>
      </c>
      <c r="AD120" s="25" t="s">
        <v>172</v>
      </c>
      <c r="AE120" s="25" t="s">
        <v>174</v>
      </c>
      <c r="AF120" s="30"/>
      <c r="AG120" s="32">
        <f t="shared" si="7"/>
        <v>0</v>
      </c>
      <c r="AH120" s="32"/>
      <c r="AI120" s="32"/>
      <c r="AJ120" s="32"/>
      <c r="AK120" s="30"/>
      <c r="AL120" s="32"/>
      <c r="AM120" s="30"/>
      <c r="AN120" s="32"/>
      <c r="AO120" s="32"/>
      <c r="AP120" s="32"/>
      <c r="AQ120" s="32"/>
      <c r="AR120" s="32"/>
      <c r="AS120" s="30"/>
      <c r="AT120" s="32"/>
      <c r="AU120" s="30"/>
      <c r="AV120" s="30"/>
      <c r="AW120" s="30"/>
      <c r="AX120" s="30"/>
      <c r="AY120" s="30"/>
      <c r="AZ120" s="94" t="s">
        <v>9990</v>
      </c>
    </row>
    <row r="121" spans="1:52" ht="16.5">
      <c r="A121" s="30" t="s">
        <v>10114</v>
      </c>
      <c r="B121" s="30" t="s">
        <v>4398</v>
      </c>
      <c r="C121" s="30" t="s">
        <v>68</v>
      </c>
      <c r="D121" s="30" t="s">
        <v>10115</v>
      </c>
      <c r="E121" s="260" t="s">
        <v>10116</v>
      </c>
      <c r="F121" s="30" t="s">
        <v>10117</v>
      </c>
      <c r="G121" s="30" t="s">
        <v>165</v>
      </c>
      <c r="H121" s="30" t="s">
        <v>165</v>
      </c>
      <c r="I121" s="30" t="s">
        <v>9838</v>
      </c>
      <c r="J121" s="30" t="s">
        <v>9281</v>
      </c>
      <c r="K121" s="32">
        <v>7.21</v>
      </c>
      <c r="L121" s="30" t="s">
        <v>73</v>
      </c>
      <c r="M121" s="30" t="s">
        <v>10073</v>
      </c>
      <c r="N121" s="30" t="s">
        <v>10118</v>
      </c>
      <c r="O121" s="27" t="s">
        <v>10119</v>
      </c>
      <c r="P121" s="30"/>
      <c r="Q121" s="92">
        <v>8</v>
      </c>
      <c r="R121" s="92">
        <v>32</v>
      </c>
      <c r="S121" s="92">
        <v>302.14999999999998</v>
      </c>
      <c r="T121" s="30" t="s">
        <v>88</v>
      </c>
      <c r="U121" s="30" t="s">
        <v>78</v>
      </c>
      <c r="V121" s="30" t="s">
        <v>89</v>
      </c>
      <c r="W121" s="38" t="s">
        <v>9987</v>
      </c>
      <c r="X121" s="26" t="s">
        <v>4412</v>
      </c>
      <c r="Y121" s="26" t="s">
        <v>91</v>
      </c>
      <c r="Z121" s="26" t="s">
        <v>91</v>
      </c>
      <c r="AA121" s="30"/>
      <c r="AB121" s="93" t="s">
        <v>17</v>
      </c>
      <c r="AC121" s="30" t="s">
        <v>172</v>
      </c>
      <c r="AD121" s="25" t="s">
        <v>172</v>
      </c>
      <c r="AE121" s="25" t="s">
        <v>174</v>
      </c>
      <c r="AF121" s="26" t="s">
        <v>175</v>
      </c>
      <c r="AG121" s="32">
        <f t="shared" si="7"/>
        <v>1</v>
      </c>
      <c r="AH121" s="32">
        <v>1</v>
      </c>
      <c r="AI121" s="32"/>
      <c r="AJ121" s="32">
        <v>1</v>
      </c>
      <c r="AK121" s="30">
        <v>1</v>
      </c>
      <c r="AL121" s="32">
        <f t="shared" ref="AL121:AL135" si="9">IF(COUNTIF(AX:AX,"*"&amp;M121&amp;"*")&gt;0,1,0)</f>
        <v>1</v>
      </c>
      <c r="AM121" s="30"/>
      <c r="AN121" s="32">
        <v>1</v>
      </c>
      <c r="AO121" s="32">
        <v>1</v>
      </c>
      <c r="AP121" s="32">
        <v>1</v>
      </c>
      <c r="AQ121" s="32">
        <v>1</v>
      </c>
      <c r="AR121" s="32">
        <v>1</v>
      </c>
      <c r="AS121" s="32"/>
      <c r="AT121" s="32">
        <v>1</v>
      </c>
      <c r="AU121" s="30"/>
      <c r="AV121" s="30"/>
      <c r="AW121" s="30"/>
      <c r="AX121" s="30" t="s">
        <v>10120</v>
      </c>
      <c r="AY121" s="30"/>
      <c r="AZ121" s="94" t="s">
        <v>10048</v>
      </c>
    </row>
    <row r="122" spans="1:52" ht="16.5">
      <c r="A122" s="30" t="s">
        <v>10121</v>
      </c>
      <c r="B122" s="30" t="s">
        <v>4398</v>
      </c>
      <c r="C122" s="30" t="s">
        <v>68</v>
      </c>
      <c r="D122" s="30" t="s">
        <v>10122</v>
      </c>
      <c r="E122" s="260" t="s">
        <v>10123</v>
      </c>
      <c r="F122" s="30" t="s">
        <v>10124</v>
      </c>
      <c r="G122" s="30" t="s">
        <v>165</v>
      </c>
      <c r="H122" s="30" t="s">
        <v>165</v>
      </c>
      <c r="I122" s="30" t="s">
        <v>9838</v>
      </c>
      <c r="J122" s="30" t="s">
        <v>9281</v>
      </c>
      <c r="K122" s="32">
        <v>7.21</v>
      </c>
      <c r="L122" s="30" t="s">
        <v>73</v>
      </c>
      <c r="M122" s="30" t="s">
        <v>10125</v>
      </c>
      <c r="N122" s="30" t="s">
        <v>10126</v>
      </c>
      <c r="O122" s="27" t="s">
        <v>10127</v>
      </c>
      <c r="P122" s="30"/>
      <c r="Q122" s="92">
        <v>8</v>
      </c>
      <c r="R122" s="92">
        <v>32</v>
      </c>
      <c r="S122" s="92">
        <v>302.97000000000003</v>
      </c>
      <c r="T122" s="30" t="s">
        <v>88</v>
      </c>
      <c r="U122" s="30" t="s">
        <v>78</v>
      </c>
      <c r="V122" s="30" t="s">
        <v>89</v>
      </c>
      <c r="W122" s="38" t="s">
        <v>10128</v>
      </c>
      <c r="X122" s="26" t="s">
        <v>4412</v>
      </c>
      <c r="Y122" s="26" t="s">
        <v>91</v>
      </c>
      <c r="Z122" s="26" t="s">
        <v>91</v>
      </c>
      <c r="AA122" s="30"/>
      <c r="AB122" s="93" t="s">
        <v>19</v>
      </c>
      <c r="AC122" s="30" t="s">
        <v>172</v>
      </c>
      <c r="AD122" s="25" t="s">
        <v>172</v>
      </c>
      <c r="AE122" s="25" t="s">
        <v>174</v>
      </c>
      <c r="AF122" s="26" t="s">
        <v>175</v>
      </c>
      <c r="AG122" s="32">
        <f t="shared" si="7"/>
        <v>1</v>
      </c>
      <c r="AH122" s="32">
        <v>1</v>
      </c>
      <c r="AI122" s="32"/>
      <c r="AJ122" s="32">
        <v>1</v>
      </c>
      <c r="AK122" s="30"/>
      <c r="AL122" s="32">
        <f t="shared" si="9"/>
        <v>1</v>
      </c>
      <c r="AM122" s="30"/>
      <c r="AN122" s="32"/>
      <c r="AO122" s="32">
        <v>1</v>
      </c>
      <c r="AP122" s="32">
        <v>1</v>
      </c>
      <c r="AQ122" s="32">
        <v>1</v>
      </c>
      <c r="AR122" s="32">
        <v>1</v>
      </c>
      <c r="AS122" s="32"/>
      <c r="AT122" s="32">
        <v>1</v>
      </c>
      <c r="AU122" s="30"/>
      <c r="AV122" s="30"/>
      <c r="AW122" s="30"/>
      <c r="AX122" s="30" t="s">
        <v>10129</v>
      </c>
      <c r="AY122" s="30"/>
      <c r="AZ122" s="94" t="s">
        <v>10076</v>
      </c>
    </row>
    <row r="123" spans="1:52" ht="16.5">
      <c r="A123" s="30" t="s">
        <v>10130</v>
      </c>
      <c r="B123" s="30" t="s">
        <v>4398</v>
      </c>
      <c r="C123" s="30" t="s">
        <v>68</v>
      </c>
      <c r="D123" s="30" t="s">
        <v>10131</v>
      </c>
      <c r="E123" s="260" t="s">
        <v>10132</v>
      </c>
      <c r="F123" s="30" t="s">
        <v>10133</v>
      </c>
      <c r="G123" s="30" t="s">
        <v>165</v>
      </c>
      <c r="H123" s="30" t="s">
        <v>165</v>
      </c>
      <c r="I123" s="30" t="s">
        <v>9838</v>
      </c>
      <c r="J123" s="30" t="s">
        <v>9281</v>
      </c>
      <c r="K123" s="32">
        <v>7.21</v>
      </c>
      <c r="L123" s="30" t="s">
        <v>73</v>
      </c>
      <c r="M123" s="30" t="s">
        <v>10134</v>
      </c>
      <c r="N123" s="30" t="s">
        <v>10135</v>
      </c>
      <c r="O123" s="27" t="s">
        <v>10136</v>
      </c>
      <c r="P123" s="30"/>
      <c r="Q123" s="92">
        <v>8</v>
      </c>
      <c r="R123" s="92">
        <v>32</v>
      </c>
      <c r="S123" s="92">
        <v>303.77</v>
      </c>
      <c r="T123" s="30" t="s">
        <v>88</v>
      </c>
      <c r="U123" s="30" t="s">
        <v>78</v>
      </c>
      <c r="V123" s="30" t="s">
        <v>89</v>
      </c>
      <c r="W123" s="38" t="s">
        <v>10128</v>
      </c>
      <c r="X123" s="26" t="s">
        <v>4412</v>
      </c>
      <c r="Y123" s="26" t="s">
        <v>91</v>
      </c>
      <c r="Z123" s="26" t="s">
        <v>91</v>
      </c>
      <c r="AA123" s="30"/>
      <c r="AB123" s="93" t="s">
        <v>19</v>
      </c>
      <c r="AC123" s="30" t="s">
        <v>172</v>
      </c>
      <c r="AD123" s="25" t="s">
        <v>172</v>
      </c>
      <c r="AE123" s="25" t="s">
        <v>174</v>
      </c>
      <c r="AF123" s="26" t="s">
        <v>175</v>
      </c>
      <c r="AG123" s="32">
        <f t="shared" si="7"/>
        <v>1</v>
      </c>
      <c r="AH123" s="32">
        <v>1</v>
      </c>
      <c r="AI123" s="32"/>
      <c r="AJ123" s="32">
        <v>1</v>
      </c>
      <c r="AK123" s="30"/>
      <c r="AL123" s="32">
        <f t="shared" si="9"/>
        <v>1</v>
      </c>
      <c r="AM123" s="30"/>
      <c r="AN123" s="32"/>
      <c r="AO123" s="32">
        <v>1</v>
      </c>
      <c r="AP123" s="32">
        <v>1</v>
      </c>
      <c r="AQ123" s="32">
        <v>1</v>
      </c>
      <c r="AR123" s="32">
        <v>1</v>
      </c>
      <c r="AS123" s="32"/>
      <c r="AT123" s="32">
        <v>1</v>
      </c>
      <c r="AU123" s="30"/>
      <c r="AV123" s="30"/>
      <c r="AW123" s="30"/>
      <c r="AX123" s="30" t="s">
        <v>10134</v>
      </c>
      <c r="AY123" s="30"/>
      <c r="AZ123" s="94" t="s">
        <v>10090</v>
      </c>
    </row>
    <row r="124" spans="1:52" ht="16.5">
      <c r="A124" s="30" t="s">
        <v>10137</v>
      </c>
      <c r="B124" s="30" t="s">
        <v>4398</v>
      </c>
      <c r="C124" s="30" t="s">
        <v>73</v>
      </c>
      <c r="D124" s="30" t="s">
        <v>10138</v>
      </c>
      <c r="E124" s="260" t="s">
        <v>10139</v>
      </c>
      <c r="F124" s="30" t="s">
        <v>10140</v>
      </c>
      <c r="G124" s="30" t="s">
        <v>165</v>
      </c>
      <c r="H124" s="30" t="s">
        <v>165</v>
      </c>
      <c r="I124" s="30" t="s">
        <v>9838</v>
      </c>
      <c r="J124" s="30" t="s">
        <v>9281</v>
      </c>
      <c r="K124" s="32">
        <v>7.21</v>
      </c>
      <c r="L124" s="30" t="s">
        <v>73</v>
      </c>
      <c r="M124" s="30" t="s">
        <v>10129</v>
      </c>
      <c r="N124" s="30" t="s">
        <v>10141</v>
      </c>
      <c r="O124" s="27" t="s">
        <v>10142</v>
      </c>
      <c r="P124" s="30"/>
      <c r="Q124" s="95">
        <v>8</v>
      </c>
      <c r="R124" s="96" t="s">
        <v>9030</v>
      </c>
      <c r="S124" s="96" t="s">
        <v>8619</v>
      </c>
      <c r="T124" s="30" t="s">
        <v>88</v>
      </c>
      <c r="U124" s="30" t="s">
        <v>78</v>
      </c>
      <c r="V124" s="30" t="s">
        <v>89</v>
      </c>
      <c r="W124" s="38" t="s">
        <v>10128</v>
      </c>
      <c r="X124" s="26" t="s">
        <v>4412</v>
      </c>
      <c r="Y124" s="26" t="s">
        <v>91</v>
      </c>
      <c r="Z124" s="26" t="s">
        <v>91</v>
      </c>
      <c r="AA124" s="30"/>
      <c r="AB124" s="93" t="s">
        <v>19</v>
      </c>
      <c r="AC124" s="30" t="s">
        <v>172</v>
      </c>
      <c r="AD124" s="25" t="s">
        <v>7629</v>
      </c>
      <c r="AE124" s="25" t="s">
        <v>172</v>
      </c>
      <c r="AF124" s="26" t="s">
        <v>175</v>
      </c>
      <c r="AG124" s="32">
        <f t="shared" si="7"/>
        <v>1</v>
      </c>
      <c r="AH124" s="32">
        <v>1</v>
      </c>
      <c r="AI124" s="32"/>
      <c r="AJ124" s="32">
        <v>1</v>
      </c>
      <c r="AK124" s="30"/>
      <c r="AL124" s="32">
        <f t="shared" si="9"/>
        <v>1</v>
      </c>
      <c r="AM124" s="30"/>
      <c r="AN124" s="32"/>
      <c r="AO124" s="32">
        <v>1</v>
      </c>
      <c r="AP124" s="32">
        <v>1</v>
      </c>
      <c r="AQ124" s="32">
        <v>1</v>
      </c>
      <c r="AR124" s="32">
        <v>1</v>
      </c>
      <c r="AS124" s="32"/>
      <c r="AT124" s="32">
        <v>1</v>
      </c>
      <c r="AU124" s="30"/>
      <c r="AV124" s="30"/>
      <c r="AW124" s="30"/>
      <c r="AX124" s="30" t="s">
        <v>10143</v>
      </c>
      <c r="AY124" s="30"/>
      <c r="AZ124" s="94" t="s">
        <v>10013</v>
      </c>
    </row>
    <row r="125" spans="1:52" ht="16.5">
      <c r="A125" s="30" t="s">
        <v>10144</v>
      </c>
      <c r="B125" s="30" t="s">
        <v>4398</v>
      </c>
      <c r="C125" s="30" t="s">
        <v>68</v>
      </c>
      <c r="D125" s="30" t="s">
        <v>10145</v>
      </c>
      <c r="E125" s="260" t="s">
        <v>10146</v>
      </c>
      <c r="F125" s="30" t="s">
        <v>10147</v>
      </c>
      <c r="G125" s="30" t="s">
        <v>165</v>
      </c>
      <c r="H125" s="30" t="s">
        <v>165</v>
      </c>
      <c r="I125" s="30" t="s">
        <v>9838</v>
      </c>
      <c r="J125" s="30" t="s">
        <v>9281</v>
      </c>
      <c r="K125" s="32">
        <v>7.21</v>
      </c>
      <c r="L125" s="30" t="s">
        <v>73</v>
      </c>
      <c r="M125" s="30" t="s">
        <v>10148</v>
      </c>
      <c r="N125" s="30" t="s">
        <v>10149</v>
      </c>
      <c r="O125" s="27" t="s">
        <v>10150</v>
      </c>
      <c r="P125" s="30"/>
      <c r="Q125" s="92">
        <v>8</v>
      </c>
      <c r="R125" s="92">
        <v>32</v>
      </c>
      <c r="S125" s="92">
        <v>302.3</v>
      </c>
      <c r="T125" s="30" t="s">
        <v>88</v>
      </c>
      <c r="U125" s="30" t="s">
        <v>78</v>
      </c>
      <c r="V125" s="30" t="s">
        <v>89</v>
      </c>
      <c r="W125" s="38" t="s">
        <v>10128</v>
      </c>
      <c r="X125" s="26" t="s">
        <v>4412</v>
      </c>
      <c r="Y125" s="26" t="s">
        <v>91</v>
      </c>
      <c r="Z125" s="26" t="s">
        <v>91</v>
      </c>
      <c r="AA125" s="30"/>
      <c r="AB125" s="93" t="s">
        <v>19</v>
      </c>
      <c r="AC125" s="30" t="s">
        <v>172</v>
      </c>
      <c r="AD125" s="25" t="s">
        <v>172</v>
      </c>
      <c r="AE125" s="25" t="s">
        <v>174</v>
      </c>
      <c r="AF125" s="26" t="s">
        <v>175</v>
      </c>
      <c r="AG125" s="32">
        <f t="shared" si="7"/>
        <v>1</v>
      </c>
      <c r="AH125" s="32">
        <v>1</v>
      </c>
      <c r="AI125" s="32"/>
      <c r="AJ125" s="32">
        <v>1</v>
      </c>
      <c r="AK125" s="30"/>
      <c r="AL125" s="32">
        <f t="shared" si="9"/>
        <v>1</v>
      </c>
      <c r="AM125" s="30"/>
      <c r="AN125" s="32"/>
      <c r="AO125" s="32">
        <v>1</v>
      </c>
      <c r="AP125" s="32">
        <v>1</v>
      </c>
      <c r="AQ125" s="32">
        <v>1</v>
      </c>
      <c r="AR125" s="32">
        <v>1</v>
      </c>
      <c r="AS125" s="32"/>
      <c r="AT125" s="32">
        <v>1</v>
      </c>
      <c r="AU125" s="30"/>
      <c r="AV125" s="30"/>
      <c r="AW125" s="30"/>
      <c r="AX125" s="30" t="s">
        <v>9967</v>
      </c>
      <c r="AY125" s="30"/>
      <c r="AZ125" s="94" t="s">
        <v>10055</v>
      </c>
    </row>
    <row r="126" spans="1:52" ht="16.5">
      <c r="A126" s="30" t="s">
        <v>10151</v>
      </c>
      <c r="B126" s="30" t="s">
        <v>4398</v>
      </c>
      <c r="C126" s="30" t="s">
        <v>68</v>
      </c>
      <c r="D126" s="30" t="s">
        <v>10152</v>
      </c>
      <c r="E126" s="260" t="s">
        <v>10153</v>
      </c>
      <c r="F126" s="30" t="s">
        <v>10154</v>
      </c>
      <c r="G126" s="30" t="s">
        <v>165</v>
      </c>
      <c r="H126" s="30" t="s">
        <v>165</v>
      </c>
      <c r="I126" s="30" t="s">
        <v>9838</v>
      </c>
      <c r="J126" s="30" t="s">
        <v>9281</v>
      </c>
      <c r="K126" s="32">
        <v>7.21</v>
      </c>
      <c r="L126" s="30" t="s">
        <v>73</v>
      </c>
      <c r="M126" s="30" t="s">
        <v>10155</v>
      </c>
      <c r="N126" s="30" t="s">
        <v>10156</v>
      </c>
      <c r="O126" s="27" t="s">
        <v>10157</v>
      </c>
      <c r="P126" s="30"/>
      <c r="Q126" s="92">
        <v>8</v>
      </c>
      <c r="R126" s="92">
        <v>32</v>
      </c>
      <c r="S126" s="92">
        <v>283.3</v>
      </c>
      <c r="T126" s="30" t="s">
        <v>88</v>
      </c>
      <c r="U126" s="30" t="s">
        <v>78</v>
      </c>
      <c r="V126" s="30" t="s">
        <v>89</v>
      </c>
      <c r="W126" s="38" t="s">
        <v>10128</v>
      </c>
      <c r="X126" s="26" t="s">
        <v>4412</v>
      </c>
      <c r="Y126" s="26" t="s">
        <v>91</v>
      </c>
      <c r="Z126" s="26" t="s">
        <v>91</v>
      </c>
      <c r="AA126" s="30"/>
      <c r="AB126" s="93" t="s">
        <v>19</v>
      </c>
      <c r="AC126" s="30" t="s">
        <v>172</v>
      </c>
      <c r="AD126" s="25" t="s">
        <v>172</v>
      </c>
      <c r="AE126" s="25" t="s">
        <v>174</v>
      </c>
      <c r="AF126" s="26" t="s">
        <v>175</v>
      </c>
      <c r="AG126" s="32">
        <f t="shared" si="7"/>
        <v>1</v>
      </c>
      <c r="AH126" s="32">
        <v>1</v>
      </c>
      <c r="AI126" s="32"/>
      <c r="AJ126" s="32">
        <v>1</v>
      </c>
      <c r="AK126" s="30"/>
      <c r="AL126" s="32">
        <f t="shared" si="9"/>
        <v>1</v>
      </c>
      <c r="AM126" s="30"/>
      <c r="AN126" s="32"/>
      <c r="AO126" s="32">
        <v>1</v>
      </c>
      <c r="AP126" s="32">
        <v>1</v>
      </c>
      <c r="AQ126" s="32">
        <v>1</v>
      </c>
      <c r="AR126" s="32">
        <v>1</v>
      </c>
      <c r="AS126" s="32"/>
      <c r="AT126" s="32">
        <v>1</v>
      </c>
      <c r="AU126" s="30" t="s">
        <v>10158</v>
      </c>
      <c r="AV126" s="30"/>
      <c r="AW126" s="30"/>
      <c r="AX126" s="30" t="s">
        <v>10070</v>
      </c>
      <c r="AY126" s="30"/>
      <c r="AZ126" s="94" t="s">
        <v>10027</v>
      </c>
    </row>
    <row r="127" spans="1:52" ht="16.5">
      <c r="A127" s="30" t="s">
        <v>10159</v>
      </c>
      <c r="B127" s="30" t="s">
        <v>4398</v>
      </c>
      <c r="C127" s="30" t="s">
        <v>68</v>
      </c>
      <c r="D127" s="30" t="s">
        <v>10160</v>
      </c>
      <c r="E127" s="260" t="s">
        <v>10161</v>
      </c>
      <c r="F127" s="30" t="s">
        <v>10162</v>
      </c>
      <c r="G127" s="30" t="s">
        <v>165</v>
      </c>
      <c r="H127" s="30" t="s">
        <v>165</v>
      </c>
      <c r="I127" s="30" t="s">
        <v>9838</v>
      </c>
      <c r="J127" s="30" t="s">
        <v>9281</v>
      </c>
      <c r="K127" s="32">
        <v>7.21</v>
      </c>
      <c r="L127" s="30" t="s">
        <v>73</v>
      </c>
      <c r="M127" s="30" t="s">
        <v>10143</v>
      </c>
      <c r="N127" s="30" t="s">
        <v>10163</v>
      </c>
      <c r="O127" s="27" t="s">
        <v>10164</v>
      </c>
      <c r="P127" s="30"/>
      <c r="Q127" s="92">
        <v>4</v>
      </c>
      <c r="R127" s="92">
        <v>16</v>
      </c>
      <c r="S127" s="92">
        <v>287.16000000000003</v>
      </c>
      <c r="T127" s="30" t="s">
        <v>88</v>
      </c>
      <c r="U127" s="30" t="s">
        <v>78</v>
      </c>
      <c r="V127" s="30" t="s">
        <v>89</v>
      </c>
      <c r="W127" s="38" t="s">
        <v>10128</v>
      </c>
      <c r="X127" s="26" t="s">
        <v>4412</v>
      </c>
      <c r="Y127" s="26" t="s">
        <v>91</v>
      </c>
      <c r="Z127" s="26" t="s">
        <v>91</v>
      </c>
      <c r="AA127" s="30"/>
      <c r="AB127" s="93" t="s">
        <v>19</v>
      </c>
      <c r="AC127" s="30" t="s">
        <v>172</v>
      </c>
      <c r="AD127" s="25" t="s">
        <v>172</v>
      </c>
      <c r="AE127" s="25" t="s">
        <v>174</v>
      </c>
      <c r="AF127" s="26" t="s">
        <v>175</v>
      </c>
      <c r="AG127" s="32">
        <f t="shared" si="7"/>
        <v>1</v>
      </c>
      <c r="AH127" s="32">
        <v>1</v>
      </c>
      <c r="AI127" s="32"/>
      <c r="AJ127" s="32">
        <v>1</v>
      </c>
      <c r="AK127" s="30"/>
      <c r="AL127" s="32">
        <f t="shared" si="9"/>
        <v>1</v>
      </c>
      <c r="AM127" s="30"/>
      <c r="AN127" s="32"/>
      <c r="AO127" s="32">
        <v>1</v>
      </c>
      <c r="AP127" s="32">
        <v>1</v>
      </c>
      <c r="AQ127" s="32">
        <v>1</v>
      </c>
      <c r="AR127" s="32">
        <v>1</v>
      </c>
      <c r="AS127" s="32"/>
      <c r="AT127" s="32">
        <v>1</v>
      </c>
      <c r="AU127" s="30"/>
      <c r="AV127" s="30"/>
      <c r="AW127" s="30"/>
      <c r="AX127" s="30" t="s">
        <v>10165</v>
      </c>
      <c r="AY127" s="30"/>
      <c r="AZ127" s="94" t="s">
        <v>10061</v>
      </c>
    </row>
    <row r="128" spans="1:52" ht="16.5">
      <c r="A128" s="30" t="s">
        <v>10166</v>
      </c>
      <c r="B128" s="30" t="s">
        <v>4398</v>
      </c>
      <c r="C128" s="30" t="s">
        <v>68</v>
      </c>
      <c r="D128" s="30" t="s">
        <v>10167</v>
      </c>
      <c r="E128" s="260" t="s">
        <v>10168</v>
      </c>
      <c r="F128" s="30" t="s">
        <v>10169</v>
      </c>
      <c r="G128" s="30" t="s">
        <v>165</v>
      </c>
      <c r="H128" s="30" t="s">
        <v>165</v>
      </c>
      <c r="I128" s="30" t="s">
        <v>9838</v>
      </c>
      <c r="J128" s="30" t="s">
        <v>9281</v>
      </c>
      <c r="K128" s="32">
        <v>7.21</v>
      </c>
      <c r="L128" s="30" t="s">
        <v>73</v>
      </c>
      <c r="M128" s="30" t="s">
        <v>10165</v>
      </c>
      <c r="N128" s="30" t="s">
        <v>10170</v>
      </c>
      <c r="O128" s="27" t="s">
        <v>10171</v>
      </c>
      <c r="P128" s="30"/>
      <c r="Q128" s="92">
        <v>8</v>
      </c>
      <c r="R128" s="92">
        <v>32</v>
      </c>
      <c r="S128" s="92">
        <v>302.12</v>
      </c>
      <c r="T128" s="30" t="s">
        <v>88</v>
      </c>
      <c r="U128" s="30" t="s">
        <v>78</v>
      </c>
      <c r="V128" s="30" t="s">
        <v>89</v>
      </c>
      <c r="W128" s="38" t="s">
        <v>10128</v>
      </c>
      <c r="X128" s="26" t="s">
        <v>4412</v>
      </c>
      <c r="Y128" s="26" t="s">
        <v>91</v>
      </c>
      <c r="Z128" s="26" t="s">
        <v>91</v>
      </c>
      <c r="AA128" s="30"/>
      <c r="AB128" s="93" t="s">
        <v>19</v>
      </c>
      <c r="AC128" s="30" t="s">
        <v>172</v>
      </c>
      <c r="AD128" s="25" t="s">
        <v>172</v>
      </c>
      <c r="AE128" s="25" t="s">
        <v>174</v>
      </c>
      <c r="AF128" s="26" t="s">
        <v>175</v>
      </c>
      <c r="AG128" s="32">
        <f t="shared" si="7"/>
        <v>1</v>
      </c>
      <c r="AH128" s="32">
        <v>1</v>
      </c>
      <c r="AI128" s="32"/>
      <c r="AJ128" s="32">
        <v>1</v>
      </c>
      <c r="AK128" s="30"/>
      <c r="AL128" s="32">
        <f t="shared" si="9"/>
        <v>1</v>
      </c>
      <c r="AM128" s="30"/>
      <c r="AN128" s="32"/>
      <c r="AO128" s="32">
        <v>1</v>
      </c>
      <c r="AP128" s="32">
        <v>1</v>
      </c>
      <c r="AQ128" s="32">
        <v>1</v>
      </c>
      <c r="AR128" s="32">
        <v>1</v>
      </c>
      <c r="AS128" s="32"/>
      <c r="AT128" s="32">
        <v>1</v>
      </c>
      <c r="AU128" s="30"/>
      <c r="AV128" s="30"/>
      <c r="AW128" s="30"/>
      <c r="AX128" s="30" t="s">
        <v>10125</v>
      </c>
      <c r="AY128" s="30"/>
      <c r="AZ128" s="94" t="s">
        <v>10101</v>
      </c>
    </row>
    <row r="129" spans="1:52" ht="16.5">
      <c r="A129" s="30" t="s">
        <v>10172</v>
      </c>
      <c r="B129" s="30" t="s">
        <v>4398</v>
      </c>
      <c r="C129" s="30" t="s">
        <v>73</v>
      </c>
      <c r="D129" s="30" t="s">
        <v>10173</v>
      </c>
      <c r="E129" s="260" t="s">
        <v>10174</v>
      </c>
      <c r="F129" s="30" t="s">
        <v>10175</v>
      </c>
      <c r="G129" s="30" t="s">
        <v>165</v>
      </c>
      <c r="H129" s="30" t="s">
        <v>165</v>
      </c>
      <c r="I129" s="30" t="s">
        <v>9838</v>
      </c>
      <c r="J129" s="30" t="s">
        <v>9281</v>
      </c>
      <c r="K129" s="32">
        <v>7.21</v>
      </c>
      <c r="L129" s="30" t="s">
        <v>73</v>
      </c>
      <c r="M129" s="30" t="s">
        <v>10176</v>
      </c>
      <c r="N129" s="30" t="s">
        <v>10177</v>
      </c>
      <c r="O129" s="27" t="s">
        <v>10178</v>
      </c>
      <c r="P129" s="30"/>
      <c r="Q129" s="95">
        <v>4</v>
      </c>
      <c r="R129" s="96" t="s">
        <v>4409</v>
      </c>
      <c r="S129" s="96" t="s">
        <v>10179</v>
      </c>
      <c r="T129" s="30" t="s">
        <v>88</v>
      </c>
      <c r="U129" s="30" t="s">
        <v>78</v>
      </c>
      <c r="V129" s="30" t="s">
        <v>89</v>
      </c>
      <c r="W129" s="38" t="s">
        <v>10128</v>
      </c>
      <c r="X129" s="26" t="s">
        <v>4412</v>
      </c>
      <c r="Y129" s="26" t="s">
        <v>91</v>
      </c>
      <c r="Z129" s="26" t="s">
        <v>91</v>
      </c>
      <c r="AA129" s="30"/>
      <c r="AB129" s="93" t="s">
        <v>19</v>
      </c>
      <c r="AC129" s="30" t="s">
        <v>172</v>
      </c>
      <c r="AD129" s="25" t="s">
        <v>7629</v>
      </c>
      <c r="AE129" s="25" t="s">
        <v>172</v>
      </c>
      <c r="AF129" s="26" t="s">
        <v>175</v>
      </c>
      <c r="AG129" s="32">
        <f t="shared" si="7"/>
        <v>1</v>
      </c>
      <c r="AH129" s="32">
        <v>1</v>
      </c>
      <c r="AI129" s="32"/>
      <c r="AJ129" s="32">
        <v>1</v>
      </c>
      <c r="AK129" s="30"/>
      <c r="AL129" s="32">
        <f t="shared" si="9"/>
        <v>1</v>
      </c>
      <c r="AM129" s="30"/>
      <c r="AN129" s="32"/>
      <c r="AO129" s="32">
        <v>1</v>
      </c>
      <c r="AP129" s="32">
        <v>1</v>
      </c>
      <c r="AQ129" s="32">
        <v>1</v>
      </c>
      <c r="AR129" s="32">
        <v>1</v>
      </c>
      <c r="AS129" s="32"/>
      <c r="AT129" s="32">
        <v>1</v>
      </c>
      <c r="AU129" s="30"/>
      <c r="AV129" s="30"/>
      <c r="AW129" s="30"/>
      <c r="AX129" s="30" t="s">
        <v>10180</v>
      </c>
      <c r="AY129" s="30"/>
      <c r="AZ129" s="94" t="s">
        <v>9998</v>
      </c>
    </row>
    <row r="130" spans="1:52" ht="16.5">
      <c r="A130" s="30" t="s">
        <v>10181</v>
      </c>
      <c r="B130" s="30" t="s">
        <v>4398</v>
      </c>
      <c r="C130" s="30" t="s">
        <v>68</v>
      </c>
      <c r="D130" s="30" t="s">
        <v>10182</v>
      </c>
      <c r="E130" s="260" t="s">
        <v>10183</v>
      </c>
      <c r="F130" s="30" t="s">
        <v>10184</v>
      </c>
      <c r="G130" s="30" t="s">
        <v>165</v>
      </c>
      <c r="H130" s="30" t="s">
        <v>165</v>
      </c>
      <c r="I130" s="30" t="s">
        <v>9838</v>
      </c>
      <c r="J130" s="30" t="s">
        <v>9281</v>
      </c>
      <c r="K130" s="32">
        <v>7.21</v>
      </c>
      <c r="L130" s="30" t="s">
        <v>73</v>
      </c>
      <c r="M130" s="30" t="s">
        <v>10088</v>
      </c>
      <c r="N130" s="30" t="s">
        <v>10185</v>
      </c>
      <c r="O130" s="27" t="s">
        <v>10186</v>
      </c>
      <c r="P130" s="30"/>
      <c r="Q130" s="92">
        <v>8</v>
      </c>
      <c r="R130" s="92">
        <v>32</v>
      </c>
      <c r="S130" s="92">
        <v>832.71</v>
      </c>
      <c r="T130" s="30" t="s">
        <v>88</v>
      </c>
      <c r="U130" s="30" t="s">
        <v>78</v>
      </c>
      <c r="V130" s="30" t="s">
        <v>89</v>
      </c>
      <c r="W130" s="38" t="s">
        <v>10128</v>
      </c>
      <c r="X130" s="26" t="s">
        <v>4412</v>
      </c>
      <c r="Y130" s="26" t="s">
        <v>91</v>
      </c>
      <c r="Z130" s="26" t="s">
        <v>91</v>
      </c>
      <c r="AA130" s="30"/>
      <c r="AB130" s="93" t="s">
        <v>19</v>
      </c>
      <c r="AC130" s="30" t="s">
        <v>172</v>
      </c>
      <c r="AD130" s="25" t="s">
        <v>172</v>
      </c>
      <c r="AE130" s="25" t="s">
        <v>174</v>
      </c>
      <c r="AF130" s="26" t="s">
        <v>175</v>
      </c>
      <c r="AG130" s="32">
        <f t="shared" si="7"/>
        <v>1</v>
      </c>
      <c r="AH130" s="32">
        <v>1</v>
      </c>
      <c r="AI130" s="32"/>
      <c r="AJ130" s="32">
        <v>1</v>
      </c>
      <c r="AK130" s="30"/>
      <c r="AL130" s="32">
        <f t="shared" si="9"/>
        <v>1</v>
      </c>
      <c r="AM130" s="30"/>
      <c r="AN130" s="32"/>
      <c r="AO130" s="32">
        <v>1</v>
      </c>
      <c r="AP130" s="32">
        <v>1</v>
      </c>
      <c r="AQ130" s="32">
        <v>1</v>
      </c>
      <c r="AR130" s="32">
        <v>1</v>
      </c>
      <c r="AS130" s="32"/>
      <c r="AT130" s="32">
        <v>1</v>
      </c>
      <c r="AU130" s="30" t="s">
        <v>10187</v>
      </c>
      <c r="AV130" s="30"/>
      <c r="AW130" s="30"/>
      <c r="AX130" s="30" t="s">
        <v>10188</v>
      </c>
      <c r="AY130" s="30"/>
      <c r="AZ130" s="94" t="s">
        <v>10115</v>
      </c>
    </row>
    <row r="131" spans="1:52" ht="16.5">
      <c r="A131" s="30" t="s">
        <v>10189</v>
      </c>
      <c r="B131" s="30" t="s">
        <v>4398</v>
      </c>
      <c r="C131" s="30" t="s">
        <v>68</v>
      </c>
      <c r="D131" s="30" t="s">
        <v>10190</v>
      </c>
      <c r="E131" s="260" t="s">
        <v>10191</v>
      </c>
      <c r="F131" s="30" t="s">
        <v>10192</v>
      </c>
      <c r="G131" s="30" t="s">
        <v>165</v>
      </c>
      <c r="H131" s="30" t="s">
        <v>165</v>
      </c>
      <c r="I131" s="30" t="s">
        <v>9838</v>
      </c>
      <c r="J131" s="30" t="s">
        <v>9281</v>
      </c>
      <c r="K131" s="32">
        <v>7.21</v>
      </c>
      <c r="L131" s="30" t="s">
        <v>73</v>
      </c>
      <c r="M131" s="30" t="s">
        <v>10193</v>
      </c>
      <c r="N131" s="30" t="s">
        <v>10194</v>
      </c>
      <c r="O131" s="27" t="s">
        <v>10195</v>
      </c>
      <c r="P131" s="30"/>
      <c r="Q131" s="92">
        <v>8</v>
      </c>
      <c r="R131" s="92">
        <v>32</v>
      </c>
      <c r="S131" s="92">
        <v>432.22</v>
      </c>
      <c r="T131" s="30" t="s">
        <v>88</v>
      </c>
      <c r="U131" s="30" t="s">
        <v>78</v>
      </c>
      <c r="V131" s="30" t="s">
        <v>89</v>
      </c>
      <c r="W131" s="38" t="s">
        <v>10128</v>
      </c>
      <c r="X131" s="26" t="s">
        <v>4412</v>
      </c>
      <c r="Y131" s="26" t="s">
        <v>91</v>
      </c>
      <c r="Z131" s="26" t="s">
        <v>91</v>
      </c>
      <c r="AA131" s="30"/>
      <c r="AB131" s="93" t="s">
        <v>19</v>
      </c>
      <c r="AC131" s="30" t="s">
        <v>172</v>
      </c>
      <c r="AD131" s="25" t="s">
        <v>172</v>
      </c>
      <c r="AE131" s="25" t="s">
        <v>174</v>
      </c>
      <c r="AF131" s="26" t="s">
        <v>175</v>
      </c>
      <c r="AG131" s="32">
        <f t="shared" ref="AG131:AG162" si="10">IF(COUNTIF(AZ:AZ,D131)&gt;0,1,0)</f>
        <v>1</v>
      </c>
      <c r="AH131" s="32">
        <v>1</v>
      </c>
      <c r="AI131" s="32"/>
      <c r="AJ131" s="32">
        <v>1</v>
      </c>
      <c r="AK131" s="30"/>
      <c r="AL131" s="32">
        <f t="shared" si="9"/>
        <v>1</v>
      </c>
      <c r="AM131" s="30"/>
      <c r="AN131" s="32"/>
      <c r="AO131" s="32">
        <v>1</v>
      </c>
      <c r="AP131" s="32">
        <v>1</v>
      </c>
      <c r="AQ131" s="32">
        <v>1</v>
      </c>
      <c r="AR131" s="32">
        <v>1</v>
      </c>
      <c r="AS131" s="32"/>
      <c r="AT131" s="32">
        <v>1</v>
      </c>
      <c r="AU131" s="30"/>
      <c r="AV131" s="30"/>
      <c r="AW131" s="30"/>
      <c r="AX131" s="30" t="s">
        <v>10196</v>
      </c>
      <c r="AY131" s="30"/>
      <c r="AZ131" s="94" t="s">
        <v>5200</v>
      </c>
    </row>
    <row r="132" spans="1:52" ht="16.5">
      <c r="A132" s="30" t="s">
        <v>10197</v>
      </c>
      <c r="B132" s="30" t="s">
        <v>4398</v>
      </c>
      <c r="C132" s="30" t="s">
        <v>68</v>
      </c>
      <c r="D132" s="30" t="s">
        <v>10198</v>
      </c>
      <c r="E132" s="260" t="s">
        <v>10199</v>
      </c>
      <c r="F132" s="30" t="s">
        <v>10200</v>
      </c>
      <c r="G132" s="30" t="s">
        <v>165</v>
      </c>
      <c r="H132" s="30" t="s">
        <v>165</v>
      </c>
      <c r="I132" s="30" t="s">
        <v>9838</v>
      </c>
      <c r="J132" s="30" t="s">
        <v>9281</v>
      </c>
      <c r="K132" s="32">
        <v>7.21</v>
      </c>
      <c r="L132" s="30" t="s">
        <v>73</v>
      </c>
      <c r="M132" s="30" t="s">
        <v>10196</v>
      </c>
      <c r="N132" s="30" t="s">
        <v>10201</v>
      </c>
      <c r="O132" s="27" t="s">
        <v>10202</v>
      </c>
      <c r="P132" s="30"/>
      <c r="Q132" s="92">
        <v>8</v>
      </c>
      <c r="R132" s="92">
        <v>32</v>
      </c>
      <c r="S132" s="92">
        <v>285.57</v>
      </c>
      <c r="T132" s="30" t="s">
        <v>88</v>
      </c>
      <c r="U132" s="30" t="s">
        <v>78</v>
      </c>
      <c r="V132" s="30" t="s">
        <v>89</v>
      </c>
      <c r="W132" s="38" t="s">
        <v>10128</v>
      </c>
      <c r="X132" s="26" t="s">
        <v>4412</v>
      </c>
      <c r="Y132" s="26" t="s">
        <v>91</v>
      </c>
      <c r="Z132" s="26" t="s">
        <v>91</v>
      </c>
      <c r="AA132" s="30"/>
      <c r="AB132" s="93" t="s">
        <v>19</v>
      </c>
      <c r="AC132" s="30" t="s">
        <v>172</v>
      </c>
      <c r="AD132" s="25" t="s">
        <v>172</v>
      </c>
      <c r="AE132" s="25" t="s">
        <v>174</v>
      </c>
      <c r="AF132" s="26" t="s">
        <v>175</v>
      </c>
      <c r="AG132" s="32">
        <f t="shared" si="10"/>
        <v>1</v>
      </c>
      <c r="AH132" s="32">
        <v>1</v>
      </c>
      <c r="AI132" s="32"/>
      <c r="AJ132" s="32">
        <v>1</v>
      </c>
      <c r="AK132" s="30"/>
      <c r="AL132" s="32">
        <f t="shared" si="9"/>
        <v>1</v>
      </c>
      <c r="AM132" s="30"/>
      <c r="AN132" s="32"/>
      <c r="AO132" s="32">
        <v>1</v>
      </c>
      <c r="AP132" s="32">
        <v>1</v>
      </c>
      <c r="AQ132" s="32">
        <v>1</v>
      </c>
      <c r="AR132" s="32">
        <v>1</v>
      </c>
      <c r="AS132" s="32"/>
      <c r="AT132" s="32">
        <v>1</v>
      </c>
      <c r="AU132" s="30"/>
      <c r="AV132" s="30"/>
      <c r="AW132" s="30"/>
      <c r="AX132" s="30" t="s">
        <v>10155</v>
      </c>
      <c r="AY132" s="30"/>
      <c r="AZ132" s="94" t="s">
        <v>5215</v>
      </c>
    </row>
    <row r="133" spans="1:52" ht="16.5">
      <c r="A133" s="30" t="s">
        <v>10203</v>
      </c>
      <c r="B133" s="30" t="s">
        <v>4398</v>
      </c>
      <c r="C133" s="30" t="s">
        <v>68</v>
      </c>
      <c r="D133" s="30" t="s">
        <v>10204</v>
      </c>
      <c r="E133" s="260" t="s">
        <v>10205</v>
      </c>
      <c r="F133" s="30" t="s">
        <v>10206</v>
      </c>
      <c r="G133" s="30" t="s">
        <v>165</v>
      </c>
      <c r="H133" s="30" t="s">
        <v>165</v>
      </c>
      <c r="I133" s="30" t="s">
        <v>9838</v>
      </c>
      <c r="J133" s="30" t="s">
        <v>9281</v>
      </c>
      <c r="K133" s="32">
        <v>7.21</v>
      </c>
      <c r="L133" s="30" t="s">
        <v>73</v>
      </c>
      <c r="M133" s="30" t="s">
        <v>10207</v>
      </c>
      <c r="N133" s="30" t="s">
        <v>10208</v>
      </c>
      <c r="O133" s="27" t="s">
        <v>10209</v>
      </c>
      <c r="P133" s="30"/>
      <c r="Q133" s="92">
        <v>8</v>
      </c>
      <c r="R133" s="92">
        <v>32</v>
      </c>
      <c r="S133" s="92">
        <v>303.76</v>
      </c>
      <c r="T133" s="30" t="s">
        <v>88</v>
      </c>
      <c r="U133" s="30" t="s">
        <v>78</v>
      </c>
      <c r="V133" s="30" t="s">
        <v>89</v>
      </c>
      <c r="W133" s="38" t="s">
        <v>10128</v>
      </c>
      <c r="X133" s="26" t="s">
        <v>4412</v>
      </c>
      <c r="Y133" s="26" t="s">
        <v>91</v>
      </c>
      <c r="Z133" s="26" t="s">
        <v>91</v>
      </c>
      <c r="AA133" s="30"/>
      <c r="AB133" s="93" t="s">
        <v>19</v>
      </c>
      <c r="AC133" s="30" t="s">
        <v>172</v>
      </c>
      <c r="AD133" s="25" t="s">
        <v>172</v>
      </c>
      <c r="AE133" s="25" t="s">
        <v>174</v>
      </c>
      <c r="AF133" s="26" t="s">
        <v>175</v>
      </c>
      <c r="AG133" s="32">
        <f t="shared" si="10"/>
        <v>1</v>
      </c>
      <c r="AH133" s="32">
        <v>1</v>
      </c>
      <c r="AI133" s="32"/>
      <c r="AJ133" s="32">
        <v>1</v>
      </c>
      <c r="AK133" s="30"/>
      <c r="AL133" s="32">
        <f t="shared" si="9"/>
        <v>1</v>
      </c>
      <c r="AM133" s="30"/>
      <c r="AN133" s="32"/>
      <c r="AO133" s="32">
        <v>1</v>
      </c>
      <c r="AP133" s="32">
        <v>1</v>
      </c>
      <c r="AQ133" s="32">
        <v>1</v>
      </c>
      <c r="AR133" s="32">
        <v>1</v>
      </c>
      <c r="AS133" s="32"/>
      <c r="AT133" s="32">
        <v>1</v>
      </c>
      <c r="AU133" s="30"/>
      <c r="AV133" s="30"/>
      <c r="AW133" s="30"/>
      <c r="AX133" s="30" t="s">
        <v>10210</v>
      </c>
      <c r="AY133" s="30"/>
      <c r="AZ133" s="94" t="s">
        <v>1267</v>
      </c>
    </row>
    <row r="134" spans="1:52" ht="16.5">
      <c r="A134" s="30" t="s">
        <v>10211</v>
      </c>
      <c r="B134" s="30" t="s">
        <v>4398</v>
      </c>
      <c r="C134" s="30" t="s">
        <v>73</v>
      </c>
      <c r="D134" s="30" t="s">
        <v>10212</v>
      </c>
      <c r="E134" s="260" t="s">
        <v>10213</v>
      </c>
      <c r="F134" s="30" t="s">
        <v>10214</v>
      </c>
      <c r="G134" s="30" t="s">
        <v>165</v>
      </c>
      <c r="H134" s="30" t="s">
        <v>165</v>
      </c>
      <c r="I134" s="30" t="s">
        <v>9838</v>
      </c>
      <c r="J134" s="30" t="s">
        <v>9281</v>
      </c>
      <c r="K134" s="32">
        <v>7.21</v>
      </c>
      <c r="L134" s="30" t="s">
        <v>73</v>
      </c>
      <c r="M134" s="30" t="s">
        <v>10210</v>
      </c>
      <c r="N134" s="30" t="s">
        <v>10215</v>
      </c>
      <c r="O134" s="27" t="s">
        <v>10216</v>
      </c>
      <c r="P134" s="30"/>
      <c r="Q134" s="95">
        <v>4</v>
      </c>
      <c r="R134" s="96" t="s">
        <v>4409</v>
      </c>
      <c r="S134" s="96" t="s">
        <v>10217</v>
      </c>
      <c r="T134" s="30" t="s">
        <v>88</v>
      </c>
      <c r="U134" s="30" t="s">
        <v>78</v>
      </c>
      <c r="V134" s="30" t="s">
        <v>89</v>
      </c>
      <c r="W134" s="38" t="s">
        <v>10128</v>
      </c>
      <c r="X134" s="26" t="s">
        <v>4412</v>
      </c>
      <c r="Y134" s="26" t="s">
        <v>91</v>
      </c>
      <c r="Z134" s="26" t="s">
        <v>91</v>
      </c>
      <c r="AA134" s="30"/>
      <c r="AB134" s="93" t="s">
        <v>19</v>
      </c>
      <c r="AC134" s="30" t="s">
        <v>172</v>
      </c>
      <c r="AD134" s="25" t="s">
        <v>7629</v>
      </c>
      <c r="AE134" s="25" t="s">
        <v>172</v>
      </c>
      <c r="AF134" s="26" t="s">
        <v>175</v>
      </c>
      <c r="AG134" s="32">
        <f t="shared" si="10"/>
        <v>1</v>
      </c>
      <c r="AH134" s="32">
        <v>1</v>
      </c>
      <c r="AI134" s="32"/>
      <c r="AJ134" s="32">
        <v>1</v>
      </c>
      <c r="AK134" s="30"/>
      <c r="AL134" s="32">
        <f t="shared" si="9"/>
        <v>1</v>
      </c>
      <c r="AM134" s="30"/>
      <c r="AN134" s="32"/>
      <c r="AO134" s="32">
        <v>1</v>
      </c>
      <c r="AP134" s="32">
        <v>1</v>
      </c>
      <c r="AQ134" s="32">
        <v>1</v>
      </c>
      <c r="AR134" s="32">
        <v>1</v>
      </c>
      <c r="AS134" s="32"/>
      <c r="AT134" s="32">
        <v>1</v>
      </c>
      <c r="AU134" s="30"/>
      <c r="AV134" s="30"/>
      <c r="AW134" s="30"/>
      <c r="AX134" s="30" t="s">
        <v>10176</v>
      </c>
      <c r="AY134" s="30"/>
      <c r="AZ134" s="94" t="s">
        <v>9980</v>
      </c>
    </row>
    <row r="135" spans="1:52" ht="16.5">
      <c r="A135" s="30" t="s">
        <v>10218</v>
      </c>
      <c r="B135" s="30" t="s">
        <v>4398</v>
      </c>
      <c r="C135" s="30" t="s">
        <v>68</v>
      </c>
      <c r="D135" s="30" t="s">
        <v>10219</v>
      </c>
      <c r="E135" s="260" t="s">
        <v>10220</v>
      </c>
      <c r="F135" s="30" t="s">
        <v>10221</v>
      </c>
      <c r="G135" s="30" t="s">
        <v>165</v>
      </c>
      <c r="H135" s="30" t="s">
        <v>165</v>
      </c>
      <c r="I135" s="30" t="s">
        <v>9838</v>
      </c>
      <c r="J135" s="30" t="s">
        <v>9281</v>
      </c>
      <c r="K135" s="32">
        <v>7.21</v>
      </c>
      <c r="L135" s="30" t="s">
        <v>73</v>
      </c>
      <c r="M135" s="30" t="s">
        <v>10188</v>
      </c>
      <c r="N135" s="30" t="s">
        <v>10222</v>
      </c>
      <c r="O135" s="27" t="s">
        <v>10223</v>
      </c>
      <c r="P135" s="30"/>
      <c r="Q135" s="92">
        <v>4</v>
      </c>
      <c r="R135" s="92">
        <v>16</v>
      </c>
      <c r="S135" s="92">
        <v>266.79000000000002</v>
      </c>
      <c r="T135" s="30" t="s">
        <v>88</v>
      </c>
      <c r="U135" s="30" t="s">
        <v>78</v>
      </c>
      <c r="V135" s="30" t="s">
        <v>89</v>
      </c>
      <c r="W135" s="38" t="s">
        <v>10128</v>
      </c>
      <c r="X135" s="26" t="s">
        <v>4412</v>
      </c>
      <c r="Y135" s="26" t="s">
        <v>91</v>
      </c>
      <c r="Z135" s="26" t="s">
        <v>91</v>
      </c>
      <c r="AA135" s="30"/>
      <c r="AB135" s="93" t="s">
        <v>19</v>
      </c>
      <c r="AC135" s="30" t="s">
        <v>172</v>
      </c>
      <c r="AD135" s="25" t="s">
        <v>172</v>
      </c>
      <c r="AE135" s="25" t="s">
        <v>174</v>
      </c>
      <c r="AF135" s="26" t="s">
        <v>175</v>
      </c>
      <c r="AG135" s="32">
        <f t="shared" si="10"/>
        <v>1</v>
      </c>
      <c r="AH135" s="32">
        <v>1</v>
      </c>
      <c r="AI135" s="32"/>
      <c r="AJ135" s="32">
        <v>1</v>
      </c>
      <c r="AK135" s="30"/>
      <c r="AL135" s="32">
        <f t="shared" si="9"/>
        <v>1</v>
      </c>
      <c r="AM135" s="30"/>
      <c r="AN135" s="32"/>
      <c r="AO135" s="32">
        <v>1</v>
      </c>
      <c r="AP135" s="32">
        <v>1</v>
      </c>
      <c r="AQ135" s="32">
        <v>1</v>
      </c>
      <c r="AR135" s="32">
        <v>1</v>
      </c>
      <c r="AS135" s="32"/>
      <c r="AT135" s="32">
        <v>1</v>
      </c>
      <c r="AU135" s="30"/>
      <c r="AV135" s="30"/>
      <c r="AW135" s="30"/>
      <c r="AX135" s="30" t="s">
        <v>10193</v>
      </c>
      <c r="AY135" s="30"/>
      <c r="AZ135" s="75" t="s">
        <v>7363</v>
      </c>
    </row>
    <row r="136" spans="1:52" ht="16.5">
      <c r="A136" s="30" t="s">
        <v>10224</v>
      </c>
      <c r="B136" s="30" t="s">
        <v>4398</v>
      </c>
      <c r="C136" s="30" t="s">
        <v>68</v>
      </c>
      <c r="D136" s="30" t="s">
        <v>10225</v>
      </c>
      <c r="E136" s="260" t="s">
        <v>10226</v>
      </c>
      <c r="F136" s="30" t="s">
        <v>10227</v>
      </c>
      <c r="G136" s="30" t="s">
        <v>165</v>
      </c>
      <c r="H136" s="30" t="s">
        <v>165</v>
      </c>
      <c r="I136" s="30" t="s">
        <v>9838</v>
      </c>
      <c r="J136" s="30" t="s">
        <v>9281</v>
      </c>
      <c r="K136" s="34" t="s">
        <v>3213</v>
      </c>
      <c r="L136" s="30" t="s">
        <v>73</v>
      </c>
      <c r="M136" s="30" t="s">
        <v>10228</v>
      </c>
      <c r="N136" s="30" t="s">
        <v>10229</v>
      </c>
      <c r="O136" s="27" t="s">
        <v>10230</v>
      </c>
      <c r="P136" s="30"/>
      <c r="Q136" s="92">
        <v>4</v>
      </c>
      <c r="R136" s="92">
        <v>16</v>
      </c>
      <c r="S136" s="92">
        <v>267.31</v>
      </c>
      <c r="T136" s="30" t="s">
        <v>88</v>
      </c>
      <c r="U136" s="30" t="s">
        <v>78</v>
      </c>
      <c r="V136" s="30" t="s">
        <v>89</v>
      </c>
      <c r="W136" s="38" t="s">
        <v>10128</v>
      </c>
      <c r="X136" s="26" t="s">
        <v>4412</v>
      </c>
      <c r="Y136" s="26" t="s">
        <v>91</v>
      </c>
      <c r="Z136" s="26" t="s">
        <v>91</v>
      </c>
      <c r="AA136" s="30"/>
      <c r="AB136" s="30"/>
      <c r="AC136" s="30" t="s">
        <v>172</v>
      </c>
      <c r="AD136" s="25" t="s">
        <v>172</v>
      </c>
      <c r="AE136" s="25" t="s">
        <v>174</v>
      </c>
      <c r="AF136" s="30"/>
      <c r="AG136" s="32">
        <f t="shared" si="10"/>
        <v>0</v>
      </c>
      <c r="AH136" s="32"/>
      <c r="AI136" s="32"/>
      <c r="AJ136" s="32"/>
      <c r="AK136" s="30"/>
      <c r="AL136" s="32"/>
      <c r="AM136" s="30"/>
      <c r="AN136" s="32"/>
      <c r="AO136" s="32"/>
      <c r="AP136" s="32"/>
      <c r="AQ136" s="32"/>
      <c r="AR136" s="32"/>
      <c r="AS136" s="30"/>
      <c r="AT136" s="32"/>
      <c r="AU136" s="30"/>
      <c r="AV136" s="30"/>
      <c r="AW136" s="30"/>
      <c r="AX136" s="30"/>
      <c r="AY136" s="30"/>
      <c r="AZ136" s="94" t="s">
        <v>10131</v>
      </c>
    </row>
    <row r="137" spans="1:52" ht="16.5">
      <c r="A137" s="30" t="s">
        <v>10231</v>
      </c>
      <c r="B137" s="30" t="s">
        <v>4398</v>
      </c>
      <c r="C137" s="30" t="s">
        <v>68</v>
      </c>
      <c r="D137" s="30" t="s">
        <v>10232</v>
      </c>
      <c r="E137" s="260" t="s">
        <v>10233</v>
      </c>
      <c r="F137" s="30" t="s">
        <v>10234</v>
      </c>
      <c r="G137" s="30" t="s">
        <v>165</v>
      </c>
      <c r="H137" s="30" t="s">
        <v>165</v>
      </c>
      <c r="I137" s="30" t="s">
        <v>9838</v>
      </c>
      <c r="J137" s="30" t="s">
        <v>9281</v>
      </c>
      <c r="K137" s="32">
        <v>7.21</v>
      </c>
      <c r="L137" s="30" t="s">
        <v>73</v>
      </c>
      <c r="M137" s="30" t="s">
        <v>10120</v>
      </c>
      <c r="N137" s="30" t="s">
        <v>10235</v>
      </c>
      <c r="O137" s="27" t="s">
        <v>10236</v>
      </c>
      <c r="P137" s="30"/>
      <c r="Q137" s="92">
        <v>4</v>
      </c>
      <c r="R137" s="92">
        <v>16</v>
      </c>
      <c r="S137" s="92">
        <v>267.17</v>
      </c>
      <c r="T137" s="30" t="s">
        <v>88</v>
      </c>
      <c r="U137" s="30" t="s">
        <v>78</v>
      </c>
      <c r="V137" s="30" t="s">
        <v>89</v>
      </c>
      <c r="W137" s="38" t="s">
        <v>10128</v>
      </c>
      <c r="X137" s="26" t="s">
        <v>4412</v>
      </c>
      <c r="Y137" s="26" t="s">
        <v>91</v>
      </c>
      <c r="Z137" s="26" t="s">
        <v>91</v>
      </c>
      <c r="AA137" s="30"/>
      <c r="AB137" s="93" t="s">
        <v>19</v>
      </c>
      <c r="AC137" s="30" t="s">
        <v>172</v>
      </c>
      <c r="AD137" s="25" t="s">
        <v>172</v>
      </c>
      <c r="AE137" s="25" t="s">
        <v>174</v>
      </c>
      <c r="AF137" s="26" t="s">
        <v>175</v>
      </c>
      <c r="AG137" s="32">
        <f t="shared" si="10"/>
        <v>1</v>
      </c>
      <c r="AH137" s="32">
        <v>1</v>
      </c>
      <c r="AI137" s="32"/>
      <c r="AJ137" s="32">
        <v>1</v>
      </c>
      <c r="AK137" s="30"/>
      <c r="AL137" s="32">
        <f>IF(COUNTIF(AX:AX,"*"&amp;M137&amp;"*")&gt;0,1,0)</f>
        <v>1</v>
      </c>
      <c r="AM137" s="30"/>
      <c r="AN137" s="32"/>
      <c r="AO137" s="32">
        <v>1</v>
      </c>
      <c r="AP137" s="32">
        <v>1</v>
      </c>
      <c r="AQ137" s="32">
        <v>1</v>
      </c>
      <c r="AR137" s="32">
        <v>1</v>
      </c>
      <c r="AS137" s="32"/>
      <c r="AT137" s="32">
        <v>1</v>
      </c>
      <c r="AU137" s="30"/>
      <c r="AV137" s="30"/>
      <c r="AW137" s="30"/>
      <c r="AX137" s="30" t="s">
        <v>10148</v>
      </c>
      <c r="AY137" s="30"/>
      <c r="AZ137" s="94" t="s">
        <v>5239</v>
      </c>
    </row>
    <row r="138" spans="1:52" ht="16.5">
      <c r="A138" s="30" t="s">
        <v>10237</v>
      </c>
      <c r="B138" s="30" t="s">
        <v>4398</v>
      </c>
      <c r="C138" s="30" t="s">
        <v>68</v>
      </c>
      <c r="D138" s="30" t="s">
        <v>10238</v>
      </c>
      <c r="E138" s="260" t="s">
        <v>10239</v>
      </c>
      <c r="F138" s="30" t="s">
        <v>10240</v>
      </c>
      <c r="G138" s="30" t="s">
        <v>165</v>
      </c>
      <c r="H138" s="30" t="s">
        <v>165</v>
      </c>
      <c r="I138" s="30" t="s">
        <v>9838</v>
      </c>
      <c r="J138" s="30" t="s">
        <v>9281</v>
      </c>
      <c r="K138" s="32">
        <v>7.21</v>
      </c>
      <c r="L138" s="30" t="s">
        <v>73</v>
      </c>
      <c r="M138" s="30" t="s">
        <v>10106</v>
      </c>
      <c r="N138" s="30" t="s">
        <v>10241</v>
      </c>
      <c r="O138" s="27" t="s">
        <v>10242</v>
      </c>
      <c r="P138" s="30"/>
      <c r="Q138" s="92">
        <v>8</v>
      </c>
      <c r="R138" s="92">
        <v>32</v>
      </c>
      <c r="S138" s="92">
        <v>302.23</v>
      </c>
      <c r="T138" s="30" t="s">
        <v>88</v>
      </c>
      <c r="U138" s="30" t="s">
        <v>78</v>
      </c>
      <c r="V138" s="30" t="s">
        <v>89</v>
      </c>
      <c r="W138" s="38" t="s">
        <v>10128</v>
      </c>
      <c r="X138" s="26" t="s">
        <v>4412</v>
      </c>
      <c r="Y138" s="26" t="s">
        <v>91</v>
      </c>
      <c r="Z138" s="26" t="s">
        <v>91</v>
      </c>
      <c r="AA138" s="30"/>
      <c r="AB138" s="93" t="s">
        <v>19</v>
      </c>
      <c r="AC138" s="30" t="s">
        <v>172</v>
      </c>
      <c r="AD138" s="25" t="s">
        <v>172</v>
      </c>
      <c r="AE138" s="25" t="s">
        <v>174</v>
      </c>
      <c r="AF138" s="26" t="s">
        <v>175</v>
      </c>
      <c r="AG138" s="32">
        <f t="shared" si="10"/>
        <v>1</v>
      </c>
      <c r="AH138" s="32">
        <v>1</v>
      </c>
      <c r="AI138" s="32"/>
      <c r="AJ138" s="32">
        <v>1</v>
      </c>
      <c r="AK138" s="30"/>
      <c r="AL138" s="32">
        <f>IF(COUNTIF(AX:AX,"*"&amp;M138&amp;"*")&gt;0,1,0)</f>
        <v>1</v>
      </c>
      <c r="AM138" s="30"/>
      <c r="AN138" s="32"/>
      <c r="AO138" s="32">
        <v>1</v>
      </c>
      <c r="AP138" s="32">
        <v>1</v>
      </c>
      <c r="AQ138" s="32">
        <v>1</v>
      </c>
      <c r="AR138" s="32">
        <v>1</v>
      </c>
      <c r="AS138" s="32"/>
      <c r="AT138" s="32">
        <v>1</v>
      </c>
      <c r="AU138" s="30"/>
      <c r="AV138" s="30"/>
      <c r="AW138" s="30"/>
      <c r="AX138" s="30" t="s">
        <v>10243</v>
      </c>
      <c r="AY138" s="30"/>
      <c r="AZ138" s="94" t="s">
        <v>10244</v>
      </c>
    </row>
    <row r="139" spans="1:52" ht="16.5">
      <c r="A139" s="30" t="s">
        <v>10245</v>
      </c>
      <c r="B139" s="30" t="s">
        <v>4398</v>
      </c>
      <c r="C139" s="30" t="s">
        <v>68</v>
      </c>
      <c r="D139" s="30" t="s">
        <v>10244</v>
      </c>
      <c r="E139" s="260" t="s">
        <v>10246</v>
      </c>
      <c r="F139" s="30" t="s">
        <v>10247</v>
      </c>
      <c r="G139" s="30" t="s">
        <v>165</v>
      </c>
      <c r="H139" s="30" t="s">
        <v>165</v>
      </c>
      <c r="I139" s="30" t="s">
        <v>9838</v>
      </c>
      <c r="J139" s="30" t="s">
        <v>9281</v>
      </c>
      <c r="K139" s="34" t="s">
        <v>3213</v>
      </c>
      <c r="L139" s="30" t="s">
        <v>73</v>
      </c>
      <c r="M139" s="30" t="s">
        <v>10248</v>
      </c>
      <c r="N139" s="30" t="s">
        <v>10249</v>
      </c>
      <c r="O139" s="27" t="s">
        <v>10250</v>
      </c>
      <c r="P139" s="30"/>
      <c r="Q139" s="92">
        <v>8</v>
      </c>
      <c r="R139" s="92">
        <v>32</v>
      </c>
      <c r="S139" s="92">
        <v>302.16000000000003</v>
      </c>
      <c r="T139" s="30" t="s">
        <v>88</v>
      </c>
      <c r="U139" s="30" t="s">
        <v>78</v>
      </c>
      <c r="V139" s="30" t="s">
        <v>89</v>
      </c>
      <c r="W139" s="38" t="s">
        <v>10128</v>
      </c>
      <c r="X139" s="26" t="s">
        <v>4412</v>
      </c>
      <c r="Y139" s="26" t="s">
        <v>91</v>
      </c>
      <c r="Z139" s="26" t="s">
        <v>91</v>
      </c>
      <c r="AA139" s="30"/>
      <c r="AB139" s="93" t="s">
        <v>19</v>
      </c>
      <c r="AC139" s="30" t="s">
        <v>172</v>
      </c>
      <c r="AD139" s="25" t="s">
        <v>172</v>
      </c>
      <c r="AE139" s="25" t="s">
        <v>174</v>
      </c>
      <c r="AF139" s="26"/>
      <c r="AG139" s="32">
        <f t="shared" si="10"/>
        <v>1</v>
      </c>
      <c r="AH139" s="32"/>
      <c r="AI139" s="32"/>
      <c r="AJ139" s="32"/>
      <c r="AK139" s="30"/>
      <c r="AL139" s="32"/>
      <c r="AM139" s="30"/>
      <c r="AN139" s="32"/>
      <c r="AO139" s="32"/>
      <c r="AP139" s="32"/>
      <c r="AQ139" s="32"/>
      <c r="AR139" s="32"/>
      <c r="AS139" s="30"/>
      <c r="AT139" s="32"/>
      <c r="AU139" s="30"/>
      <c r="AV139" s="30"/>
      <c r="AW139" s="30"/>
      <c r="AX139" s="30"/>
      <c r="AY139" s="30"/>
      <c r="AZ139" s="94" t="s">
        <v>10190</v>
      </c>
    </row>
    <row r="140" spans="1:52" ht="16.5">
      <c r="A140" s="30" t="s">
        <v>10251</v>
      </c>
      <c r="B140" s="30" t="s">
        <v>4398</v>
      </c>
      <c r="C140" s="30" t="s">
        <v>68</v>
      </c>
      <c r="D140" s="30" t="s">
        <v>10252</v>
      </c>
      <c r="E140" s="260" t="s">
        <v>10253</v>
      </c>
      <c r="F140" s="30" t="s">
        <v>10254</v>
      </c>
      <c r="G140" s="30" t="s">
        <v>165</v>
      </c>
      <c r="H140" s="30" t="s">
        <v>165</v>
      </c>
      <c r="I140" s="30" t="s">
        <v>9838</v>
      </c>
      <c r="J140" s="30" t="s">
        <v>9281</v>
      </c>
      <c r="K140" s="32">
        <v>7.21</v>
      </c>
      <c r="L140" s="30" t="s">
        <v>73</v>
      </c>
      <c r="M140" s="30" t="s">
        <v>10180</v>
      </c>
      <c r="N140" s="30" t="s">
        <v>10255</v>
      </c>
      <c r="O140" s="27" t="s">
        <v>10256</v>
      </c>
      <c r="P140" s="30"/>
      <c r="Q140" s="92">
        <v>8</v>
      </c>
      <c r="R140" s="92">
        <v>32</v>
      </c>
      <c r="S140" s="92">
        <v>302.20999999999998</v>
      </c>
      <c r="T140" s="30" t="s">
        <v>88</v>
      </c>
      <c r="U140" s="30" t="s">
        <v>78</v>
      </c>
      <c r="V140" s="30" t="s">
        <v>89</v>
      </c>
      <c r="W140" s="38" t="s">
        <v>10128</v>
      </c>
      <c r="X140" s="26" t="s">
        <v>4412</v>
      </c>
      <c r="Y140" s="26" t="s">
        <v>91</v>
      </c>
      <c r="Z140" s="26" t="s">
        <v>91</v>
      </c>
      <c r="AA140" s="30"/>
      <c r="AB140" s="93" t="s">
        <v>19</v>
      </c>
      <c r="AC140" s="30" t="s">
        <v>172</v>
      </c>
      <c r="AD140" s="25" t="s">
        <v>172</v>
      </c>
      <c r="AE140" s="25" t="s">
        <v>174</v>
      </c>
      <c r="AF140" s="26" t="s">
        <v>175</v>
      </c>
      <c r="AG140" s="32">
        <f t="shared" si="10"/>
        <v>1</v>
      </c>
      <c r="AH140" s="32">
        <v>1</v>
      </c>
      <c r="AI140" s="32"/>
      <c r="AJ140" s="32">
        <v>1</v>
      </c>
      <c r="AK140" s="30"/>
      <c r="AL140" s="32">
        <f t="shared" ref="AL140:AL162" si="11">IF(COUNTIF(AX:AX,"*"&amp;M140&amp;"*")&gt;0,1,0)</f>
        <v>1</v>
      </c>
      <c r="AM140" s="30"/>
      <c r="AN140" s="32"/>
      <c r="AO140" s="32">
        <v>1</v>
      </c>
      <c r="AP140" s="32">
        <v>1</v>
      </c>
      <c r="AQ140" s="32">
        <v>1</v>
      </c>
      <c r="AR140" s="32">
        <v>1</v>
      </c>
      <c r="AS140" s="32"/>
      <c r="AT140" s="32">
        <v>1</v>
      </c>
      <c r="AU140" s="30"/>
      <c r="AV140" s="30"/>
      <c r="AW140" s="30"/>
      <c r="AX140" s="30" t="s">
        <v>10207</v>
      </c>
      <c r="AY140" s="30"/>
      <c r="AZ140" s="94" t="s">
        <v>10160</v>
      </c>
    </row>
    <row r="141" spans="1:52" ht="16.5">
      <c r="A141" s="30" t="s">
        <v>10257</v>
      </c>
      <c r="B141" s="30" t="s">
        <v>4398</v>
      </c>
      <c r="C141" s="30" t="s">
        <v>68</v>
      </c>
      <c r="D141" s="30" t="s">
        <v>10258</v>
      </c>
      <c r="E141" s="260" t="s">
        <v>10259</v>
      </c>
      <c r="F141" s="30" t="s">
        <v>10260</v>
      </c>
      <c r="G141" s="30" t="s">
        <v>165</v>
      </c>
      <c r="H141" s="30" t="s">
        <v>165</v>
      </c>
      <c r="I141" s="30" t="s">
        <v>9838</v>
      </c>
      <c r="J141" s="30" t="s">
        <v>9281</v>
      </c>
      <c r="K141" s="32">
        <v>7.21</v>
      </c>
      <c r="L141" s="30" t="s">
        <v>73</v>
      </c>
      <c r="M141" s="30" t="s">
        <v>10243</v>
      </c>
      <c r="N141" s="30" t="s">
        <v>10261</v>
      </c>
      <c r="O141" s="27" t="s">
        <v>10262</v>
      </c>
      <c r="P141" s="30"/>
      <c r="Q141" s="92">
        <v>14</v>
      </c>
      <c r="R141" s="92">
        <v>48</v>
      </c>
      <c r="S141" s="92">
        <v>348.14</v>
      </c>
      <c r="T141" s="30" t="s">
        <v>88</v>
      </c>
      <c r="U141" s="30" t="s">
        <v>78</v>
      </c>
      <c r="V141" s="30" t="s">
        <v>89</v>
      </c>
      <c r="W141" s="38" t="s">
        <v>10128</v>
      </c>
      <c r="X141" s="26" t="s">
        <v>4412</v>
      </c>
      <c r="Y141" s="26" t="s">
        <v>91</v>
      </c>
      <c r="Z141" s="26" t="s">
        <v>91</v>
      </c>
      <c r="AA141" s="30"/>
      <c r="AB141" s="93" t="s">
        <v>19</v>
      </c>
      <c r="AC141" s="30" t="s">
        <v>172</v>
      </c>
      <c r="AD141" s="25" t="s">
        <v>172</v>
      </c>
      <c r="AE141" s="25" t="s">
        <v>174</v>
      </c>
      <c r="AF141" s="26" t="s">
        <v>175</v>
      </c>
      <c r="AG141" s="32">
        <f t="shared" si="10"/>
        <v>1</v>
      </c>
      <c r="AH141" s="32">
        <v>1</v>
      </c>
      <c r="AI141" s="32"/>
      <c r="AJ141" s="32">
        <v>1</v>
      </c>
      <c r="AK141" s="30"/>
      <c r="AL141" s="32">
        <f t="shared" si="11"/>
        <v>1</v>
      </c>
      <c r="AM141" s="30"/>
      <c r="AN141" s="32"/>
      <c r="AO141" s="32">
        <v>1</v>
      </c>
      <c r="AP141" s="32">
        <v>1</v>
      </c>
      <c r="AQ141" s="32">
        <v>1</v>
      </c>
      <c r="AR141" s="32">
        <v>1</v>
      </c>
      <c r="AS141" s="32"/>
      <c r="AT141" s="32">
        <v>1</v>
      </c>
      <c r="AU141" s="30"/>
      <c r="AV141" s="30"/>
      <c r="AW141" s="30"/>
      <c r="AX141" s="30" t="s">
        <v>10263</v>
      </c>
      <c r="AY141" s="30"/>
      <c r="AZ141" s="94" t="s">
        <v>10167</v>
      </c>
    </row>
    <row r="142" spans="1:52" ht="16.5">
      <c r="A142" s="30" t="s">
        <v>10264</v>
      </c>
      <c r="B142" s="30" t="s">
        <v>4398</v>
      </c>
      <c r="C142" s="30" t="s">
        <v>68</v>
      </c>
      <c r="D142" s="30" t="s">
        <v>10265</v>
      </c>
      <c r="E142" s="260" t="s">
        <v>10266</v>
      </c>
      <c r="F142" s="30" t="s">
        <v>10267</v>
      </c>
      <c r="G142" s="30" t="s">
        <v>165</v>
      </c>
      <c r="H142" s="30" t="s">
        <v>165</v>
      </c>
      <c r="I142" s="30" t="s">
        <v>9838</v>
      </c>
      <c r="J142" s="30" t="s">
        <v>9281</v>
      </c>
      <c r="K142" s="32">
        <v>7.21</v>
      </c>
      <c r="L142" s="30" t="s">
        <v>73</v>
      </c>
      <c r="M142" s="30" t="s">
        <v>10268</v>
      </c>
      <c r="N142" s="30" t="s">
        <v>10269</v>
      </c>
      <c r="O142" s="27" t="s">
        <v>10270</v>
      </c>
      <c r="P142" s="30"/>
      <c r="Q142" s="92">
        <v>4</v>
      </c>
      <c r="R142" s="92">
        <v>16</v>
      </c>
      <c r="S142" s="92">
        <v>416.12</v>
      </c>
      <c r="T142" s="30" t="s">
        <v>88</v>
      </c>
      <c r="U142" s="30" t="s">
        <v>78</v>
      </c>
      <c r="V142" s="30" t="s">
        <v>89</v>
      </c>
      <c r="W142" s="38" t="s">
        <v>10271</v>
      </c>
      <c r="X142" s="26" t="s">
        <v>4412</v>
      </c>
      <c r="Y142" s="26" t="s">
        <v>91</v>
      </c>
      <c r="Z142" s="26" t="s">
        <v>91</v>
      </c>
      <c r="AA142" s="30"/>
      <c r="AB142" s="93" t="s">
        <v>21</v>
      </c>
      <c r="AC142" s="30" t="s">
        <v>172</v>
      </c>
      <c r="AD142" s="25" t="s">
        <v>172</v>
      </c>
      <c r="AE142" s="25" t="s">
        <v>174</v>
      </c>
      <c r="AF142" s="26" t="s">
        <v>175</v>
      </c>
      <c r="AG142" s="32">
        <f t="shared" si="10"/>
        <v>1</v>
      </c>
      <c r="AH142" s="32">
        <v>1</v>
      </c>
      <c r="AI142" s="32"/>
      <c r="AJ142" s="32">
        <v>1</v>
      </c>
      <c r="AK142" s="30"/>
      <c r="AL142" s="32">
        <f t="shared" si="11"/>
        <v>1</v>
      </c>
      <c r="AM142" s="30"/>
      <c r="AN142" s="32"/>
      <c r="AO142" s="32">
        <v>1</v>
      </c>
      <c r="AP142" s="32">
        <v>1</v>
      </c>
      <c r="AQ142" s="32">
        <v>1</v>
      </c>
      <c r="AR142" s="32">
        <v>1</v>
      </c>
      <c r="AS142" s="32"/>
      <c r="AT142" s="32">
        <v>1</v>
      </c>
      <c r="AU142" s="30"/>
      <c r="AV142" s="30"/>
      <c r="AW142" s="30"/>
      <c r="AX142" s="30" t="s">
        <v>10272</v>
      </c>
      <c r="AY142" s="30"/>
      <c r="AZ142" s="94" t="s">
        <v>10145</v>
      </c>
    </row>
    <row r="143" spans="1:52" ht="16.5">
      <c r="A143" s="30" t="s">
        <v>10273</v>
      </c>
      <c r="B143" s="30" t="s">
        <v>4398</v>
      </c>
      <c r="C143" s="30" t="s">
        <v>68</v>
      </c>
      <c r="D143" s="30" t="s">
        <v>10274</v>
      </c>
      <c r="E143" s="260" t="s">
        <v>10275</v>
      </c>
      <c r="F143" s="30" t="s">
        <v>10276</v>
      </c>
      <c r="G143" s="30" t="s">
        <v>165</v>
      </c>
      <c r="H143" s="30" t="s">
        <v>165</v>
      </c>
      <c r="I143" s="30" t="s">
        <v>9838</v>
      </c>
      <c r="J143" s="30" t="s">
        <v>9281</v>
      </c>
      <c r="K143" s="32">
        <v>7.21</v>
      </c>
      <c r="L143" s="30" t="s">
        <v>73</v>
      </c>
      <c r="M143" s="30" t="s">
        <v>10277</v>
      </c>
      <c r="N143" s="30" t="s">
        <v>10278</v>
      </c>
      <c r="O143" s="27" t="s">
        <v>10279</v>
      </c>
      <c r="P143" s="30"/>
      <c r="Q143" s="92">
        <v>4</v>
      </c>
      <c r="R143" s="92">
        <v>16</v>
      </c>
      <c r="S143" s="92">
        <v>266.16000000000003</v>
      </c>
      <c r="T143" s="30" t="s">
        <v>88</v>
      </c>
      <c r="U143" s="30" t="s">
        <v>78</v>
      </c>
      <c r="V143" s="30" t="s">
        <v>89</v>
      </c>
      <c r="W143" s="38" t="s">
        <v>10271</v>
      </c>
      <c r="X143" s="26" t="s">
        <v>4412</v>
      </c>
      <c r="Y143" s="26" t="s">
        <v>91</v>
      </c>
      <c r="Z143" s="26" t="s">
        <v>91</v>
      </c>
      <c r="AA143" s="30"/>
      <c r="AB143" s="93" t="s">
        <v>21</v>
      </c>
      <c r="AC143" s="30" t="s">
        <v>172</v>
      </c>
      <c r="AD143" s="25" t="s">
        <v>172</v>
      </c>
      <c r="AE143" s="25" t="s">
        <v>174</v>
      </c>
      <c r="AF143" s="26" t="s">
        <v>175</v>
      </c>
      <c r="AG143" s="32">
        <f t="shared" si="10"/>
        <v>1</v>
      </c>
      <c r="AH143" s="32">
        <v>1</v>
      </c>
      <c r="AI143" s="32"/>
      <c r="AJ143" s="32">
        <v>1</v>
      </c>
      <c r="AK143" s="30"/>
      <c r="AL143" s="32">
        <f t="shared" si="11"/>
        <v>1</v>
      </c>
      <c r="AM143" s="30"/>
      <c r="AN143" s="32"/>
      <c r="AO143" s="32">
        <v>1</v>
      </c>
      <c r="AP143" s="32">
        <v>1</v>
      </c>
      <c r="AQ143" s="32">
        <v>1</v>
      </c>
      <c r="AR143" s="32">
        <v>1</v>
      </c>
      <c r="AS143" s="32"/>
      <c r="AT143" s="32">
        <v>1</v>
      </c>
      <c r="AU143" s="30"/>
      <c r="AV143" s="30"/>
      <c r="AW143" s="30"/>
      <c r="AX143" s="30" t="s">
        <v>10280</v>
      </c>
      <c r="AY143" s="30"/>
      <c r="AZ143" s="94" t="s">
        <v>10122</v>
      </c>
    </row>
    <row r="144" spans="1:52" ht="16.5">
      <c r="A144" s="30" t="s">
        <v>10281</v>
      </c>
      <c r="B144" s="30" t="s">
        <v>4398</v>
      </c>
      <c r="C144" s="30" t="s">
        <v>68</v>
      </c>
      <c r="D144" s="30" t="s">
        <v>10282</v>
      </c>
      <c r="E144" s="260" t="s">
        <v>10283</v>
      </c>
      <c r="F144" s="30" t="s">
        <v>10284</v>
      </c>
      <c r="G144" s="30" t="s">
        <v>165</v>
      </c>
      <c r="H144" s="30" t="s">
        <v>165</v>
      </c>
      <c r="I144" s="30" t="s">
        <v>9838</v>
      </c>
      <c r="J144" s="30" t="s">
        <v>9281</v>
      </c>
      <c r="K144" s="32">
        <v>7.21</v>
      </c>
      <c r="L144" s="30" t="s">
        <v>73</v>
      </c>
      <c r="M144" s="30" t="s">
        <v>10285</v>
      </c>
      <c r="N144" s="30" t="s">
        <v>10286</v>
      </c>
      <c r="O144" s="27" t="s">
        <v>10287</v>
      </c>
      <c r="P144" s="30"/>
      <c r="Q144" s="92">
        <v>4</v>
      </c>
      <c r="R144" s="92">
        <v>16</v>
      </c>
      <c r="S144" s="92">
        <v>266.22000000000003</v>
      </c>
      <c r="T144" s="30" t="s">
        <v>88</v>
      </c>
      <c r="U144" s="30" t="s">
        <v>78</v>
      </c>
      <c r="V144" s="30" t="s">
        <v>89</v>
      </c>
      <c r="W144" s="38" t="s">
        <v>10271</v>
      </c>
      <c r="X144" s="26" t="s">
        <v>4412</v>
      </c>
      <c r="Y144" s="26" t="s">
        <v>91</v>
      </c>
      <c r="Z144" s="26" t="s">
        <v>91</v>
      </c>
      <c r="AA144" s="30"/>
      <c r="AB144" s="93" t="s">
        <v>21</v>
      </c>
      <c r="AC144" s="30" t="s">
        <v>172</v>
      </c>
      <c r="AD144" s="25" t="s">
        <v>172</v>
      </c>
      <c r="AE144" s="25" t="s">
        <v>174</v>
      </c>
      <c r="AF144" s="26" t="s">
        <v>175</v>
      </c>
      <c r="AG144" s="32">
        <f t="shared" si="10"/>
        <v>1</v>
      </c>
      <c r="AH144" s="32">
        <v>1</v>
      </c>
      <c r="AI144" s="32"/>
      <c r="AJ144" s="32">
        <v>1</v>
      </c>
      <c r="AK144" s="30"/>
      <c r="AL144" s="32">
        <f t="shared" si="11"/>
        <v>1</v>
      </c>
      <c r="AM144" s="30"/>
      <c r="AN144" s="32"/>
      <c r="AO144" s="32">
        <v>1</v>
      </c>
      <c r="AP144" s="32">
        <v>1</v>
      </c>
      <c r="AQ144" s="32">
        <v>1</v>
      </c>
      <c r="AR144" s="32">
        <v>1</v>
      </c>
      <c r="AS144" s="32"/>
      <c r="AT144" s="32">
        <v>1</v>
      </c>
      <c r="AU144" s="30"/>
      <c r="AV144" s="30"/>
      <c r="AW144" s="30"/>
      <c r="AX144" s="30" t="s">
        <v>10288</v>
      </c>
      <c r="AY144" s="30"/>
      <c r="AZ144" s="94" t="s">
        <v>10258</v>
      </c>
    </row>
    <row r="145" spans="1:52" ht="16.5">
      <c r="A145" s="30" t="s">
        <v>10289</v>
      </c>
      <c r="B145" s="30" t="s">
        <v>4398</v>
      </c>
      <c r="C145" s="30" t="s">
        <v>68</v>
      </c>
      <c r="D145" s="30" t="s">
        <v>10290</v>
      </c>
      <c r="E145" s="260" t="s">
        <v>10291</v>
      </c>
      <c r="F145" s="30" t="s">
        <v>10292</v>
      </c>
      <c r="G145" s="30" t="s">
        <v>165</v>
      </c>
      <c r="H145" s="30" t="s">
        <v>165</v>
      </c>
      <c r="I145" s="30" t="s">
        <v>9838</v>
      </c>
      <c r="J145" s="30" t="s">
        <v>9281</v>
      </c>
      <c r="K145" s="32">
        <v>7.21</v>
      </c>
      <c r="L145" s="30" t="s">
        <v>73</v>
      </c>
      <c r="M145" s="30" t="s">
        <v>10293</v>
      </c>
      <c r="N145" s="30" t="s">
        <v>10294</v>
      </c>
      <c r="O145" s="27" t="s">
        <v>10295</v>
      </c>
      <c r="P145" s="30"/>
      <c r="Q145" s="92">
        <v>8</v>
      </c>
      <c r="R145" s="92">
        <v>32</v>
      </c>
      <c r="S145" s="92">
        <v>382.2</v>
      </c>
      <c r="T145" s="30" t="s">
        <v>88</v>
      </c>
      <c r="U145" s="30" t="s">
        <v>78</v>
      </c>
      <c r="V145" s="30" t="s">
        <v>89</v>
      </c>
      <c r="W145" s="38" t="s">
        <v>10271</v>
      </c>
      <c r="X145" s="26" t="s">
        <v>4412</v>
      </c>
      <c r="Y145" s="26" t="s">
        <v>91</v>
      </c>
      <c r="Z145" s="26" t="s">
        <v>91</v>
      </c>
      <c r="AA145" s="30"/>
      <c r="AB145" s="93" t="s">
        <v>21</v>
      </c>
      <c r="AC145" s="30" t="s">
        <v>172</v>
      </c>
      <c r="AD145" s="25" t="s">
        <v>172</v>
      </c>
      <c r="AE145" s="25" t="s">
        <v>174</v>
      </c>
      <c r="AF145" s="26" t="s">
        <v>175</v>
      </c>
      <c r="AG145" s="32">
        <f t="shared" si="10"/>
        <v>1</v>
      </c>
      <c r="AH145" s="32">
        <v>1</v>
      </c>
      <c r="AI145" s="32"/>
      <c r="AJ145" s="32">
        <v>1</v>
      </c>
      <c r="AK145" s="30"/>
      <c r="AL145" s="32">
        <f t="shared" si="11"/>
        <v>1</v>
      </c>
      <c r="AM145" s="30"/>
      <c r="AN145" s="32"/>
      <c r="AO145" s="32">
        <v>1</v>
      </c>
      <c r="AP145" s="32">
        <v>1</v>
      </c>
      <c r="AQ145" s="32">
        <v>1</v>
      </c>
      <c r="AR145" s="32">
        <v>1</v>
      </c>
      <c r="AS145" s="32"/>
      <c r="AT145" s="32">
        <v>1</v>
      </c>
      <c r="AU145" s="30"/>
      <c r="AV145" s="30"/>
      <c r="AW145" s="30"/>
      <c r="AX145" s="30" t="s">
        <v>10268</v>
      </c>
      <c r="AY145" s="30"/>
      <c r="AZ145" s="94" t="s">
        <v>10252</v>
      </c>
    </row>
    <row r="146" spans="1:52" ht="16.5">
      <c r="A146" s="30" t="s">
        <v>10296</v>
      </c>
      <c r="B146" s="30" t="s">
        <v>4398</v>
      </c>
      <c r="C146" s="30" t="s">
        <v>68</v>
      </c>
      <c r="D146" s="30" t="s">
        <v>10297</v>
      </c>
      <c r="E146" s="260" t="s">
        <v>10298</v>
      </c>
      <c r="F146" s="30" t="s">
        <v>10299</v>
      </c>
      <c r="G146" s="30" t="s">
        <v>165</v>
      </c>
      <c r="H146" s="30" t="s">
        <v>165</v>
      </c>
      <c r="I146" s="30" t="s">
        <v>9838</v>
      </c>
      <c r="J146" s="30" t="s">
        <v>9281</v>
      </c>
      <c r="K146" s="32">
        <v>7.21</v>
      </c>
      <c r="L146" s="30" t="s">
        <v>73</v>
      </c>
      <c r="M146" s="30" t="s">
        <v>10300</v>
      </c>
      <c r="N146" s="30" t="s">
        <v>10301</v>
      </c>
      <c r="O146" s="27" t="s">
        <v>10302</v>
      </c>
      <c r="P146" s="30"/>
      <c r="Q146" s="92">
        <v>8</v>
      </c>
      <c r="R146" s="92">
        <v>32</v>
      </c>
      <c r="S146" s="92">
        <v>283.33999999999997</v>
      </c>
      <c r="T146" s="30" t="s">
        <v>88</v>
      </c>
      <c r="U146" s="30" t="s">
        <v>78</v>
      </c>
      <c r="V146" s="30" t="s">
        <v>89</v>
      </c>
      <c r="W146" s="38" t="s">
        <v>10271</v>
      </c>
      <c r="X146" s="26" t="s">
        <v>4412</v>
      </c>
      <c r="Y146" s="26" t="s">
        <v>91</v>
      </c>
      <c r="Z146" s="26" t="s">
        <v>91</v>
      </c>
      <c r="AA146" s="30"/>
      <c r="AB146" s="93" t="s">
        <v>21</v>
      </c>
      <c r="AC146" s="30" t="s">
        <v>172</v>
      </c>
      <c r="AD146" s="25" t="s">
        <v>172</v>
      </c>
      <c r="AE146" s="25" t="s">
        <v>174</v>
      </c>
      <c r="AF146" s="26" t="s">
        <v>175</v>
      </c>
      <c r="AG146" s="32">
        <f t="shared" si="10"/>
        <v>1</v>
      </c>
      <c r="AH146" s="32">
        <v>1</v>
      </c>
      <c r="AI146" s="32"/>
      <c r="AJ146" s="32">
        <v>1</v>
      </c>
      <c r="AK146" s="30"/>
      <c r="AL146" s="32">
        <f t="shared" si="11"/>
        <v>1</v>
      </c>
      <c r="AM146" s="30"/>
      <c r="AN146" s="32"/>
      <c r="AO146" s="32">
        <v>1</v>
      </c>
      <c r="AP146" s="32">
        <v>1</v>
      </c>
      <c r="AQ146" s="32">
        <v>1</v>
      </c>
      <c r="AR146" s="32">
        <v>1</v>
      </c>
      <c r="AS146" s="32"/>
      <c r="AT146" s="32">
        <v>1</v>
      </c>
      <c r="AU146" s="30"/>
      <c r="AV146" s="30"/>
      <c r="AW146" s="30"/>
      <c r="AX146" s="30" t="s">
        <v>10300</v>
      </c>
      <c r="AY146" s="30"/>
      <c r="AZ146" s="94" t="s">
        <v>10238</v>
      </c>
    </row>
    <row r="147" spans="1:52" ht="16.5">
      <c r="A147" s="30" t="s">
        <v>10303</v>
      </c>
      <c r="B147" s="30" t="s">
        <v>4398</v>
      </c>
      <c r="C147" s="30" t="s">
        <v>68</v>
      </c>
      <c r="D147" s="30" t="s">
        <v>10304</v>
      </c>
      <c r="E147" s="260" t="s">
        <v>10305</v>
      </c>
      <c r="F147" s="30" t="s">
        <v>10306</v>
      </c>
      <c r="G147" s="30" t="s">
        <v>165</v>
      </c>
      <c r="H147" s="30" t="s">
        <v>165</v>
      </c>
      <c r="I147" s="30" t="s">
        <v>9838</v>
      </c>
      <c r="J147" s="30" t="s">
        <v>9281</v>
      </c>
      <c r="K147" s="32">
        <v>7.21</v>
      </c>
      <c r="L147" s="30" t="s">
        <v>73</v>
      </c>
      <c r="M147" s="30" t="s">
        <v>10307</v>
      </c>
      <c r="N147" s="30" t="s">
        <v>10308</v>
      </c>
      <c r="O147" s="27" t="s">
        <v>10309</v>
      </c>
      <c r="P147" s="30"/>
      <c r="Q147" s="92">
        <v>8</v>
      </c>
      <c r="R147" s="92">
        <v>32</v>
      </c>
      <c r="S147" s="92">
        <v>282.70999999999998</v>
      </c>
      <c r="T147" s="30" t="s">
        <v>88</v>
      </c>
      <c r="U147" s="30" t="s">
        <v>78</v>
      </c>
      <c r="V147" s="30" t="s">
        <v>89</v>
      </c>
      <c r="W147" s="38" t="s">
        <v>10271</v>
      </c>
      <c r="X147" s="26" t="s">
        <v>4412</v>
      </c>
      <c r="Y147" s="26" t="s">
        <v>91</v>
      </c>
      <c r="Z147" s="26" t="s">
        <v>91</v>
      </c>
      <c r="AA147" s="30"/>
      <c r="AB147" s="93" t="s">
        <v>21</v>
      </c>
      <c r="AC147" s="30" t="s">
        <v>172</v>
      </c>
      <c r="AD147" s="25" t="s">
        <v>172</v>
      </c>
      <c r="AE147" s="25" t="s">
        <v>174</v>
      </c>
      <c r="AF147" s="26" t="s">
        <v>175</v>
      </c>
      <c r="AG147" s="32">
        <f t="shared" si="10"/>
        <v>1</v>
      </c>
      <c r="AH147" s="32">
        <v>1</v>
      </c>
      <c r="AI147" s="32"/>
      <c r="AJ147" s="32">
        <v>1</v>
      </c>
      <c r="AK147" s="30"/>
      <c r="AL147" s="32">
        <f t="shared" si="11"/>
        <v>1</v>
      </c>
      <c r="AM147" s="30"/>
      <c r="AN147" s="32"/>
      <c r="AO147" s="32">
        <v>1</v>
      </c>
      <c r="AP147" s="32">
        <v>1</v>
      </c>
      <c r="AQ147" s="32">
        <v>1</v>
      </c>
      <c r="AR147" s="32">
        <v>1</v>
      </c>
      <c r="AS147" s="32"/>
      <c r="AT147" s="32">
        <v>1</v>
      </c>
      <c r="AU147" s="30"/>
      <c r="AV147" s="30"/>
      <c r="AW147" s="30"/>
      <c r="AX147" s="30" t="s">
        <v>10310</v>
      </c>
      <c r="AY147" s="30"/>
      <c r="AZ147" s="94" t="s">
        <v>10219</v>
      </c>
    </row>
    <row r="148" spans="1:52" ht="16.5">
      <c r="A148" s="30" t="s">
        <v>10311</v>
      </c>
      <c r="B148" s="30" t="s">
        <v>4398</v>
      </c>
      <c r="C148" s="30" t="s">
        <v>68</v>
      </c>
      <c r="D148" s="30" t="s">
        <v>10312</v>
      </c>
      <c r="E148" s="260" t="s">
        <v>10313</v>
      </c>
      <c r="F148" s="30" t="s">
        <v>10314</v>
      </c>
      <c r="G148" s="30" t="s">
        <v>165</v>
      </c>
      <c r="H148" s="30" t="s">
        <v>165</v>
      </c>
      <c r="I148" s="30" t="s">
        <v>9838</v>
      </c>
      <c r="J148" s="30" t="s">
        <v>9281</v>
      </c>
      <c r="K148" s="32">
        <v>7.21</v>
      </c>
      <c r="L148" s="30" t="s">
        <v>73</v>
      </c>
      <c r="M148" s="30" t="s">
        <v>10315</v>
      </c>
      <c r="N148" s="30" t="s">
        <v>10316</v>
      </c>
      <c r="O148" s="27" t="s">
        <v>10317</v>
      </c>
      <c r="P148" s="30"/>
      <c r="Q148" s="92">
        <v>8</v>
      </c>
      <c r="R148" s="92">
        <v>32</v>
      </c>
      <c r="S148" s="92">
        <v>282.48</v>
      </c>
      <c r="T148" s="30" t="s">
        <v>88</v>
      </c>
      <c r="U148" s="30" t="s">
        <v>78</v>
      </c>
      <c r="V148" s="30" t="s">
        <v>89</v>
      </c>
      <c r="W148" s="38" t="s">
        <v>10271</v>
      </c>
      <c r="X148" s="26" t="s">
        <v>4412</v>
      </c>
      <c r="Y148" s="26" t="s">
        <v>91</v>
      </c>
      <c r="Z148" s="26" t="s">
        <v>91</v>
      </c>
      <c r="AA148" s="30"/>
      <c r="AB148" s="93" t="s">
        <v>21</v>
      </c>
      <c r="AC148" s="30" t="s">
        <v>172</v>
      </c>
      <c r="AD148" s="25" t="s">
        <v>172</v>
      </c>
      <c r="AE148" s="25" t="s">
        <v>174</v>
      </c>
      <c r="AF148" s="26" t="s">
        <v>175</v>
      </c>
      <c r="AG148" s="32">
        <f t="shared" si="10"/>
        <v>1</v>
      </c>
      <c r="AH148" s="32">
        <v>1</v>
      </c>
      <c r="AI148" s="32"/>
      <c r="AJ148" s="32">
        <v>1</v>
      </c>
      <c r="AK148" s="30"/>
      <c r="AL148" s="32">
        <f t="shared" si="11"/>
        <v>1</v>
      </c>
      <c r="AM148" s="30"/>
      <c r="AN148" s="32"/>
      <c r="AO148" s="32">
        <v>1</v>
      </c>
      <c r="AP148" s="32">
        <v>1</v>
      </c>
      <c r="AQ148" s="32">
        <v>1</v>
      </c>
      <c r="AR148" s="32">
        <v>1</v>
      </c>
      <c r="AS148" s="32"/>
      <c r="AT148" s="32">
        <v>1</v>
      </c>
      <c r="AU148" s="30"/>
      <c r="AV148" s="30"/>
      <c r="AW148" s="30"/>
      <c r="AX148" s="30" t="s">
        <v>10318</v>
      </c>
      <c r="AY148" s="30"/>
      <c r="AZ148" s="94" t="s">
        <v>10204</v>
      </c>
    </row>
    <row r="149" spans="1:52" ht="16.5">
      <c r="A149" s="30" t="s">
        <v>10319</v>
      </c>
      <c r="B149" s="30" t="s">
        <v>4398</v>
      </c>
      <c r="C149" s="30" t="s">
        <v>68</v>
      </c>
      <c r="D149" s="30" t="s">
        <v>10320</v>
      </c>
      <c r="E149" s="260" t="s">
        <v>10321</v>
      </c>
      <c r="F149" s="30" t="s">
        <v>10322</v>
      </c>
      <c r="G149" s="30" t="s">
        <v>165</v>
      </c>
      <c r="H149" s="30" t="s">
        <v>165</v>
      </c>
      <c r="I149" s="30" t="s">
        <v>9838</v>
      </c>
      <c r="J149" s="30" t="s">
        <v>9281</v>
      </c>
      <c r="K149" s="32">
        <v>7.21</v>
      </c>
      <c r="L149" s="30" t="s">
        <v>73</v>
      </c>
      <c r="M149" s="30" t="s">
        <v>10323</v>
      </c>
      <c r="N149" s="30" t="s">
        <v>10324</v>
      </c>
      <c r="O149" s="27" t="s">
        <v>10325</v>
      </c>
      <c r="P149" s="30"/>
      <c r="Q149" s="92">
        <v>4</v>
      </c>
      <c r="R149" s="92">
        <v>16</v>
      </c>
      <c r="S149" s="92">
        <v>266.11</v>
      </c>
      <c r="T149" s="30" t="s">
        <v>88</v>
      </c>
      <c r="U149" s="30" t="s">
        <v>78</v>
      </c>
      <c r="V149" s="30" t="s">
        <v>89</v>
      </c>
      <c r="W149" s="38" t="s">
        <v>10271</v>
      </c>
      <c r="X149" s="26" t="s">
        <v>4412</v>
      </c>
      <c r="Y149" s="26" t="s">
        <v>91</v>
      </c>
      <c r="Z149" s="26" t="s">
        <v>91</v>
      </c>
      <c r="AA149" s="30"/>
      <c r="AB149" s="93" t="s">
        <v>21</v>
      </c>
      <c r="AC149" s="30" t="s">
        <v>172</v>
      </c>
      <c r="AD149" s="25" t="s">
        <v>172</v>
      </c>
      <c r="AE149" s="25" t="s">
        <v>174</v>
      </c>
      <c r="AF149" s="26" t="s">
        <v>175</v>
      </c>
      <c r="AG149" s="32">
        <f t="shared" si="10"/>
        <v>1</v>
      </c>
      <c r="AH149" s="32">
        <v>1</v>
      </c>
      <c r="AI149" s="32"/>
      <c r="AJ149" s="32">
        <v>1</v>
      </c>
      <c r="AK149" s="30"/>
      <c r="AL149" s="32">
        <f t="shared" si="11"/>
        <v>1</v>
      </c>
      <c r="AM149" s="30"/>
      <c r="AN149" s="32"/>
      <c r="AO149" s="32">
        <v>1</v>
      </c>
      <c r="AP149" s="32">
        <v>1</v>
      </c>
      <c r="AQ149" s="32">
        <v>1</v>
      </c>
      <c r="AR149" s="32">
        <v>1</v>
      </c>
      <c r="AS149" s="32"/>
      <c r="AT149" s="32">
        <v>1</v>
      </c>
      <c r="AU149" s="30"/>
      <c r="AV149" s="30"/>
      <c r="AW149" s="30"/>
      <c r="AX149" s="30" t="s">
        <v>10326</v>
      </c>
      <c r="AY149" s="30"/>
      <c r="AZ149" s="94" t="s">
        <v>10232</v>
      </c>
    </row>
    <row r="150" spans="1:52" ht="16.5">
      <c r="A150" s="30" t="s">
        <v>10327</v>
      </c>
      <c r="B150" s="30" t="s">
        <v>4398</v>
      </c>
      <c r="C150" s="30" t="s">
        <v>68</v>
      </c>
      <c r="D150" s="30" t="s">
        <v>10328</v>
      </c>
      <c r="E150" s="260" t="s">
        <v>10329</v>
      </c>
      <c r="F150" s="30" t="s">
        <v>10330</v>
      </c>
      <c r="G150" s="30" t="s">
        <v>165</v>
      </c>
      <c r="H150" s="30" t="s">
        <v>165</v>
      </c>
      <c r="I150" s="30" t="s">
        <v>9838</v>
      </c>
      <c r="J150" s="30" t="s">
        <v>9281</v>
      </c>
      <c r="K150" s="32">
        <v>7.21</v>
      </c>
      <c r="L150" s="30" t="s">
        <v>73</v>
      </c>
      <c r="M150" s="30" t="s">
        <v>10331</v>
      </c>
      <c r="N150" s="30" t="s">
        <v>10332</v>
      </c>
      <c r="O150" s="27" t="s">
        <v>10333</v>
      </c>
      <c r="P150" s="30"/>
      <c r="Q150" s="92">
        <v>4</v>
      </c>
      <c r="R150" s="92">
        <v>16</v>
      </c>
      <c r="S150" s="92">
        <v>266.10000000000002</v>
      </c>
      <c r="T150" s="30" t="s">
        <v>88</v>
      </c>
      <c r="U150" s="30" t="s">
        <v>78</v>
      </c>
      <c r="V150" s="30" t="s">
        <v>89</v>
      </c>
      <c r="W150" s="38" t="s">
        <v>10271</v>
      </c>
      <c r="X150" s="26" t="s">
        <v>4412</v>
      </c>
      <c r="Y150" s="26" t="s">
        <v>91</v>
      </c>
      <c r="Z150" s="26" t="s">
        <v>91</v>
      </c>
      <c r="AA150" s="30"/>
      <c r="AB150" s="93" t="s">
        <v>21</v>
      </c>
      <c r="AC150" s="30" t="s">
        <v>172</v>
      </c>
      <c r="AD150" s="25" t="s">
        <v>172</v>
      </c>
      <c r="AE150" s="25" t="s">
        <v>174</v>
      </c>
      <c r="AF150" s="26" t="s">
        <v>175</v>
      </c>
      <c r="AG150" s="32">
        <f t="shared" si="10"/>
        <v>1</v>
      </c>
      <c r="AH150" s="32">
        <v>1</v>
      </c>
      <c r="AI150" s="32"/>
      <c r="AJ150" s="32">
        <v>1</v>
      </c>
      <c r="AK150" s="30"/>
      <c r="AL150" s="32">
        <f t="shared" si="11"/>
        <v>1</v>
      </c>
      <c r="AM150" s="30"/>
      <c r="AN150" s="32"/>
      <c r="AO150" s="32">
        <v>1</v>
      </c>
      <c r="AP150" s="32">
        <v>1</v>
      </c>
      <c r="AQ150" s="32">
        <v>1</v>
      </c>
      <c r="AR150" s="32">
        <v>1</v>
      </c>
      <c r="AS150" s="32"/>
      <c r="AT150" s="32">
        <v>1</v>
      </c>
      <c r="AU150" s="30"/>
      <c r="AV150" s="30"/>
      <c r="AW150" s="30"/>
      <c r="AX150" s="30" t="s">
        <v>10334</v>
      </c>
      <c r="AY150" s="30"/>
      <c r="AZ150" s="94" t="s">
        <v>10198</v>
      </c>
    </row>
    <row r="151" spans="1:52" ht="16.5">
      <c r="A151" s="30" t="s">
        <v>10335</v>
      </c>
      <c r="B151" s="30" t="s">
        <v>4398</v>
      </c>
      <c r="C151" s="30" t="s">
        <v>68</v>
      </c>
      <c r="D151" s="30" t="s">
        <v>10336</v>
      </c>
      <c r="E151" s="260" t="s">
        <v>10337</v>
      </c>
      <c r="F151" s="30" t="s">
        <v>10338</v>
      </c>
      <c r="G151" s="30" t="s">
        <v>165</v>
      </c>
      <c r="H151" s="30" t="s">
        <v>165</v>
      </c>
      <c r="I151" s="30" t="s">
        <v>9838</v>
      </c>
      <c r="J151" s="30" t="s">
        <v>9281</v>
      </c>
      <c r="K151" s="32">
        <v>7.21</v>
      </c>
      <c r="L151" s="30" t="s">
        <v>73</v>
      </c>
      <c r="M151" s="30" t="s">
        <v>10339</v>
      </c>
      <c r="N151" s="30" t="s">
        <v>10340</v>
      </c>
      <c r="O151" s="27" t="s">
        <v>10341</v>
      </c>
      <c r="P151" s="30"/>
      <c r="Q151" s="92">
        <v>8</v>
      </c>
      <c r="R151" s="92">
        <v>32</v>
      </c>
      <c r="S151" s="92">
        <v>282.14</v>
      </c>
      <c r="T151" s="30" t="s">
        <v>88</v>
      </c>
      <c r="U151" s="30" t="s">
        <v>78</v>
      </c>
      <c r="V151" s="30" t="s">
        <v>89</v>
      </c>
      <c r="W151" s="38" t="s">
        <v>10271</v>
      </c>
      <c r="X151" s="26" t="s">
        <v>4412</v>
      </c>
      <c r="Y151" s="26" t="s">
        <v>91</v>
      </c>
      <c r="Z151" s="26" t="s">
        <v>91</v>
      </c>
      <c r="AA151" s="30"/>
      <c r="AB151" s="93" t="s">
        <v>21</v>
      </c>
      <c r="AC151" s="30" t="s">
        <v>172</v>
      </c>
      <c r="AD151" s="25" t="s">
        <v>172</v>
      </c>
      <c r="AE151" s="25" t="s">
        <v>174</v>
      </c>
      <c r="AF151" s="26" t="s">
        <v>175</v>
      </c>
      <c r="AG151" s="32">
        <f t="shared" si="10"/>
        <v>1</v>
      </c>
      <c r="AH151" s="32">
        <v>1</v>
      </c>
      <c r="AI151" s="32"/>
      <c r="AJ151" s="32">
        <v>1</v>
      </c>
      <c r="AK151" s="30"/>
      <c r="AL151" s="32">
        <f t="shared" si="11"/>
        <v>1</v>
      </c>
      <c r="AM151" s="30"/>
      <c r="AN151" s="32"/>
      <c r="AO151" s="32">
        <v>1</v>
      </c>
      <c r="AP151" s="32">
        <v>1</v>
      </c>
      <c r="AQ151" s="32">
        <v>1</v>
      </c>
      <c r="AR151" s="32">
        <v>1</v>
      </c>
      <c r="AS151" s="32"/>
      <c r="AT151" s="32">
        <v>1</v>
      </c>
      <c r="AU151" s="30"/>
      <c r="AV151" s="30"/>
      <c r="AW151" s="30"/>
      <c r="AX151" s="30" t="s">
        <v>10339</v>
      </c>
      <c r="AY151" s="30"/>
      <c r="AZ151" s="94" t="s">
        <v>10152</v>
      </c>
    </row>
    <row r="152" spans="1:52" ht="16.5">
      <c r="A152" s="30" t="s">
        <v>10342</v>
      </c>
      <c r="B152" s="30" t="s">
        <v>4398</v>
      </c>
      <c r="C152" s="30" t="s">
        <v>68</v>
      </c>
      <c r="D152" s="30" t="s">
        <v>10343</v>
      </c>
      <c r="E152" s="260" t="s">
        <v>10344</v>
      </c>
      <c r="F152" s="30" t="s">
        <v>10345</v>
      </c>
      <c r="G152" s="30" t="s">
        <v>165</v>
      </c>
      <c r="H152" s="30" t="s">
        <v>165</v>
      </c>
      <c r="I152" s="30" t="s">
        <v>9838</v>
      </c>
      <c r="J152" s="30" t="s">
        <v>9281</v>
      </c>
      <c r="K152" s="32">
        <v>7.21</v>
      </c>
      <c r="L152" s="30" t="s">
        <v>73</v>
      </c>
      <c r="M152" s="30" t="s">
        <v>10334</v>
      </c>
      <c r="N152" s="30" t="s">
        <v>10346</v>
      </c>
      <c r="O152" s="27" t="s">
        <v>10347</v>
      </c>
      <c r="P152" s="30"/>
      <c r="Q152" s="92">
        <v>8</v>
      </c>
      <c r="R152" s="92">
        <v>32</v>
      </c>
      <c r="S152" s="92">
        <v>283.38</v>
      </c>
      <c r="T152" s="30" t="s">
        <v>88</v>
      </c>
      <c r="U152" s="30" t="s">
        <v>78</v>
      </c>
      <c r="V152" s="30" t="s">
        <v>89</v>
      </c>
      <c r="W152" s="38" t="s">
        <v>10271</v>
      </c>
      <c r="X152" s="26" t="s">
        <v>4412</v>
      </c>
      <c r="Y152" s="26" t="s">
        <v>91</v>
      </c>
      <c r="Z152" s="26" t="s">
        <v>91</v>
      </c>
      <c r="AA152" s="30"/>
      <c r="AB152" s="93" t="s">
        <v>21</v>
      </c>
      <c r="AC152" s="30" t="s">
        <v>172</v>
      </c>
      <c r="AD152" s="25" t="s">
        <v>172</v>
      </c>
      <c r="AE152" s="25" t="s">
        <v>174</v>
      </c>
      <c r="AF152" s="26" t="s">
        <v>175</v>
      </c>
      <c r="AG152" s="32">
        <f t="shared" si="10"/>
        <v>1</v>
      </c>
      <c r="AH152" s="32">
        <v>1</v>
      </c>
      <c r="AI152" s="32"/>
      <c r="AJ152" s="32">
        <v>1</v>
      </c>
      <c r="AK152" s="30"/>
      <c r="AL152" s="32">
        <f t="shared" si="11"/>
        <v>1</v>
      </c>
      <c r="AM152" s="30"/>
      <c r="AN152" s="32"/>
      <c r="AO152" s="32">
        <v>1</v>
      </c>
      <c r="AP152" s="32">
        <v>1</v>
      </c>
      <c r="AQ152" s="32">
        <v>1</v>
      </c>
      <c r="AR152" s="32">
        <v>1</v>
      </c>
      <c r="AS152" s="32"/>
      <c r="AT152" s="32">
        <v>1</v>
      </c>
      <c r="AU152" s="30"/>
      <c r="AV152" s="30"/>
      <c r="AW152" s="30"/>
      <c r="AX152" s="30" t="s">
        <v>10331</v>
      </c>
      <c r="AY152" s="30"/>
      <c r="AZ152" s="94" t="s">
        <v>10182</v>
      </c>
    </row>
    <row r="153" spans="1:52" ht="16.5">
      <c r="A153" s="30" t="s">
        <v>10348</v>
      </c>
      <c r="B153" s="30" t="s">
        <v>4398</v>
      </c>
      <c r="C153" s="30" t="s">
        <v>68</v>
      </c>
      <c r="D153" s="30" t="s">
        <v>10349</v>
      </c>
      <c r="E153" s="260" t="s">
        <v>10350</v>
      </c>
      <c r="F153" s="30" t="s">
        <v>10351</v>
      </c>
      <c r="G153" s="30" t="s">
        <v>165</v>
      </c>
      <c r="H153" s="30" t="s">
        <v>165</v>
      </c>
      <c r="I153" s="30" t="s">
        <v>9838</v>
      </c>
      <c r="J153" s="30" t="s">
        <v>9281</v>
      </c>
      <c r="K153" s="32">
        <v>7.21</v>
      </c>
      <c r="L153" s="30" t="s">
        <v>73</v>
      </c>
      <c r="M153" s="30" t="s">
        <v>10326</v>
      </c>
      <c r="N153" s="30" t="s">
        <v>10352</v>
      </c>
      <c r="O153" s="27" t="s">
        <v>10353</v>
      </c>
      <c r="P153" s="30"/>
      <c r="Q153" s="92">
        <v>4</v>
      </c>
      <c r="R153" s="92">
        <v>16</v>
      </c>
      <c r="S153" s="92">
        <v>266.18</v>
      </c>
      <c r="T153" s="30" t="s">
        <v>88</v>
      </c>
      <c r="U153" s="30" t="s">
        <v>78</v>
      </c>
      <c r="V153" s="30" t="s">
        <v>89</v>
      </c>
      <c r="W153" s="38" t="s">
        <v>10271</v>
      </c>
      <c r="X153" s="26" t="s">
        <v>4412</v>
      </c>
      <c r="Y153" s="26" t="s">
        <v>91</v>
      </c>
      <c r="Z153" s="26" t="s">
        <v>91</v>
      </c>
      <c r="AA153" s="30"/>
      <c r="AB153" s="93" t="s">
        <v>21</v>
      </c>
      <c r="AC153" s="30" t="s">
        <v>172</v>
      </c>
      <c r="AD153" s="25" t="s">
        <v>172</v>
      </c>
      <c r="AE153" s="25" t="s">
        <v>174</v>
      </c>
      <c r="AF153" s="26" t="s">
        <v>175</v>
      </c>
      <c r="AG153" s="32">
        <f t="shared" si="10"/>
        <v>1</v>
      </c>
      <c r="AH153" s="32">
        <v>1</v>
      </c>
      <c r="AI153" s="32"/>
      <c r="AJ153" s="32">
        <v>1</v>
      </c>
      <c r="AK153" s="30"/>
      <c r="AL153" s="32">
        <f t="shared" si="11"/>
        <v>1</v>
      </c>
      <c r="AM153" s="30"/>
      <c r="AN153" s="32"/>
      <c r="AO153" s="32">
        <v>1</v>
      </c>
      <c r="AP153" s="32">
        <v>1</v>
      </c>
      <c r="AQ153" s="32">
        <v>1</v>
      </c>
      <c r="AR153" s="32">
        <v>1</v>
      </c>
      <c r="AS153" s="32"/>
      <c r="AT153" s="32">
        <v>1</v>
      </c>
      <c r="AU153" s="30"/>
      <c r="AV153" s="30"/>
      <c r="AW153" s="30"/>
      <c r="AX153" s="30" t="s">
        <v>10323</v>
      </c>
      <c r="AY153" s="30"/>
      <c r="AZ153" s="94" t="s">
        <v>10138</v>
      </c>
    </row>
    <row r="154" spans="1:52" ht="16.5">
      <c r="A154" s="30" t="s">
        <v>10354</v>
      </c>
      <c r="B154" s="30" t="s">
        <v>4398</v>
      </c>
      <c r="C154" s="30" t="s">
        <v>68</v>
      </c>
      <c r="D154" s="30" t="s">
        <v>10355</v>
      </c>
      <c r="E154" s="260" t="s">
        <v>10356</v>
      </c>
      <c r="F154" s="30" t="s">
        <v>10357</v>
      </c>
      <c r="G154" s="30" t="s">
        <v>165</v>
      </c>
      <c r="H154" s="30" t="s">
        <v>165</v>
      </c>
      <c r="I154" s="30" t="s">
        <v>9838</v>
      </c>
      <c r="J154" s="30" t="s">
        <v>9281</v>
      </c>
      <c r="K154" s="32">
        <v>7.21</v>
      </c>
      <c r="L154" s="30" t="s">
        <v>73</v>
      </c>
      <c r="M154" s="30" t="s">
        <v>10318</v>
      </c>
      <c r="N154" s="30" t="s">
        <v>10358</v>
      </c>
      <c r="O154" s="27" t="s">
        <v>10359</v>
      </c>
      <c r="P154" s="30"/>
      <c r="Q154" s="92">
        <v>8</v>
      </c>
      <c r="R154" s="92">
        <v>32</v>
      </c>
      <c r="S154" s="92">
        <v>282.38</v>
      </c>
      <c r="T154" s="30" t="s">
        <v>88</v>
      </c>
      <c r="U154" s="30" t="s">
        <v>78</v>
      </c>
      <c r="V154" s="30" t="s">
        <v>89</v>
      </c>
      <c r="W154" s="38" t="s">
        <v>10271</v>
      </c>
      <c r="X154" s="26" t="s">
        <v>4412</v>
      </c>
      <c r="Y154" s="26" t="s">
        <v>91</v>
      </c>
      <c r="Z154" s="26" t="s">
        <v>91</v>
      </c>
      <c r="AA154" s="30"/>
      <c r="AB154" s="93" t="s">
        <v>21</v>
      </c>
      <c r="AC154" s="30" t="s">
        <v>172</v>
      </c>
      <c r="AD154" s="25" t="s">
        <v>172</v>
      </c>
      <c r="AE154" s="25" t="s">
        <v>174</v>
      </c>
      <c r="AF154" s="26" t="s">
        <v>175</v>
      </c>
      <c r="AG154" s="32">
        <f t="shared" si="10"/>
        <v>1</v>
      </c>
      <c r="AH154" s="32">
        <v>1</v>
      </c>
      <c r="AI154" s="32"/>
      <c r="AJ154" s="32">
        <v>1</v>
      </c>
      <c r="AK154" s="30"/>
      <c r="AL154" s="32">
        <f t="shared" si="11"/>
        <v>1</v>
      </c>
      <c r="AM154" s="30"/>
      <c r="AN154" s="32"/>
      <c r="AO154" s="32">
        <v>1</v>
      </c>
      <c r="AP154" s="32">
        <v>1</v>
      </c>
      <c r="AQ154" s="32">
        <v>1</v>
      </c>
      <c r="AR154" s="32">
        <v>1</v>
      </c>
      <c r="AS154" s="32"/>
      <c r="AT154" s="32">
        <v>1</v>
      </c>
      <c r="AU154" s="30"/>
      <c r="AV154" s="30"/>
      <c r="AW154" s="30"/>
      <c r="AX154" s="30" t="s">
        <v>10293</v>
      </c>
      <c r="AY154" s="30"/>
      <c r="AZ154" s="94" t="s">
        <v>10212</v>
      </c>
    </row>
    <row r="155" spans="1:52" ht="16.5">
      <c r="A155" s="30" t="s">
        <v>10360</v>
      </c>
      <c r="B155" s="30" t="s">
        <v>4398</v>
      </c>
      <c r="C155" s="30" t="s">
        <v>68</v>
      </c>
      <c r="D155" s="30" t="s">
        <v>10361</v>
      </c>
      <c r="E155" s="260" t="s">
        <v>10362</v>
      </c>
      <c r="F155" s="30" t="s">
        <v>10363</v>
      </c>
      <c r="G155" s="30" t="s">
        <v>165</v>
      </c>
      <c r="H155" s="30" t="s">
        <v>165</v>
      </c>
      <c r="I155" s="30" t="s">
        <v>9838</v>
      </c>
      <c r="J155" s="30" t="s">
        <v>9281</v>
      </c>
      <c r="K155" s="32">
        <v>7.21</v>
      </c>
      <c r="L155" s="30" t="s">
        <v>73</v>
      </c>
      <c r="M155" s="30" t="s">
        <v>10310</v>
      </c>
      <c r="N155" s="30" t="s">
        <v>10364</v>
      </c>
      <c r="O155" s="27" t="s">
        <v>10365</v>
      </c>
      <c r="P155" s="30"/>
      <c r="Q155" s="92">
        <v>4</v>
      </c>
      <c r="R155" s="92">
        <v>16</v>
      </c>
      <c r="S155" s="92">
        <v>266.17</v>
      </c>
      <c r="T155" s="30" t="s">
        <v>88</v>
      </c>
      <c r="U155" s="30" t="s">
        <v>78</v>
      </c>
      <c r="V155" s="30" t="s">
        <v>89</v>
      </c>
      <c r="W155" s="38" t="s">
        <v>10271</v>
      </c>
      <c r="X155" s="26" t="s">
        <v>4412</v>
      </c>
      <c r="Y155" s="26" t="s">
        <v>91</v>
      </c>
      <c r="Z155" s="26" t="s">
        <v>91</v>
      </c>
      <c r="AA155" s="30"/>
      <c r="AB155" s="93" t="s">
        <v>21</v>
      </c>
      <c r="AC155" s="30" t="s">
        <v>172</v>
      </c>
      <c r="AD155" s="25" t="s">
        <v>172</v>
      </c>
      <c r="AE155" s="25" t="s">
        <v>174</v>
      </c>
      <c r="AF155" s="26" t="s">
        <v>175</v>
      </c>
      <c r="AG155" s="32">
        <f t="shared" si="10"/>
        <v>1</v>
      </c>
      <c r="AH155" s="32">
        <v>1</v>
      </c>
      <c r="AI155" s="32"/>
      <c r="AJ155" s="32">
        <v>1</v>
      </c>
      <c r="AK155" s="30"/>
      <c r="AL155" s="32">
        <f t="shared" si="11"/>
        <v>1</v>
      </c>
      <c r="AM155" s="30"/>
      <c r="AN155" s="32"/>
      <c r="AO155" s="32">
        <v>1</v>
      </c>
      <c r="AP155" s="32">
        <v>1</v>
      </c>
      <c r="AQ155" s="32">
        <v>1</v>
      </c>
      <c r="AR155" s="32">
        <v>1</v>
      </c>
      <c r="AS155" s="32"/>
      <c r="AT155" s="32">
        <v>1</v>
      </c>
      <c r="AU155" s="30"/>
      <c r="AV155" s="30"/>
      <c r="AW155" s="30"/>
      <c r="AX155" s="30" t="s">
        <v>10315</v>
      </c>
      <c r="AY155" s="30"/>
      <c r="AZ155" s="94" t="s">
        <v>10173</v>
      </c>
    </row>
    <row r="156" spans="1:52" ht="16.5">
      <c r="A156" s="30" t="s">
        <v>10366</v>
      </c>
      <c r="B156" s="30" t="s">
        <v>4398</v>
      </c>
      <c r="C156" s="30" t="s">
        <v>68</v>
      </c>
      <c r="D156" s="30" t="s">
        <v>10367</v>
      </c>
      <c r="E156" s="260" t="s">
        <v>10368</v>
      </c>
      <c r="F156" s="30" t="s">
        <v>10369</v>
      </c>
      <c r="G156" s="30" t="s">
        <v>165</v>
      </c>
      <c r="H156" s="30" t="s">
        <v>165</v>
      </c>
      <c r="I156" s="30" t="s">
        <v>9838</v>
      </c>
      <c r="J156" s="30" t="s">
        <v>9281</v>
      </c>
      <c r="K156" s="32">
        <v>7.21</v>
      </c>
      <c r="L156" s="30" t="s">
        <v>73</v>
      </c>
      <c r="M156" s="30" t="s">
        <v>10288</v>
      </c>
      <c r="N156" s="30" t="s">
        <v>10370</v>
      </c>
      <c r="O156" s="27" t="s">
        <v>10371</v>
      </c>
      <c r="P156" s="30"/>
      <c r="Q156" s="92">
        <v>8</v>
      </c>
      <c r="R156" s="92">
        <v>32</v>
      </c>
      <c r="S156" s="92">
        <v>282.72000000000003</v>
      </c>
      <c r="T156" s="30" t="s">
        <v>88</v>
      </c>
      <c r="U156" s="30" t="s">
        <v>78</v>
      </c>
      <c r="V156" s="30" t="s">
        <v>89</v>
      </c>
      <c r="W156" s="38" t="s">
        <v>10271</v>
      </c>
      <c r="X156" s="26" t="s">
        <v>4412</v>
      </c>
      <c r="Y156" s="26" t="s">
        <v>91</v>
      </c>
      <c r="Z156" s="26" t="s">
        <v>91</v>
      </c>
      <c r="AA156" s="30"/>
      <c r="AB156" s="93" t="s">
        <v>21</v>
      </c>
      <c r="AC156" s="30" t="s">
        <v>172</v>
      </c>
      <c r="AD156" s="25" t="s">
        <v>172</v>
      </c>
      <c r="AE156" s="25" t="s">
        <v>174</v>
      </c>
      <c r="AF156" s="26" t="s">
        <v>175</v>
      </c>
      <c r="AG156" s="32">
        <f t="shared" si="10"/>
        <v>1</v>
      </c>
      <c r="AH156" s="32">
        <v>1</v>
      </c>
      <c r="AI156" s="32"/>
      <c r="AJ156" s="32">
        <v>1</v>
      </c>
      <c r="AK156" s="30"/>
      <c r="AL156" s="32">
        <f t="shared" si="11"/>
        <v>1</v>
      </c>
      <c r="AM156" s="30"/>
      <c r="AN156" s="32"/>
      <c r="AO156" s="32">
        <v>1</v>
      </c>
      <c r="AP156" s="32">
        <v>1</v>
      </c>
      <c r="AQ156" s="32">
        <v>1</v>
      </c>
      <c r="AR156" s="32">
        <v>1</v>
      </c>
      <c r="AS156" s="32"/>
      <c r="AT156" s="32">
        <v>1</v>
      </c>
      <c r="AU156" s="30"/>
      <c r="AV156" s="30"/>
      <c r="AW156" s="30"/>
      <c r="AX156" s="30" t="s">
        <v>10307</v>
      </c>
      <c r="AY156" s="30"/>
      <c r="AZ156" s="75" t="s">
        <v>1665</v>
      </c>
    </row>
    <row r="157" spans="1:52" ht="16.5">
      <c r="A157" s="30" t="s">
        <v>10372</v>
      </c>
      <c r="B157" s="30" t="s">
        <v>4398</v>
      </c>
      <c r="C157" s="30" t="s">
        <v>68</v>
      </c>
      <c r="D157" s="30" t="s">
        <v>10373</v>
      </c>
      <c r="E157" s="260" t="s">
        <v>10374</v>
      </c>
      <c r="F157" s="30" t="s">
        <v>10375</v>
      </c>
      <c r="G157" s="30" t="s">
        <v>165</v>
      </c>
      <c r="H157" s="30" t="s">
        <v>165</v>
      </c>
      <c r="I157" s="30" t="s">
        <v>9838</v>
      </c>
      <c r="J157" s="30" t="s">
        <v>9281</v>
      </c>
      <c r="K157" s="32">
        <v>7.21</v>
      </c>
      <c r="L157" s="30" t="s">
        <v>73</v>
      </c>
      <c r="M157" s="30" t="s">
        <v>10376</v>
      </c>
      <c r="N157" s="30" t="s">
        <v>10377</v>
      </c>
      <c r="O157" s="27" t="s">
        <v>10378</v>
      </c>
      <c r="P157" s="30"/>
      <c r="Q157" s="92">
        <v>8</v>
      </c>
      <c r="R157" s="92">
        <v>32</v>
      </c>
      <c r="S157" s="92">
        <v>282.20999999999998</v>
      </c>
      <c r="T157" s="30" t="s">
        <v>88</v>
      </c>
      <c r="U157" s="30" t="s">
        <v>78</v>
      </c>
      <c r="V157" s="30" t="s">
        <v>89</v>
      </c>
      <c r="W157" s="38" t="s">
        <v>10271</v>
      </c>
      <c r="X157" s="26" t="s">
        <v>4412</v>
      </c>
      <c r="Y157" s="26" t="s">
        <v>91</v>
      </c>
      <c r="Z157" s="26" t="s">
        <v>91</v>
      </c>
      <c r="AA157" s="30"/>
      <c r="AB157" s="93" t="s">
        <v>21</v>
      </c>
      <c r="AC157" s="30" t="s">
        <v>172</v>
      </c>
      <c r="AD157" s="25" t="s">
        <v>172</v>
      </c>
      <c r="AE157" s="25" t="s">
        <v>174</v>
      </c>
      <c r="AF157" s="26" t="s">
        <v>175</v>
      </c>
      <c r="AG157" s="32">
        <f t="shared" si="10"/>
        <v>1</v>
      </c>
      <c r="AH157" s="32">
        <v>1</v>
      </c>
      <c r="AI157" s="32"/>
      <c r="AJ157" s="32">
        <v>1</v>
      </c>
      <c r="AK157" s="30"/>
      <c r="AL157" s="32">
        <f t="shared" si="11"/>
        <v>1</v>
      </c>
      <c r="AM157" s="30"/>
      <c r="AN157" s="32"/>
      <c r="AO157" s="32">
        <v>1</v>
      </c>
      <c r="AP157" s="32">
        <v>1</v>
      </c>
      <c r="AQ157" s="32">
        <v>1</v>
      </c>
      <c r="AR157" s="32">
        <v>1</v>
      </c>
      <c r="AS157" s="32"/>
      <c r="AT157" s="32">
        <v>1</v>
      </c>
      <c r="AU157" s="30"/>
      <c r="AV157" s="30"/>
      <c r="AW157" s="30"/>
      <c r="AX157" s="30" t="s">
        <v>10285</v>
      </c>
      <c r="AY157" s="30"/>
      <c r="AZ157" s="94" t="s">
        <v>7301</v>
      </c>
    </row>
    <row r="158" spans="1:52" ht="16.5">
      <c r="A158" s="30" t="s">
        <v>10379</v>
      </c>
      <c r="B158" s="30" t="s">
        <v>4398</v>
      </c>
      <c r="C158" s="30" t="s">
        <v>68</v>
      </c>
      <c r="D158" s="30" t="s">
        <v>10380</v>
      </c>
      <c r="E158" s="260" t="s">
        <v>10381</v>
      </c>
      <c r="F158" s="30" t="s">
        <v>10382</v>
      </c>
      <c r="G158" s="30" t="s">
        <v>165</v>
      </c>
      <c r="H158" s="30" t="s">
        <v>165</v>
      </c>
      <c r="I158" s="30" t="s">
        <v>9838</v>
      </c>
      <c r="J158" s="30" t="s">
        <v>9281</v>
      </c>
      <c r="K158" s="32">
        <v>7.21</v>
      </c>
      <c r="L158" s="30" t="s">
        <v>73</v>
      </c>
      <c r="M158" s="30" t="s">
        <v>10280</v>
      </c>
      <c r="N158" s="30" t="s">
        <v>10383</v>
      </c>
      <c r="O158" s="27" t="s">
        <v>10384</v>
      </c>
      <c r="P158" s="30"/>
      <c r="Q158" s="92">
        <v>8</v>
      </c>
      <c r="R158" s="92">
        <v>32</v>
      </c>
      <c r="S158" s="92">
        <v>282.27999999999997</v>
      </c>
      <c r="T158" s="30" t="s">
        <v>88</v>
      </c>
      <c r="U158" s="30" t="s">
        <v>78</v>
      </c>
      <c r="V158" s="30" t="s">
        <v>89</v>
      </c>
      <c r="W158" s="38" t="s">
        <v>10271</v>
      </c>
      <c r="X158" s="26" t="s">
        <v>4412</v>
      </c>
      <c r="Y158" s="26" t="s">
        <v>91</v>
      </c>
      <c r="Z158" s="26" t="s">
        <v>91</v>
      </c>
      <c r="AA158" s="30"/>
      <c r="AB158" s="93" t="s">
        <v>21</v>
      </c>
      <c r="AC158" s="30" t="s">
        <v>172</v>
      </c>
      <c r="AD158" s="25" t="s">
        <v>172</v>
      </c>
      <c r="AE158" s="25" t="s">
        <v>174</v>
      </c>
      <c r="AF158" s="26" t="s">
        <v>175</v>
      </c>
      <c r="AG158" s="32">
        <f t="shared" si="10"/>
        <v>1</v>
      </c>
      <c r="AH158" s="32">
        <v>1</v>
      </c>
      <c r="AI158" s="32"/>
      <c r="AJ158" s="32">
        <v>1</v>
      </c>
      <c r="AK158" s="30"/>
      <c r="AL158" s="32">
        <f t="shared" si="11"/>
        <v>1</v>
      </c>
      <c r="AM158" s="30"/>
      <c r="AN158" s="32"/>
      <c r="AO158" s="32">
        <v>1</v>
      </c>
      <c r="AP158" s="32">
        <v>1</v>
      </c>
      <c r="AQ158" s="32">
        <v>1</v>
      </c>
      <c r="AR158" s="32">
        <v>1</v>
      </c>
      <c r="AS158" s="32"/>
      <c r="AT158" s="32">
        <v>1</v>
      </c>
      <c r="AU158" s="30"/>
      <c r="AV158" s="30"/>
      <c r="AW158" s="30"/>
      <c r="AX158" s="30" t="s">
        <v>10277</v>
      </c>
      <c r="AY158" s="30"/>
      <c r="AZ158" s="94" t="s">
        <v>6620</v>
      </c>
    </row>
    <row r="159" spans="1:52" ht="16.5">
      <c r="A159" s="30" t="s">
        <v>10385</v>
      </c>
      <c r="B159" s="30" t="s">
        <v>4398</v>
      </c>
      <c r="C159" s="30" t="s">
        <v>68</v>
      </c>
      <c r="D159" s="30" t="s">
        <v>10386</v>
      </c>
      <c r="E159" s="260" t="s">
        <v>10387</v>
      </c>
      <c r="F159" s="30" t="s">
        <v>10388</v>
      </c>
      <c r="G159" s="30" t="s">
        <v>165</v>
      </c>
      <c r="H159" s="30" t="s">
        <v>165</v>
      </c>
      <c r="I159" s="30" t="s">
        <v>9838</v>
      </c>
      <c r="J159" s="30" t="s">
        <v>9281</v>
      </c>
      <c r="K159" s="32">
        <v>7.21</v>
      </c>
      <c r="L159" s="30" t="s">
        <v>73</v>
      </c>
      <c r="M159" s="30" t="s">
        <v>10272</v>
      </c>
      <c r="N159" s="30" t="s">
        <v>10389</v>
      </c>
      <c r="O159" s="27" t="s">
        <v>10390</v>
      </c>
      <c r="P159" s="30"/>
      <c r="Q159" s="92">
        <v>8</v>
      </c>
      <c r="R159" s="92">
        <v>32</v>
      </c>
      <c r="S159" s="92">
        <v>282.5</v>
      </c>
      <c r="T159" s="30" t="s">
        <v>88</v>
      </c>
      <c r="U159" s="30" t="s">
        <v>78</v>
      </c>
      <c r="V159" s="30" t="s">
        <v>89</v>
      </c>
      <c r="W159" s="38" t="s">
        <v>10271</v>
      </c>
      <c r="X159" s="26" t="s">
        <v>4412</v>
      </c>
      <c r="Y159" s="26" t="s">
        <v>91</v>
      </c>
      <c r="Z159" s="26" t="s">
        <v>91</v>
      </c>
      <c r="AA159" s="30"/>
      <c r="AB159" s="93" t="s">
        <v>21</v>
      </c>
      <c r="AC159" s="30" t="s">
        <v>172</v>
      </c>
      <c r="AD159" s="25" t="s">
        <v>172</v>
      </c>
      <c r="AE159" s="25" t="s">
        <v>174</v>
      </c>
      <c r="AF159" s="26" t="s">
        <v>175</v>
      </c>
      <c r="AG159" s="32">
        <f t="shared" si="10"/>
        <v>1</v>
      </c>
      <c r="AH159" s="32">
        <v>1</v>
      </c>
      <c r="AI159" s="32"/>
      <c r="AJ159" s="32">
        <v>1</v>
      </c>
      <c r="AK159" s="30"/>
      <c r="AL159" s="32">
        <f t="shared" si="11"/>
        <v>1</v>
      </c>
      <c r="AM159" s="30"/>
      <c r="AN159" s="32"/>
      <c r="AO159" s="32">
        <v>1</v>
      </c>
      <c r="AP159" s="32">
        <v>1</v>
      </c>
      <c r="AQ159" s="32">
        <v>1</v>
      </c>
      <c r="AR159" s="32">
        <v>1</v>
      </c>
      <c r="AS159" s="32"/>
      <c r="AT159" s="32">
        <v>1</v>
      </c>
      <c r="AU159" s="30"/>
      <c r="AV159" s="30"/>
      <c r="AW159" s="30"/>
      <c r="AX159" s="30" t="s">
        <v>10050</v>
      </c>
      <c r="AY159" s="30"/>
      <c r="AZ159" s="94" t="s">
        <v>6632</v>
      </c>
    </row>
    <row r="160" spans="1:52" ht="16.5">
      <c r="A160" s="30" t="s">
        <v>10391</v>
      </c>
      <c r="B160" s="30" t="s">
        <v>4398</v>
      </c>
      <c r="C160" s="30" t="s">
        <v>68</v>
      </c>
      <c r="D160" s="30" t="s">
        <v>10392</v>
      </c>
      <c r="E160" s="260" t="s">
        <v>10393</v>
      </c>
      <c r="F160" s="30" t="s">
        <v>10394</v>
      </c>
      <c r="G160" s="30" t="s">
        <v>165</v>
      </c>
      <c r="H160" s="30" t="s">
        <v>165</v>
      </c>
      <c r="I160" s="30" t="s">
        <v>9838</v>
      </c>
      <c r="J160" s="30" t="s">
        <v>9281</v>
      </c>
      <c r="K160" s="32">
        <v>7.21</v>
      </c>
      <c r="L160" s="30" t="s">
        <v>73</v>
      </c>
      <c r="M160" s="30" t="s">
        <v>10263</v>
      </c>
      <c r="N160" s="30" t="s">
        <v>10395</v>
      </c>
      <c r="O160" s="27" t="s">
        <v>10396</v>
      </c>
      <c r="P160" s="30"/>
      <c r="Q160" s="92">
        <v>4</v>
      </c>
      <c r="R160" s="92">
        <v>16</v>
      </c>
      <c r="S160" s="92">
        <v>366.23</v>
      </c>
      <c r="T160" s="30" t="s">
        <v>88</v>
      </c>
      <c r="U160" s="30" t="s">
        <v>78</v>
      </c>
      <c r="V160" s="30" t="s">
        <v>89</v>
      </c>
      <c r="W160" s="38" t="s">
        <v>10271</v>
      </c>
      <c r="X160" s="26" t="s">
        <v>4412</v>
      </c>
      <c r="Y160" s="26" t="s">
        <v>91</v>
      </c>
      <c r="Z160" s="26" t="s">
        <v>91</v>
      </c>
      <c r="AA160" s="30"/>
      <c r="AB160" s="93" t="s">
        <v>21</v>
      </c>
      <c r="AC160" s="30" t="s">
        <v>172</v>
      </c>
      <c r="AD160" s="25" t="s">
        <v>172</v>
      </c>
      <c r="AE160" s="25" t="s">
        <v>174</v>
      </c>
      <c r="AF160" s="26" t="s">
        <v>175</v>
      </c>
      <c r="AG160" s="32">
        <f t="shared" si="10"/>
        <v>1</v>
      </c>
      <c r="AH160" s="32">
        <v>1</v>
      </c>
      <c r="AI160" s="32"/>
      <c r="AJ160" s="32">
        <v>1</v>
      </c>
      <c r="AK160" s="30"/>
      <c r="AL160" s="32">
        <f t="shared" si="11"/>
        <v>1</v>
      </c>
      <c r="AM160" s="30"/>
      <c r="AN160" s="32"/>
      <c r="AO160" s="32">
        <v>1</v>
      </c>
      <c r="AP160" s="32">
        <v>1</v>
      </c>
      <c r="AQ160" s="32">
        <v>1</v>
      </c>
      <c r="AR160" s="32">
        <v>1</v>
      </c>
      <c r="AS160" s="32"/>
      <c r="AT160" s="32">
        <v>1</v>
      </c>
      <c r="AU160" s="30"/>
      <c r="AV160" s="30"/>
      <c r="AW160" s="30"/>
      <c r="AX160" s="30" t="s">
        <v>10376</v>
      </c>
      <c r="AY160" s="30"/>
      <c r="AZ160" s="94" t="s">
        <v>6652</v>
      </c>
    </row>
    <row r="161" spans="1:52" ht="16.5">
      <c r="A161" s="30" t="s">
        <v>8214</v>
      </c>
      <c r="B161" s="72" t="s">
        <v>125</v>
      </c>
      <c r="C161" s="25" t="s">
        <v>73</v>
      </c>
      <c r="D161" s="25" t="s">
        <v>7943</v>
      </c>
      <c r="E161" s="48" t="s">
        <v>70</v>
      </c>
      <c r="F161" s="48" t="s">
        <v>70</v>
      </c>
      <c r="G161" s="27"/>
      <c r="H161" s="27"/>
      <c r="I161" s="30"/>
      <c r="J161" s="30" t="s">
        <v>9281</v>
      </c>
      <c r="K161" s="32">
        <v>7.21</v>
      </c>
      <c r="L161" s="30" t="s">
        <v>73</v>
      </c>
      <c r="M161" s="49" t="s">
        <v>9326</v>
      </c>
      <c r="N161" s="26" t="s">
        <v>10397</v>
      </c>
      <c r="O161" s="97" t="s">
        <v>9272</v>
      </c>
      <c r="P161" s="72" t="s">
        <v>125</v>
      </c>
      <c r="T161" s="30" t="s">
        <v>88</v>
      </c>
      <c r="U161" s="30" t="s">
        <v>78</v>
      </c>
      <c r="V161" s="30" t="s">
        <v>89</v>
      </c>
      <c r="W161" s="38" t="s">
        <v>10271</v>
      </c>
      <c r="X161" s="26" t="s">
        <v>4412</v>
      </c>
      <c r="Y161" s="26" t="s">
        <v>91</v>
      </c>
      <c r="Z161" s="26" t="s">
        <v>91</v>
      </c>
      <c r="AB161" s="93" t="s">
        <v>7</v>
      </c>
      <c r="AD161" s="25"/>
      <c r="AE161" s="25"/>
      <c r="AG161" s="32">
        <f t="shared" si="10"/>
        <v>1</v>
      </c>
      <c r="AH161" s="32">
        <v>1</v>
      </c>
      <c r="AJ161" s="32">
        <v>1</v>
      </c>
      <c r="AL161" s="32">
        <f t="shared" si="11"/>
        <v>1</v>
      </c>
      <c r="AO161" s="32">
        <v>1</v>
      </c>
      <c r="AP161" s="32">
        <v>1</v>
      </c>
      <c r="AQ161" s="4">
        <v>1</v>
      </c>
      <c r="AR161" s="4">
        <v>1</v>
      </c>
      <c r="AT161" s="4">
        <v>1</v>
      </c>
      <c r="AU161" s="2" t="s">
        <v>10398</v>
      </c>
      <c r="AX161" s="2" t="s">
        <v>9809</v>
      </c>
      <c r="AZ161" s="94" t="s">
        <v>10392</v>
      </c>
    </row>
    <row r="162" spans="1:52" ht="16.5">
      <c r="A162" s="30" t="s">
        <v>67</v>
      </c>
      <c r="B162" s="72" t="s">
        <v>125</v>
      </c>
      <c r="C162" s="25" t="s">
        <v>68</v>
      </c>
      <c r="D162" s="25" t="s">
        <v>69</v>
      </c>
      <c r="E162" s="48" t="s">
        <v>134</v>
      </c>
      <c r="F162" s="48" t="s">
        <v>134</v>
      </c>
      <c r="G162" s="27"/>
      <c r="H162" s="27"/>
      <c r="I162" s="30"/>
      <c r="J162" s="30" t="s">
        <v>9281</v>
      </c>
      <c r="K162" s="32">
        <v>7.21</v>
      </c>
      <c r="L162" s="30" t="s">
        <v>73</v>
      </c>
      <c r="M162" s="25" t="s">
        <v>9318</v>
      </c>
      <c r="N162" s="26" t="s">
        <v>10399</v>
      </c>
      <c r="O162" s="97" t="s">
        <v>9275</v>
      </c>
      <c r="P162" s="72" t="s">
        <v>125</v>
      </c>
      <c r="T162" s="30" t="s">
        <v>88</v>
      </c>
      <c r="U162" s="30" t="s">
        <v>78</v>
      </c>
      <c r="V162" s="30" t="s">
        <v>89</v>
      </c>
      <c r="W162" s="38" t="s">
        <v>10271</v>
      </c>
      <c r="X162" s="26" t="s">
        <v>4412</v>
      </c>
      <c r="Y162" s="26" t="s">
        <v>91</v>
      </c>
      <c r="Z162" s="26" t="s">
        <v>91</v>
      </c>
      <c r="AB162" s="93" t="s">
        <v>7</v>
      </c>
      <c r="AD162" s="25"/>
      <c r="AE162" s="25"/>
      <c r="AG162" s="32">
        <f t="shared" si="10"/>
        <v>1</v>
      </c>
      <c r="AH162" s="32">
        <v>1</v>
      </c>
      <c r="AJ162" s="32">
        <v>1</v>
      </c>
      <c r="AL162" s="32">
        <f t="shared" si="11"/>
        <v>1</v>
      </c>
      <c r="AO162" s="32">
        <v>1</v>
      </c>
      <c r="AP162" s="32">
        <v>1</v>
      </c>
      <c r="AQ162" s="4">
        <v>1</v>
      </c>
      <c r="AR162" s="4">
        <v>1</v>
      </c>
      <c r="AT162" s="4">
        <v>1</v>
      </c>
      <c r="AU162" s="2" t="s">
        <v>10400</v>
      </c>
      <c r="AX162" s="2" t="s">
        <v>9422</v>
      </c>
      <c r="AZ162" s="94" t="s">
        <v>10386</v>
      </c>
    </row>
    <row r="163" spans="1:52" ht="16.5">
      <c r="AQ163" s="32"/>
      <c r="AZ163" s="94" t="s">
        <v>10380</v>
      </c>
    </row>
    <row r="164" spans="1:52" ht="16.5">
      <c r="AZ164" s="94" t="s">
        <v>10373</v>
      </c>
    </row>
    <row r="165" spans="1:52" ht="16.5">
      <c r="AZ165" s="94" t="s">
        <v>10367</v>
      </c>
    </row>
    <row r="166" spans="1:52" ht="16.5">
      <c r="AZ166" s="94" t="s">
        <v>10297</v>
      </c>
    </row>
    <row r="167" spans="1:52" ht="16.5">
      <c r="AZ167" s="94" t="s">
        <v>10361</v>
      </c>
    </row>
    <row r="168" spans="1:52" ht="16.5">
      <c r="AZ168" s="94" t="s">
        <v>10355</v>
      </c>
    </row>
    <row r="169" spans="1:52" ht="16.5">
      <c r="AZ169" s="94" t="s">
        <v>10349</v>
      </c>
    </row>
    <row r="170" spans="1:52" ht="16.5">
      <c r="AZ170" s="94" t="s">
        <v>10343</v>
      </c>
    </row>
    <row r="171" spans="1:52" ht="16.5">
      <c r="AZ171" s="94" t="s">
        <v>10336</v>
      </c>
    </row>
    <row r="172" spans="1:52" ht="16.5">
      <c r="AZ172" s="94" t="s">
        <v>10328</v>
      </c>
    </row>
    <row r="173" spans="1:52" ht="16.5">
      <c r="AZ173" s="94" t="s">
        <v>10401</v>
      </c>
    </row>
    <row r="174" spans="1:52" ht="16.5">
      <c r="AZ174" s="94" t="s">
        <v>10290</v>
      </c>
    </row>
    <row r="175" spans="1:52" ht="16.5">
      <c r="AZ175" s="94" t="s">
        <v>10312</v>
      </c>
    </row>
    <row r="176" spans="1:52" ht="16.5">
      <c r="AZ176" s="94" t="s">
        <v>10304</v>
      </c>
    </row>
    <row r="177" spans="52:52" ht="16.5">
      <c r="AZ177" s="94" t="s">
        <v>10282</v>
      </c>
    </row>
    <row r="178" spans="52:52" ht="16.5">
      <c r="AZ178" s="94" t="s">
        <v>10274</v>
      </c>
    </row>
    <row r="179" spans="52:52" ht="16.5">
      <c r="AZ179" s="94" t="s">
        <v>10402</v>
      </c>
    </row>
    <row r="180" spans="52:52">
      <c r="AZ180" s="2" t="s">
        <v>10320</v>
      </c>
    </row>
    <row r="181" spans="52:52">
      <c r="AZ181" s="2" t="s">
        <v>10265</v>
      </c>
    </row>
    <row r="182" spans="52:52">
      <c r="AZ182" s="30" t="s">
        <v>9532</v>
      </c>
    </row>
    <row r="183" spans="52:52">
      <c r="AZ183" s="2" t="s">
        <v>9374</v>
      </c>
    </row>
    <row r="184" spans="52:52">
      <c r="AZ184" s="2" t="s">
        <v>9312</v>
      </c>
    </row>
  </sheetData>
  <sheetProtection sheet="1" formatCells="0" formatColumns="0" formatRows="0" insertColumns="0" insertRows="0" insertHyperlinks="0" deleteColumns="0" deleteRows="0" sort="0" autoFilter="0" pivotTables="0"/>
  <protectedRanges>
    <protectedRange sqref="A1:P1048576" name="Range1"/>
    <protectedRange sqref="A1:O1048576" name="Range2"/>
  </protectedRanges>
  <autoFilter ref="A1:AV162" xr:uid="{00000000-0009-0000-0000-00000A000000}"/>
  <phoneticPr fontId="67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Z161"/>
  <sheetViews>
    <sheetView workbookViewId="0">
      <pane xSplit="14" ySplit="1" topLeftCell="AN85" activePane="bottomRight" state="frozen"/>
      <selection pane="topRight"/>
      <selection pane="bottomLeft"/>
      <selection pane="bottomRight" activeCell="A85" sqref="A1:XFD1048576"/>
    </sheetView>
  </sheetViews>
  <sheetFormatPr defaultColWidth="9" defaultRowHeight="14.5"/>
  <cols>
    <col min="1" max="1" width="12.26953125" style="2" customWidth="1"/>
    <col min="2" max="2" width="10.1796875" style="2" customWidth="1"/>
    <col min="3" max="3" width="4.6328125" style="2" customWidth="1"/>
    <col min="4" max="4" width="13.90625" style="2" customWidth="1"/>
    <col min="5" max="5" width="10.36328125" style="2" customWidth="1"/>
    <col min="6" max="6" width="8.453125" style="2" customWidth="1"/>
    <col min="7" max="7" width="12.453125" style="2" customWidth="1"/>
    <col min="8" max="8" width="8.7265625" style="2" customWidth="1"/>
    <col min="9" max="9" width="4.36328125" style="2" customWidth="1"/>
    <col min="10" max="10" width="9.36328125" style="2" customWidth="1"/>
    <col min="11" max="11" width="9" style="2" customWidth="1"/>
    <col min="12" max="12" width="6.54296875" style="2" customWidth="1"/>
    <col min="13" max="13" width="12.54296875" style="2" customWidth="1"/>
    <col min="14" max="14" width="13.7265625" style="2" customWidth="1"/>
    <col min="15" max="15" width="17.90625" style="2" customWidth="1"/>
    <col min="16" max="16" width="8.54296875" style="2" customWidth="1"/>
    <col min="17" max="17" width="7" style="4" customWidth="1"/>
    <col min="18" max="18" width="9" style="4"/>
    <col min="19" max="19" width="11" style="4" customWidth="1"/>
    <col min="20" max="21" width="12.7265625" style="2" customWidth="1"/>
    <col min="22" max="22" width="17" style="2" customWidth="1"/>
    <col min="23" max="23" width="19.6328125" style="2" customWidth="1"/>
    <col min="24" max="24" width="9.90625" style="2" customWidth="1"/>
    <col min="25" max="26" width="19.7265625" style="2" customWidth="1"/>
    <col min="27" max="27" width="8.7265625" style="2" customWidth="1"/>
    <col min="28" max="28" width="17.26953125" style="4" customWidth="1"/>
    <col min="29" max="29" width="9" style="2" hidden="1" customWidth="1"/>
    <col min="30" max="31" width="9" style="4" hidden="1" customWidth="1"/>
    <col min="32" max="32" width="9" style="2" hidden="1" customWidth="1"/>
    <col min="33" max="36" width="9" style="4"/>
    <col min="37" max="37" width="7.90625" style="2" customWidth="1"/>
    <col min="38" max="38" width="9" style="4"/>
    <col min="39" max="39" width="9" style="2"/>
    <col min="40" max="45" width="9" style="4"/>
    <col min="46" max="46" width="8.1796875" style="4" customWidth="1"/>
    <col min="47" max="47" width="23.7265625" style="2" customWidth="1"/>
    <col min="48" max="51" width="9" style="2"/>
    <col min="52" max="52" width="15.90625" style="2" customWidth="1"/>
    <col min="53" max="16384" width="9" style="2"/>
  </cols>
  <sheetData>
    <row r="1" spans="1:52" s="1" customFormat="1" ht="65.5" customHeight="1">
      <c r="A1" s="5" t="s">
        <v>25</v>
      </c>
      <c r="B1" s="5" t="s">
        <v>26</v>
      </c>
      <c r="C1" s="5" t="s">
        <v>27</v>
      </c>
      <c r="D1" s="5" t="s">
        <v>28</v>
      </c>
      <c r="E1" s="5" t="s">
        <v>29</v>
      </c>
      <c r="F1" s="5" t="s">
        <v>30</v>
      </c>
      <c r="G1" s="5" t="s">
        <v>31</v>
      </c>
      <c r="H1" s="5" t="s">
        <v>4389</v>
      </c>
      <c r="I1" s="5" t="s">
        <v>4390</v>
      </c>
      <c r="J1" s="5" t="s">
        <v>32</v>
      </c>
      <c r="K1" s="7" t="s">
        <v>33</v>
      </c>
      <c r="L1" s="5" t="s">
        <v>34</v>
      </c>
      <c r="M1" s="5" t="s">
        <v>35</v>
      </c>
      <c r="N1" s="5" t="s">
        <v>36</v>
      </c>
      <c r="O1" s="8" t="s">
        <v>37</v>
      </c>
      <c r="P1" s="9" t="s">
        <v>38</v>
      </c>
      <c r="Q1" s="10" t="s">
        <v>4392</v>
      </c>
      <c r="R1" s="10" t="s">
        <v>5290</v>
      </c>
      <c r="S1" s="10" t="s">
        <v>5291</v>
      </c>
      <c r="T1" s="11" t="s">
        <v>39</v>
      </c>
      <c r="U1" s="11" t="s">
        <v>40</v>
      </c>
      <c r="V1" s="11" t="s">
        <v>41</v>
      </c>
      <c r="W1" s="11" t="s">
        <v>42</v>
      </c>
      <c r="X1" s="11" t="s">
        <v>43</v>
      </c>
      <c r="Y1" s="11" t="s">
        <v>44</v>
      </c>
      <c r="Z1" s="11" t="s">
        <v>45</v>
      </c>
      <c r="AA1" s="12" t="s">
        <v>6888</v>
      </c>
      <c r="AB1" s="13" t="s">
        <v>46</v>
      </c>
      <c r="AC1" s="14" t="s">
        <v>47</v>
      </c>
      <c r="AD1" s="15" t="s">
        <v>48</v>
      </c>
      <c r="AE1" s="15" t="s">
        <v>49</v>
      </c>
      <c r="AF1" s="15" t="s">
        <v>50</v>
      </c>
      <c r="AG1" s="16" t="s">
        <v>51</v>
      </c>
      <c r="AH1" s="16" t="s">
        <v>52</v>
      </c>
      <c r="AI1" s="16" t="s">
        <v>4395</v>
      </c>
      <c r="AJ1" s="17" t="s">
        <v>54</v>
      </c>
      <c r="AK1" s="16" t="s">
        <v>4396</v>
      </c>
      <c r="AL1" s="18" t="s">
        <v>57</v>
      </c>
      <c r="AM1" s="19" t="s">
        <v>58</v>
      </c>
      <c r="AN1" s="19" t="s">
        <v>59</v>
      </c>
      <c r="AO1" s="20" t="s">
        <v>60</v>
      </c>
      <c r="AP1" s="20" t="s">
        <v>61</v>
      </c>
      <c r="AQ1" s="17" t="s">
        <v>62</v>
      </c>
      <c r="AR1" s="17" t="s">
        <v>63</v>
      </c>
      <c r="AS1" s="17" t="s">
        <v>155</v>
      </c>
      <c r="AT1" s="17" t="s">
        <v>65</v>
      </c>
      <c r="AU1" s="21" t="s">
        <v>6889</v>
      </c>
      <c r="AV1" s="17" t="s">
        <v>66</v>
      </c>
      <c r="AW1" s="22"/>
      <c r="AX1" s="23" t="s">
        <v>1680</v>
      </c>
      <c r="AY1" s="24" t="s">
        <v>3133</v>
      </c>
      <c r="AZ1" s="74" t="s">
        <v>158</v>
      </c>
    </row>
    <row r="2" spans="1:52" ht="16.5">
      <c r="A2" s="25" t="s">
        <v>10403</v>
      </c>
      <c r="B2" s="25" t="s">
        <v>4398</v>
      </c>
      <c r="C2" s="25" t="s">
        <v>68</v>
      </c>
      <c r="D2" s="25" t="s">
        <v>10404</v>
      </c>
      <c r="E2" s="258" t="s">
        <v>10405</v>
      </c>
      <c r="F2" s="25" t="s">
        <v>10406</v>
      </c>
      <c r="G2" s="25" t="s">
        <v>3138</v>
      </c>
      <c r="H2" s="25" t="s">
        <v>3138</v>
      </c>
      <c r="I2" s="26" t="s">
        <v>4402</v>
      </c>
      <c r="J2" s="26" t="s">
        <v>9281</v>
      </c>
      <c r="K2" s="62" t="s">
        <v>10407</v>
      </c>
      <c r="L2" s="25" t="s">
        <v>73</v>
      </c>
      <c r="M2" s="25" t="s">
        <v>10408</v>
      </c>
      <c r="N2" s="49" t="s">
        <v>10409</v>
      </c>
      <c r="O2" s="27" t="s">
        <v>10410</v>
      </c>
      <c r="P2" s="28"/>
      <c r="Q2" s="29">
        <v>8</v>
      </c>
      <c r="R2" s="29">
        <v>32</v>
      </c>
      <c r="S2" s="29">
        <v>322.24</v>
      </c>
      <c r="T2" s="30" t="s">
        <v>88</v>
      </c>
      <c r="U2" s="30" t="s">
        <v>78</v>
      </c>
      <c r="V2" s="30" t="s">
        <v>89</v>
      </c>
      <c r="W2" s="26" t="s">
        <v>9285</v>
      </c>
      <c r="X2" s="26" t="s">
        <v>10411</v>
      </c>
      <c r="Y2" s="26" t="s">
        <v>91</v>
      </c>
      <c r="Z2" s="26" t="s">
        <v>91</v>
      </c>
      <c r="AA2" s="26" t="s">
        <v>172</v>
      </c>
      <c r="AB2" s="31" t="s">
        <v>7</v>
      </c>
      <c r="AC2" s="30" t="s">
        <v>172</v>
      </c>
      <c r="AD2" s="25" t="s">
        <v>172</v>
      </c>
      <c r="AE2" s="25" t="s">
        <v>174</v>
      </c>
      <c r="AF2" s="26" t="s">
        <v>175</v>
      </c>
      <c r="AG2" s="32">
        <f>IF(COUNTIF(AZ:AZ,D2)&gt;0,1,0)</f>
        <v>1</v>
      </c>
      <c r="AH2" s="32">
        <v>1</v>
      </c>
      <c r="AI2" s="32">
        <v>1</v>
      </c>
      <c r="AJ2" s="32">
        <v>1</v>
      </c>
      <c r="AK2" s="30"/>
      <c r="AL2" s="32">
        <f>IF(COUNTIF(AX:AX,"*"&amp;M2&amp;"*")&gt;0,1,0)</f>
        <v>1</v>
      </c>
      <c r="AM2" s="30"/>
      <c r="AN2" s="32"/>
      <c r="AO2" s="32">
        <v>1</v>
      </c>
      <c r="AP2" s="32">
        <v>1</v>
      </c>
      <c r="AQ2" s="32">
        <v>1</v>
      </c>
      <c r="AR2" s="32">
        <v>1</v>
      </c>
      <c r="AS2" s="32"/>
      <c r="AT2" s="32">
        <v>1</v>
      </c>
      <c r="AU2" s="30"/>
      <c r="AV2" s="30"/>
      <c r="AW2" s="30"/>
      <c r="AX2" s="30" t="s">
        <v>10412</v>
      </c>
      <c r="AY2" s="30"/>
      <c r="AZ2" s="75" t="s">
        <v>117</v>
      </c>
    </row>
    <row r="3" spans="1:52" ht="16.5">
      <c r="A3" s="25" t="s">
        <v>10413</v>
      </c>
      <c r="B3" s="25" t="s">
        <v>4398</v>
      </c>
      <c r="C3" s="25" t="s">
        <v>68</v>
      </c>
      <c r="D3" s="25" t="s">
        <v>10414</v>
      </c>
      <c r="E3" s="258" t="s">
        <v>10415</v>
      </c>
      <c r="F3" s="25" t="s">
        <v>10416</v>
      </c>
      <c r="G3" s="25" t="s">
        <v>3138</v>
      </c>
      <c r="H3" s="25" t="s">
        <v>3138</v>
      </c>
      <c r="I3" s="26" t="s">
        <v>4402</v>
      </c>
      <c r="J3" s="26" t="s">
        <v>9281</v>
      </c>
      <c r="K3" s="62" t="s">
        <v>10407</v>
      </c>
      <c r="L3" s="25" t="s">
        <v>73</v>
      </c>
      <c r="M3" s="25" t="s">
        <v>10417</v>
      </c>
      <c r="N3" s="49" t="s">
        <v>10418</v>
      </c>
      <c r="O3" s="27" t="s">
        <v>10419</v>
      </c>
      <c r="P3" s="28"/>
      <c r="Q3" s="29">
        <v>8</v>
      </c>
      <c r="R3" s="29">
        <v>32</v>
      </c>
      <c r="S3" s="29">
        <v>282.27999999999997</v>
      </c>
      <c r="T3" s="30" t="s">
        <v>88</v>
      </c>
      <c r="U3" s="30" t="s">
        <v>78</v>
      </c>
      <c r="V3" s="30" t="s">
        <v>89</v>
      </c>
      <c r="W3" s="26" t="s">
        <v>9285</v>
      </c>
      <c r="X3" s="26" t="s">
        <v>10411</v>
      </c>
      <c r="Y3" s="26" t="s">
        <v>91</v>
      </c>
      <c r="Z3" s="26" t="s">
        <v>91</v>
      </c>
      <c r="AA3" s="26" t="s">
        <v>172</v>
      </c>
      <c r="AB3" s="31" t="s">
        <v>7</v>
      </c>
      <c r="AC3" s="30" t="s">
        <v>172</v>
      </c>
      <c r="AD3" s="25" t="s">
        <v>172</v>
      </c>
      <c r="AE3" s="25" t="s">
        <v>174</v>
      </c>
      <c r="AF3" s="26" t="s">
        <v>175</v>
      </c>
      <c r="AG3" s="32">
        <f t="shared" ref="AG3:AG34" si="0">IF(COUNTIF(AZ:AZ,D3)&gt;0,1,0)</f>
        <v>1</v>
      </c>
      <c r="AH3" s="32">
        <v>1</v>
      </c>
      <c r="AI3" s="32">
        <v>1</v>
      </c>
      <c r="AJ3" s="32">
        <v>1</v>
      </c>
      <c r="AK3" s="30"/>
      <c r="AL3" s="32">
        <f t="shared" ref="AL3:AL44" si="1">IF(COUNTIF(AX:AX,"*"&amp;M3&amp;"*")&gt;0,1,0)</f>
        <v>1</v>
      </c>
      <c r="AM3" s="30"/>
      <c r="AN3" s="32"/>
      <c r="AO3" s="32">
        <v>1</v>
      </c>
      <c r="AP3" s="32">
        <v>1</v>
      </c>
      <c r="AQ3" s="32">
        <v>1</v>
      </c>
      <c r="AR3" s="32">
        <v>1</v>
      </c>
      <c r="AS3" s="32"/>
      <c r="AT3" s="32">
        <v>1</v>
      </c>
      <c r="AU3" s="30"/>
      <c r="AV3" s="30"/>
      <c r="AW3" s="30"/>
      <c r="AX3" s="30" t="s">
        <v>10420</v>
      </c>
      <c r="AY3" s="30"/>
      <c r="AZ3" s="75" t="s">
        <v>93</v>
      </c>
    </row>
    <row r="4" spans="1:52" ht="16.5">
      <c r="A4" s="25" t="s">
        <v>10421</v>
      </c>
      <c r="B4" s="25" t="s">
        <v>4398</v>
      </c>
      <c r="C4" s="25" t="s">
        <v>68</v>
      </c>
      <c r="D4" s="25" t="s">
        <v>10422</v>
      </c>
      <c r="E4" s="258" t="s">
        <v>10423</v>
      </c>
      <c r="F4" s="25" t="s">
        <v>10424</v>
      </c>
      <c r="G4" s="25" t="s">
        <v>3138</v>
      </c>
      <c r="H4" s="25" t="s">
        <v>3138</v>
      </c>
      <c r="I4" s="26" t="s">
        <v>4402</v>
      </c>
      <c r="J4" s="26" t="s">
        <v>9281</v>
      </c>
      <c r="K4" s="62" t="s">
        <v>10407</v>
      </c>
      <c r="L4" s="25" t="s">
        <v>73</v>
      </c>
      <c r="M4" s="25" t="s">
        <v>10412</v>
      </c>
      <c r="N4" s="49" t="s">
        <v>10425</v>
      </c>
      <c r="O4" s="27" t="s">
        <v>10426</v>
      </c>
      <c r="P4" s="28"/>
      <c r="Q4" s="29">
        <v>8</v>
      </c>
      <c r="R4" s="29">
        <v>32</v>
      </c>
      <c r="S4" s="29">
        <v>302.43</v>
      </c>
      <c r="T4" s="30" t="s">
        <v>88</v>
      </c>
      <c r="U4" s="30" t="s">
        <v>78</v>
      </c>
      <c r="V4" s="30" t="s">
        <v>89</v>
      </c>
      <c r="W4" s="26" t="s">
        <v>9285</v>
      </c>
      <c r="X4" s="26" t="s">
        <v>10411</v>
      </c>
      <c r="Y4" s="26" t="s">
        <v>91</v>
      </c>
      <c r="Z4" s="26" t="s">
        <v>91</v>
      </c>
      <c r="AA4" s="26" t="s">
        <v>172</v>
      </c>
      <c r="AB4" s="31" t="s">
        <v>7</v>
      </c>
      <c r="AC4" s="30" t="s">
        <v>172</v>
      </c>
      <c r="AD4" s="25" t="s">
        <v>172</v>
      </c>
      <c r="AE4" s="25" t="s">
        <v>174</v>
      </c>
      <c r="AF4" s="26" t="s">
        <v>175</v>
      </c>
      <c r="AG4" s="32">
        <f t="shared" si="0"/>
        <v>1</v>
      </c>
      <c r="AH4" s="32">
        <v>1</v>
      </c>
      <c r="AI4" s="32">
        <v>1</v>
      </c>
      <c r="AJ4" s="32">
        <v>1</v>
      </c>
      <c r="AK4" s="30"/>
      <c r="AL4" s="32">
        <f t="shared" si="1"/>
        <v>1</v>
      </c>
      <c r="AM4" s="30"/>
      <c r="AN4" s="32"/>
      <c r="AO4" s="32">
        <v>1</v>
      </c>
      <c r="AP4" s="32">
        <v>1</v>
      </c>
      <c r="AQ4" s="32">
        <v>1</v>
      </c>
      <c r="AR4" s="32">
        <v>1</v>
      </c>
      <c r="AS4" s="32"/>
      <c r="AT4" s="32">
        <v>1</v>
      </c>
      <c r="AU4" s="30"/>
      <c r="AV4" s="30"/>
      <c r="AW4" s="30"/>
      <c r="AX4" s="30" t="s">
        <v>10427</v>
      </c>
      <c r="AY4" s="30"/>
      <c r="AZ4" s="75" t="s">
        <v>10422</v>
      </c>
    </row>
    <row r="5" spans="1:52" ht="16.5">
      <c r="A5" s="25" t="s">
        <v>10428</v>
      </c>
      <c r="B5" s="25" t="s">
        <v>4398</v>
      </c>
      <c r="C5" s="25" t="s">
        <v>68</v>
      </c>
      <c r="D5" s="25" t="s">
        <v>10429</v>
      </c>
      <c r="E5" s="258" t="s">
        <v>10430</v>
      </c>
      <c r="F5" s="25" t="s">
        <v>10431</v>
      </c>
      <c r="G5" s="25" t="s">
        <v>3138</v>
      </c>
      <c r="H5" s="25" t="s">
        <v>3138</v>
      </c>
      <c r="I5" s="26" t="s">
        <v>4402</v>
      </c>
      <c r="J5" s="26" t="s">
        <v>9281</v>
      </c>
      <c r="K5" s="62" t="s">
        <v>10407</v>
      </c>
      <c r="L5" s="25" t="s">
        <v>73</v>
      </c>
      <c r="M5" s="25" t="s">
        <v>10432</v>
      </c>
      <c r="N5" s="49" t="s">
        <v>10433</v>
      </c>
      <c r="O5" s="27" t="s">
        <v>10434</v>
      </c>
      <c r="P5" s="28"/>
      <c r="Q5" s="29">
        <v>4</v>
      </c>
      <c r="R5" s="29">
        <v>16</v>
      </c>
      <c r="S5" s="29">
        <v>266.16000000000003</v>
      </c>
      <c r="T5" s="30" t="s">
        <v>88</v>
      </c>
      <c r="U5" s="30" t="s">
        <v>78</v>
      </c>
      <c r="V5" s="30" t="s">
        <v>89</v>
      </c>
      <c r="W5" s="26" t="s">
        <v>9285</v>
      </c>
      <c r="X5" s="26" t="s">
        <v>10411</v>
      </c>
      <c r="Y5" s="26" t="s">
        <v>91</v>
      </c>
      <c r="Z5" s="26" t="s">
        <v>91</v>
      </c>
      <c r="AA5" s="26" t="s">
        <v>172</v>
      </c>
      <c r="AB5" s="31" t="s">
        <v>7</v>
      </c>
      <c r="AC5" s="30" t="s">
        <v>172</v>
      </c>
      <c r="AD5" s="25" t="s">
        <v>172</v>
      </c>
      <c r="AE5" s="25" t="s">
        <v>174</v>
      </c>
      <c r="AF5" s="26" t="s">
        <v>175</v>
      </c>
      <c r="AG5" s="32">
        <f t="shared" si="0"/>
        <v>1</v>
      </c>
      <c r="AH5" s="32">
        <v>1</v>
      </c>
      <c r="AI5" s="32">
        <v>1</v>
      </c>
      <c r="AJ5" s="32">
        <v>1</v>
      </c>
      <c r="AK5" s="30"/>
      <c r="AL5" s="32">
        <f t="shared" si="1"/>
        <v>1</v>
      </c>
      <c r="AM5" s="30"/>
      <c r="AN5" s="32"/>
      <c r="AO5" s="32">
        <v>1</v>
      </c>
      <c r="AP5" s="32">
        <v>1</v>
      </c>
      <c r="AQ5" s="32">
        <v>1</v>
      </c>
      <c r="AR5" s="32">
        <v>1</v>
      </c>
      <c r="AS5" s="32"/>
      <c r="AT5" s="32">
        <v>1</v>
      </c>
      <c r="AU5" s="30"/>
      <c r="AV5" s="30"/>
      <c r="AW5" s="30"/>
      <c r="AX5" s="30" t="s">
        <v>10435</v>
      </c>
      <c r="AY5" s="30"/>
      <c r="AZ5" s="75" t="s">
        <v>10436</v>
      </c>
    </row>
    <row r="6" spans="1:52" ht="16.5">
      <c r="A6" s="25" t="s">
        <v>10437</v>
      </c>
      <c r="B6" s="25" t="s">
        <v>4398</v>
      </c>
      <c r="C6" s="25" t="s">
        <v>68</v>
      </c>
      <c r="D6" s="25" t="s">
        <v>10438</v>
      </c>
      <c r="E6" s="258" t="s">
        <v>10439</v>
      </c>
      <c r="F6" s="48" t="s">
        <v>10440</v>
      </c>
      <c r="G6" s="25" t="s">
        <v>3138</v>
      </c>
      <c r="H6" s="25" t="s">
        <v>3138</v>
      </c>
      <c r="I6" s="26" t="s">
        <v>4402</v>
      </c>
      <c r="J6" s="26" t="s">
        <v>9281</v>
      </c>
      <c r="K6" s="62" t="s">
        <v>10407</v>
      </c>
      <c r="L6" s="25" t="s">
        <v>73</v>
      </c>
      <c r="M6" s="25" t="s">
        <v>10441</v>
      </c>
      <c r="N6" s="49" t="s">
        <v>10442</v>
      </c>
      <c r="O6" s="27" t="s">
        <v>10443</v>
      </c>
      <c r="P6" s="28"/>
      <c r="Q6" s="29">
        <v>4</v>
      </c>
      <c r="R6" s="29">
        <v>16</v>
      </c>
      <c r="S6" s="29">
        <v>266.11</v>
      </c>
      <c r="T6" s="30" t="s">
        <v>88</v>
      </c>
      <c r="U6" s="30" t="s">
        <v>78</v>
      </c>
      <c r="V6" s="30" t="s">
        <v>89</v>
      </c>
      <c r="W6" s="26" t="s">
        <v>9285</v>
      </c>
      <c r="X6" s="26" t="s">
        <v>10411</v>
      </c>
      <c r="Y6" s="26" t="s">
        <v>91</v>
      </c>
      <c r="Z6" s="26" t="s">
        <v>91</v>
      </c>
      <c r="AA6" s="26" t="s">
        <v>172</v>
      </c>
      <c r="AB6" s="31" t="s">
        <v>7</v>
      </c>
      <c r="AC6" s="30" t="s">
        <v>172</v>
      </c>
      <c r="AD6" s="25" t="s">
        <v>172</v>
      </c>
      <c r="AE6" s="25" t="s">
        <v>174</v>
      </c>
      <c r="AF6" s="26" t="s">
        <v>175</v>
      </c>
      <c r="AG6" s="32">
        <f t="shared" si="0"/>
        <v>1</v>
      </c>
      <c r="AH6" s="32">
        <v>1</v>
      </c>
      <c r="AI6" s="32">
        <v>1</v>
      </c>
      <c r="AJ6" s="32">
        <v>1</v>
      </c>
      <c r="AK6" s="30"/>
      <c r="AL6" s="32">
        <f t="shared" si="1"/>
        <v>1</v>
      </c>
      <c r="AM6" s="30"/>
      <c r="AN6" s="32"/>
      <c r="AO6" s="32">
        <v>1</v>
      </c>
      <c r="AP6" s="32">
        <v>1</v>
      </c>
      <c r="AQ6" s="32">
        <v>1</v>
      </c>
      <c r="AR6" s="32">
        <v>1</v>
      </c>
      <c r="AS6" s="32"/>
      <c r="AT6" s="32">
        <v>1</v>
      </c>
      <c r="AU6" s="30" t="s">
        <v>10444</v>
      </c>
      <c r="AV6" s="30"/>
      <c r="AW6" s="30"/>
      <c r="AX6" s="30" t="s">
        <v>10445</v>
      </c>
      <c r="AY6" s="30"/>
      <c r="AZ6" s="75" t="s">
        <v>10446</v>
      </c>
    </row>
    <row r="7" spans="1:52" ht="16.5">
      <c r="A7" s="25" t="s">
        <v>10447</v>
      </c>
      <c r="B7" s="25" t="s">
        <v>4398</v>
      </c>
      <c r="C7" s="25" t="s">
        <v>68</v>
      </c>
      <c r="D7" s="25" t="s">
        <v>10448</v>
      </c>
      <c r="E7" s="258" t="s">
        <v>10449</v>
      </c>
      <c r="F7" s="48" t="s">
        <v>10450</v>
      </c>
      <c r="G7" s="25" t="s">
        <v>3138</v>
      </c>
      <c r="H7" s="25" t="s">
        <v>3138</v>
      </c>
      <c r="I7" s="26" t="s">
        <v>4402</v>
      </c>
      <c r="J7" s="26" t="s">
        <v>9281</v>
      </c>
      <c r="K7" s="62" t="s">
        <v>10407</v>
      </c>
      <c r="L7" s="25" t="s">
        <v>73</v>
      </c>
      <c r="M7" s="25" t="s">
        <v>10451</v>
      </c>
      <c r="N7" s="49" t="s">
        <v>10452</v>
      </c>
      <c r="O7" s="27" t="s">
        <v>10453</v>
      </c>
      <c r="P7" s="28"/>
      <c r="Q7" s="29">
        <v>4</v>
      </c>
      <c r="R7" s="29">
        <v>16</v>
      </c>
      <c r="S7" s="29">
        <v>266.10000000000002</v>
      </c>
      <c r="T7" s="30" t="s">
        <v>88</v>
      </c>
      <c r="U7" s="30" t="s">
        <v>78</v>
      </c>
      <c r="V7" s="30" t="s">
        <v>89</v>
      </c>
      <c r="W7" s="26" t="s">
        <v>9285</v>
      </c>
      <c r="X7" s="26" t="s">
        <v>10411</v>
      </c>
      <c r="Y7" s="26" t="s">
        <v>91</v>
      </c>
      <c r="Z7" s="26" t="s">
        <v>91</v>
      </c>
      <c r="AA7" s="26" t="s">
        <v>172</v>
      </c>
      <c r="AB7" s="31" t="s">
        <v>7</v>
      </c>
      <c r="AC7" s="30" t="s">
        <v>172</v>
      </c>
      <c r="AD7" s="25" t="s">
        <v>172</v>
      </c>
      <c r="AE7" s="25" t="s">
        <v>174</v>
      </c>
      <c r="AF7" s="26" t="s">
        <v>175</v>
      </c>
      <c r="AG7" s="32">
        <f t="shared" si="0"/>
        <v>1</v>
      </c>
      <c r="AH7" s="32">
        <v>1</v>
      </c>
      <c r="AI7" s="32">
        <v>1</v>
      </c>
      <c r="AJ7" s="32">
        <v>1</v>
      </c>
      <c r="AK7" s="30"/>
      <c r="AL7" s="32">
        <f t="shared" si="1"/>
        <v>1</v>
      </c>
      <c r="AM7" s="30"/>
      <c r="AN7" s="32"/>
      <c r="AO7" s="32">
        <v>1</v>
      </c>
      <c r="AP7" s="32">
        <v>1</v>
      </c>
      <c r="AQ7" s="32">
        <v>1</v>
      </c>
      <c r="AR7" s="32">
        <v>1</v>
      </c>
      <c r="AS7" s="32"/>
      <c r="AT7" s="32">
        <v>1</v>
      </c>
      <c r="AU7" s="30" t="s">
        <v>10454</v>
      </c>
      <c r="AV7" s="30"/>
      <c r="AW7" s="30"/>
      <c r="AX7" s="30" t="s">
        <v>10455</v>
      </c>
      <c r="AY7" s="30"/>
      <c r="AZ7" s="75" t="s">
        <v>10456</v>
      </c>
    </row>
    <row r="8" spans="1:52" ht="16.5">
      <c r="A8" s="25" t="s">
        <v>10457</v>
      </c>
      <c r="B8" s="25" t="s">
        <v>4398</v>
      </c>
      <c r="C8" s="25" t="s">
        <v>68</v>
      </c>
      <c r="D8" s="25" t="s">
        <v>10458</v>
      </c>
      <c r="E8" s="258" t="s">
        <v>10459</v>
      </c>
      <c r="F8" s="48" t="s">
        <v>10460</v>
      </c>
      <c r="G8" s="25" t="s">
        <v>3138</v>
      </c>
      <c r="H8" s="25" t="s">
        <v>3138</v>
      </c>
      <c r="I8" s="26" t="s">
        <v>4402</v>
      </c>
      <c r="J8" s="26" t="s">
        <v>9281</v>
      </c>
      <c r="K8" s="62" t="s">
        <v>10407</v>
      </c>
      <c r="L8" s="25" t="s">
        <v>73</v>
      </c>
      <c r="M8" s="25" t="s">
        <v>10461</v>
      </c>
      <c r="N8" s="49" t="s">
        <v>10462</v>
      </c>
      <c r="O8" s="27" t="s">
        <v>10463</v>
      </c>
      <c r="P8" s="28"/>
      <c r="Q8" s="29">
        <v>4</v>
      </c>
      <c r="R8" s="29">
        <v>16</v>
      </c>
      <c r="S8" s="29">
        <v>266.17</v>
      </c>
      <c r="T8" s="30" t="s">
        <v>88</v>
      </c>
      <c r="U8" s="30" t="s">
        <v>78</v>
      </c>
      <c r="V8" s="30" t="s">
        <v>89</v>
      </c>
      <c r="W8" s="26" t="s">
        <v>9285</v>
      </c>
      <c r="X8" s="26" t="s">
        <v>10411</v>
      </c>
      <c r="Y8" s="26" t="s">
        <v>91</v>
      </c>
      <c r="Z8" s="26" t="s">
        <v>91</v>
      </c>
      <c r="AA8" s="26" t="s">
        <v>172</v>
      </c>
      <c r="AB8" s="31" t="s">
        <v>7</v>
      </c>
      <c r="AC8" s="30" t="s">
        <v>172</v>
      </c>
      <c r="AD8" s="25" t="s">
        <v>172</v>
      </c>
      <c r="AE8" s="25" t="s">
        <v>174</v>
      </c>
      <c r="AF8" s="26" t="s">
        <v>175</v>
      </c>
      <c r="AG8" s="32">
        <f t="shared" si="0"/>
        <v>1</v>
      </c>
      <c r="AH8" s="32">
        <v>1</v>
      </c>
      <c r="AI8" s="32">
        <v>1</v>
      </c>
      <c r="AJ8" s="32">
        <v>1</v>
      </c>
      <c r="AK8" s="30"/>
      <c r="AL8" s="32">
        <f t="shared" si="1"/>
        <v>1</v>
      </c>
      <c r="AM8" s="30"/>
      <c r="AN8" s="32"/>
      <c r="AO8" s="32">
        <v>1</v>
      </c>
      <c r="AP8" s="32">
        <v>1</v>
      </c>
      <c r="AQ8" s="32">
        <v>1</v>
      </c>
      <c r="AR8" s="32">
        <v>1</v>
      </c>
      <c r="AS8" s="32"/>
      <c r="AT8" s="32">
        <v>1</v>
      </c>
      <c r="AU8" s="30" t="s">
        <v>10464</v>
      </c>
      <c r="AV8" s="30"/>
      <c r="AW8" s="30"/>
      <c r="AX8" s="30" t="s">
        <v>10465</v>
      </c>
      <c r="AY8" s="30"/>
      <c r="AZ8" s="75" t="s">
        <v>10404</v>
      </c>
    </row>
    <row r="9" spans="1:52" ht="16.5">
      <c r="A9" s="25" t="s">
        <v>10466</v>
      </c>
      <c r="B9" s="25" t="s">
        <v>4398</v>
      </c>
      <c r="C9" s="25" t="s">
        <v>68</v>
      </c>
      <c r="D9" s="25" t="s">
        <v>10467</v>
      </c>
      <c r="E9" s="258" t="s">
        <v>10468</v>
      </c>
      <c r="F9" s="25" t="s">
        <v>10469</v>
      </c>
      <c r="G9" s="25" t="s">
        <v>3138</v>
      </c>
      <c r="H9" s="25" t="s">
        <v>3138</v>
      </c>
      <c r="I9" s="26" t="s">
        <v>4402</v>
      </c>
      <c r="J9" s="26" t="s">
        <v>9281</v>
      </c>
      <c r="K9" s="62" t="s">
        <v>10407</v>
      </c>
      <c r="L9" s="25" t="s">
        <v>73</v>
      </c>
      <c r="M9" s="25" t="s">
        <v>10470</v>
      </c>
      <c r="N9" s="49" t="s">
        <v>10471</v>
      </c>
      <c r="O9" s="27" t="s">
        <v>10472</v>
      </c>
      <c r="P9" s="28"/>
      <c r="Q9" s="29">
        <v>4</v>
      </c>
      <c r="R9" s="29">
        <v>16</v>
      </c>
      <c r="S9" s="29">
        <v>266.14999999999998</v>
      </c>
      <c r="T9" s="30" t="s">
        <v>88</v>
      </c>
      <c r="U9" s="30" t="s">
        <v>78</v>
      </c>
      <c r="V9" s="30" t="s">
        <v>89</v>
      </c>
      <c r="W9" s="26" t="s">
        <v>9285</v>
      </c>
      <c r="X9" s="26" t="s">
        <v>10411</v>
      </c>
      <c r="Y9" s="26" t="s">
        <v>91</v>
      </c>
      <c r="Z9" s="26" t="s">
        <v>91</v>
      </c>
      <c r="AA9" s="26" t="s">
        <v>172</v>
      </c>
      <c r="AB9" s="31" t="s">
        <v>7</v>
      </c>
      <c r="AC9" s="30" t="s">
        <v>172</v>
      </c>
      <c r="AD9" s="25" t="s">
        <v>172</v>
      </c>
      <c r="AE9" s="25" t="s">
        <v>174</v>
      </c>
      <c r="AF9" s="26" t="s">
        <v>175</v>
      </c>
      <c r="AG9" s="32">
        <f t="shared" si="0"/>
        <v>1</v>
      </c>
      <c r="AH9" s="32">
        <v>1</v>
      </c>
      <c r="AI9" s="32">
        <v>1</v>
      </c>
      <c r="AJ9" s="32">
        <v>1</v>
      </c>
      <c r="AK9" s="30"/>
      <c r="AL9" s="32">
        <f t="shared" si="1"/>
        <v>1</v>
      </c>
      <c r="AM9" s="30"/>
      <c r="AN9" s="32"/>
      <c r="AO9" s="32">
        <v>1</v>
      </c>
      <c r="AP9" s="32">
        <v>1</v>
      </c>
      <c r="AQ9" s="32">
        <v>1</v>
      </c>
      <c r="AR9" s="32">
        <v>1</v>
      </c>
      <c r="AS9" s="32"/>
      <c r="AT9" s="32">
        <v>1</v>
      </c>
      <c r="AU9" s="30"/>
      <c r="AV9" s="30"/>
      <c r="AW9" s="30"/>
      <c r="AX9" s="30" t="s">
        <v>10473</v>
      </c>
      <c r="AY9" s="30"/>
      <c r="AZ9" s="75" t="s">
        <v>10414</v>
      </c>
    </row>
    <row r="10" spans="1:52" ht="16.5">
      <c r="A10" s="25" t="s">
        <v>10474</v>
      </c>
      <c r="B10" s="25" t="s">
        <v>4398</v>
      </c>
      <c r="C10" s="25" t="s">
        <v>68</v>
      </c>
      <c r="D10" s="25" t="s">
        <v>10475</v>
      </c>
      <c r="E10" s="258" t="s">
        <v>10476</v>
      </c>
      <c r="F10" s="25" t="s">
        <v>10477</v>
      </c>
      <c r="G10" s="25" t="s">
        <v>3138</v>
      </c>
      <c r="H10" s="25" t="s">
        <v>3138</v>
      </c>
      <c r="I10" s="26" t="s">
        <v>4402</v>
      </c>
      <c r="J10" s="26" t="s">
        <v>9281</v>
      </c>
      <c r="K10" s="62" t="s">
        <v>10407</v>
      </c>
      <c r="L10" s="25" t="s">
        <v>73</v>
      </c>
      <c r="M10" s="25" t="s">
        <v>10435</v>
      </c>
      <c r="N10" s="49" t="s">
        <v>10478</v>
      </c>
      <c r="O10" s="27" t="s">
        <v>10479</v>
      </c>
      <c r="P10" s="28"/>
      <c r="Q10" s="29">
        <v>4</v>
      </c>
      <c r="R10" s="29">
        <v>16</v>
      </c>
      <c r="S10" s="29">
        <v>266.10000000000002</v>
      </c>
      <c r="T10" s="30" t="s">
        <v>88</v>
      </c>
      <c r="U10" s="30" t="s">
        <v>78</v>
      </c>
      <c r="V10" s="30" t="s">
        <v>89</v>
      </c>
      <c r="W10" s="26" t="s">
        <v>9285</v>
      </c>
      <c r="X10" s="26" t="s">
        <v>10411</v>
      </c>
      <c r="Y10" s="26" t="s">
        <v>91</v>
      </c>
      <c r="Z10" s="26" t="s">
        <v>91</v>
      </c>
      <c r="AA10" s="26" t="s">
        <v>172</v>
      </c>
      <c r="AB10" s="31" t="s">
        <v>7</v>
      </c>
      <c r="AC10" s="30" t="s">
        <v>172</v>
      </c>
      <c r="AD10" s="25" t="s">
        <v>172</v>
      </c>
      <c r="AE10" s="25" t="s">
        <v>174</v>
      </c>
      <c r="AF10" s="26" t="s">
        <v>175</v>
      </c>
      <c r="AG10" s="32">
        <f t="shared" si="0"/>
        <v>1</v>
      </c>
      <c r="AH10" s="32">
        <v>1</v>
      </c>
      <c r="AI10" s="32">
        <v>1</v>
      </c>
      <c r="AJ10" s="32">
        <v>1</v>
      </c>
      <c r="AK10" s="30"/>
      <c r="AL10" s="32">
        <f t="shared" si="1"/>
        <v>1</v>
      </c>
      <c r="AM10" s="30"/>
      <c r="AN10" s="32"/>
      <c r="AO10" s="32">
        <v>1</v>
      </c>
      <c r="AP10" s="32">
        <v>1</v>
      </c>
      <c r="AQ10" s="32">
        <v>1</v>
      </c>
      <c r="AR10" s="32">
        <v>1</v>
      </c>
      <c r="AS10" s="32"/>
      <c r="AT10" s="32">
        <v>1</v>
      </c>
      <c r="AU10" s="30"/>
      <c r="AV10" s="30"/>
      <c r="AW10" s="30"/>
      <c r="AX10" s="30" t="s">
        <v>10408</v>
      </c>
      <c r="AY10" s="30"/>
      <c r="AZ10" s="75" t="s">
        <v>10480</v>
      </c>
    </row>
    <row r="11" spans="1:52" ht="16.5">
      <c r="A11" s="25" t="s">
        <v>10481</v>
      </c>
      <c r="B11" s="25" t="s">
        <v>4398</v>
      </c>
      <c r="C11" s="25" t="s">
        <v>68</v>
      </c>
      <c r="D11" s="25" t="s">
        <v>10482</v>
      </c>
      <c r="E11" s="258" t="s">
        <v>10483</v>
      </c>
      <c r="F11" s="25" t="s">
        <v>10484</v>
      </c>
      <c r="G11" s="25" t="s">
        <v>3138</v>
      </c>
      <c r="H11" s="25" t="s">
        <v>3138</v>
      </c>
      <c r="I11" s="26" t="s">
        <v>4402</v>
      </c>
      <c r="J11" s="26" t="s">
        <v>9281</v>
      </c>
      <c r="K11" s="62" t="s">
        <v>10407</v>
      </c>
      <c r="L11" s="25" t="s">
        <v>73</v>
      </c>
      <c r="M11" s="25" t="s">
        <v>10485</v>
      </c>
      <c r="N11" s="49" t="s">
        <v>10486</v>
      </c>
      <c r="O11" s="27" t="s">
        <v>10487</v>
      </c>
      <c r="P11" s="28"/>
      <c r="Q11" s="29">
        <v>8</v>
      </c>
      <c r="R11" s="29">
        <v>32</v>
      </c>
      <c r="S11" s="29">
        <v>323.11</v>
      </c>
      <c r="T11" s="30" t="s">
        <v>88</v>
      </c>
      <c r="U11" s="30" t="s">
        <v>78</v>
      </c>
      <c r="V11" s="30" t="s">
        <v>89</v>
      </c>
      <c r="W11" s="26" t="s">
        <v>9285</v>
      </c>
      <c r="X11" s="26" t="s">
        <v>10411</v>
      </c>
      <c r="Y11" s="26" t="s">
        <v>91</v>
      </c>
      <c r="Z11" s="26" t="s">
        <v>91</v>
      </c>
      <c r="AA11" s="26" t="s">
        <v>172</v>
      </c>
      <c r="AB11" s="31" t="s">
        <v>7</v>
      </c>
      <c r="AC11" s="30" t="s">
        <v>172</v>
      </c>
      <c r="AD11" s="25" t="s">
        <v>172</v>
      </c>
      <c r="AE11" s="25" t="s">
        <v>174</v>
      </c>
      <c r="AF11" s="26" t="s">
        <v>175</v>
      </c>
      <c r="AG11" s="32">
        <f t="shared" si="0"/>
        <v>1</v>
      </c>
      <c r="AH11" s="32">
        <v>1</v>
      </c>
      <c r="AI11" s="32">
        <v>1</v>
      </c>
      <c r="AJ11" s="32">
        <v>1</v>
      </c>
      <c r="AK11" s="30"/>
      <c r="AL11" s="32">
        <f t="shared" si="1"/>
        <v>1</v>
      </c>
      <c r="AM11" s="30"/>
      <c r="AN11" s="32"/>
      <c r="AO11" s="32">
        <v>1</v>
      </c>
      <c r="AP11" s="32">
        <v>1</v>
      </c>
      <c r="AQ11" s="32">
        <v>1</v>
      </c>
      <c r="AR11" s="32">
        <v>1</v>
      </c>
      <c r="AS11" s="32"/>
      <c r="AT11" s="32">
        <v>1</v>
      </c>
      <c r="AU11" s="30"/>
      <c r="AV11" s="30"/>
      <c r="AW11" s="30"/>
      <c r="AX11" s="30" t="s">
        <v>10417</v>
      </c>
      <c r="AY11" s="30"/>
      <c r="AZ11" s="75" t="s">
        <v>10482</v>
      </c>
    </row>
    <row r="12" spans="1:52" ht="16.5">
      <c r="A12" s="25" t="s">
        <v>10488</v>
      </c>
      <c r="B12" s="25" t="s">
        <v>4398</v>
      </c>
      <c r="C12" s="25" t="s">
        <v>68</v>
      </c>
      <c r="D12" s="25" t="s">
        <v>10480</v>
      </c>
      <c r="E12" s="258" t="s">
        <v>10489</v>
      </c>
      <c r="F12" s="25" t="s">
        <v>10490</v>
      </c>
      <c r="G12" s="25" t="s">
        <v>3138</v>
      </c>
      <c r="H12" s="25" t="s">
        <v>3138</v>
      </c>
      <c r="I12" s="26" t="s">
        <v>4402</v>
      </c>
      <c r="J12" s="26" t="s">
        <v>9281</v>
      </c>
      <c r="K12" s="62" t="s">
        <v>10407</v>
      </c>
      <c r="L12" s="25" t="s">
        <v>73</v>
      </c>
      <c r="M12" s="25" t="s">
        <v>10491</v>
      </c>
      <c r="N12" s="49" t="s">
        <v>10492</v>
      </c>
      <c r="O12" s="27" t="s">
        <v>10493</v>
      </c>
      <c r="P12" s="28"/>
      <c r="Q12" s="29">
        <v>4</v>
      </c>
      <c r="R12" s="29">
        <v>16</v>
      </c>
      <c r="S12" s="29">
        <v>386.48</v>
      </c>
      <c r="T12" s="30" t="s">
        <v>88</v>
      </c>
      <c r="U12" s="30" t="s">
        <v>78</v>
      </c>
      <c r="V12" s="30" t="s">
        <v>89</v>
      </c>
      <c r="W12" s="26" t="s">
        <v>9285</v>
      </c>
      <c r="X12" s="26" t="s">
        <v>10411</v>
      </c>
      <c r="Y12" s="26" t="s">
        <v>91</v>
      </c>
      <c r="Z12" s="26" t="s">
        <v>91</v>
      </c>
      <c r="AA12" s="26" t="s">
        <v>172</v>
      </c>
      <c r="AB12" s="31" t="s">
        <v>7</v>
      </c>
      <c r="AC12" s="30" t="s">
        <v>172</v>
      </c>
      <c r="AD12" s="25" t="s">
        <v>172</v>
      </c>
      <c r="AE12" s="25" t="s">
        <v>174</v>
      </c>
      <c r="AF12" s="26" t="s">
        <v>175</v>
      </c>
      <c r="AG12" s="32">
        <f t="shared" si="0"/>
        <v>1</v>
      </c>
      <c r="AH12" s="32">
        <v>1</v>
      </c>
      <c r="AI12" s="32">
        <v>1</v>
      </c>
      <c r="AJ12" s="32">
        <v>1</v>
      </c>
      <c r="AK12" s="30"/>
      <c r="AL12" s="32">
        <f t="shared" si="1"/>
        <v>1</v>
      </c>
      <c r="AM12" s="30"/>
      <c r="AN12" s="32"/>
      <c r="AO12" s="32">
        <v>1</v>
      </c>
      <c r="AP12" s="32">
        <v>1</v>
      </c>
      <c r="AQ12" s="32">
        <v>1</v>
      </c>
      <c r="AR12" s="32">
        <v>1</v>
      </c>
      <c r="AS12" s="32"/>
      <c r="AT12" s="32">
        <v>1</v>
      </c>
      <c r="AU12" s="30"/>
      <c r="AV12" s="30"/>
      <c r="AW12" s="30"/>
      <c r="AX12" s="30" t="s">
        <v>10491</v>
      </c>
      <c r="AY12" s="30"/>
      <c r="AZ12" s="75" t="s">
        <v>10494</v>
      </c>
    </row>
    <row r="13" spans="1:52" ht="16.5">
      <c r="A13" s="25" t="s">
        <v>10495</v>
      </c>
      <c r="B13" s="25" t="s">
        <v>4398</v>
      </c>
      <c r="C13" s="25" t="s">
        <v>68</v>
      </c>
      <c r="D13" s="25" t="s">
        <v>10494</v>
      </c>
      <c r="E13" s="258" t="s">
        <v>10496</v>
      </c>
      <c r="F13" s="25" t="s">
        <v>10497</v>
      </c>
      <c r="G13" s="25" t="s">
        <v>3138</v>
      </c>
      <c r="H13" s="25" t="s">
        <v>3138</v>
      </c>
      <c r="I13" s="26" t="s">
        <v>4402</v>
      </c>
      <c r="J13" s="26" t="s">
        <v>9281</v>
      </c>
      <c r="K13" s="62" t="s">
        <v>10407</v>
      </c>
      <c r="L13" s="25" t="s">
        <v>73</v>
      </c>
      <c r="M13" s="25" t="s">
        <v>10498</v>
      </c>
      <c r="N13" s="49" t="s">
        <v>10499</v>
      </c>
      <c r="O13" s="27" t="s">
        <v>10500</v>
      </c>
      <c r="P13" s="28"/>
      <c r="Q13" s="29">
        <v>4</v>
      </c>
      <c r="R13" s="29">
        <v>16</v>
      </c>
      <c r="S13" s="29">
        <v>286.11</v>
      </c>
      <c r="T13" s="30" t="s">
        <v>88</v>
      </c>
      <c r="U13" s="30" t="s">
        <v>78</v>
      </c>
      <c r="V13" s="30" t="s">
        <v>89</v>
      </c>
      <c r="W13" s="26" t="s">
        <v>9285</v>
      </c>
      <c r="X13" s="26" t="s">
        <v>10411</v>
      </c>
      <c r="Y13" s="26" t="s">
        <v>91</v>
      </c>
      <c r="Z13" s="26" t="s">
        <v>91</v>
      </c>
      <c r="AA13" s="26" t="s">
        <v>172</v>
      </c>
      <c r="AB13" s="31" t="s">
        <v>7</v>
      </c>
      <c r="AC13" s="30" t="s">
        <v>172</v>
      </c>
      <c r="AD13" s="25" t="s">
        <v>172</v>
      </c>
      <c r="AE13" s="25" t="s">
        <v>174</v>
      </c>
      <c r="AF13" s="26" t="s">
        <v>175</v>
      </c>
      <c r="AG13" s="32">
        <f t="shared" si="0"/>
        <v>1</v>
      </c>
      <c r="AH13" s="32">
        <v>1</v>
      </c>
      <c r="AI13" s="32">
        <v>1</v>
      </c>
      <c r="AJ13" s="32">
        <v>1</v>
      </c>
      <c r="AK13" s="30"/>
      <c r="AL13" s="32">
        <f t="shared" si="1"/>
        <v>1</v>
      </c>
      <c r="AM13" s="30"/>
      <c r="AN13" s="32"/>
      <c r="AO13" s="32">
        <v>1</v>
      </c>
      <c r="AP13" s="32">
        <v>1</v>
      </c>
      <c r="AQ13" s="32">
        <v>1</v>
      </c>
      <c r="AR13" s="32">
        <v>1</v>
      </c>
      <c r="AS13" s="32"/>
      <c r="AT13" s="32">
        <v>1</v>
      </c>
      <c r="AU13" s="30"/>
      <c r="AV13" s="30"/>
      <c r="AW13" s="30"/>
      <c r="AX13" s="30" t="s">
        <v>10485</v>
      </c>
      <c r="AY13" s="30"/>
      <c r="AZ13" s="75" t="s">
        <v>10501</v>
      </c>
    </row>
    <row r="14" spans="1:52" ht="16.5">
      <c r="A14" s="25" t="s">
        <v>10502</v>
      </c>
      <c r="B14" s="25" t="s">
        <v>4398</v>
      </c>
      <c r="C14" s="25" t="s">
        <v>73</v>
      </c>
      <c r="D14" s="25" t="s">
        <v>10503</v>
      </c>
      <c r="E14" s="258" t="s">
        <v>10504</v>
      </c>
      <c r="F14" s="25" t="s">
        <v>10505</v>
      </c>
      <c r="G14" s="25" t="s">
        <v>3138</v>
      </c>
      <c r="H14" s="25" t="s">
        <v>3138</v>
      </c>
      <c r="I14" s="26" t="s">
        <v>4402</v>
      </c>
      <c r="J14" s="26" t="s">
        <v>9281</v>
      </c>
      <c r="K14" s="62" t="s">
        <v>10407</v>
      </c>
      <c r="L14" s="25" t="s">
        <v>73</v>
      </c>
      <c r="M14" s="25" t="s">
        <v>10420</v>
      </c>
      <c r="N14" s="49" t="s">
        <v>10506</v>
      </c>
      <c r="O14" s="27" t="s">
        <v>10507</v>
      </c>
      <c r="P14" s="28"/>
      <c r="Q14" s="53">
        <v>8</v>
      </c>
      <c r="R14" s="76" t="s">
        <v>9030</v>
      </c>
      <c r="S14" s="76" t="s">
        <v>10508</v>
      </c>
      <c r="T14" s="30" t="s">
        <v>88</v>
      </c>
      <c r="U14" s="30" t="s">
        <v>78</v>
      </c>
      <c r="V14" s="30" t="s">
        <v>89</v>
      </c>
      <c r="W14" s="26" t="s">
        <v>9285</v>
      </c>
      <c r="X14" s="26" t="s">
        <v>10411</v>
      </c>
      <c r="Y14" s="26" t="s">
        <v>91</v>
      </c>
      <c r="Z14" s="26" t="s">
        <v>91</v>
      </c>
      <c r="AA14" s="26" t="s">
        <v>172</v>
      </c>
      <c r="AB14" s="31" t="s">
        <v>7</v>
      </c>
      <c r="AC14" s="30" t="s">
        <v>172</v>
      </c>
      <c r="AD14" s="25" t="s">
        <v>4423</v>
      </c>
      <c r="AE14" s="25" t="s">
        <v>172</v>
      </c>
      <c r="AF14" s="26" t="s">
        <v>175</v>
      </c>
      <c r="AG14" s="32">
        <f t="shared" si="0"/>
        <v>1</v>
      </c>
      <c r="AH14" s="32">
        <v>1</v>
      </c>
      <c r="AI14" s="32">
        <v>1</v>
      </c>
      <c r="AJ14" s="32">
        <v>1</v>
      </c>
      <c r="AK14" s="30"/>
      <c r="AL14" s="32">
        <f t="shared" si="1"/>
        <v>1</v>
      </c>
      <c r="AM14" s="30"/>
      <c r="AN14" s="32"/>
      <c r="AO14" s="32">
        <v>1</v>
      </c>
      <c r="AP14" s="32">
        <v>1</v>
      </c>
      <c r="AQ14" s="32">
        <v>1</v>
      </c>
      <c r="AR14" s="32">
        <v>1</v>
      </c>
      <c r="AS14" s="34" t="s">
        <v>10509</v>
      </c>
      <c r="AT14" s="32">
        <v>1</v>
      </c>
      <c r="AU14" s="30"/>
      <c r="AV14" s="30"/>
      <c r="AW14" s="30"/>
      <c r="AX14" s="30" t="s">
        <v>10498</v>
      </c>
      <c r="AY14" s="30"/>
      <c r="AZ14" s="75" t="s">
        <v>10510</v>
      </c>
    </row>
    <row r="15" spans="1:52" ht="16.5">
      <c r="A15" s="25" t="s">
        <v>10511</v>
      </c>
      <c r="B15" s="25" t="s">
        <v>4398</v>
      </c>
      <c r="C15" s="25" t="s">
        <v>68</v>
      </c>
      <c r="D15" s="25" t="s">
        <v>10456</v>
      </c>
      <c r="E15" s="258" t="s">
        <v>10512</v>
      </c>
      <c r="F15" s="25" t="s">
        <v>10513</v>
      </c>
      <c r="G15" s="25" t="s">
        <v>3138</v>
      </c>
      <c r="H15" s="25" t="s">
        <v>3138</v>
      </c>
      <c r="I15" s="26" t="s">
        <v>4402</v>
      </c>
      <c r="J15" s="26" t="s">
        <v>9281</v>
      </c>
      <c r="K15" s="62" t="s">
        <v>10407</v>
      </c>
      <c r="L15" s="25" t="s">
        <v>73</v>
      </c>
      <c r="M15" s="25" t="s">
        <v>10473</v>
      </c>
      <c r="N15" s="49" t="s">
        <v>10514</v>
      </c>
      <c r="O15" s="27" t="s">
        <v>10515</v>
      </c>
      <c r="P15" s="28"/>
      <c r="Q15" s="29">
        <v>8</v>
      </c>
      <c r="R15" s="29">
        <v>32</v>
      </c>
      <c r="S15" s="29">
        <v>323.19</v>
      </c>
      <c r="T15" s="30" t="s">
        <v>88</v>
      </c>
      <c r="U15" s="30" t="s">
        <v>78</v>
      </c>
      <c r="V15" s="30" t="s">
        <v>89</v>
      </c>
      <c r="W15" s="26" t="s">
        <v>9285</v>
      </c>
      <c r="X15" s="26" t="s">
        <v>10411</v>
      </c>
      <c r="Y15" s="26" t="s">
        <v>91</v>
      </c>
      <c r="Z15" s="26" t="s">
        <v>91</v>
      </c>
      <c r="AA15" s="26" t="s">
        <v>172</v>
      </c>
      <c r="AB15" s="31" t="s">
        <v>7</v>
      </c>
      <c r="AC15" s="30" t="s">
        <v>172</v>
      </c>
      <c r="AD15" s="25" t="s">
        <v>172</v>
      </c>
      <c r="AE15" s="25" t="s">
        <v>174</v>
      </c>
      <c r="AF15" s="26" t="s">
        <v>175</v>
      </c>
      <c r="AG15" s="32">
        <f t="shared" si="0"/>
        <v>1</v>
      </c>
      <c r="AH15" s="32">
        <v>1</v>
      </c>
      <c r="AI15" s="32">
        <v>1</v>
      </c>
      <c r="AJ15" s="32">
        <v>1</v>
      </c>
      <c r="AK15" s="30"/>
      <c r="AL15" s="32">
        <f t="shared" si="1"/>
        <v>1</v>
      </c>
      <c r="AM15" s="30"/>
      <c r="AN15" s="32"/>
      <c r="AO15" s="32">
        <v>1</v>
      </c>
      <c r="AP15" s="32">
        <v>1</v>
      </c>
      <c r="AQ15" s="32">
        <v>1</v>
      </c>
      <c r="AR15" s="32">
        <v>1</v>
      </c>
      <c r="AS15" s="32"/>
      <c r="AT15" s="32">
        <v>1</v>
      </c>
      <c r="AU15" s="30"/>
      <c r="AV15" s="30"/>
      <c r="AW15" s="30"/>
      <c r="AX15" s="30" t="s">
        <v>10516</v>
      </c>
      <c r="AY15" s="30"/>
      <c r="AZ15" s="75" t="s">
        <v>10517</v>
      </c>
    </row>
    <row r="16" spans="1:52" ht="16.5">
      <c r="A16" s="25" t="s">
        <v>10518</v>
      </c>
      <c r="B16" s="25" t="s">
        <v>4398</v>
      </c>
      <c r="C16" s="25" t="s">
        <v>68</v>
      </c>
      <c r="D16" s="25" t="s">
        <v>10446</v>
      </c>
      <c r="E16" s="258" t="s">
        <v>10519</v>
      </c>
      <c r="F16" s="25" t="s">
        <v>10520</v>
      </c>
      <c r="G16" s="25" t="s">
        <v>3138</v>
      </c>
      <c r="H16" s="25" t="s">
        <v>3138</v>
      </c>
      <c r="I16" s="26" t="s">
        <v>4402</v>
      </c>
      <c r="J16" s="26" t="s">
        <v>9281</v>
      </c>
      <c r="K16" s="62" t="s">
        <v>10407</v>
      </c>
      <c r="L16" s="25" t="s">
        <v>73</v>
      </c>
      <c r="M16" s="25" t="s">
        <v>10521</v>
      </c>
      <c r="N16" s="49" t="s">
        <v>10522</v>
      </c>
      <c r="O16" s="27" t="s">
        <v>10523</v>
      </c>
      <c r="P16" s="28"/>
      <c r="Q16" s="29">
        <v>8</v>
      </c>
      <c r="R16" s="29">
        <v>32</v>
      </c>
      <c r="S16" s="29">
        <v>333.2</v>
      </c>
      <c r="T16" s="30" t="s">
        <v>88</v>
      </c>
      <c r="U16" s="30" t="s">
        <v>78</v>
      </c>
      <c r="V16" s="30" t="s">
        <v>89</v>
      </c>
      <c r="W16" s="26" t="s">
        <v>9285</v>
      </c>
      <c r="X16" s="26" t="s">
        <v>10411</v>
      </c>
      <c r="Y16" s="26" t="s">
        <v>91</v>
      </c>
      <c r="Z16" s="26" t="s">
        <v>91</v>
      </c>
      <c r="AA16" s="26" t="s">
        <v>172</v>
      </c>
      <c r="AB16" s="31" t="s">
        <v>7</v>
      </c>
      <c r="AC16" s="30" t="s">
        <v>172</v>
      </c>
      <c r="AD16" s="25" t="s">
        <v>172</v>
      </c>
      <c r="AE16" s="25" t="s">
        <v>174</v>
      </c>
      <c r="AF16" s="26" t="s">
        <v>175</v>
      </c>
      <c r="AG16" s="32">
        <f t="shared" si="0"/>
        <v>1</v>
      </c>
      <c r="AH16" s="32">
        <v>1</v>
      </c>
      <c r="AI16" s="32">
        <v>1</v>
      </c>
      <c r="AJ16" s="32">
        <v>1</v>
      </c>
      <c r="AK16" s="30"/>
      <c r="AL16" s="32">
        <f t="shared" si="1"/>
        <v>1</v>
      </c>
      <c r="AM16" s="30"/>
      <c r="AN16" s="32"/>
      <c r="AO16" s="32">
        <v>1</v>
      </c>
      <c r="AP16" s="32">
        <v>1</v>
      </c>
      <c r="AQ16" s="32">
        <v>1</v>
      </c>
      <c r="AR16" s="32">
        <v>1</v>
      </c>
      <c r="AS16" s="32"/>
      <c r="AT16" s="32">
        <v>1</v>
      </c>
      <c r="AU16" s="30"/>
      <c r="AV16" s="30"/>
      <c r="AW16" s="30"/>
      <c r="AX16" s="30" t="s">
        <v>10524</v>
      </c>
      <c r="AY16" s="30"/>
      <c r="AZ16" s="75" t="s">
        <v>10475</v>
      </c>
    </row>
    <row r="17" spans="1:52" ht="16.5">
      <c r="A17" s="25" t="s">
        <v>10525</v>
      </c>
      <c r="B17" s="25" t="s">
        <v>4398</v>
      </c>
      <c r="C17" s="25" t="s">
        <v>68</v>
      </c>
      <c r="D17" s="25" t="s">
        <v>10436</v>
      </c>
      <c r="E17" s="258" t="s">
        <v>10526</v>
      </c>
      <c r="F17" s="25" t="s">
        <v>10527</v>
      </c>
      <c r="G17" s="25" t="s">
        <v>3138</v>
      </c>
      <c r="H17" s="25" t="s">
        <v>3138</v>
      </c>
      <c r="I17" s="26" t="s">
        <v>4402</v>
      </c>
      <c r="J17" s="26" t="s">
        <v>9281</v>
      </c>
      <c r="K17" s="62" t="s">
        <v>10407</v>
      </c>
      <c r="L17" s="25" t="s">
        <v>73</v>
      </c>
      <c r="M17" s="25" t="s">
        <v>10465</v>
      </c>
      <c r="N17" s="49" t="s">
        <v>10528</v>
      </c>
      <c r="O17" s="27" t="s">
        <v>10529</v>
      </c>
      <c r="P17" s="28"/>
      <c r="Q17" s="29">
        <v>8</v>
      </c>
      <c r="R17" s="29">
        <v>32</v>
      </c>
      <c r="S17" s="29">
        <v>332.23</v>
      </c>
      <c r="T17" s="30" t="s">
        <v>88</v>
      </c>
      <c r="U17" s="30" t="s">
        <v>78</v>
      </c>
      <c r="V17" s="30" t="s">
        <v>89</v>
      </c>
      <c r="W17" s="26" t="s">
        <v>9285</v>
      </c>
      <c r="X17" s="26" t="s">
        <v>10411</v>
      </c>
      <c r="Y17" s="26" t="s">
        <v>91</v>
      </c>
      <c r="Z17" s="26" t="s">
        <v>91</v>
      </c>
      <c r="AA17" s="26" t="s">
        <v>172</v>
      </c>
      <c r="AB17" s="31" t="s">
        <v>7</v>
      </c>
      <c r="AC17" s="30" t="s">
        <v>172</v>
      </c>
      <c r="AD17" s="25" t="s">
        <v>172</v>
      </c>
      <c r="AE17" s="25" t="s">
        <v>174</v>
      </c>
      <c r="AF17" s="26" t="s">
        <v>175</v>
      </c>
      <c r="AG17" s="32">
        <f t="shared" si="0"/>
        <v>1</v>
      </c>
      <c r="AH17" s="32">
        <v>1</v>
      </c>
      <c r="AI17" s="32">
        <v>1</v>
      </c>
      <c r="AJ17" s="32">
        <v>1</v>
      </c>
      <c r="AK17" s="30"/>
      <c r="AL17" s="32">
        <f t="shared" si="1"/>
        <v>1</v>
      </c>
      <c r="AM17" s="30"/>
      <c r="AN17" s="32"/>
      <c r="AO17" s="32">
        <v>1</v>
      </c>
      <c r="AP17" s="32">
        <v>1</v>
      </c>
      <c r="AQ17" s="32">
        <v>1</v>
      </c>
      <c r="AR17" s="32">
        <v>1</v>
      </c>
      <c r="AS17" s="32"/>
      <c r="AT17" s="32">
        <v>1</v>
      </c>
      <c r="AU17" s="30"/>
      <c r="AV17" s="30"/>
      <c r="AW17" s="30"/>
      <c r="AX17" s="30" t="s">
        <v>10441</v>
      </c>
      <c r="AY17" s="30"/>
      <c r="AZ17" s="75" t="s">
        <v>10438</v>
      </c>
    </row>
    <row r="18" spans="1:52" ht="16.5">
      <c r="A18" s="25" t="s">
        <v>10530</v>
      </c>
      <c r="B18" s="25" t="s">
        <v>4398</v>
      </c>
      <c r="C18" s="25" t="s">
        <v>68</v>
      </c>
      <c r="D18" s="25" t="s">
        <v>10517</v>
      </c>
      <c r="E18" s="258" t="s">
        <v>10531</v>
      </c>
      <c r="F18" s="25" t="s">
        <v>10532</v>
      </c>
      <c r="G18" s="25" t="s">
        <v>3138</v>
      </c>
      <c r="H18" s="25" t="s">
        <v>3138</v>
      </c>
      <c r="I18" s="26" t="s">
        <v>4402</v>
      </c>
      <c r="J18" s="26" t="s">
        <v>9281</v>
      </c>
      <c r="K18" s="62" t="s">
        <v>10407</v>
      </c>
      <c r="L18" s="25" t="s">
        <v>73</v>
      </c>
      <c r="M18" s="25" t="s">
        <v>10533</v>
      </c>
      <c r="N18" s="49" t="s">
        <v>10534</v>
      </c>
      <c r="O18" s="27" t="s">
        <v>10535</v>
      </c>
      <c r="P18" s="28"/>
      <c r="Q18" s="29">
        <v>4</v>
      </c>
      <c r="R18" s="29">
        <v>16</v>
      </c>
      <c r="S18" s="29">
        <v>266.12</v>
      </c>
      <c r="T18" s="30" t="s">
        <v>88</v>
      </c>
      <c r="U18" s="30" t="s">
        <v>78</v>
      </c>
      <c r="V18" s="30" t="s">
        <v>89</v>
      </c>
      <c r="W18" s="26" t="s">
        <v>9285</v>
      </c>
      <c r="X18" s="26" t="s">
        <v>10411</v>
      </c>
      <c r="Y18" s="26" t="s">
        <v>91</v>
      </c>
      <c r="Z18" s="26" t="s">
        <v>91</v>
      </c>
      <c r="AA18" s="26" t="s">
        <v>172</v>
      </c>
      <c r="AB18" s="31" t="s">
        <v>7</v>
      </c>
      <c r="AC18" s="30" t="s">
        <v>172</v>
      </c>
      <c r="AD18" s="25" t="s">
        <v>172</v>
      </c>
      <c r="AE18" s="25" t="s">
        <v>174</v>
      </c>
      <c r="AF18" s="26" t="s">
        <v>175</v>
      </c>
      <c r="AG18" s="32">
        <f t="shared" si="0"/>
        <v>1</v>
      </c>
      <c r="AH18" s="32">
        <v>1</v>
      </c>
      <c r="AI18" s="32">
        <v>1</v>
      </c>
      <c r="AJ18" s="32">
        <v>1</v>
      </c>
      <c r="AK18" s="30"/>
      <c r="AL18" s="32">
        <f t="shared" si="1"/>
        <v>1</v>
      </c>
      <c r="AM18" s="30"/>
      <c r="AN18" s="32"/>
      <c r="AO18" s="32">
        <v>1</v>
      </c>
      <c r="AP18" s="32">
        <v>1</v>
      </c>
      <c r="AQ18" s="32">
        <v>1</v>
      </c>
      <c r="AR18" s="32">
        <v>1</v>
      </c>
      <c r="AS18" s="32"/>
      <c r="AT18" s="32">
        <v>1</v>
      </c>
      <c r="AU18" s="30"/>
      <c r="AV18" s="30"/>
      <c r="AW18" s="30"/>
      <c r="AX18" s="30" t="s">
        <v>10470</v>
      </c>
      <c r="AY18" s="30"/>
      <c r="AZ18" s="75" t="s">
        <v>10467</v>
      </c>
    </row>
    <row r="19" spans="1:52" ht="16.5">
      <c r="A19" s="25" t="s">
        <v>10536</v>
      </c>
      <c r="B19" s="25" t="s">
        <v>4398</v>
      </c>
      <c r="C19" s="25" t="s">
        <v>68</v>
      </c>
      <c r="D19" s="25" t="s">
        <v>10510</v>
      </c>
      <c r="E19" s="258" t="s">
        <v>10537</v>
      </c>
      <c r="F19" s="25" t="s">
        <v>10538</v>
      </c>
      <c r="G19" s="25" t="s">
        <v>3138</v>
      </c>
      <c r="H19" s="25" t="s">
        <v>3138</v>
      </c>
      <c r="I19" s="26" t="s">
        <v>4402</v>
      </c>
      <c r="J19" s="26" t="s">
        <v>9281</v>
      </c>
      <c r="K19" s="62" t="s">
        <v>10407</v>
      </c>
      <c r="L19" s="25" t="s">
        <v>73</v>
      </c>
      <c r="M19" s="25" t="s">
        <v>10427</v>
      </c>
      <c r="N19" s="49" t="s">
        <v>10539</v>
      </c>
      <c r="O19" s="27" t="s">
        <v>10540</v>
      </c>
      <c r="P19" s="28"/>
      <c r="Q19" s="29">
        <v>4</v>
      </c>
      <c r="R19" s="29">
        <v>16</v>
      </c>
      <c r="S19" s="29">
        <v>266.12</v>
      </c>
      <c r="T19" s="30" t="s">
        <v>88</v>
      </c>
      <c r="U19" s="30" t="s">
        <v>78</v>
      </c>
      <c r="V19" s="30" t="s">
        <v>89</v>
      </c>
      <c r="W19" s="26" t="s">
        <v>9285</v>
      </c>
      <c r="X19" s="26" t="s">
        <v>10411</v>
      </c>
      <c r="Y19" s="26" t="s">
        <v>91</v>
      </c>
      <c r="Z19" s="26" t="s">
        <v>91</v>
      </c>
      <c r="AA19" s="26" t="s">
        <v>172</v>
      </c>
      <c r="AB19" s="31" t="s">
        <v>7</v>
      </c>
      <c r="AC19" s="30" t="s">
        <v>172</v>
      </c>
      <c r="AD19" s="25" t="s">
        <v>172</v>
      </c>
      <c r="AE19" s="25" t="s">
        <v>174</v>
      </c>
      <c r="AF19" s="26" t="s">
        <v>175</v>
      </c>
      <c r="AG19" s="32">
        <f t="shared" si="0"/>
        <v>1</v>
      </c>
      <c r="AH19" s="32">
        <v>1</v>
      </c>
      <c r="AI19" s="32">
        <v>1</v>
      </c>
      <c r="AJ19" s="32">
        <v>1</v>
      </c>
      <c r="AK19" s="30"/>
      <c r="AL19" s="32">
        <f t="shared" si="1"/>
        <v>1</v>
      </c>
      <c r="AM19" s="30"/>
      <c r="AN19" s="32"/>
      <c r="AO19" s="32">
        <v>1</v>
      </c>
      <c r="AP19" s="32">
        <v>1</v>
      </c>
      <c r="AQ19" s="32">
        <v>1</v>
      </c>
      <c r="AR19" s="32">
        <v>1</v>
      </c>
      <c r="AS19" s="32"/>
      <c r="AT19" s="32">
        <v>1</v>
      </c>
      <c r="AU19" s="30"/>
      <c r="AV19" s="30"/>
      <c r="AW19" s="30"/>
      <c r="AX19" s="30" t="s">
        <v>10461</v>
      </c>
      <c r="AY19" s="30"/>
      <c r="AZ19" s="75" t="s">
        <v>10458</v>
      </c>
    </row>
    <row r="20" spans="1:52" ht="16.5">
      <c r="A20" s="25" t="s">
        <v>10541</v>
      </c>
      <c r="B20" s="25" t="s">
        <v>4398</v>
      </c>
      <c r="C20" s="25" t="s">
        <v>68</v>
      </c>
      <c r="D20" s="25" t="s">
        <v>10501</v>
      </c>
      <c r="E20" s="258" t="s">
        <v>10542</v>
      </c>
      <c r="F20" s="25" t="s">
        <v>10543</v>
      </c>
      <c r="G20" s="25" t="s">
        <v>3138</v>
      </c>
      <c r="H20" s="25" t="s">
        <v>3138</v>
      </c>
      <c r="I20" s="26" t="s">
        <v>4402</v>
      </c>
      <c r="J20" s="26" t="s">
        <v>9281</v>
      </c>
      <c r="K20" s="62" t="s">
        <v>10407</v>
      </c>
      <c r="L20" s="25" t="s">
        <v>73</v>
      </c>
      <c r="M20" s="25" t="s">
        <v>10524</v>
      </c>
      <c r="N20" s="49" t="s">
        <v>10544</v>
      </c>
      <c r="O20" s="27" t="s">
        <v>10545</v>
      </c>
      <c r="P20" s="28"/>
      <c r="Q20" s="29">
        <v>4</v>
      </c>
      <c r="R20" s="29">
        <v>16</v>
      </c>
      <c r="S20" s="29">
        <v>266.16000000000003</v>
      </c>
      <c r="T20" s="30" t="s">
        <v>88</v>
      </c>
      <c r="U20" s="30" t="s">
        <v>78</v>
      </c>
      <c r="V20" s="30" t="s">
        <v>89</v>
      </c>
      <c r="W20" s="26" t="s">
        <v>9285</v>
      </c>
      <c r="X20" s="26" t="s">
        <v>10411</v>
      </c>
      <c r="Y20" s="26" t="s">
        <v>91</v>
      </c>
      <c r="Z20" s="26" t="s">
        <v>91</v>
      </c>
      <c r="AA20" s="26" t="s">
        <v>172</v>
      </c>
      <c r="AB20" s="31" t="s">
        <v>7</v>
      </c>
      <c r="AC20" s="30" t="s">
        <v>172</v>
      </c>
      <c r="AD20" s="25" t="s">
        <v>172</v>
      </c>
      <c r="AE20" s="25" t="s">
        <v>174</v>
      </c>
      <c r="AF20" s="26" t="s">
        <v>175</v>
      </c>
      <c r="AG20" s="32">
        <f t="shared" si="0"/>
        <v>1</v>
      </c>
      <c r="AH20" s="32">
        <v>1</v>
      </c>
      <c r="AI20" s="32">
        <v>1</v>
      </c>
      <c r="AJ20" s="32">
        <v>1</v>
      </c>
      <c r="AK20" s="30"/>
      <c r="AL20" s="32">
        <f t="shared" si="1"/>
        <v>1</v>
      </c>
      <c r="AM20" s="30"/>
      <c r="AN20" s="32"/>
      <c r="AO20" s="32">
        <v>1</v>
      </c>
      <c r="AP20" s="32">
        <v>1</v>
      </c>
      <c r="AQ20" s="32">
        <v>1</v>
      </c>
      <c r="AR20" s="32">
        <v>1</v>
      </c>
      <c r="AS20" s="32"/>
      <c r="AT20" s="32">
        <v>1</v>
      </c>
      <c r="AU20" s="30"/>
      <c r="AV20" s="30"/>
      <c r="AW20" s="30"/>
      <c r="AX20" s="30" t="s">
        <v>10451</v>
      </c>
      <c r="AY20" s="30"/>
      <c r="AZ20" s="75" t="s">
        <v>10448</v>
      </c>
    </row>
    <row r="21" spans="1:52" ht="16.5">
      <c r="A21" s="25" t="s">
        <v>10546</v>
      </c>
      <c r="B21" s="25" t="s">
        <v>4398</v>
      </c>
      <c r="C21" s="25" t="s">
        <v>68</v>
      </c>
      <c r="D21" s="25" t="s">
        <v>10547</v>
      </c>
      <c r="E21" s="258" t="s">
        <v>10548</v>
      </c>
      <c r="F21" s="25" t="s">
        <v>10549</v>
      </c>
      <c r="G21" s="25" t="s">
        <v>3138</v>
      </c>
      <c r="H21" s="25" t="s">
        <v>3138</v>
      </c>
      <c r="I21" s="26" t="s">
        <v>4402</v>
      </c>
      <c r="J21" s="26" t="s">
        <v>9281</v>
      </c>
      <c r="K21" s="62" t="s">
        <v>10407</v>
      </c>
      <c r="L21" s="25" t="s">
        <v>73</v>
      </c>
      <c r="M21" s="25" t="s">
        <v>10550</v>
      </c>
      <c r="N21" s="49" t="s">
        <v>10551</v>
      </c>
      <c r="O21" s="27" t="s">
        <v>10552</v>
      </c>
      <c r="P21" s="28"/>
      <c r="Q21" s="29">
        <v>8</v>
      </c>
      <c r="R21" s="29">
        <v>32</v>
      </c>
      <c r="S21" s="29">
        <v>282.14999999999998</v>
      </c>
      <c r="T21" s="30" t="s">
        <v>88</v>
      </c>
      <c r="U21" s="30" t="s">
        <v>78</v>
      </c>
      <c r="V21" s="30" t="s">
        <v>89</v>
      </c>
      <c r="W21" s="26" t="s">
        <v>9425</v>
      </c>
      <c r="X21" s="26" t="s">
        <v>10411</v>
      </c>
      <c r="Y21" s="26" t="s">
        <v>91</v>
      </c>
      <c r="Z21" s="26" t="s">
        <v>91</v>
      </c>
      <c r="AA21" s="26" t="s">
        <v>172</v>
      </c>
      <c r="AB21" s="31" t="s">
        <v>9</v>
      </c>
      <c r="AC21" s="30" t="s">
        <v>172</v>
      </c>
      <c r="AD21" s="25" t="s">
        <v>172</v>
      </c>
      <c r="AE21" s="25" t="s">
        <v>174</v>
      </c>
      <c r="AF21" s="26" t="s">
        <v>175</v>
      </c>
      <c r="AG21" s="32">
        <f t="shared" si="0"/>
        <v>1</v>
      </c>
      <c r="AH21" s="32">
        <v>1</v>
      </c>
      <c r="AI21" s="32">
        <v>1</v>
      </c>
      <c r="AJ21" s="32">
        <v>1</v>
      </c>
      <c r="AK21" s="30"/>
      <c r="AL21" s="32">
        <f t="shared" si="1"/>
        <v>1</v>
      </c>
      <c r="AM21" s="30"/>
      <c r="AN21" s="32"/>
      <c r="AO21" s="32">
        <v>1</v>
      </c>
      <c r="AP21" s="32">
        <v>1</v>
      </c>
      <c r="AQ21" s="32">
        <v>1</v>
      </c>
      <c r="AR21" s="32">
        <v>1</v>
      </c>
      <c r="AS21" s="32"/>
      <c r="AT21" s="32">
        <v>1</v>
      </c>
      <c r="AU21" s="30"/>
      <c r="AV21" s="30"/>
      <c r="AW21" s="30"/>
      <c r="AX21" s="30" t="s">
        <v>10432</v>
      </c>
      <c r="AY21" s="30"/>
      <c r="AZ21" s="75" t="s">
        <v>10429</v>
      </c>
    </row>
    <row r="22" spans="1:52" ht="16.5">
      <c r="A22" s="25" t="s">
        <v>10553</v>
      </c>
      <c r="B22" s="25" t="s">
        <v>4398</v>
      </c>
      <c r="C22" s="25" t="s">
        <v>68</v>
      </c>
      <c r="D22" s="25" t="s">
        <v>10554</v>
      </c>
      <c r="E22" s="258" t="s">
        <v>10555</v>
      </c>
      <c r="F22" s="25" t="s">
        <v>10556</v>
      </c>
      <c r="G22" s="25" t="s">
        <v>3138</v>
      </c>
      <c r="H22" s="25" t="s">
        <v>3138</v>
      </c>
      <c r="I22" s="26" t="s">
        <v>4402</v>
      </c>
      <c r="J22" s="26" t="s">
        <v>9281</v>
      </c>
      <c r="K22" s="62" t="s">
        <v>10407</v>
      </c>
      <c r="L22" s="25" t="s">
        <v>73</v>
      </c>
      <c r="M22" s="25" t="s">
        <v>10557</v>
      </c>
      <c r="N22" s="49" t="s">
        <v>10558</v>
      </c>
      <c r="O22" s="27" t="s">
        <v>10559</v>
      </c>
      <c r="P22" s="28"/>
      <c r="Q22" s="29">
        <v>8</v>
      </c>
      <c r="R22" s="29">
        <v>32</v>
      </c>
      <c r="S22" s="29">
        <v>402.17</v>
      </c>
      <c r="T22" s="30" t="s">
        <v>88</v>
      </c>
      <c r="U22" s="30" t="s">
        <v>78</v>
      </c>
      <c r="V22" s="30" t="s">
        <v>89</v>
      </c>
      <c r="W22" s="26" t="s">
        <v>9425</v>
      </c>
      <c r="X22" s="26" t="s">
        <v>10411</v>
      </c>
      <c r="Y22" s="26" t="s">
        <v>91</v>
      </c>
      <c r="Z22" s="26" t="s">
        <v>91</v>
      </c>
      <c r="AA22" s="26" t="s">
        <v>172</v>
      </c>
      <c r="AB22" s="31" t="s">
        <v>9</v>
      </c>
      <c r="AC22" s="30" t="s">
        <v>172</v>
      </c>
      <c r="AD22" s="25" t="s">
        <v>172</v>
      </c>
      <c r="AE22" s="25" t="s">
        <v>174</v>
      </c>
      <c r="AF22" s="26" t="s">
        <v>175</v>
      </c>
      <c r="AG22" s="32">
        <f t="shared" si="0"/>
        <v>1</v>
      </c>
      <c r="AH22" s="32">
        <v>1</v>
      </c>
      <c r="AI22" s="32">
        <v>1</v>
      </c>
      <c r="AJ22" s="32">
        <v>1</v>
      </c>
      <c r="AK22" s="30"/>
      <c r="AL22" s="32">
        <f t="shared" si="1"/>
        <v>1</v>
      </c>
      <c r="AM22" s="30"/>
      <c r="AN22" s="32"/>
      <c r="AO22" s="32">
        <v>1</v>
      </c>
      <c r="AP22" s="32">
        <v>1</v>
      </c>
      <c r="AQ22" s="32">
        <v>1</v>
      </c>
      <c r="AR22" s="32">
        <v>1</v>
      </c>
      <c r="AS22" s="32"/>
      <c r="AT22" s="32">
        <v>1</v>
      </c>
      <c r="AU22" s="30"/>
      <c r="AV22" s="30"/>
      <c r="AW22" s="30"/>
      <c r="AX22" s="30" t="s">
        <v>10521</v>
      </c>
      <c r="AY22" s="30"/>
      <c r="AZ22" s="75" t="s">
        <v>10503</v>
      </c>
    </row>
    <row r="23" spans="1:52" ht="16.5">
      <c r="A23" s="25" t="s">
        <v>10560</v>
      </c>
      <c r="B23" s="25" t="s">
        <v>4398</v>
      </c>
      <c r="C23" s="25" t="s">
        <v>68</v>
      </c>
      <c r="D23" s="25" t="s">
        <v>10561</v>
      </c>
      <c r="E23" s="258" t="s">
        <v>10562</v>
      </c>
      <c r="F23" s="25" t="s">
        <v>10563</v>
      </c>
      <c r="G23" s="25" t="s">
        <v>3138</v>
      </c>
      <c r="H23" s="25" t="s">
        <v>3138</v>
      </c>
      <c r="I23" s="26" t="s">
        <v>4402</v>
      </c>
      <c r="J23" s="26" t="s">
        <v>9281</v>
      </c>
      <c r="K23" s="62" t="s">
        <v>10407</v>
      </c>
      <c r="L23" s="25" t="s">
        <v>73</v>
      </c>
      <c r="M23" s="25" t="s">
        <v>10564</v>
      </c>
      <c r="N23" s="49" t="s">
        <v>10565</v>
      </c>
      <c r="O23" s="27" t="s">
        <v>10566</v>
      </c>
      <c r="P23" s="28"/>
      <c r="Q23" s="29">
        <v>8</v>
      </c>
      <c r="R23" s="29">
        <v>32</v>
      </c>
      <c r="S23" s="29">
        <v>352.65</v>
      </c>
      <c r="T23" s="30" t="s">
        <v>88</v>
      </c>
      <c r="U23" s="30" t="s">
        <v>78</v>
      </c>
      <c r="V23" s="30" t="s">
        <v>89</v>
      </c>
      <c r="W23" s="26" t="s">
        <v>9425</v>
      </c>
      <c r="X23" s="26" t="s">
        <v>10411</v>
      </c>
      <c r="Y23" s="26" t="s">
        <v>91</v>
      </c>
      <c r="Z23" s="26" t="s">
        <v>91</v>
      </c>
      <c r="AA23" s="26" t="s">
        <v>172</v>
      </c>
      <c r="AB23" s="31" t="s">
        <v>9</v>
      </c>
      <c r="AC23" s="30" t="s">
        <v>172</v>
      </c>
      <c r="AD23" s="25" t="s">
        <v>172</v>
      </c>
      <c r="AE23" s="25" t="s">
        <v>174</v>
      </c>
      <c r="AF23" s="26" t="s">
        <v>175</v>
      </c>
      <c r="AG23" s="32">
        <f t="shared" si="0"/>
        <v>1</v>
      </c>
      <c r="AH23" s="32">
        <v>1</v>
      </c>
      <c r="AI23" s="32">
        <v>1</v>
      </c>
      <c r="AJ23" s="32">
        <v>1</v>
      </c>
      <c r="AK23" s="30"/>
      <c r="AL23" s="32">
        <f t="shared" si="1"/>
        <v>1</v>
      </c>
      <c r="AM23" s="30"/>
      <c r="AN23" s="32"/>
      <c r="AO23" s="32">
        <v>1</v>
      </c>
      <c r="AP23" s="32">
        <v>1</v>
      </c>
      <c r="AQ23" s="32">
        <v>1</v>
      </c>
      <c r="AR23" s="32">
        <v>1</v>
      </c>
      <c r="AS23" s="32"/>
      <c r="AT23" s="32">
        <v>1</v>
      </c>
      <c r="AU23" s="30"/>
      <c r="AV23" s="30"/>
      <c r="AW23" s="30"/>
      <c r="AX23" s="30" t="s">
        <v>10567</v>
      </c>
      <c r="AY23" s="30"/>
      <c r="AZ23" s="75" t="s">
        <v>5239</v>
      </c>
    </row>
    <row r="24" spans="1:52" ht="16.5">
      <c r="A24" s="25" t="s">
        <v>10568</v>
      </c>
      <c r="B24" s="25" t="s">
        <v>4398</v>
      </c>
      <c r="C24" s="25" t="s">
        <v>68</v>
      </c>
      <c r="D24" s="25" t="s">
        <v>10569</v>
      </c>
      <c r="E24" s="258" t="s">
        <v>10570</v>
      </c>
      <c r="F24" s="25" t="s">
        <v>10571</v>
      </c>
      <c r="G24" s="25" t="s">
        <v>3138</v>
      </c>
      <c r="H24" s="25" t="s">
        <v>3138</v>
      </c>
      <c r="I24" s="26" t="s">
        <v>4402</v>
      </c>
      <c r="J24" s="26" t="s">
        <v>9281</v>
      </c>
      <c r="K24" s="62" t="s">
        <v>10407</v>
      </c>
      <c r="L24" s="25" t="s">
        <v>73</v>
      </c>
      <c r="M24" s="25" t="s">
        <v>10572</v>
      </c>
      <c r="N24" s="49" t="s">
        <v>10573</v>
      </c>
      <c r="O24" s="27" t="s">
        <v>10574</v>
      </c>
      <c r="P24" s="28"/>
      <c r="Q24" s="29">
        <v>8</v>
      </c>
      <c r="R24" s="29">
        <v>32</v>
      </c>
      <c r="S24" s="29">
        <v>342.17</v>
      </c>
      <c r="T24" s="30" t="s">
        <v>88</v>
      </c>
      <c r="U24" s="30" t="s">
        <v>78</v>
      </c>
      <c r="V24" s="30" t="s">
        <v>89</v>
      </c>
      <c r="W24" s="26" t="s">
        <v>9425</v>
      </c>
      <c r="X24" s="26" t="s">
        <v>10411</v>
      </c>
      <c r="Y24" s="26" t="s">
        <v>91</v>
      </c>
      <c r="Z24" s="26" t="s">
        <v>91</v>
      </c>
      <c r="AA24" s="26" t="s">
        <v>172</v>
      </c>
      <c r="AB24" s="31" t="s">
        <v>9</v>
      </c>
      <c r="AC24" s="30" t="s">
        <v>172</v>
      </c>
      <c r="AD24" s="25" t="s">
        <v>172</v>
      </c>
      <c r="AE24" s="25" t="s">
        <v>174</v>
      </c>
      <c r="AF24" s="26" t="s">
        <v>175</v>
      </c>
      <c r="AG24" s="32">
        <f t="shared" si="0"/>
        <v>1</v>
      </c>
      <c r="AH24" s="32">
        <v>1</v>
      </c>
      <c r="AI24" s="32">
        <v>1</v>
      </c>
      <c r="AJ24" s="32">
        <v>1</v>
      </c>
      <c r="AK24" s="30"/>
      <c r="AL24" s="32">
        <f t="shared" si="1"/>
        <v>1</v>
      </c>
      <c r="AM24" s="30"/>
      <c r="AN24" s="32"/>
      <c r="AO24" s="32">
        <v>1</v>
      </c>
      <c r="AP24" s="32">
        <v>1</v>
      </c>
      <c r="AQ24" s="32">
        <v>1</v>
      </c>
      <c r="AR24" s="32">
        <v>1</v>
      </c>
      <c r="AS24" s="32"/>
      <c r="AT24" s="32">
        <v>1</v>
      </c>
      <c r="AU24" s="30"/>
      <c r="AV24" s="30"/>
      <c r="AW24" s="30"/>
      <c r="AX24" s="30" t="s">
        <v>10575</v>
      </c>
      <c r="AY24" s="30"/>
      <c r="AZ24" s="75" t="s">
        <v>10576</v>
      </c>
    </row>
    <row r="25" spans="1:52" ht="16.5">
      <c r="A25" s="25" t="s">
        <v>10577</v>
      </c>
      <c r="B25" s="25" t="s">
        <v>4398</v>
      </c>
      <c r="C25" s="25" t="s">
        <v>68</v>
      </c>
      <c r="D25" s="25" t="s">
        <v>10578</v>
      </c>
      <c r="E25" s="258" t="s">
        <v>10579</v>
      </c>
      <c r="F25" s="25" t="s">
        <v>10580</v>
      </c>
      <c r="G25" s="25" t="s">
        <v>3138</v>
      </c>
      <c r="H25" s="25" t="s">
        <v>3138</v>
      </c>
      <c r="I25" s="26" t="s">
        <v>4402</v>
      </c>
      <c r="J25" s="26" t="s">
        <v>9281</v>
      </c>
      <c r="K25" s="62" t="s">
        <v>10407</v>
      </c>
      <c r="L25" s="25" t="s">
        <v>73</v>
      </c>
      <c r="M25" s="25" t="s">
        <v>10581</v>
      </c>
      <c r="N25" s="49" t="s">
        <v>10582</v>
      </c>
      <c r="O25" s="27" t="s">
        <v>10583</v>
      </c>
      <c r="P25" s="28"/>
      <c r="Q25" s="29">
        <v>4</v>
      </c>
      <c r="R25" s="29">
        <v>16</v>
      </c>
      <c r="S25" s="29">
        <v>266.14</v>
      </c>
      <c r="T25" s="30" t="s">
        <v>88</v>
      </c>
      <c r="U25" s="30" t="s">
        <v>78</v>
      </c>
      <c r="V25" s="30" t="s">
        <v>89</v>
      </c>
      <c r="W25" s="26" t="s">
        <v>9425</v>
      </c>
      <c r="X25" s="26" t="s">
        <v>10411</v>
      </c>
      <c r="Y25" s="26" t="s">
        <v>91</v>
      </c>
      <c r="Z25" s="26" t="s">
        <v>91</v>
      </c>
      <c r="AA25" s="26" t="s">
        <v>172</v>
      </c>
      <c r="AB25" s="31" t="s">
        <v>9</v>
      </c>
      <c r="AC25" s="30" t="s">
        <v>172</v>
      </c>
      <c r="AD25" s="25" t="s">
        <v>172</v>
      </c>
      <c r="AE25" s="25" t="s">
        <v>174</v>
      </c>
      <c r="AF25" s="26" t="s">
        <v>175</v>
      </c>
      <c r="AG25" s="32">
        <f t="shared" si="0"/>
        <v>1</v>
      </c>
      <c r="AH25" s="32">
        <v>1</v>
      </c>
      <c r="AI25" s="32">
        <v>1</v>
      </c>
      <c r="AJ25" s="32">
        <v>1</v>
      </c>
      <c r="AK25" s="30"/>
      <c r="AL25" s="32">
        <f t="shared" si="1"/>
        <v>1</v>
      </c>
      <c r="AM25" s="30"/>
      <c r="AN25" s="32"/>
      <c r="AO25" s="32">
        <v>1</v>
      </c>
      <c r="AP25" s="32">
        <v>1</v>
      </c>
      <c r="AQ25" s="32">
        <v>1</v>
      </c>
      <c r="AR25" s="32">
        <v>1</v>
      </c>
      <c r="AS25" s="32"/>
      <c r="AT25" s="32">
        <v>1</v>
      </c>
      <c r="AU25" s="30"/>
      <c r="AV25" s="30"/>
      <c r="AW25" s="30"/>
      <c r="AX25" s="30" t="s">
        <v>10533</v>
      </c>
      <c r="AY25" s="30"/>
      <c r="AZ25" s="75" t="s">
        <v>10584</v>
      </c>
    </row>
    <row r="26" spans="1:52" ht="16.5">
      <c r="A26" s="25" t="s">
        <v>10585</v>
      </c>
      <c r="B26" s="25" t="s">
        <v>4398</v>
      </c>
      <c r="C26" s="25" t="s">
        <v>68</v>
      </c>
      <c r="D26" s="25" t="s">
        <v>10586</v>
      </c>
      <c r="E26" s="258" t="s">
        <v>10587</v>
      </c>
      <c r="F26" s="25" t="s">
        <v>10588</v>
      </c>
      <c r="G26" s="25" t="s">
        <v>3138</v>
      </c>
      <c r="H26" s="25" t="s">
        <v>3138</v>
      </c>
      <c r="I26" s="26" t="s">
        <v>4402</v>
      </c>
      <c r="J26" s="26" t="s">
        <v>9281</v>
      </c>
      <c r="K26" s="62" t="s">
        <v>10407</v>
      </c>
      <c r="L26" s="25" t="s">
        <v>73</v>
      </c>
      <c r="M26" s="25" t="s">
        <v>10589</v>
      </c>
      <c r="N26" s="49" t="s">
        <v>10590</v>
      </c>
      <c r="O26" s="27" t="s">
        <v>10591</v>
      </c>
      <c r="P26" s="28"/>
      <c r="Q26" s="29">
        <v>8</v>
      </c>
      <c r="R26" s="29">
        <v>32</v>
      </c>
      <c r="S26" s="29">
        <v>302.62</v>
      </c>
      <c r="T26" s="30" t="s">
        <v>88</v>
      </c>
      <c r="U26" s="30" t="s">
        <v>78</v>
      </c>
      <c r="V26" s="30" t="s">
        <v>89</v>
      </c>
      <c r="W26" s="26" t="s">
        <v>9425</v>
      </c>
      <c r="X26" s="26" t="s">
        <v>10411</v>
      </c>
      <c r="Y26" s="26" t="s">
        <v>91</v>
      </c>
      <c r="Z26" s="26" t="s">
        <v>91</v>
      </c>
      <c r="AA26" s="26" t="s">
        <v>172</v>
      </c>
      <c r="AB26" s="31" t="s">
        <v>9</v>
      </c>
      <c r="AC26" s="30" t="s">
        <v>172</v>
      </c>
      <c r="AD26" s="25" t="s">
        <v>172</v>
      </c>
      <c r="AE26" s="25" t="s">
        <v>174</v>
      </c>
      <c r="AF26" s="26" t="s">
        <v>175</v>
      </c>
      <c r="AG26" s="32">
        <f t="shared" si="0"/>
        <v>1</v>
      </c>
      <c r="AH26" s="32">
        <v>1</v>
      </c>
      <c r="AI26" s="32">
        <v>1</v>
      </c>
      <c r="AJ26" s="32">
        <v>1</v>
      </c>
      <c r="AK26" s="30"/>
      <c r="AL26" s="32">
        <f t="shared" si="1"/>
        <v>1</v>
      </c>
      <c r="AM26" s="30"/>
      <c r="AN26" s="32"/>
      <c r="AO26" s="32">
        <v>1</v>
      </c>
      <c r="AP26" s="32">
        <v>1</v>
      </c>
      <c r="AQ26" s="32">
        <v>1</v>
      </c>
      <c r="AR26" s="32">
        <v>1</v>
      </c>
      <c r="AS26" s="32"/>
      <c r="AT26" s="32">
        <v>1</v>
      </c>
      <c r="AU26" s="30"/>
      <c r="AV26" s="30"/>
      <c r="AW26" s="30"/>
      <c r="AX26" s="30" t="s">
        <v>10592</v>
      </c>
      <c r="AY26" s="30"/>
      <c r="AZ26" s="75" t="s">
        <v>10593</v>
      </c>
    </row>
    <row r="27" spans="1:52" ht="16.5">
      <c r="A27" s="25" t="s">
        <v>10594</v>
      </c>
      <c r="B27" s="25" t="s">
        <v>4398</v>
      </c>
      <c r="C27" s="25" t="s">
        <v>73</v>
      </c>
      <c r="D27" s="25" t="s">
        <v>10595</v>
      </c>
      <c r="E27" s="258" t="s">
        <v>10596</v>
      </c>
      <c r="F27" s="48" t="s">
        <v>10597</v>
      </c>
      <c r="G27" s="25" t="s">
        <v>3138</v>
      </c>
      <c r="H27" s="25" t="s">
        <v>3138</v>
      </c>
      <c r="I27" s="26" t="s">
        <v>4402</v>
      </c>
      <c r="J27" s="26" t="s">
        <v>9281</v>
      </c>
      <c r="K27" s="62" t="s">
        <v>10407</v>
      </c>
      <c r="L27" s="25" t="s">
        <v>73</v>
      </c>
      <c r="M27" s="25" t="s">
        <v>10598</v>
      </c>
      <c r="N27" s="49" t="s">
        <v>10599</v>
      </c>
      <c r="O27" s="27" t="s">
        <v>10600</v>
      </c>
      <c r="P27" s="28"/>
      <c r="Q27" s="77">
        <v>4</v>
      </c>
      <c r="R27" s="77" t="s">
        <v>4409</v>
      </c>
      <c r="S27" s="77" t="s">
        <v>10601</v>
      </c>
      <c r="T27" s="30" t="s">
        <v>88</v>
      </c>
      <c r="U27" s="30" t="s">
        <v>78</v>
      </c>
      <c r="V27" s="30" t="s">
        <v>89</v>
      </c>
      <c r="W27" s="26" t="s">
        <v>9425</v>
      </c>
      <c r="X27" s="26" t="s">
        <v>10411</v>
      </c>
      <c r="Y27" s="26" t="s">
        <v>91</v>
      </c>
      <c r="Z27" s="26" t="s">
        <v>91</v>
      </c>
      <c r="AA27" s="26" t="s">
        <v>172</v>
      </c>
      <c r="AB27" s="31" t="s">
        <v>9</v>
      </c>
      <c r="AC27" s="30" t="s">
        <v>172</v>
      </c>
      <c r="AD27" s="25" t="s">
        <v>10602</v>
      </c>
      <c r="AE27" s="25" t="s">
        <v>172</v>
      </c>
      <c r="AF27" s="26" t="s">
        <v>175</v>
      </c>
      <c r="AG27" s="32">
        <f t="shared" si="0"/>
        <v>1</v>
      </c>
      <c r="AH27" s="32">
        <v>1</v>
      </c>
      <c r="AI27" s="32">
        <v>1</v>
      </c>
      <c r="AJ27" s="32">
        <v>1</v>
      </c>
      <c r="AK27" s="30"/>
      <c r="AL27" s="32">
        <f t="shared" si="1"/>
        <v>1</v>
      </c>
      <c r="AM27" s="30"/>
      <c r="AN27" s="32"/>
      <c r="AO27" s="32">
        <v>1</v>
      </c>
      <c r="AP27" s="32">
        <v>1</v>
      </c>
      <c r="AQ27" s="32">
        <v>1</v>
      </c>
      <c r="AR27" s="32">
        <v>1</v>
      </c>
      <c r="AS27" s="32"/>
      <c r="AT27" s="32">
        <v>1</v>
      </c>
      <c r="AU27" s="30" t="s">
        <v>10603</v>
      </c>
      <c r="AV27" s="30"/>
      <c r="AW27" s="30"/>
      <c r="AX27" s="30" t="s">
        <v>10604</v>
      </c>
      <c r="AY27" s="30"/>
      <c r="AZ27" s="75" t="s">
        <v>9458</v>
      </c>
    </row>
    <row r="28" spans="1:52" ht="16.5">
      <c r="A28" s="25" t="s">
        <v>10605</v>
      </c>
      <c r="B28" s="25" t="s">
        <v>4398</v>
      </c>
      <c r="C28" s="25" t="s">
        <v>73</v>
      </c>
      <c r="D28" s="25" t="s">
        <v>10606</v>
      </c>
      <c r="E28" s="258" t="s">
        <v>10607</v>
      </c>
      <c r="F28" s="48" t="s">
        <v>10608</v>
      </c>
      <c r="G28" s="25" t="s">
        <v>3138</v>
      </c>
      <c r="H28" s="25" t="s">
        <v>3138</v>
      </c>
      <c r="I28" s="26" t="s">
        <v>4402</v>
      </c>
      <c r="J28" s="26" t="s">
        <v>9281</v>
      </c>
      <c r="K28" s="62" t="s">
        <v>10407</v>
      </c>
      <c r="L28" s="25" t="s">
        <v>73</v>
      </c>
      <c r="M28" s="25" t="s">
        <v>10609</v>
      </c>
      <c r="N28" s="49" t="s">
        <v>10610</v>
      </c>
      <c r="O28" s="27" t="s">
        <v>10611</v>
      </c>
      <c r="P28" s="28"/>
      <c r="Q28" s="77">
        <v>4</v>
      </c>
      <c r="R28" s="77" t="s">
        <v>4409</v>
      </c>
      <c r="S28" s="77" t="s">
        <v>10612</v>
      </c>
      <c r="T28" s="30" t="s">
        <v>88</v>
      </c>
      <c r="U28" s="30" t="s">
        <v>78</v>
      </c>
      <c r="V28" s="30" t="s">
        <v>89</v>
      </c>
      <c r="W28" s="26" t="s">
        <v>9425</v>
      </c>
      <c r="X28" s="26" t="s">
        <v>10411</v>
      </c>
      <c r="Y28" s="26" t="s">
        <v>91</v>
      </c>
      <c r="Z28" s="26" t="s">
        <v>91</v>
      </c>
      <c r="AA28" s="26" t="s">
        <v>172</v>
      </c>
      <c r="AB28" s="31" t="s">
        <v>9</v>
      </c>
      <c r="AC28" s="30" t="s">
        <v>172</v>
      </c>
      <c r="AD28" s="25" t="s">
        <v>4423</v>
      </c>
      <c r="AE28" s="25" t="s">
        <v>172</v>
      </c>
      <c r="AF28" s="26" t="s">
        <v>175</v>
      </c>
      <c r="AG28" s="32">
        <f t="shared" si="0"/>
        <v>1</v>
      </c>
      <c r="AH28" s="32">
        <v>1</v>
      </c>
      <c r="AI28" s="32">
        <v>1</v>
      </c>
      <c r="AJ28" s="32">
        <v>1</v>
      </c>
      <c r="AK28" s="30"/>
      <c r="AL28" s="32">
        <f t="shared" si="1"/>
        <v>1</v>
      </c>
      <c r="AM28" s="30"/>
      <c r="AN28" s="32"/>
      <c r="AO28" s="32">
        <v>1</v>
      </c>
      <c r="AP28" s="32">
        <v>1</v>
      </c>
      <c r="AQ28" s="32">
        <v>1</v>
      </c>
      <c r="AR28" s="32">
        <v>1</v>
      </c>
      <c r="AS28" s="32"/>
      <c r="AT28" s="32">
        <v>1</v>
      </c>
      <c r="AU28" s="30" t="s">
        <v>10613</v>
      </c>
      <c r="AV28" s="30"/>
      <c r="AW28" s="30"/>
      <c r="AX28" s="30" t="s">
        <v>10614</v>
      </c>
      <c r="AY28" s="30"/>
      <c r="AZ28" s="75" t="s">
        <v>10615</v>
      </c>
    </row>
    <row r="29" spans="1:52" ht="16.5">
      <c r="A29" s="25" t="s">
        <v>10616</v>
      </c>
      <c r="B29" s="25" t="s">
        <v>4398</v>
      </c>
      <c r="C29" s="25" t="s">
        <v>68</v>
      </c>
      <c r="D29" s="25" t="s">
        <v>10584</v>
      </c>
      <c r="E29" s="258" t="s">
        <v>10617</v>
      </c>
      <c r="F29" s="25" t="s">
        <v>10618</v>
      </c>
      <c r="G29" s="25" t="s">
        <v>3138</v>
      </c>
      <c r="H29" s="25" t="s">
        <v>3138</v>
      </c>
      <c r="I29" s="26" t="s">
        <v>4402</v>
      </c>
      <c r="J29" s="26" t="s">
        <v>9281</v>
      </c>
      <c r="K29" s="62" t="s">
        <v>10407</v>
      </c>
      <c r="L29" s="25" t="s">
        <v>73</v>
      </c>
      <c r="M29" s="25" t="s">
        <v>10604</v>
      </c>
      <c r="N29" s="49" t="s">
        <v>10619</v>
      </c>
      <c r="O29" s="27" t="s">
        <v>10620</v>
      </c>
      <c r="P29" s="28"/>
      <c r="Q29" s="29">
        <v>8</v>
      </c>
      <c r="R29" s="29">
        <v>32</v>
      </c>
      <c r="S29" s="29">
        <v>520.67999999999995</v>
      </c>
      <c r="T29" s="30" t="s">
        <v>88</v>
      </c>
      <c r="U29" s="30" t="s">
        <v>78</v>
      </c>
      <c r="V29" s="30" t="s">
        <v>89</v>
      </c>
      <c r="W29" s="26" t="s">
        <v>9425</v>
      </c>
      <c r="X29" s="26" t="s">
        <v>10411</v>
      </c>
      <c r="Y29" s="26" t="s">
        <v>91</v>
      </c>
      <c r="Z29" s="26" t="s">
        <v>91</v>
      </c>
      <c r="AA29" s="26" t="s">
        <v>172</v>
      </c>
      <c r="AB29" s="31" t="s">
        <v>9</v>
      </c>
      <c r="AC29" s="30" t="s">
        <v>172</v>
      </c>
      <c r="AD29" s="25" t="s">
        <v>172</v>
      </c>
      <c r="AE29" s="25" t="s">
        <v>174</v>
      </c>
      <c r="AF29" s="26" t="s">
        <v>175</v>
      </c>
      <c r="AG29" s="32">
        <f t="shared" si="0"/>
        <v>1</v>
      </c>
      <c r="AH29" s="32">
        <v>1</v>
      </c>
      <c r="AI29" s="32">
        <v>1</v>
      </c>
      <c r="AJ29" s="32">
        <v>1</v>
      </c>
      <c r="AK29" s="30"/>
      <c r="AL29" s="32">
        <f t="shared" si="1"/>
        <v>1</v>
      </c>
      <c r="AM29" s="30"/>
      <c r="AN29" s="32"/>
      <c r="AO29" s="32">
        <v>1</v>
      </c>
      <c r="AP29" s="32">
        <v>1</v>
      </c>
      <c r="AQ29" s="32">
        <v>1</v>
      </c>
      <c r="AR29" s="32">
        <v>1</v>
      </c>
      <c r="AS29" s="32"/>
      <c r="AT29" s="32">
        <v>1</v>
      </c>
      <c r="AU29" s="30"/>
      <c r="AV29" s="30"/>
      <c r="AW29" s="30"/>
      <c r="AX29" s="30" t="s">
        <v>10621</v>
      </c>
      <c r="AY29" s="30"/>
      <c r="AZ29" s="75" t="s">
        <v>10622</v>
      </c>
    </row>
    <row r="30" spans="1:52" ht="16.5">
      <c r="A30" s="25" t="s">
        <v>10623</v>
      </c>
      <c r="B30" s="25" t="s">
        <v>4398</v>
      </c>
      <c r="C30" s="25" t="s">
        <v>68</v>
      </c>
      <c r="D30" s="25" t="s">
        <v>10624</v>
      </c>
      <c r="E30" s="258" t="s">
        <v>10625</v>
      </c>
      <c r="F30" s="25" t="s">
        <v>10626</v>
      </c>
      <c r="G30" s="25" t="s">
        <v>3138</v>
      </c>
      <c r="H30" s="25" t="s">
        <v>3138</v>
      </c>
      <c r="I30" s="26" t="s">
        <v>4402</v>
      </c>
      <c r="J30" s="26" t="s">
        <v>9281</v>
      </c>
      <c r="K30" s="62" t="s">
        <v>10407</v>
      </c>
      <c r="L30" s="25" t="s">
        <v>73</v>
      </c>
      <c r="M30" s="25" t="s">
        <v>10627</v>
      </c>
      <c r="N30" s="49" t="s">
        <v>10628</v>
      </c>
      <c r="O30" s="27" t="s">
        <v>10629</v>
      </c>
      <c r="P30" s="28"/>
      <c r="Q30" s="29">
        <v>8</v>
      </c>
      <c r="R30" s="29">
        <v>32</v>
      </c>
      <c r="S30" s="29">
        <v>322.3</v>
      </c>
      <c r="T30" s="30" t="s">
        <v>88</v>
      </c>
      <c r="U30" s="30" t="s">
        <v>78</v>
      </c>
      <c r="V30" s="30" t="s">
        <v>89</v>
      </c>
      <c r="W30" s="26" t="s">
        <v>9425</v>
      </c>
      <c r="X30" s="26" t="s">
        <v>10411</v>
      </c>
      <c r="Y30" s="26" t="s">
        <v>91</v>
      </c>
      <c r="Z30" s="26" t="s">
        <v>91</v>
      </c>
      <c r="AA30" s="26" t="s">
        <v>172</v>
      </c>
      <c r="AB30" s="31" t="s">
        <v>9</v>
      </c>
      <c r="AC30" s="30" t="s">
        <v>172</v>
      </c>
      <c r="AD30" s="25" t="s">
        <v>172</v>
      </c>
      <c r="AE30" s="25" t="s">
        <v>174</v>
      </c>
      <c r="AF30" s="26" t="s">
        <v>175</v>
      </c>
      <c r="AG30" s="32">
        <f t="shared" si="0"/>
        <v>1</v>
      </c>
      <c r="AH30" s="32">
        <v>1</v>
      </c>
      <c r="AI30" s="32">
        <v>1</v>
      </c>
      <c r="AJ30" s="32">
        <v>1</v>
      </c>
      <c r="AK30" s="30"/>
      <c r="AL30" s="32">
        <f t="shared" si="1"/>
        <v>1</v>
      </c>
      <c r="AM30" s="30"/>
      <c r="AN30" s="32"/>
      <c r="AO30" s="32">
        <v>1</v>
      </c>
      <c r="AP30" s="32">
        <v>1</v>
      </c>
      <c r="AQ30" s="32">
        <v>1</v>
      </c>
      <c r="AR30" s="32">
        <v>1</v>
      </c>
      <c r="AS30" s="32"/>
      <c r="AT30" s="32">
        <v>1</v>
      </c>
      <c r="AU30" s="30"/>
      <c r="AV30" s="30"/>
      <c r="AW30" s="30"/>
      <c r="AX30" s="30" t="s">
        <v>10557</v>
      </c>
      <c r="AY30" s="30"/>
      <c r="AZ30" s="75" t="s">
        <v>10554</v>
      </c>
    </row>
    <row r="31" spans="1:52" ht="16.5">
      <c r="A31" s="25" t="s">
        <v>10630</v>
      </c>
      <c r="B31" s="25" t="s">
        <v>4398</v>
      </c>
      <c r="C31" s="25" t="s">
        <v>68</v>
      </c>
      <c r="D31" s="25" t="s">
        <v>10615</v>
      </c>
      <c r="E31" s="258" t="s">
        <v>10631</v>
      </c>
      <c r="F31" s="25" t="s">
        <v>10632</v>
      </c>
      <c r="G31" s="25" t="s">
        <v>3138</v>
      </c>
      <c r="H31" s="25" t="s">
        <v>3138</v>
      </c>
      <c r="I31" s="26" t="s">
        <v>4402</v>
      </c>
      <c r="J31" s="26" t="s">
        <v>9281</v>
      </c>
      <c r="K31" s="62" t="s">
        <v>10407</v>
      </c>
      <c r="L31" s="25" t="s">
        <v>73</v>
      </c>
      <c r="M31" s="25" t="s">
        <v>10614</v>
      </c>
      <c r="N31" s="49" t="s">
        <v>10633</v>
      </c>
      <c r="O31" s="27" t="s">
        <v>10634</v>
      </c>
      <c r="P31" s="28"/>
      <c r="Q31" s="29">
        <v>8</v>
      </c>
      <c r="R31" s="29">
        <v>32</v>
      </c>
      <c r="S31" s="29">
        <v>342.88</v>
      </c>
      <c r="T31" s="30" t="s">
        <v>88</v>
      </c>
      <c r="U31" s="30" t="s">
        <v>78</v>
      </c>
      <c r="V31" s="30" t="s">
        <v>89</v>
      </c>
      <c r="W31" s="26" t="s">
        <v>9425</v>
      </c>
      <c r="X31" s="26" t="s">
        <v>10411</v>
      </c>
      <c r="Y31" s="26" t="s">
        <v>91</v>
      </c>
      <c r="Z31" s="26" t="s">
        <v>91</v>
      </c>
      <c r="AA31" s="26" t="s">
        <v>172</v>
      </c>
      <c r="AB31" s="31" t="s">
        <v>9</v>
      </c>
      <c r="AC31" s="30" t="s">
        <v>172</v>
      </c>
      <c r="AD31" s="25" t="s">
        <v>172</v>
      </c>
      <c r="AE31" s="25" t="s">
        <v>174</v>
      </c>
      <c r="AF31" s="26" t="s">
        <v>175</v>
      </c>
      <c r="AG31" s="32">
        <f t="shared" si="0"/>
        <v>1</v>
      </c>
      <c r="AH31" s="32">
        <v>1</v>
      </c>
      <c r="AI31" s="32">
        <v>1</v>
      </c>
      <c r="AJ31" s="32">
        <v>1</v>
      </c>
      <c r="AK31" s="30"/>
      <c r="AL31" s="32">
        <f t="shared" si="1"/>
        <v>1</v>
      </c>
      <c r="AM31" s="30"/>
      <c r="AN31" s="32"/>
      <c r="AO31" s="32">
        <v>1</v>
      </c>
      <c r="AP31" s="32">
        <v>1</v>
      </c>
      <c r="AQ31" s="32">
        <v>1</v>
      </c>
      <c r="AR31" s="32">
        <v>1</v>
      </c>
      <c r="AS31" s="32"/>
      <c r="AT31" s="32">
        <v>1</v>
      </c>
      <c r="AU31" s="30"/>
      <c r="AV31" s="30"/>
      <c r="AW31" s="30"/>
      <c r="AX31" s="30" t="s">
        <v>10572</v>
      </c>
      <c r="AY31" s="30"/>
      <c r="AZ31" s="75" t="s">
        <v>10569</v>
      </c>
    </row>
    <row r="32" spans="1:52" ht="16.5">
      <c r="A32" s="25" t="s">
        <v>10635</v>
      </c>
      <c r="B32" s="25" t="s">
        <v>4398</v>
      </c>
      <c r="C32" s="25" t="s">
        <v>68</v>
      </c>
      <c r="D32" s="25" t="s">
        <v>10636</v>
      </c>
      <c r="E32" s="258" t="s">
        <v>10637</v>
      </c>
      <c r="F32" s="25" t="s">
        <v>10638</v>
      </c>
      <c r="G32" s="25" t="s">
        <v>3138</v>
      </c>
      <c r="H32" s="25" t="s">
        <v>3138</v>
      </c>
      <c r="I32" s="26" t="s">
        <v>4402</v>
      </c>
      <c r="J32" s="26" t="s">
        <v>9281</v>
      </c>
      <c r="K32" s="62" t="s">
        <v>10407</v>
      </c>
      <c r="L32" s="25" t="s">
        <v>73</v>
      </c>
      <c r="M32" s="25" t="s">
        <v>10639</v>
      </c>
      <c r="N32" s="49" t="s">
        <v>10640</v>
      </c>
      <c r="O32" s="27" t="s">
        <v>10641</v>
      </c>
      <c r="P32" s="28"/>
      <c r="Q32" s="29">
        <v>4</v>
      </c>
      <c r="R32" s="29">
        <v>16</v>
      </c>
      <c r="S32" s="29">
        <v>266.10000000000002</v>
      </c>
      <c r="T32" s="30" t="s">
        <v>88</v>
      </c>
      <c r="U32" s="30" t="s">
        <v>78</v>
      </c>
      <c r="V32" s="30" t="s">
        <v>89</v>
      </c>
      <c r="W32" s="26" t="s">
        <v>9425</v>
      </c>
      <c r="X32" s="26" t="s">
        <v>10411</v>
      </c>
      <c r="Y32" s="26" t="s">
        <v>91</v>
      </c>
      <c r="Z32" s="26" t="s">
        <v>91</v>
      </c>
      <c r="AA32" s="26" t="s">
        <v>172</v>
      </c>
      <c r="AB32" s="31" t="s">
        <v>9</v>
      </c>
      <c r="AC32" s="30" t="s">
        <v>172</v>
      </c>
      <c r="AD32" s="25" t="s">
        <v>172</v>
      </c>
      <c r="AE32" s="25" t="s">
        <v>174</v>
      </c>
      <c r="AF32" s="26" t="s">
        <v>175</v>
      </c>
      <c r="AG32" s="32">
        <f t="shared" si="0"/>
        <v>1</v>
      </c>
      <c r="AH32" s="32">
        <v>1</v>
      </c>
      <c r="AI32" s="32">
        <v>1</v>
      </c>
      <c r="AJ32" s="32">
        <v>1</v>
      </c>
      <c r="AK32" s="30"/>
      <c r="AL32" s="32">
        <f t="shared" si="1"/>
        <v>1</v>
      </c>
      <c r="AM32" s="30"/>
      <c r="AN32" s="32"/>
      <c r="AO32" s="32">
        <v>1</v>
      </c>
      <c r="AP32" s="32">
        <v>1</v>
      </c>
      <c r="AQ32" s="32">
        <v>1</v>
      </c>
      <c r="AR32" s="32">
        <v>1</v>
      </c>
      <c r="AS32" s="32"/>
      <c r="AT32" s="32">
        <v>1</v>
      </c>
      <c r="AU32" s="30"/>
      <c r="AV32" s="30"/>
      <c r="AW32" s="30"/>
      <c r="AX32" s="30" t="s">
        <v>10564</v>
      </c>
      <c r="AY32" s="30"/>
      <c r="AZ32" s="75" t="s">
        <v>10624</v>
      </c>
    </row>
    <row r="33" spans="1:52" ht="16.5">
      <c r="A33" s="25" t="s">
        <v>10642</v>
      </c>
      <c r="B33" s="25" t="s">
        <v>4398</v>
      </c>
      <c r="C33" s="25" t="s">
        <v>68</v>
      </c>
      <c r="D33" s="25" t="s">
        <v>10643</v>
      </c>
      <c r="E33" s="34" t="s">
        <v>10644</v>
      </c>
      <c r="F33" s="25" t="s">
        <v>10645</v>
      </c>
      <c r="G33" s="25" t="s">
        <v>3138</v>
      </c>
      <c r="H33" s="25" t="s">
        <v>3138</v>
      </c>
      <c r="I33" s="26" t="s">
        <v>4402</v>
      </c>
      <c r="J33" s="26" t="s">
        <v>9281</v>
      </c>
      <c r="K33" s="62" t="s">
        <v>10407</v>
      </c>
      <c r="L33" s="25" t="s">
        <v>73</v>
      </c>
      <c r="M33" s="34" t="s">
        <v>10646</v>
      </c>
      <c r="N33" s="49" t="s">
        <v>10647</v>
      </c>
      <c r="O33" s="27" t="s">
        <v>10648</v>
      </c>
      <c r="P33" s="28"/>
      <c r="Q33" s="29">
        <v>4</v>
      </c>
      <c r="R33" s="29">
        <v>16</v>
      </c>
      <c r="S33" s="29">
        <v>267.04000000000002</v>
      </c>
      <c r="T33" s="30" t="s">
        <v>88</v>
      </c>
      <c r="U33" s="30" t="s">
        <v>78</v>
      </c>
      <c r="V33" s="30" t="s">
        <v>89</v>
      </c>
      <c r="W33" s="26" t="s">
        <v>9425</v>
      </c>
      <c r="X33" s="26" t="s">
        <v>10411</v>
      </c>
      <c r="Y33" s="26" t="s">
        <v>91</v>
      </c>
      <c r="Z33" s="26" t="s">
        <v>91</v>
      </c>
      <c r="AA33" s="26" t="s">
        <v>172</v>
      </c>
      <c r="AB33" s="31" t="s">
        <v>9</v>
      </c>
      <c r="AC33" s="30" t="s">
        <v>172</v>
      </c>
      <c r="AD33" s="25" t="s">
        <v>172</v>
      </c>
      <c r="AE33" s="25" t="s">
        <v>174</v>
      </c>
      <c r="AF33" s="26" t="s">
        <v>175</v>
      </c>
      <c r="AG33" s="32">
        <f t="shared" si="0"/>
        <v>1</v>
      </c>
      <c r="AH33" s="32">
        <v>1</v>
      </c>
      <c r="AI33" s="32">
        <v>1</v>
      </c>
      <c r="AJ33" s="32">
        <v>1</v>
      </c>
      <c r="AK33" s="30"/>
      <c r="AL33" s="32">
        <f t="shared" si="1"/>
        <v>1</v>
      </c>
      <c r="AM33" s="30"/>
      <c r="AN33" s="32"/>
      <c r="AO33" s="32">
        <v>1</v>
      </c>
      <c r="AP33" s="32">
        <v>1</v>
      </c>
      <c r="AQ33" s="32">
        <v>1</v>
      </c>
      <c r="AR33" s="35">
        <v>1</v>
      </c>
      <c r="AS33" s="34" t="s">
        <v>10649</v>
      </c>
      <c r="AT33" s="32">
        <v>1</v>
      </c>
      <c r="AU33" s="30"/>
      <c r="AV33" s="30"/>
      <c r="AW33" s="36" t="s">
        <v>405</v>
      </c>
      <c r="AX33" s="30" t="s">
        <v>10589</v>
      </c>
      <c r="AY33" s="30"/>
      <c r="AZ33" s="75" t="s">
        <v>10561</v>
      </c>
    </row>
    <row r="34" spans="1:52" ht="16.5">
      <c r="A34" s="25" t="s">
        <v>10650</v>
      </c>
      <c r="B34" s="25" t="s">
        <v>4398</v>
      </c>
      <c r="C34" s="25" t="s">
        <v>73</v>
      </c>
      <c r="D34" s="25" t="s">
        <v>10651</v>
      </c>
      <c r="E34" s="258" t="s">
        <v>10652</v>
      </c>
      <c r="F34" s="25" t="s">
        <v>10653</v>
      </c>
      <c r="G34" s="25" t="s">
        <v>3138</v>
      </c>
      <c r="H34" s="25" t="s">
        <v>3138</v>
      </c>
      <c r="I34" s="26" t="s">
        <v>4402</v>
      </c>
      <c r="J34" s="26" t="s">
        <v>9281</v>
      </c>
      <c r="K34" s="62" t="s">
        <v>10407</v>
      </c>
      <c r="L34" s="25" t="s">
        <v>73</v>
      </c>
      <c r="M34" s="25" t="s">
        <v>10654</v>
      </c>
      <c r="N34" s="49" t="s">
        <v>10655</v>
      </c>
      <c r="O34" s="27" t="s">
        <v>10656</v>
      </c>
      <c r="P34" s="28"/>
      <c r="Q34" s="77">
        <v>8</v>
      </c>
      <c r="R34" s="77" t="s">
        <v>9030</v>
      </c>
      <c r="S34" s="77" t="s">
        <v>10657</v>
      </c>
      <c r="T34" s="30" t="s">
        <v>88</v>
      </c>
      <c r="U34" s="30" t="s">
        <v>78</v>
      </c>
      <c r="V34" s="30" t="s">
        <v>89</v>
      </c>
      <c r="W34" s="26" t="s">
        <v>9425</v>
      </c>
      <c r="X34" s="26" t="s">
        <v>10411</v>
      </c>
      <c r="Y34" s="26" t="s">
        <v>91</v>
      </c>
      <c r="Z34" s="26" t="s">
        <v>91</v>
      </c>
      <c r="AA34" s="26" t="s">
        <v>172</v>
      </c>
      <c r="AB34" s="31" t="s">
        <v>9</v>
      </c>
      <c r="AC34" s="30" t="s">
        <v>172</v>
      </c>
      <c r="AD34" s="25" t="s">
        <v>4423</v>
      </c>
      <c r="AE34" s="25" t="s">
        <v>172</v>
      </c>
      <c r="AF34" s="26" t="s">
        <v>175</v>
      </c>
      <c r="AG34" s="32">
        <f t="shared" si="0"/>
        <v>1</v>
      </c>
      <c r="AH34" s="32">
        <v>1</v>
      </c>
      <c r="AI34" s="32">
        <v>1</v>
      </c>
      <c r="AJ34" s="32">
        <v>1</v>
      </c>
      <c r="AK34" s="30"/>
      <c r="AL34" s="32">
        <f t="shared" si="1"/>
        <v>1</v>
      </c>
      <c r="AM34" s="30"/>
      <c r="AN34" s="32"/>
      <c r="AO34" s="32">
        <v>1</v>
      </c>
      <c r="AP34" s="32">
        <v>1</v>
      </c>
      <c r="AQ34" s="32">
        <v>1</v>
      </c>
      <c r="AR34" s="32">
        <v>1</v>
      </c>
      <c r="AS34" s="32"/>
      <c r="AT34" s="32">
        <v>1</v>
      </c>
      <c r="AU34" s="30"/>
      <c r="AV34" s="30"/>
      <c r="AW34" s="30"/>
      <c r="AX34" s="30" t="s">
        <v>10654</v>
      </c>
      <c r="AY34" s="30"/>
      <c r="AZ34" s="75" t="s">
        <v>10547</v>
      </c>
    </row>
    <row r="35" spans="1:52" ht="16.5">
      <c r="A35" s="25" t="s">
        <v>10658</v>
      </c>
      <c r="B35" s="25" t="s">
        <v>4398</v>
      </c>
      <c r="C35" s="25" t="s">
        <v>68</v>
      </c>
      <c r="D35" s="25" t="s">
        <v>10576</v>
      </c>
      <c r="E35" s="258" t="s">
        <v>10659</v>
      </c>
      <c r="F35" s="25" t="s">
        <v>10660</v>
      </c>
      <c r="G35" s="25" t="s">
        <v>3138</v>
      </c>
      <c r="H35" s="25" t="s">
        <v>3138</v>
      </c>
      <c r="I35" s="26" t="s">
        <v>4402</v>
      </c>
      <c r="J35" s="26" t="s">
        <v>9281</v>
      </c>
      <c r="K35" s="62" t="s">
        <v>10407</v>
      </c>
      <c r="L35" s="25" t="s">
        <v>73</v>
      </c>
      <c r="M35" s="25" t="s">
        <v>10592</v>
      </c>
      <c r="N35" s="49" t="s">
        <v>10661</v>
      </c>
      <c r="O35" s="27" t="s">
        <v>10662</v>
      </c>
      <c r="P35" s="28"/>
      <c r="Q35" s="29">
        <v>4</v>
      </c>
      <c r="R35" s="29">
        <v>16</v>
      </c>
      <c r="S35" s="29">
        <v>406.1</v>
      </c>
      <c r="T35" s="30" t="s">
        <v>88</v>
      </c>
      <c r="U35" s="30" t="s">
        <v>78</v>
      </c>
      <c r="V35" s="30" t="s">
        <v>89</v>
      </c>
      <c r="W35" s="26" t="s">
        <v>9425</v>
      </c>
      <c r="X35" s="26" t="s">
        <v>10411</v>
      </c>
      <c r="Y35" s="26" t="s">
        <v>91</v>
      </c>
      <c r="Z35" s="26" t="s">
        <v>91</v>
      </c>
      <c r="AA35" s="26" t="s">
        <v>172</v>
      </c>
      <c r="AB35" s="31" t="s">
        <v>9</v>
      </c>
      <c r="AC35" s="30" t="s">
        <v>172</v>
      </c>
      <c r="AD35" s="25" t="s">
        <v>172</v>
      </c>
      <c r="AE35" s="25" t="s">
        <v>174</v>
      </c>
      <c r="AF35" s="26" t="s">
        <v>175</v>
      </c>
      <c r="AG35" s="32">
        <f t="shared" ref="AG35:AG66" si="2">IF(COUNTIF(AZ:AZ,D35)&gt;0,1,0)</f>
        <v>1</v>
      </c>
      <c r="AH35" s="32">
        <v>1</v>
      </c>
      <c r="AI35" s="32">
        <v>1</v>
      </c>
      <c r="AJ35" s="32">
        <v>1</v>
      </c>
      <c r="AK35" s="30"/>
      <c r="AL35" s="32">
        <f t="shared" si="1"/>
        <v>1</v>
      </c>
      <c r="AM35" s="30"/>
      <c r="AN35" s="25" t="s">
        <v>10663</v>
      </c>
      <c r="AO35" s="32"/>
      <c r="AP35" s="37" t="s">
        <v>10664</v>
      </c>
      <c r="AQ35" s="32">
        <v>1</v>
      </c>
      <c r="AR35" s="32">
        <v>1</v>
      </c>
      <c r="AS35" s="32"/>
      <c r="AT35" s="32">
        <v>1</v>
      </c>
      <c r="AU35" s="30"/>
      <c r="AV35" s="30"/>
      <c r="AW35" s="30"/>
      <c r="AX35" s="30" t="s">
        <v>10639</v>
      </c>
      <c r="AY35" s="30"/>
      <c r="AZ35" s="75" t="s">
        <v>10586</v>
      </c>
    </row>
    <row r="36" spans="1:52" ht="16.5">
      <c r="A36" s="25" t="s">
        <v>10665</v>
      </c>
      <c r="B36" s="25" t="s">
        <v>4398</v>
      </c>
      <c r="C36" s="25" t="s">
        <v>68</v>
      </c>
      <c r="D36" s="25" t="s">
        <v>10666</v>
      </c>
      <c r="E36" s="258" t="s">
        <v>10667</v>
      </c>
      <c r="F36" s="25" t="s">
        <v>10668</v>
      </c>
      <c r="G36" s="25" t="s">
        <v>3138</v>
      </c>
      <c r="H36" s="25" t="s">
        <v>3138</v>
      </c>
      <c r="I36" s="26" t="s">
        <v>4402</v>
      </c>
      <c r="J36" s="26" t="s">
        <v>9281</v>
      </c>
      <c r="K36" s="62" t="s">
        <v>10407</v>
      </c>
      <c r="L36" s="25" t="s">
        <v>73</v>
      </c>
      <c r="M36" s="25" t="s">
        <v>10669</v>
      </c>
      <c r="N36" s="49" t="s">
        <v>10670</v>
      </c>
      <c r="O36" s="27" t="s">
        <v>10671</v>
      </c>
      <c r="P36" s="28"/>
      <c r="Q36" s="29">
        <v>4</v>
      </c>
      <c r="R36" s="29">
        <v>16</v>
      </c>
      <c r="S36" s="29">
        <v>266.12</v>
      </c>
      <c r="T36" s="30" t="s">
        <v>88</v>
      </c>
      <c r="U36" s="30" t="s">
        <v>78</v>
      </c>
      <c r="V36" s="30" t="s">
        <v>89</v>
      </c>
      <c r="W36" s="26" t="s">
        <v>9425</v>
      </c>
      <c r="X36" s="26" t="s">
        <v>10411</v>
      </c>
      <c r="Y36" s="26" t="s">
        <v>91</v>
      </c>
      <c r="Z36" s="26" t="s">
        <v>91</v>
      </c>
      <c r="AA36" s="26" t="s">
        <v>172</v>
      </c>
      <c r="AB36" s="31" t="s">
        <v>9</v>
      </c>
      <c r="AC36" s="30" t="s">
        <v>172</v>
      </c>
      <c r="AD36" s="25" t="s">
        <v>172</v>
      </c>
      <c r="AE36" s="25" t="s">
        <v>174</v>
      </c>
      <c r="AF36" s="26" t="s">
        <v>175</v>
      </c>
      <c r="AG36" s="32">
        <f t="shared" si="2"/>
        <v>1</v>
      </c>
      <c r="AH36" s="32">
        <v>1</v>
      </c>
      <c r="AI36" s="32">
        <v>1</v>
      </c>
      <c r="AJ36" s="32">
        <v>1</v>
      </c>
      <c r="AK36" s="30"/>
      <c r="AL36" s="32">
        <f t="shared" si="1"/>
        <v>1</v>
      </c>
      <c r="AM36" s="30"/>
      <c r="AN36" s="32"/>
      <c r="AO36" s="32">
        <v>1</v>
      </c>
      <c r="AP36" s="32">
        <v>1</v>
      </c>
      <c r="AQ36" s="32">
        <v>1</v>
      </c>
      <c r="AR36" s="32">
        <v>1</v>
      </c>
      <c r="AS36" s="32"/>
      <c r="AT36" s="32">
        <v>1</v>
      </c>
      <c r="AU36" s="30"/>
      <c r="AV36" s="30"/>
      <c r="AW36" s="30"/>
      <c r="AX36" s="30" t="s">
        <v>10598</v>
      </c>
      <c r="AY36" s="30"/>
      <c r="AZ36" s="75" t="s">
        <v>10666</v>
      </c>
    </row>
    <row r="37" spans="1:52" ht="16.5">
      <c r="A37" s="25" t="s">
        <v>10672</v>
      </c>
      <c r="B37" s="25" t="s">
        <v>4398</v>
      </c>
      <c r="C37" s="25" t="s">
        <v>68</v>
      </c>
      <c r="D37" s="25" t="s">
        <v>10622</v>
      </c>
      <c r="E37" s="258" t="s">
        <v>10673</v>
      </c>
      <c r="F37" s="25" t="s">
        <v>10674</v>
      </c>
      <c r="G37" s="25" t="s">
        <v>3138</v>
      </c>
      <c r="H37" s="25" t="s">
        <v>3138</v>
      </c>
      <c r="I37" s="26" t="s">
        <v>4402</v>
      </c>
      <c r="J37" s="26" t="s">
        <v>9281</v>
      </c>
      <c r="K37" s="62" t="s">
        <v>10407</v>
      </c>
      <c r="L37" s="25" t="s">
        <v>73</v>
      </c>
      <c r="M37" s="25" t="s">
        <v>10621</v>
      </c>
      <c r="N37" s="49" t="s">
        <v>10675</v>
      </c>
      <c r="O37" s="27" t="s">
        <v>10676</v>
      </c>
      <c r="P37" s="28"/>
      <c r="Q37" s="29">
        <v>8</v>
      </c>
      <c r="R37" s="29">
        <v>32</v>
      </c>
      <c r="S37" s="29">
        <v>282.56</v>
      </c>
      <c r="T37" s="30" t="s">
        <v>88</v>
      </c>
      <c r="U37" s="30" t="s">
        <v>78</v>
      </c>
      <c r="V37" s="30" t="s">
        <v>89</v>
      </c>
      <c r="W37" s="26" t="s">
        <v>9425</v>
      </c>
      <c r="X37" s="26" t="s">
        <v>10411</v>
      </c>
      <c r="Y37" s="26" t="s">
        <v>91</v>
      </c>
      <c r="Z37" s="26" t="s">
        <v>91</v>
      </c>
      <c r="AA37" s="26" t="s">
        <v>172</v>
      </c>
      <c r="AB37" s="31" t="s">
        <v>9</v>
      </c>
      <c r="AC37" s="30" t="s">
        <v>172</v>
      </c>
      <c r="AD37" s="25" t="s">
        <v>172</v>
      </c>
      <c r="AE37" s="25" t="s">
        <v>174</v>
      </c>
      <c r="AF37" s="26" t="s">
        <v>175</v>
      </c>
      <c r="AG37" s="32">
        <f t="shared" si="2"/>
        <v>1</v>
      </c>
      <c r="AH37" s="32">
        <v>1</v>
      </c>
      <c r="AI37" s="32">
        <v>1</v>
      </c>
      <c r="AJ37" s="32">
        <v>1</v>
      </c>
      <c r="AK37" s="30"/>
      <c r="AL37" s="32">
        <f t="shared" si="1"/>
        <v>1</v>
      </c>
      <c r="AM37" s="30"/>
      <c r="AN37" s="32"/>
      <c r="AO37" s="32">
        <v>1</v>
      </c>
      <c r="AP37" s="32">
        <v>1</v>
      </c>
      <c r="AQ37" s="32">
        <v>1</v>
      </c>
      <c r="AR37" s="32">
        <v>1</v>
      </c>
      <c r="AS37" s="32"/>
      <c r="AT37" s="32">
        <v>1</v>
      </c>
      <c r="AU37" s="30"/>
      <c r="AV37" s="30"/>
      <c r="AW37" s="30"/>
      <c r="AX37" s="30" t="s">
        <v>10581</v>
      </c>
      <c r="AY37" s="30"/>
      <c r="AZ37" s="75" t="s">
        <v>10636</v>
      </c>
    </row>
    <row r="38" spans="1:52" ht="16.5">
      <c r="A38" s="25" t="s">
        <v>10677</v>
      </c>
      <c r="B38" s="25" t="s">
        <v>4398</v>
      </c>
      <c r="C38" s="25" t="s">
        <v>68</v>
      </c>
      <c r="D38" s="25" t="s">
        <v>10593</v>
      </c>
      <c r="E38" s="258" t="s">
        <v>10678</v>
      </c>
      <c r="F38" s="25" t="s">
        <v>10679</v>
      </c>
      <c r="G38" s="25" t="s">
        <v>3138</v>
      </c>
      <c r="H38" s="25" t="s">
        <v>3138</v>
      </c>
      <c r="I38" s="26" t="s">
        <v>4402</v>
      </c>
      <c r="J38" s="26" t="s">
        <v>9281</v>
      </c>
      <c r="K38" s="62" t="s">
        <v>10407</v>
      </c>
      <c r="L38" s="25" t="s">
        <v>73</v>
      </c>
      <c r="M38" s="25" t="s">
        <v>10680</v>
      </c>
      <c r="N38" s="49" t="s">
        <v>10681</v>
      </c>
      <c r="O38" s="27" t="s">
        <v>10682</v>
      </c>
      <c r="P38" s="28"/>
      <c r="Q38" s="29">
        <v>8</v>
      </c>
      <c r="R38" s="29">
        <v>32</v>
      </c>
      <c r="S38" s="29">
        <v>333.15</v>
      </c>
      <c r="T38" s="30" t="s">
        <v>88</v>
      </c>
      <c r="U38" s="30" t="s">
        <v>78</v>
      </c>
      <c r="V38" s="30" t="s">
        <v>89</v>
      </c>
      <c r="W38" s="26" t="s">
        <v>9425</v>
      </c>
      <c r="X38" s="26" t="s">
        <v>10411</v>
      </c>
      <c r="Y38" s="26" t="s">
        <v>91</v>
      </c>
      <c r="Z38" s="26" t="s">
        <v>91</v>
      </c>
      <c r="AA38" s="26" t="s">
        <v>172</v>
      </c>
      <c r="AB38" s="31" t="s">
        <v>9</v>
      </c>
      <c r="AC38" s="30" t="s">
        <v>172</v>
      </c>
      <c r="AD38" s="25" t="s">
        <v>172</v>
      </c>
      <c r="AE38" s="25" t="s">
        <v>174</v>
      </c>
      <c r="AF38" s="26" t="s">
        <v>175</v>
      </c>
      <c r="AG38" s="32">
        <f t="shared" si="2"/>
        <v>1</v>
      </c>
      <c r="AH38" s="32">
        <v>1</v>
      </c>
      <c r="AI38" s="32">
        <v>1</v>
      </c>
      <c r="AJ38" s="32">
        <v>1</v>
      </c>
      <c r="AK38" s="30"/>
      <c r="AL38" s="32">
        <f t="shared" si="1"/>
        <v>1</v>
      </c>
      <c r="AM38" s="30"/>
      <c r="AN38" s="32"/>
      <c r="AO38" s="32">
        <v>1</v>
      </c>
      <c r="AP38" s="32">
        <v>1</v>
      </c>
      <c r="AQ38" s="32">
        <v>1</v>
      </c>
      <c r="AR38" s="32">
        <v>1</v>
      </c>
      <c r="AS38" s="32"/>
      <c r="AT38" s="32">
        <v>1</v>
      </c>
      <c r="AU38" s="30"/>
      <c r="AV38" s="30"/>
      <c r="AW38" s="30"/>
      <c r="AX38" s="30" t="s">
        <v>10646</v>
      </c>
      <c r="AY38" s="30"/>
      <c r="AZ38" s="75" t="s">
        <v>10578</v>
      </c>
    </row>
    <row r="39" spans="1:52" ht="16.5">
      <c r="A39" s="25" t="s">
        <v>10683</v>
      </c>
      <c r="B39" s="25" t="s">
        <v>4398</v>
      </c>
      <c r="C39" s="25" t="s">
        <v>68</v>
      </c>
      <c r="D39" s="25" t="s">
        <v>10684</v>
      </c>
      <c r="E39" s="258" t="s">
        <v>10685</v>
      </c>
      <c r="F39" s="25" t="s">
        <v>10686</v>
      </c>
      <c r="G39" s="25" t="s">
        <v>3138</v>
      </c>
      <c r="H39" s="25" t="s">
        <v>3138</v>
      </c>
      <c r="I39" s="26" t="s">
        <v>4402</v>
      </c>
      <c r="J39" s="26" t="s">
        <v>9281</v>
      </c>
      <c r="K39" s="62" t="s">
        <v>10407</v>
      </c>
      <c r="L39" s="25" t="s">
        <v>73</v>
      </c>
      <c r="M39" s="25" t="s">
        <v>10687</v>
      </c>
      <c r="N39" s="49" t="s">
        <v>10688</v>
      </c>
      <c r="O39" s="27" t="s">
        <v>10689</v>
      </c>
      <c r="P39" s="28"/>
      <c r="Q39" s="29">
        <v>8</v>
      </c>
      <c r="R39" s="29">
        <v>32</v>
      </c>
      <c r="S39" s="29">
        <v>282.26</v>
      </c>
      <c r="T39" s="30" t="s">
        <v>88</v>
      </c>
      <c r="U39" s="30" t="s">
        <v>78</v>
      </c>
      <c r="V39" s="30" t="s">
        <v>89</v>
      </c>
      <c r="W39" s="38" t="s">
        <v>9544</v>
      </c>
      <c r="X39" s="26" t="s">
        <v>10411</v>
      </c>
      <c r="Y39" s="26" t="s">
        <v>91</v>
      </c>
      <c r="Z39" s="26" t="s">
        <v>91</v>
      </c>
      <c r="AA39" s="26" t="s">
        <v>172</v>
      </c>
      <c r="AB39" s="31" t="s">
        <v>11</v>
      </c>
      <c r="AC39" s="30" t="s">
        <v>172</v>
      </c>
      <c r="AD39" s="25" t="s">
        <v>172</v>
      </c>
      <c r="AE39" s="25" t="s">
        <v>174</v>
      </c>
      <c r="AF39" s="26" t="s">
        <v>175</v>
      </c>
      <c r="AG39" s="32">
        <f t="shared" si="2"/>
        <v>1</v>
      </c>
      <c r="AH39" s="32">
        <v>1</v>
      </c>
      <c r="AI39" s="32">
        <v>1</v>
      </c>
      <c r="AJ39" s="32">
        <v>1</v>
      </c>
      <c r="AK39" s="30"/>
      <c r="AL39" s="32">
        <f t="shared" si="1"/>
        <v>1</v>
      </c>
      <c r="AM39" s="30"/>
      <c r="AN39" s="32">
        <v>1</v>
      </c>
      <c r="AO39" s="32">
        <v>1</v>
      </c>
      <c r="AP39" s="32">
        <v>1</v>
      </c>
      <c r="AQ39" s="32">
        <v>1</v>
      </c>
      <c r="AR39" s="32">
        <v>1</v>
      </c>
      <c r="AS39" s="32"/>
      <c r="AT39" s="32">
        <v>1</v>
      </c>
      <c r="AU39" s="30"/>
      <c r="AV39" s="30"/>
      <c r="AW39" s="30"/>
      <c r="AX39" s="30" t="s">
        <v>10690</v>
      </c>
      <c r="AY39" s="30"/>
      <c r="AZ39" s="75" t="s">
        <v>10643</v>
      </c>
    </row>
    <row r="40" spans="1:52" ht="16.5">
      <c r="A40" s="25" t="s">
        <v>10691</v>
      </c>
      <c r="B40" s="25" t="s">
        <v>4398</v>
      </c>
      <c r="C40" s="25" t="s">
        <v>68</v>
      </c>
      <c r="D40" s="25" t="s">
        <v>10692</v>
      </c>
      <c r="E40" s="258" t="s">
        <v>10693</v>
      </c>
      <c r="F40" s="25" t="s">
        <v>10694</v>
      </c>
      <c r="G40" s="25" t="s">
        <v>3138</v>
      </c>
      <c r="H40" s="25" t="s">
        <v>3138</v>
      </c>
      <c r="I40" s="26" t="s">
        <v>4402</v>
      </c>
      <c r="J40" s="26" t="s">
        <v>9281</v>
      </c>
      <c r="K40" s="62" t="s">
        <v>10407</v>
      </c>
      <c r="L40" s="25" t="s">
        <v>73</v>
      </c>
      <c r="M40" s="25" t="s">
        <v>10690</v>
      </c>
      <c r="N40" s="49" t="s">
        <v>10695</v>
      </c>
      <c r="O40" s="27" t="s">
        <v>10696</v>
      </c>
      <c r="P40" s="28"/>
      <c r="Q40" s="29">
        <v>4</v>
      </c>
      <c r="R40" s="29">
        <v>16</v>
      </c>
      <c r="S40" s="29">
        <v>287.5</v>
      </c>
      <c r="T40" s="30" t="s">
        <v>88</v>
      </c>
      <c r="U40" s="30" t="s">
        <v>78</v>
      </c>
      <c r="V40" s="30" t="s">
        <v>89</v>
      </c>
      <c r="W40" s="38" t="s">
        <v>9544</v>
      </c>
      <c r="X40" s="26" t="s">
        <v>10411</v>
      </c>
      <c r="Y40" s="26" t="s">
        <v>91</v>
      </c>
      <c r="Z40" s="26" t="s">
        <v>91</v>
      </c>
      <c r="AA40" s="26" t="s">
        <v>172</v>
      </c>
      <c r="AB40" s="31" t="s">
        <v>11</v>
      </c>
      <c r="AC40" s="30" t="s">
        <v>172</v>
      </c>
      <c r="AD40" s="25" t="s">
        <v>172</v>
      </c>
      <c r="AE40" s="25" t="s">
        <v>174</v>
      </c>
      <c r="AF40" s="26" t="s">
        <v>175</v>
      </c>
      <c r="AG40" s="32">
        <f t="shared" si="2"/>
        <v>1</v>
      </c>
      <c r="AH40" s="32">
        <v>1</v>
      </c>
      <c r="AI40" s="32">
        <v>1</v>
      </c>
      <c r="AJ40" s="32">
        <v>1</v>
      </c>
      <c r="AK40" s="30"/>
      <c r="AL40" s="32">
        <f t="shared" si="1"/>
        <v>1</v>
      </c>
      <c r="AM40" s="30"/>
      <c r="AN40" s="32">
        <v>1</v>
      </c>
      <c r="AO40" s="32">
        <v>1</v>
      </c>
      <c r="AP40" s="32">
        <v>1</v>
      </c>
      <c r="AQ40" s="32">
        <v>1</v>
      </c>
      <c r="AR40" s="32">
        <v>1</v>
      </c>
      <c r="AS40" s="32"/>
      <c r="AT40" s="32">
        <v>1</v>
      </c>
      <c r="AU40" s="30"/>
      <c r="AV40" s="30"/>
      <c r="AW40" s="30"/>
      <c r="AX40" s="30" t="s">
        <v>10680</v>
      </c>
      <c r="AY40" s="30"/>
      <c r="AZ40" s="75" t="s">
        <v>10651</v>
      </c>
    </row>
    <row r="41" spans="1:52" ht="16.5">
      <c r="A41" s="25" t="s">
        <v>10697</v>
      </c>
      <c r="B41" s="25" t="s">
        <v>4398</v>
      </c>
      <c r="C41" s="25" t="s">
        <v>68</v>
      </c>
      <c r="D41" s="25" t="s">
        <v>10698</v>
      </c>
      <c r="E41" s="258" t="s">
        <v>10699</v>
      </c>
      <c r="F41" s="25" t="s">
        <v>10700</v>
      </c>
      <c r="G41" s="25" t="s">
        <v>3138</v>
      </c>
      <c r="H41" s="25" t="s">
        <v>3138</v>
      </c>
      <c r="I41" s="26" t="s">
        <v>4402</v>
      </c>
      <c r="J41" s="26" t="s">
        <v>9281</v>
      </c>
      <c r="K41" s="62" t="s">
        <v>10407</v>
      </c>
      <c r="L41" s="25" t="s">
        <v>73</v>
      </c>
      <c r="M41" s="25" t="s">
        <v>10701</v>
      </c>
      <c r="N41" s="49" t="s">
        <v>10702</v>
      </c>
      <c r="O41" s="27" t="s">
        <v>10703</v>
      </c>
      <c r="P41" s="28"/>
      <c r="Q41" s="29">
        <v>12</v>
      </c>
      <c r="R41" s="29">
        <v>32</v>
      </c>
      <c r="S41" s="29">
        <v>322.44</v>
      </c>
      <c r="T41" s="30" t="s">
        <v>88</v>
      </c>
      <c r="U41" s="30" t="s">
        <v>78</v>
      </c>
      <c r="V41" s="30" t="s">
        <v>89</v>
      </c>
      <c r="W41" s="38" t="s">
        <v>9544</v>
      </c>
      <c r="X41" s="26" t="s">
        <v>10411</v>
      </c>
      <c r="Y41" s="26" t="s">
        <v>91</v>
      </c>
      <c r="Z41" s="26" t="s">
        <v>91</v>
      </c>
      <c r="AA41" s="26" t="s">
        <v>172</v>
      </c>
      <c r="AB41" s="31" t="s">
        <v>11</v>
      </c>
      <c r="AC41" s="30" t="s">
        <v>172</v>
      </c>
      <c r="AD41" s="25" t="s">
        <v>172</v>
      </c>
      <c r="AE41" s="25" t="s">
        <v>174</v>
      </c>
      <c r="AF41" s="26" t="s">
        <v>175</v>
      </c>
      <c r="AG41" s="32">
        <f t="shared" si="2"/>
        <v>1</v>
      </c>
      <c r="AH41" s="32">
        <v>1</v>
      </c>
      <c r="AI41" s="32">
        <v>1</v>
      </c>
      <c r="AJ41" s="32">
        <v>1</v>
      </c>
      <c r="AK41" s="30"/>
      <c r="AL41" s="32">
        <f t="shared" si="1"/>
        <v>1</v>
      </c>
      <c r="AM41" s="30"/>
      <c r="AN41" s="32">
        <v>1</v>
      </c>
      <c r="AO41" s="32">
        <v>1</v>
      </c>
      <c r="AP41" s="32">
        <v>1</v>
      </c>
      <c r="AQ41" s="32">
        <v>1</v>
      </c>
      <c r="AR41" s="32">
        <v>1</v>
      </c>
      <c r="AS41" s="32"/>
      <c r="AT41" s="32">
        <v>1</v>
      </c>
      <c r="AU41" s="30"/>
      <c r="AV41" s="30"/>
      <c r="AW41" s="30"/>
      <c r="AX41" s="30" t="s">
        <v>10627</v>
      </c>
      <c r="AY41" s="30"/>
      <c r="AZ41" s="75" t="s">
        <v>10595</v>
      </c>
    </row>
    <row r="42" spans="1:52" ht="16.5">
      <c r="A42" s="25" t="s">
        <v>10704</v>
      </c>
      <c r="B42" s="25" t="s">
        <v>4398</v>
      </c>
      <c r="C42" s="25" t="s">
        <v>68</v>
      </c>
      <c r="D42" s="25" t="s">
        <v>10705</v>
      </c>
      <c r="E42" s="258" t="s">
        <v>10706</v>
      </c>
      <c r="F42" s="25" t="s">
        <v>10707</v>
      </c>
      <c r="G42" s="25" t="s">
        <v>3138</v>
      </c>
      <c r="H42" s="25" t="s">
        <v>3138</v>
      </c>
      <c r="I42" s="26" t="s">
        <v>4402</v>
      </c>
      <c r="J42" s="26" t="s">
        <v>9281</v>
      </c>
      <c r="K42" s="62" t="s">
        <v>10407</v>
      </c>
      <c r="L42" s="25" t="s">
        <v>73</v>
      </c>
      <c r="M42" s="25" t="s">
        <v>10516</v>
      </c>
      <c r="N42" s="49" t="s">
        <v>10708</v>
      </c>
      <c r="O42" s="27" t="s">
        <v>10709</v>
      </c>
      <c r="P42" s="28"/>
      <c r="Q42" s="29">
        <v>8</v>
      </c>
      <c r="R42" s="29">
        <v>32</v>
      </c>
      <c r="S42" s="29">
        <v>303.27</v>
      </c>
      <c r="T42" s="30" t="s">
        <v>88</v>
      </c>
      <c r="U42" s="30" t="s">
        <v>78</v>
      </c>
      <c r="V42" s="30" t="s">
        <v>89</v>
      </c>
      <c r="W42" s="38" t="s">
        <v>9544</v>
      </c>
      <c r="X42" s="26" t="s">
        <v>10411</v>
      </c>
      <c r="Y42" s="26" t="s">
        <v>91</v>
      </c>
      <c r="Z42" s="26" t="s">
        <v>91</v>
      </c>
      <c r="AA42" s="26" t="s">
        <v>172</v>
      </c>
      <c r="AB42" s="36" t="s">
        <v>7</v>
      </c>
      <c r="AC42" s="30" t="s">
        <v>172</v>
      </c>
      <c r="AD42" s="25" t="s">
        <v>172</v>
      </c>
      <c r="AE42" s="25" t="s">
        <v>174</v>
      </c>
      <c r="AF42" s="26" t="s">
        <v>175</v>
      </c>
      <c r="AG42" s="32">
        <f t="shared" si="2"/>
        <v>1</v>
      </c>
      <c r="AH42" s="32">
        <v>1</v>
      </c>
      <c r="AI42" s="32">
        <v>1</v>
      </c>
      <c r="AJ42" s="32">
        <v>1</v>
      </c>
      <c r="AK42" s="30"/>
      <c r="AL42" s="32">
        <f t="shared" si="1"/>
        <v>1</v>
      </c>
      <c r="AM42" s="30"/>
      <c r="AN42" s="32"/>
      <c r="AO42" s="32">
        <v>1</v>
      </c>
      <c r="AP42" s="32">
        <v>1</v>
      </c>
      <c r="AQ42" s="32">
        <v>1</v>
      </c>
      <c r="AR42" s="32">
        <v>1</v>
      </c>
      <c r="AS42" s="32"/>
      <c r="AT42" s="32">
        <v>1</v>
      </c>
      <c r="AU42" s="30"/>
      <c r="AV42" s="30"/>
      <c r="AW42" s="30"/>
      <c r="AX42" s="30" t="s">
        <v>10710</v>
      </c>
      <c r="AY42" s="30"/>
      <c r="AZ42" s="75" t="s">
        <v>10606</v>
      </c>
    </row>
    <row r="43" spans="1:52" ht="16.5">
      <c r="A43" s="25" t="s">
        <v>10711</v>
      </c>
      <c r="B43" s="25" t="s">
        <v>4398</v>
      </c>
      <c r="C43" s="25" t="s">
        <v>68</v>
      </c>
      <c r="D43" s="25" t="s">
        <v>10712</v>
      </c>
      <c r="E43" s="258" t="s">
        <v>10713</v>
      </c>
      <c r="F43" s="25" t="s">
        <v>10714</v>
      </c>
      <c r="G43" s="25" t="s">
        <v>3138</v>
      </c>
      <c r="H43" s="25" t="s">
        <v>3138</v>
      </c>
      <c r="I43" s="26" t="s">
        <v>4402</v>
      </c>
      <c r="J43" s="26" t="s">
        <v>9281</v>
      </c>
      <c r="K43" s="62" t="s">
        <v>10407</v>
      </c>
      <c r="L43" s="25" t="s">
        <v>73</v>
      </c>
      <c r="M43" s="25" t="s">
        <v>10715</v>
      </c>
      <c r="N43" s="49" t="s">
        <v>10716</v>
      </c>
      <c r="O43" s="27" t="s">
        <v>10717</v>
      </c>
      <c r="P43" s="28"/>
      <c r="Q43" s="29">
        <v>8</v>
      </c>
      <c r="R43" s="29">
        <v>32</v>
      </c>
      <c r="S43" s="29">
        <v>302.70999999999998</v>
      </c>
      <c r="T43" s="30" t="s">
        <v>88</v>
      </c>
      <c r="U43" s="30" t="s">
        <v>78</v>
      </c>
      <c r="V43" s="30" t="s">
        <v>89</v>
      </c>
      <c r="W43" s="38" t="s">
        <v>9544</v>
      </c>
      <c r="X43" s="26" t="s">
        <v>10411</v>
      </c>
      <c r="Y43" s="26" t="s">
        <v>91</v>
      </c>
      <c r="Z43" s="26" t="s">
        <v>91</v>
      </c>
      <c r="AA43" s="26" t="s">
        <v>172</v>
      </c>
      <c r="AB43" s="31" t="s">
        <v>11</v>
      </c>
      <c r="AC43" s="30" t="s">
        <v>172</v>
      </c>
      <c r="AD43" s="25" t="s">
        <v>172</v>
      </c>
      <c r="AE43" s="25" t="s">
        <v>174</v>
      </c>
      <c r="AF43" s="26" t="s">
        <v>175</v>
      </c>
      <c r="AG43" s="32">
        <f t="shared" si="2"/>
        <v>1</v>
      </c>
      <c r="AH43" s="32">
        <v>1</v>
      </c>
      <c r="AI43" s="32">
        <v>1</v>
      </c>
      <c r="AJ43" s="32">
        <v>1</v>
      </c>
      <c r="AK43" s="30"/>
      <c r="AL43" s="32">
        <f t="shared" si="1"/>
        <v>1</v>
      </c>
      <c r="AM43" s="30"/>
      <c r="AN43" s="32">
        <v>1</v>
      </c>
      <c r="AO43" s="32">
        <v>1</v>
      </c>
      <c r="AP43" s="32">
        <v>1</v>
      </c>
      <c r="AQ43" s="32">
        <v>1</v>
      </c>
      <c r="AR43" s="32">
        <v>1</v>
      </c>
      <c r="AS43" s="32"/>
      <c r="AT43" s="32">
        <v>1</v>
      </c>
      <c r="AU43" s="30"/>
      <c r="AV43" s="30"/>
      <c r="AW43" s="30"/>
      <c r="AX43" s="30" t="s">
        <v>10718</v>
      </c>
      <c r="AY43" s="30"/>
      <c r="AZ43" s="75" t="s">
        <v>10692</v>
      </c>
    </row>
    <row r="44" spans="1:52" ht="16.5">
      <c r="A44" s="25" t="s">
        <v>10719</v>
      </c>
      <c r="B44" s="25" t="s">
        <v>4398</v>
      </c>
      <c r="C44" s="25" t="s">
        <v>68</v>
      </c>
      <c r="D44" s="25" t="s">
        <v>10720</v>
      </c>
      <c r="E44" s="258" t="s">
        <v>10721</v>
      </c>
      <c r="F44" s="25" t="s">
        <v>10722</v>
      </c>
      <c r="G44" s="25" t="s">
        <v>3138</v>
      </c>
      <c r="H44" s="25" t="s">
        <v>3138</v>
      </c>
      <c r="I44" s="26" t="s">
        <v>4402</v>
      </c>
      <c r="J44" s="26" t="s">
        <v>9281</v>
      </c>
      <c r="K44" s="62" t="s">
        <v>10407</v>
      </c>
      <c r="L44" s="25" t="s">
        <v>73</v>
      </c>
      <c r="M44" s="25" t="s">
        <v>10718</v>
      </c>
      <c r="N44" s="49" t="s">
        <v>10723</v>
      </c>
      <c r="O44" s="27" t="s">
        <v>10724</v>
      </c>
      <c r="P44" s="28"/>
      <c r="Q44" s="29">
        <v>8</v>
      </c>
      <c r="R44" s="29">
        <v>32</v>
      </c>
      <c r="S44" s="29">
        <v>282.47000000000003</v>
      </c>
      <c r="T44" s="30" t="s">
        <v>88</v>
      </c>
      <c r="U44" s="30" t="s">
        <v>78</v>
      </c>
      <c r="V44" s="30" t="s">
        <v>89</v>
      </c>
      <c r="W44" s="38" t="s">
        <v>9544</v>
      </c>
      <c r="X44" s="26" t="s">
        <v>10411</v>
      </c>
      <c r="Y44" s="26" t="s">
        <v>91</v>
      </c>
      <c r="Z44" s="26" t="s">
        <v>91</v>
      </c>
      <c r="AA44" s="26" t="s">
        <v>172</v>
      </c>
      <c r="AB44" s="31" t="s">
        <v>11</v>
      </c>
      <c r="AC44" s="30" t="s">
        <v>172</v>
      </c>
      <c r="AD44" s="25" t="s">
        <v>172</v>
      </c>
      <c r="AE44" s="25" t="s">
        <v>174</v>
      </c>
      <c r="AF44" s="26" t="s">
        <v>175</v>
      </c>
      <c r="AG44" s="32">
        <f t="shared" si="2"/>
        <v>1</v>
      </c>
      <c r="AH44" s="32">
        <v>1</v>
      </c>
      <c r="AI44" s="32">
        <v>1</v>
      </c>
      <c r="AJ44" s="32">
        <v>1</v>
      </c>
      <c r="AK44" s="30"/>
      <c r="AL44" s="32">
        <f t="shared" si="1"/>
        <v>1</v>
      </c>
      <c r="AM44" s="30"/>
      <c r="AN44" s="32">
        <v>1</v>
      </c>
      <c r="AO44" s="32">
        <v>1</v>
      </c>
      <c r="AP44" s="32">
        <v>1</v>
      </c>
      <c r="AQ44" s="32">
        <v>1</v>
      </c>
      <c r="AR44" s="32">
        <v>1</v>
      </c>
      <c r="AS44" s="32"/>
      <c r="AT44" s="32">
        <v>1</v>
      </c>
      <c r="AU44" s="30"/>
      <c r="AV44" s="30"/>
      <c r="AW44" s="30"/>
      <c r="AX44" s="30" t="s">
        <v>10669</v>
      </c>
      <c r="AY44" s="30"/>
      <c r="AZ44" s="75" t="s">
        <v>10725</v>
      </c>
    </row>
    <row r="45" spans="1:52" ht="16.5">
      <c r="A45" s="25" t="s">
        <v>10726</v>
      </c>
      <c r="B45" s="25" t="s">
        <v>4398</v>
      </c>
      <c r="C45" s="25" t="s">
        <v>68</v>
      </c>
      <c r="D45" s="25" t="s">
        <v>10725</v>
      </c>
      <c r="E45" s="258" t="s">
        <v>10727</v>
      </c>
      <c r="F45" s="25" t="s">
        <v>10728</v>
      </c>
      <c r="G45" s="25" t="s">
        <v>3138</v>
      </c>
      <c r="H45" s="25" t="s">
        <v>3138</v>
      </c>
      <c r="I45" s="26" t="s">
        <v>4402</v>
      </c>
      <c r="J45" s="26" t="s">
        <v>9281</v>
      </c>
      <c r="K45" s="64" t="s">
        <v>3213</v>
      </c>
      <c r="L45" s="25" t="s">
        <v>73</v>
      </c>
      <c r="M45" s="25" t="s">
        <v>10729</v>
      </c>
      <c r="N45" s="49" t="s">
        <v>10730</v>
      </c>
      <c r="O45" s="27" t="s">
        <v>10731</v>
      </c>
      <c r="P45" s="28"/>
      <c r="Q45" s="29">
        <v>8</v>
      </c>
      <c r="R45" s="29">
        <v>32</v>
      </c>
      <c r="S45" s="29">
        <v>323.75</v>
      </c>
      <c r="T45" s="30" t="s">
        <v>88</v>
      </c>
      <c r="U45" s="30" t="s">
        <v>78</v>
      </c>
      <c r="V45" s="30" t="s">
        <v>89</v>
      </c>
      <c r="W45" s="38" t="s">
        <v>9544</v>
      </c>
      <c r="X45" s="26" t="s">
        <v>10411</v>
      </c>
      <c r="Y45" s="26" t="s">
        <v>91</v>
      </c>
      <c r="Z45" s="26" t="s">
        <v>91</v>
      </c>
      <c r="AA45" s="26" t="s">
        <v>172</v>
      </c>
      <c r="AB45" s="31" t="s">
        <v>11</v>
      </c>
      <c r="AC45" s="30" t="s">
        <v>172</v>
      </c>
      <c r="AD45" s="25" t="s">
        <v>172</v>
      </c>
      <c r="AE45" s="25" t="s">
        <v>174</v>
      </c>
      <c r="AF45" s="26" t="s">
        <v>175</v>
      </c>
      <c r="AG45" s="32">
        <f t="shared" si="2"/>
        <v>1</v>
      </c>
      <c r="AH45" s="32">
        <v>1</v>
      </c>
      <c r="AI45" s="32">
        <v>1</v>
      </c>
      <c r="AJ45" s="32"/>
      <c r="AK45" s="30"/>
      <c r="AL45" s="32"/>
      <c r="AM45" s="30"/>
      <c r="AN45" s="32"/>
      <c r="AO45" s="32"/>
      <c r="AP45" s="32"/>
      <c r="AQ45" s="32"/>
      <c r="AR45" s="32"/>
      <c r="AS45" s="30"/>
      <c r="AT45" s="32"/>
      <c r="AU45" s="30"/>
      <c r="AV45" s="30"/>
      <c r="AW45" s="30"/>
      <c r="AX45" s="30"/>
      <c r="AY45" s="30"/>
      <c r="AZ45" s="75" t="s">
        <v>10732</v>
      </c>
    </row>
    <row r="46" spans="1:52" ht="16.5">
      <c r="A46" s="25" t="s">
        <v>10733</v>
      </c>
      <c r="B46" s="25" t="s">
        <v>4398</v>
      </c>
      <c r="C46" s="25" t="s">
        <v>68</v>
      </c>
      <c r="D46" s="25" t="s">
        <v>10734</v>
      </c>
      <c r="E46" s="258" t="s">
        <v>10735</v>
      </c>
      <c r="F46" s="25" t="s">
        <v>10736</v>
      </c>
      <c r="G46" s="25" t="s">
        <v>3138</v>
      </c>
      <c r="H46" s="25" t="s">
        <v>3138</v>
      </c>
      <c r="I46" s="26" t="s">
        <v>4402</v>
      </c>
      <c r="J46" s="26" t="s">
        <v>9281</v>
      </c>
      <c r="K46" s="62" t="s">
        <v>10407</v>
      </c>
      <c r="L46" s="25" t="s">
        <v>73</v>
      </c>
      <c r="M46" s="25" t="s">
        <v>10737</v>
      </c>
      <c r="N46" s="49" t="s">
        <v>10738</v>
      </c>
      <c r="O46" s="27" t="s">
        <v>10739</v>
      </c>
      <c r="P46" s="28"/>
      <c r="Q46" s="29">
        <v>8</v>
      </c>
      <c r="R46" s="29">
        <v>32</v>
      </c>
      <c r="S46" s="29">
        <v>343.73</v>
      </c>
      <c r="T46" s="30" t="s">
        <v>88</v>
      </c>
      <c r="U46" s="30" t="s">
        <v>78</v>
      </c>
      <c r="V46" s="30" t="s">
        <v>89</v>
      </c>
      <c r="W46" s="38" t="s">
        <v>9544</v>
      </c>
      <c r="X46" s="26" t="s">
        <v>10411</v>
      </c>
      <c r="Y46" s="26" t="s">
        <v>91</v>
      </c>
      <c r="Z46" s="26" t="s">
        <v>91</v>
      </c>
      <c r="AA46" s="26" t="s">
        <v>172</v>
      </c>
      <c r="AB46" s="31" t="s">
        <v>11</v>
      </c>
      <c r="AC46" s="30" t="s">
        <v>172</v>
      </c>
      <c r="AD46" s="25" t="s">
        <v>172</v>
      </c>
      <c r="AE46" s="25" t="s">
        <v>174</v>
      </c>
      <c r="AF46" s="26" t="s">
        <v>175</v>
      </c>
      <c r="AG46" s="32">
        <f t="shared" si="2"/>
        <v>1</v>
      </c>
      <c r="AH46" s="32">
        <v>1</v>
      </c>
      <c r="AI46" s="32">
        <v>1</v>
      </c>
      <c r="AJ46" s="32">
        <v>1</v>
      </c>
      <c r="AK46" s="30"/>
      <c r="AL46" s="32">
        <f t="shared" ref="AL46:AL87" si="3">IF(COUNTIF(AX:AX,"*"&amp;M46&amp;"*")&gt;0,1,0)</f>
        <v>1</v>
      </c>
      <c r="AM46" s="30"/>
      <c r="AN46" s="32">
        <v>1</v>
      </c>
      <c r="AO46" s="32">
        <v>1</v>
      </c>
      <c r="AP46" s="32">
        <v>1</v>
      </c>
      <c r="AQ46" s="32">
        <v>1</v>
      </c>
      <c r="AR46" s="32">
        <v>1</v>
      </c>
      <c r="AS46" s="32"/>
      <c r="AT46" s="32">
        <v>1</v>
      </c>
      <c r="AU46" s="30"/>
      <c r="AV46" s="30"/>
      <c r="AW46" s="30"/>
      <c r="AX46" s="30" t="s">
        <v>10740</v>
      </c>
      <c r="AY46" s="30"/>
      <c r="AZ46" s="75" t="s">
        <v>10741</v>
      </c>
    </row>
    <row r="47" spans="1:52" ht="16.5">
      <c r="A47" s="25" t="s">
        <v>10742</v>
      </c>
      <c r="B47" s="25" t="s">
        <v>4398</v>
      </c>
      <c r="C47" s="25" t="s">
        <v>68</v>
      </c>
      <c r="D47" s="25" t="s">
        <v>10741</v>
      </c>
      <c r="E47" s="258" t="s">
        <v>10743</v>
      </c>
      <c r="F47" s="25" t="s">
        <v>10744</v>
      </c>
      <c r="G47" s="25" t="s">
        <v>3138</v>
      </c>
      <c r="H47" s="25" t="s">
        <v>3138</v>
      </c>
      <c r="I47" s="26" t="s">
        <v>4402</v>
      </c>
      <c r="J47" s="26" t="s">
        <v>9281</v>
      </c>
      <c r="K47" s="62" t="s">
        <v>10407</v>
      </c>
      <c r="L47" s="25" t="s">
        <v>73</v>
      </c>
      <c r="M47" s="25" t="s">
        <v>10745</v>
      </c>
      <c r="N47" s="49" t="s">
        <v>10746</v>
      </c>
      <c r="O47" s="27" t="s">
        <v>10747</v>
      </c>
      <c r="P47" s="28"/>
      <c r="Q47" s="29">
        <v>8</v>
      </c>
      <c r="R47" s="29">
        <v>32</v>
      </c>
      <c r="S47" s="29">
        <v>353.64</v>
      </c>
      <c r="T47" s="30" t="s">
        <v>88</v>
      </c>
      <c r="U47" s="30" t="s">
        <v>78</v>
      </c>
      <c r="V47" s="30" t="s">
        <v>89</v>
      </c>
      <c r="W47" s="38" t="s">
        <v>9544</v>
      </c>
      <c r="X47" s="26" t="s">
        <v>10411</v>
      </c>
      <c r="Y47" s="26" t="s">
        <v>91</v>
      </c>
      <c r="Z47" s="26" t="s">
        <v>91</v>
      </c>
      <c r="AA47" s="26" t="s">
        <v>172</v>
      </c>
      <c r="AB47" s="31" t="s">
        <v>11</v>
      </c>
      <c r="AC47" s="30" t="s">
        <v>172</v>
      </c>
      <c r="AD47" s="25" t="s">
        <v>172</v>
      </c>
      <c r="AE47" s="25" t="s">
        <v>174</v>
      </c>
      <c r="AF47" s="26" t="s">
        <v>175</v>
      </c>
      <c r="AG47" s="32">
        <f t="shared" si="2"/>
        <v>1</v>
      </c>
      <c r="AH47" s="32">
        <v>1</v>
      </c>
      <c r="AI47" s="32">
        <v>1</v>
      </c>
      <c r="AJ47" s="32">
        <v>1</v>
      </c>
      <c r="AK47" s="30"/>
      <c r="AL47" s="32">
        <f t="shared" si="3"/>
        <v>1</v>
      </c>
      <c r="AM47" s="30"/>
      <c r="AN47" s="32">
        <v>1</v>
      </c>
      <c r="AO47" s="32">
        <v>1</v>
      </c>
      <c r="AP47" s="32">
        <v>1</v>
      </c>
      <c r="AQ47" s="32">
        <v>1</v>
      </c>
      <c r="AR47" s="32">
        <v>1</v>
      </c>
      <c r="AS47" s="32"/>
      <c r="AT47" s="32">
        <v>1</v>
      </c>
      <c r="AU47" s="30"/>
      <c r="AV47" s="30"/>
      <c r="AW47" s="30"/>
      <c r="AX47" s="30" t="s">
        <v>10715</v>
      </c>
      <c r="AY47" s="30"/>
      <c r="AZ47" s="75" t="s">
        <v>10712</v>
      </c>
    </row>
    <row r="48" spans="1:52" ht="16.5">
      <c r="A48" s="25" t="s">
        <v>10748</v>
      </c>
      <c r="B48" s="25" t="s">
        <v>4398</v>
      </c>
      <c r="C48" s="25" t="s">
        <v>68</v>
      </c>
      <c r="D48" s="25" t="s">
        <v>10749</v>
      </c>
      <c r="E48" s="258" t="s">
        <v>10750</v>
      </c>
      <c r="F48" s="25" t="s">
        <v>10751</v>
      </c>
      <c r="G48" s="25" t="s">
        <v>3138</v>
      </c>
      <c r="H48" s="25" t="s">
        <v>3138</v>
      </c>
      <c r="I48" s="26" t="s">
        <v>4402</v>
      </c>
      <c r="J48" s="26" t="s">
        <v>9281</v>
      </c>
      <c r="K48" s="62" t="s">
        <v>10407</v>
      </c>
      <c r="L48" s="25" t="s">
        <v>73</v>
      </c>
      <c r="M48" s="25" t="s">
        <v>10752</v>
      </c>
      <c r="N48" s="49" t="s">
        <v>10753</v>
      </c>
      <c r="O48" s="27" t="s">
        <v>10754</v>
      </c>
      <c r="P48" s="28"/>
      <c r="Q48" s="29">
        <v>8</v>
      </c>
      <c r="R48" s="29">
        <v>32</v>
      </c>
      <c r="S48" s="29">
        <v>302.14</v>
      </c>
      <c r="T48" s="30" t="s">
        <v>88</v>
      </c>
      <c r="U48" s="30" t="s">
        <v>78</v>
      </c>
      <c r="V48" s="30" t="s">
        <v>89</v>
      </c>
      <c r="W48" s="38" t="s">
        <v>9544</v>
      </c>
      <c r="X48" s="26" t="s">
        <v>10411</v>
      </c>
      <c r="Y48" s="26" t="s">
        <v>91</v>
      </c>
      <c r="Z48" s="26" t="s">
        <v>91</v>
      </c>
      <c r="AA48" s="26" t="s">
        <v>172</v>
      </c>
      <c r="AB48" s="31" t="s">
        <v>11</v>
      </c>
      <c r="AC48" s="30" t="s">
        <v>172</v>
      </c>
      <c r="AD48" s="25" t="s">
        <v>172</v>
      </c>
      <c r="AE48" s="25" t="s">
        <v>174</v>
      </c>
      <c r="AF48" s="26" t="s">
        <v>175</v>
      </c>
      <c r="AG48" s="32">
        <f t="shared" si="2"/>
        <v>1</v>
      </c>
      <c r="AH48" s="32">
        <v>1</v>
      </c>
      <c r="AI48" s="32">
        <v>1</v>
      </c>
      <c r="AJ48" s="32">
        <v>1</v>
      </c>
      <c r="AK48" s="30"/>
      <c r="AL48" s="32">
        <f t="shared" si="3"/>
        <v>1</v>
      </c>
      <c r="AM48" s="30"/>
      <c r="AN48" s="32">
        <v>1</v>
      </c>
      <c r="AO48" s="32">
        <v>1</v>
      </c>
      <c r="AP48" s="32">
        <v>1</v>
      </c>
      <c r="AQ48" s="32">
        <v>1</v>
      </c>
      <c r="AR48" s="32">
        <v>1</v>
      </c>
      <c r="AS48" s="32"/>
      <c r="AT48" s="32">
        <v>1</v>
      </c>
      <c r="AU48" s="30"/>
      <c r="AV48" s="30"/>
      <c r="AW48" s="30"/>
      <c r="AX48" s="30" t="s">
        <v>10755</v>
      </c>
      <c r="AY48" s="30"/>
      <c r="AZ48" s="75" t="s">
        <v>10734</v>
      </c>
    </row>
    <row r="49" spans="1:52" ht="16.5">
      <c r="A49" s="25" t="s">
        <v>10756</v>
      </c>
      <c r="B49" s="25" t="s">
        <v>4398</v>
      </c>
      <c r="C49" s="25" t="s">
        <v>68</v>
      </c>
      <c r="D49" s="25" t="s">
        <v>10757</v>
      </c>
      <c r="E49" s="258" t="s">
        <v>10758</v>
      </c>
      <c r="F49" s="25" t="s">
        <v>10759</v>
      </c>
      <c r="G49" s="25" t="s">
        <v>3138</v>
      </c>
      <c r="H49" s="25" t="s">
        <v>3138</v>
      </c>
      <c r="I49" s="26" t="s">
        <v>4402</v>
      </c>
      <c r="J49" s="26" t="s">
        <v>9281</v>
      </c>
      <c r="K49" s="62" t="s">
        <v>10407</v>
      </c>
      <c r="L49" s="25" t="s">
        <v>73</v>
      </c>
      <c r="M49" s="25" t="s">
        <v>10760</v>
      </c>
      <c r="N49" s="49" t="s">
        <v>10761</v>
      </c>
      <c r="O49" s="27" t="s">
        <v>10762</v>
      </c>
      <c r="P49" s="28"/>
      <c r="Q49" s="29">
        <v>8</v>
      </c>
      <c r="R49" s="29">
        <v>32</v>
      </c>
      <c r="S49" s="29">
        <v>302.12</v>
      </c>
      <c r="T49" s="30" t="s">
        <v>88</v>
      </c>
      <c r="U49" s="30" t="s">
        <v>78</v>
      </c>
      <c r="V49" s="30" t="s">
        <v>89</v>
      </c>
      <c r="W49" s="38" t="s">
        <v>9544</v>
      </c>
      <c r="X49" s="26" t="s">
        <v>10411</v>
      </c>
      <c r="Y49" s="26" t="s">
        <v>91</v>
      </c>
      <c r="Z49" s="26" t="s">
        <v>91</v>
      </c>
      <c r="AA49" s="26" t="s">
        <v>172</v>
      </c>
      <c r="AB49" s="31" t="s">
        <v>11</v>
      </c>
      <c r="AC49" s="30" t="s">
        <v>172</v>
      </c>
      <c r="AD49" s="25" t="s">
        <v>172</v>
      </c>
      <c r="AE49" s="25" t="s">
        <v>174</v>
      </c>
      <c r="AF49" s="26" t="s">
        <v>175</v>
      </c>
      <c r="AG49" s="32">
        <f t="shared" si="2"/>
        <v>1</v>
      </c>
      <c r="AH49" s="32">
        <v>1</v>
      </c>
      <c r="AI49" s="32">
        <v>1</v>
      </c>
      <c r="AJ49" s="32">
        <v>1</v>
      </c>
      <c r="AK49" s="30"/>
      <c r="AL49" s="32">
        <f t="shared" si="3"/>
        <v>1</v>
      </c>
      <c r="AM49" s="30"/>
      <c r="AN49" s="32">
        <v>1</v>
      </c>
      <c r="AO49" s="32">
        <v>1</v>
      </c>
      <c r="AP49" s="32">
        <v>1</v>
      </c>
      <c r="AQ49" s="32">
        <v>1</v>
      </c>
      <c r="AR49" s="32">
        <v>1</v>
      </c>
      <c r="AS49" s="32"/>
      <c r="AT49" s="32">
        <v>1</v>
      </c>
      <c r="AU49" s="30"/>
      <c r="AV49" s="30"/>
      <c r="AW49" s="30"/>
      <c r="AX49" s="30" t="s">
        <v>10550</v>
      </c>
      <c r="AY49" s="30"/>
      <c r="AZ49" s="75" t="s">
        <v>10698</v>
      </c>
    </row>
    <row r="50" spans="1:52" ht="16.5">
      <c r="A50" s="25" t="s">
        <v>10763</v>
      </c>
      <c r="B50" s="25" t="s">
        <v>4398</v>
      </c>
      <c r="C50" s="25" t="s">
        <v>73</v>
      </c>
      <c r="D50" s="25" t="s">
        <v>10764</v>
      </c>
      <c r="E50" s="258" t="s">
        <v>10765</v>
      </c>
      <c r="F50" s="25" t="s">
        <v>10766</v>
      </c>
      <c r="G50" s="25" t="s">
        <v>3138</v>
      </c>
      <c r="H50" s="25" t="s">
        <v>3138</v>
      </c>
      <c r="I50" s="26" t="s">
        <v>4402</v>
      </c>
      <c r="J50" s="26" t="s">
        <v>9281</v>
      </c>
      <c r="K50" s="62" t="s">
        <v>10407</v>
      </c>
      <c r="L50" s="25" t="s">
        <v>73</v>
      </c>
      <c r="M50" s="25" t="s">
        <v>10767</v>
      </c>
      <c r="N50" s="49" t="s">
        <v>10768</v>
      </c>
      <c r="O50" s="27" t="s">
        <v>10769</v>
      </c>
      <c r="P50" s="28"/>
      <c r="Q50" s="77">
        <v>4</v>
      </c>
      <c r="R50" s="77" t="s">
        <v>4409</v>
      </c>
      <c r="S50" s="77" t="s">
        <v>10770</v>
      </c>
      <c r="T50" s="30" t="s">
        <v>88</v>
      </c>
      <c r="U50" s="30" t="s">
        <v>78</v>
      </c>
      <c r="V50" s="30" t="s">
        <v>89</v>
      </c>
      <c r="W50" s="38" t="s">
        <v>9544</v>
      </c>
      <c r="X50" s="26" t="s">
        <v>10411</v>
      </c>
      <c r="Y50" s="26" t="s">
        <v>91</v>
      </c>
      <c r="Z50" s="26" t="s">
        <v>91</v>
      </c>
      <c r="AA50" s="26" t="s">
        <v>172</v>
      </c>
      <c r="AB50" s="31" t="s">
        <v>11</v>
      </c>
      <c r="AC50" s="30" t="s">
        <v>172</v>
      </c>
      <c r="AD50" s="25" t="s">
        <v>10602</v>
      </c>
      <c r="AE50" s="25" t="s">
        <v>172</v>
      </c>
      <c r="AF50" s="26" t="s">
        <v>175</v>
      </c>
      <c r="AG50" s="32">
        <f t="shared" si="2"/>
        <v>1</v>
      </c>
      <c r="AH50" s="32">
        <v>1</v>
      </c>
      <c r="AI50" s="32">
        <v>1</v>
      </c>
      <c r="AJ50" s="32">
        <v>1</v>
      </c>
      <c r="AK50" s="30"/>
      <c r="AL50" s="32">
        <f t="shared" si="3"/>
        <v>1</v>
      </c>
      <c r="AM50" s="30"/>
      <c r="AN50" s="32">
        <v>1</v>
      </c>
      <c r="AO50" s="32">
        <v>1</v>
      </c>
      <c r="AP50" s="32">
        <v>1</v>
      </c>
      <c r="AQ50" s="32">
        <v>1</v>
      </c>
      <c r="AR50" s="32">
        <v>1</v>
      </c>
      <c r="AS50" s="32"/>
      <c r="AT50" s="32">
        <v>1</v>
      </c>
      <c r="AU50" s="30"/>
      <c r="AV50" s="30"/>
      <c r="AW50" s="30"/>
      <c r="AX50" s="30" t="s">
        <v>10771</v>
      </c>
      <c r="AY50" s="30"/>
      <c r="AZ50" s="75" t="s">
        <v>10757</v>
      </c>
    </row>
    <row r="51" spans="1:52" ht="16.5">
      <c r="A51" s="25" t="s">
        <v>10772</v>
      </c>
      <c r="B51" s="25" t="s">
        <v>4398</v>
      </c>
      <c r="C51" s="25" t="s">
        <v>73</v>
      </c>
      <c r="D51" s="25" t="s">
        <v>10773</v>
      </c>
      <c r="E51" s="258" t="s">
        <v>10774</v>
      </c>
      <c r="F51" s="25" t="s">
        <v>10775</v>
      </c>
      <c r="G51" s="25" t="s">
        <v>3138</v>
      </c>
      <c r="H51" s="25" t="s">
        <v>3138</v>
      </c>
      <c r="I51" s="26" t="s">
        <v>4402</v>
      </c>
      <c r="J51" s="26" t="s">
        <v>9281</v>
      </c>
      <c r="K51" s="62" t="s">
        <v>10407</v>
      </c>
      <c r="L51" s="25" t="s">
        <v>73</v>
      </c>
      <c r="M51" s="25" t="s">
        <v>10771</v>
      </c>
      <c r="N51" s="49" t="s">
        <v>10776</v>
      </c>
      <c r="O51" s="27" t="s">
        <v>10777</v>
      </c>
      <c r="P51" s="28"/>
      <c r="Q51" s="77">
        <v>4</v>
      </c>
      <c r="R51" s="77" t="s">
        <v>4409</v>
      </c>
      <c r="S51" s="77" t="s">
        <v>4440</v>
      </c>
      <c r="T51" s="30" t="s">
        <v>88</v>
      </c>
      <c r="U51" s="30" t="s">
        <v>78</v>
      </c>
      <c r="V51" s="30" t="s">
        <v>89</v>
      </c>
      <c r="W51" s="38" t="s">
        <v>9544</v>
      </c>
      <c r="X51" s="26" t="s">
        <v>10411</v>
      </c>
      <c r="Y51" s="26" t="s">
        <v>91</v>
      </c>
      <c r="Z51" s="26" t="s">
        <v>91</v>
      </c>
      <c r="AA51" s="26" t="s">
        <v>172</v>
      </c>
      <c r="AB51" s="31" t="s">
        <v>11</v>
      </c>
      <c r="AC51" s="30" t="s">
        <v>172</v>
      </c>
      <c r="AD51" s="25" t="s">
        <v>4423</v>
      </c>
      <c r="AE51" s="25" t="s">
        <v>172</v>
      </c>
      <c r="AF51" s="26" t="s">
        <v>175</v>
      </c>
      <c r="AG51" s="32">
        <f t="shared" si="2"/>
        <v>1</v>
      </c>
      <c r="AH51" s="32">
        <v>1</v>
      </c>
      <c r="AI51" s="32">
        <v>1</v>
      </c>
      <c r="AJ51" s="32">
        <v>1</v>
      </c>
      <c r="AK51" s="30"/>
      <c r="AL51" s="32">
        <f t="shared" si="3"/>
        <v>1</v>
      </c>
      <c r="AM51" s="30"/>
      <c r="AN51" s="32">
        <v>1</v>
      </c>
      <c r="AO51" s="32">
        <v>1</v>
      </c>
      <c r="AP51" s="32">
        <v>1</v>
      </c>
      <c r="AQ51" s="32">
        <v>1</v>
      </c>
      <c r="AR51" s="32">
        <v>1</v>
      </c>
      <c r="AS51" s="32"/>
      <c r="AT51" s="32">
        <v>1</v>
      </c>
      <c r="AU51" s="30"/>
      <c r="AV51" s="30"/>
      <c r="AW51" s="30"/>
      <c r="AX51" s="30" t="s">
        <v>10767</v>
      </c>
      <c r="AY51" s="30"/>
      <c r="AZ51" s="75" t="s">
        <v>10778</v>
      </c>
    </row>
    <row r="52" spans="1:52" ht="16.5">
      <c r="A52" s="25" t="s">
        <v>10779</v>
      </c>
      <c r="B52" s="25" t="s">
        <v>4398</v>
      </c>
      <c r="C52" s="25" t="s">
        <v>68</v>
      </c>
      <c r="D52" s="25" t="s">
        <v>10778</v>
      </c>
      <c r="E52" s="258" t="s">
        <v>10780</v>
      </c>
      <c r="F52" s="25" t="s">
        <v>10781</v>
      </c>
      <c r="G52" s="25" t="s">
        <v>3138</v>
      </c>
      <c r="H52" s="25" t="s">
        <v>3138</v>
      </c>
      <c r="I52" s="26" t="s">
        <v>4402</v>
      </c>
      <c r="J52" s="26" t="s">
        <v>9281</v>
      </c>
      <c r="K52" s="62" t="s">
        <v>10407</v>
      </c>
      <c r="L52" s="25" t="s">
        <v>73</v>
      </c>
      <c r="M52" s="25" t="s">
        <v>10755</v>
      </c>
      <c r="N52" s="49" t="s">
        <v>10782</v>
      </c>
      <c r="O52" s="27" t="s">
        <v>10783</v>
      </c>
      <c r="P52" s="28"/>
      <c r="Q52" s="29">
        <v>4</v>
      </c>
      <c r="R52" s="29">
        <v>16</v>
      </c>
      <c r="S52" s="29">
        <v>286.12</v>
      </c>
      <c r="T52" s="30" t="s">
        <v>88</v>
      </c>
      <c r="U52" s="30" t="s">
        <v>78</v>
      </c>
      <c r="V52" s="30" t="s">
        <v>89</v>
      </c>
      <c r="W52" s="38" t="s">
        <v>9544</v>
      </c>
      <c r="X52" s="26" t="s">
        <v>10411</v>
      </c>
      <c r="Y52" s="26" t="s">
        <v>91</v>
      </c>
      <c r="Z52" s="26" t="s">
        <v>91</v>
      </c>
      <c r="AA52" s="26" t="s">
        <v>172</v>
      </c>
      <c r="AB52" s="31" t="s">
        <v>11</v>
      </c>
      <c r="AC52" s="30" t="s">
        <v>172</v>
      </c>
      <c r="AD52" s="25" t="s">
        <v>172</v>
      </c>
      <c r="AE52" s="25" t="s">
        <v>174</v>
      </c>
      <c r="AF52" s="26" t="s">
        <v>175</v>
      </c>
      <c r="AG52" s="32">
        <f t="shared" si="2"/>
        <v>1</v>
      </c>
      <c r="AH52" s="32">
        <v>1</v>
      </c>
      <c r="AI52" s="32">
        <v>1</v>
      </c>
      <c r="AJ52" s="32">
        <v>1</v>
      </c>
      <c r="AK52" s="30"/>
      <c r="AL52" s="32">
        <f t="shared" si="3"/>
        <v>1</v>
      </c>
      <c r="AM52" s="30"/>
      <c r="AN52" s="32">
        <v>1</v>
      </c>
      <c r="AO52" s="32">
        <v>1</v>
      </c>
      <c r="AP52" s="32">
        <v>1</v>
      </c>
      <c r="AQ52" s="32">
        <v>1</v>
      </c>
      <c r="AR52" s="32">
        <v>1</v>
      </c>
      <c r="AS52" s="32"/>
      <c r="AT52" s="32">
        <v>1</v>
      </c>
      <c r="AU52" s="30"/>
      <c r="AV52" s="30"/>
      <c r="AW52" s="30"/>
      <c r="AX52" s="30" t="s">
        <v>10687</v>
      </c>
      <c r="AY52" s="30"/>
      <c r="AZ52" s="75" t="s">
        <v>10749</v>
      </c>
    </row>
    <row r="53" spans="1:52" ht="16.5">
      <c r="A53" s="25" t="s">
        <v>10784</v>
      </c>
      <c r="B53" s="25" t="s">
        <v>4398</v>
      </c>
      <c r="C53" s="25" t="s">
        <v>73</v>
      </c>
      <c r="D53" s="25" t="s">
        <v>10785</v>
      </c>
      <c r="E53" s="258" t="s">
        <v>10786</v>
      </c>
      <c r="F53" s="25" t="s">
        <v>10787</v>
      </c>
      <c r="G53" s="25" t="s">
        <v>3138</v>
      </c>
      <c r="H53" s="25" t="s">
        <v>3138</v>
      </c>
      <c r="I53" s="26" t="s">
        <v>4402</v>
      </c>
      <c r="J53" s="26" t="s">
        <v>9281</v>
      </c>
      <c r="K53" s="62" t="s">
        <v>10407</v>
      </c>
      <c r="L53" s="25" t="s">
        <v>73</v>
      </c>
      <c r="M53" s="25" t="s">
        <v>10710</v>
      </c>
      <c r="N53" s="49" t="s">
        <v>10788</v>
      </c>
      <c r="O53" s="27" t="s">
        <v>10789</v>
      </c>
      <c r="P53" s="28"/>
      <c r="Q53" s="77">
        <v>4</v>
      </c>
      <c r="R53" s="77" t="s">
        <v>4409</v>
      </c>
      <c r="S53" s="77" t="s">
        <v>10790</v>
      </c>
      <c r="T53" s="30" t="s">
        <v>88</v>
      </c>
      <c r="U53" s="30" t="s">
        <v>78</v>
      </c>
      <c r="V53" s="30" t="s">
        <v>89</v>
      </c>
      <c r="W53" s="38" t="s">
        <v>9544</v>
      </c>
      <c r="X53" s="26" t="s">
        <v>10411</v>
      </c>
      <c r="Y53" s="26" t="s">
        <v>91</v>
      </c>
      <c r="Z53" s="26" t="s">
        <v>91</v>
      </c>
      <c r="AA53" s="26" t="s">
        <v>172</v>
      </c>
      <c r="AB53" s="31" t="s">
        <v>11</v>
      </c>
      <c r="AC53" s="30" t="s">
        <v>172</v>
      </c>
      <c r="AD53" s="25" t="s">
        <v>4423</v>
      </c>
      <c r="AE53" s="25" t="s">
        <v>172</v>
      </c>
      <c r="AF53" s="26" t="s">
        <v>175</v>
      </c>
      <c r="AG53" s="32">
        <f t="shared" si="2"/>
        <v>1</v>
      </c>
      <c r="AH53" s="32">
        <v>1</v>
      </c>
      <c r="AI53" s="32">
        <v>1</v>
      </c>
      <c r="AJ53" s="32">
        <v>1</v>
      </c>
      <c r="AK53" s="30"/>
      <c r="AL53" s="32">
        <f t="shared" si="3"/>
        <v>1</v>
      </c>
      <c r="AM53" s="30"/>
      <c r="AN53" s="32">
        <v>1</v>
      </c>
      <c r="AO53" s="32">
        <v>1</v>
      </c>
      <c r="AP53" s="32">
        <v>1</v>
      </c>
      <c r="AQ53" s="32">
        <v>1</v>
      </c>
      <c r="AR53" s="32">
        <v>1</v>
      </c>
      <c r="AS53" s="32"/>
      <c r="AT53" s="32">
        <v>1</v>
      </c>
      <c r="AU53" s="30"/>
      <c r="AV53" s="30"/>
      <c r="AW53" s="30"/>
      <c r="AX53" s="30" t="s">
        <v>10609</v>
      </c>
      <c r="AY53" s="30"/>
      <c r="AZ53" s="75" t="s">
        <v>10791</v>
      </c>
    </row>
    <row r="54" spans="1:52" ht="16.5">
      <c r="A54" s="25" t="s">
        <v>10792</v>
      </c>
      <c r="B54" s="25" t="s">
        <v>4398</v>
      </c>
      <c r="C54" s="25" t="s">
        <v>73</v>
      </c>
      <c r="D54" s="25" t="s">
        <v>10793</v>
      </c>
      <c r="E54" s="258" t="s">
        <v>10794</v>
      </c>
      <c r="F54" s="25" t="s">
        <v>10795</v>
      </c>
      <c r="G54" s="25" t="s">
        <v>3138</v>
      </c>
      <c r="H54" s="25" t="s">
        <v>3138</v>
      </c>
      <c r="I54" s="26" t="s">
        <v>4402</v>
      </c>
      <c r="J54" s="26" t="s">
        <v>9281</v>
      </c>
      <c r="K54" s="62" t="s">
        <v>10407</v>
      </c>
      <c r="L54" s="25" t="s">
        <v>73</v>
      </c>
      <c r="M54" s="25" t="s">
        <v>10796</v>
      </c>
      <c r="N54" s="49" t="s">
        <v>10797</v>
      </c>
      <c r="O54" s="27" t="s">
        <v>10798</v>
      </c>
      <c r="P54" s="28"/>
      <c r="Q54" s="77">
        <v>4</v>
      </c>
      <c r="R54" s="77" t="s">
        <v>4409</v>
      </c>
      <c r="S54" s="77" t="s">
        <v>10799</v>
      </c>
      <c r="T54" s="30" t="s">
        <v>88</v>
      </c>
      <c r="U54" s="30" t="s">
        <v>78</v>
      </c>
      <c r="V54" s="30" t="s">
        <v>89</v>
      </c>
      <c r="W54" s="38" t="s">
        <v>9544</v>
      </c>
      <c r="X54" s="26" t="s">
        <v>10411</v>
      </c>
      <c r="Y54" s="26" t="s">
        <v>91</v>
      </c>
      <c r="Z54" s="26" t="s">
        <v>91</v>
      </c>
      <c r="AA54" s="26" t="s">
        <v>172</v>
      </c>
      <c r="AB54" s="31" t="s">
        <v>11</v>
      </c>
      <c r="AC54" s="30" t="s">
        <v>172</v>
      </c>
      <c r="AD54" s="25" t="s">
        <v>4423</v>
      </c>
      <c r="AE54" s="25" t="s">
        <v>172</v>
      </c>
      <c r="AF54" s="26" t="s">
        <v>175</v>
      </c>
      <c r="AG54" s="32">
        <f t="shared" si="2"/>
        <v>1</v>
      </c>
      <c r="AH54" s="32">
        <v>1</v>
      </c>
      <c r="AI54" s="32">
        <v>1</v>
      </c>
      <c r="AJ54" s="32">
        <v>1</v>
      </c>
      <c r="AK54" s="30"/>
      <c r="AL54" s="32">
        <f t="shared" si="3"/>
        <v>1</v>
      </c>
      <c r="AM54" s="30"/>
      <c r="AN54" s="32">
        <v>1</v>
      </c>
      <c r="AO54" s="32">
        <v>1</v>
      </c>
      <c r="AP54" s="32">
        <v>1</v>
      </c>
      <c r="AQ54" s="32">
        <v>1</v>
      </c>
      <c r="AR54" s="32">
        <v>1</v>
      </c>
      <c r="AS54" s="32"/>
      <c r="AT54" s="32">
        <v>1</v>
      </c>
      <c r="AU54" s="30"/>
      <c r="AV54" s="30"/>
      <c r="AW54" s="30"/>
      <c r="AX54" s="30" t="s">
        <v>10752</v>
      </c>
      <c r="AY54" s="30"/>
      <c r="AZ54" s="75" t="s">
        <v>10720</v>
      </c>
    </row>
    <row r="55" spans="1:52" ht="16.5">
      <c r="A55" s="25" t="s">
        <v>10800</v>
      </c>
      <c r="B55" s="25" t="s">
        <v>4398</v>
      </c>
      <c r="C55" s="25" t="s">
        <v>68</v>
      </c>
      <c r="D55" s="25" t="s">
        <v>10791</v>
      </c>
      <c r="E55" s="258" t="s">
        <v>10801</v>
      </c>
      <c r="F55" s="25" t="s">
        <v>10802</v>
      </c>
      <c r="G55" s="25" t="s">
        <v>3138</v>
      </c>
      <c r="H55" s="25" t="s">
        <v>3138</v>
      </c>
      <c r="I55" s="26" t="s">
        <v>4402</v>
      </c>
      <c r="J55" s="26" t="s">
        <v>9281</v>
      </c>
      <c r="K55" s="62" t="s">
        <v>10407</v>
      </c>
      <c r="L55" s="25" t="s">
        <v>73</v>
      </c>
      <c r="M55" s="25" t="s">
        <v>10803</v>
      </c>
      <c r="N55" s="49" t="s">
        <v>10804</v>
      </c>
      <c r="O55" s="27" t="s">
        <v>10805</v>
      </c>
      <c r="P55" s="28"/>
      <c r="Q55" s="29">
        <v>8</v>
      </c>
      <c r="R55" s="29">
        <v>32</v>
      </c>
      <c r="S55" s="29">
        <v>302.83</v>
      </c>
      <c r="T55" s="30" t="s">
        <v>88</v>
      </c>
      <c r="U55" s="30" t="s">
        <v>78</v>
      </c>
      <c r="V55" s="30" t="s">
        <v>89</v>
      </c>
      <c r="W55" s="38" t="s">
        <v>9544</v>
      </c>
      <c r="X55" s="26" t="s">
        <v>10411</v>
      </c>
      <c r="Y55" s="26" t="s">
        <v>91</v>
      </c>
      <c r="Z55" s="26" t="s">
        <v>91</v>
      </c>
      <c r="AA55" s="26" t="s">
        <v>172</v>
      </c>
      <c r="AB55" s="31" t="s">
        <v>11</v>
      </c>
      <c r="AC55" s="30" t="s">
        <v>172</v>
      </c>
      <c r="AD55" s="25" t="s">
        <v>172</v>
      </c>
      <c r="AE55" s="25" t="s">
        <v>174</v>
      </c>
      <c r="AF55" s="26" t="s">
        <v>175</v>
      </c>
      <c r="AG55" s="32">
        <f t="shared" si="2"/>
        <v>1</v>
      </c>
      <c r="AH55" s="32">
        <v>1</v>
      </c>
      <c r="AI55" s="32">
        <v>1</v>
      </c>
      <c r="AJ55" s="32">
        <v>1</v>
      </c>
      <c r="AK55" s="30"/>
      <c r="AL55" s="32">
        <f t="shared" si="3"/>
        <v>1</v>
      </c>
      <c r="AM55" s="30"/>
      <c r="AN55" s="32">
        <v>1</v>
      </c>
      <c r="AO55" s="32">
        <v>1</v>
      </c>
      <c r="AP55" s="32">
        <v>1</v>
      </c>
      <c r="AQ55" s="32">
        <v>1</v>
      </c>
      <c r="AR55" s="32">
        <v>1</v>
      </c>
      <c r="AS55" s="32"/>
      <c r="AT55" s="32">
        <v>1</v>
      </c>
      <c r="AU55" s="30"/>
      <c r="AV55" s="30"/>
      <c r="AW55" s="30"/>
      <c r="AX55" s="30" t="s">
        <v>10796</v>
      </c>
      <c r="AY55" s="30"/>
      <c r="AZ55" s="75" t="s">
        <v>10684</v>
      </c>
    </row>
    <row r="56" spans="1:52" ht="16.5">
      <c r="A56" s="25" t="s">
        <v>10806</v>
      </c>
      <c r="B56" s="25" t="s">
        <v>4398</v>
      </c>
      <c r="C56" s="25" t="s">
        <v>68</v>
      </c>
      <c r="D56" s="25" t="s">
        <v>10732</v>
      </c>
      <c r="E56" s="258" t="s">
        <v>10807</v>
      </c>
      <c r="F56" s="25" t="s">
        <v>10808</v>
      </c>
      <c r="G56" s="25" t="s">
        <v>3138</v>
      </c>
      <c r="H56" s="25" t="s">
        <v>3138</v>
      </c>
      <c r="I56" s="26" t="s">
        <v>4402</v>
      </c>
      <c r="J56" s="26" t="s">
        <v>9281</v>
      </c>
      <c r="K56" s="62" t="s">
        <v>10407</v>
      </c>
      <c r="L56" s="25" t="s">
        <v>73</v>
      </c>
      <c r="M56" s="25" t="s">
        <v>10740</v>
      </c>
      <c r="N56" s="49" t="s">
        <v>10809</v>
      </c>
      <c r="O56" s="27" t="s">
        <v>10810</v>
      </c>
      <c r="P56" s="28"/>
      <c r="Q56" s="29">
        <v>8</v>
      </c>
      <c r="R56" s="29">
        <v>32</v>
      </c>
      <c r="S56" s="29">
        <v>352.22</v>
      </c>
      <c r="T56" s="30" t="s">
        <v>88</v>
      </c>
      <c r="U56" s="30" t="s">
        <v>78</v>
      </c>
      <c r="V56" s="30" t="s">
        <v>89</v>
      </c>
      <c r="W56" s="38" t="s">
        <v>9544</v>
      </c>
      <c r="X56" s="26" t="s">
        <v>10411</v>
      </c>
      <c r="Y56" s="26" t="s">
        <v>91</v>
      </c>
      <c r="Z56" s="26" t="s">
        <v>91</v>
      </c>
      <c r="AA56" s="26" t="s">
        <v>172</v>
      </c>
      <c r="AB56" s="31" t="s">
        <v>11</v>
      </c>
      <c r="AC56" s="30" t="s">
        <v>172</v>
      </c>
      <c r="AD56" s="25" t="s">
        <v>172</v>
      </c>
      <c r="AE56" s="25" t="s">
        <v>174</v>
      </c>
      <c r="AF56" s="26" t="s">
        <v>175</v>
      </c>
      <c r="AG56" s="32">
        <f t="shared" si="2"/>
        <v>1</v>
      </c>
      <c r="AH56" s="32">
        <v>1</v>
      </c>
      <c r="AI56" s="32">
        <v>1</v>
      </c>
      <c r="AJ56" s="32">
        <v>1</v>
      </c>
      <c r="AK56" s="30"/>
      <c r="AL56" s="32">
        <f t="shared" si="3"/>
        <v>1</v>
      </c>
      <c r="AM56" s="30"/>
      <c r="AN56" s="32">
        <v>1</v>
      </c>
      <c r="AO56" s="32">
        <v>1</v>
      </c>
      <c r="AP56" s="32">
        <v>1</v>
      </c>
      <c r="AQ56" s="32">
        <v>1</v>
      </c>
      <c r="AR56" s="32">
        <v>1</v>
      </c>
      <c r="AS56" s="32"/>
      <c r="AT56" s="32">
        <v>1</v>
      </c>
      <c r="AU56" s="30"/>
      <c r="AV56" s="30"/>
      <c r="AW56" s="30"/>
      <c r="AX56" s="30" t="s">
        <v>10745</v>
      </c>
      <c r="AY56" s="30"/>
      <c r="AZ56" s="75" t="s">
        <v>10793</v>
      </c>
    </row>
    <row r="57" spans="1:52" ht="16.5">
      <c r="A57" s="25" t="s">
        <v>10811</v>
      </c>
      <c r="B57" s="25" t="s">
        <v>4398</v>
      </c>
      <c r="C57" s="25" t="s">
        <v>68</v>
      </c>
      <c r="D57" s="25" t="s">
        <v>10812</v>
      </c>
      <c r="E57" s="258" t="s">
        <v>10813</v>
      </c>
      <c r="F57" s="25" t="s">
        <v>10814</v>
      </c>
      <c r="G57" s="25" t="s">
        <v>3138</v>
      </c>
      <c r="H57" s="25" t="s">
        <v>3138</v>
      </c>
      <c r="I57" s="26" t="s">
        <v>4402</v>
      </c>
      <c r="J57" s="26" t="s">
        <v>9281</v>
      </c>
      <c r="K57" s="62" t="s">
        <v>10407</v>
      </c>
      <c r="L57" s="25" t="s">
        <v>73</v>
      </c>
      <c r="M57" s="25" t="s">
        <v>10815</v>
      </c>
      <c r="N57" s="49" t="s">
        <v>10816</v>
      </c>
      <c r="O57" s="27" t="s">
        <v>10817</v>
      </c>
      <c r="P57" s="28"/>
      <c r="Q57" s="29">
        <v>4</v>
      </c>
      <c r="R57" s="29">
        <v>16</v>
      </c>
      <c r="S57" s="29">
        <v>266.10000000000002</v>
      </c>
      <c r="T57" s="30" t="s">
        <v>88</v>
      </c>
      <c r="U57" s="30" t="s">
        <v>78</v>
      </c>
      <c r="V57" s="30" t="s">
        <v>89</v>
      </c>
      <c r="W57" s="38" t="s">
        <v>9697</v>
      </c>
      <c r="X57" s="26" t="s">
        <v>10411</v>
      </c>
      <c r="Y57" s="26" t="s">
        <v>91</v>
      </c>
      <c r="Z57" s="26" t="s">
        <v>91</v>
      </c>
      <c r="AA57" s="26" t="s">
        <v>172</v>
      </c>
      <c r="AB57" s="31" t="s">
        <v>13</v>
      </c>
      <c r="AC57" s="30" t="s">
        <v>172</v>
      </c>
      <c r="AD57" s="25" t="s">
        <v>172</v>
      </c>
      <c r="AE57" s="25" t="s">
        <v>174</v>
      </c>
      <c r="AF57" s="26" t="s">
        <v>175</v>
      </c>
      <c r="AG57" s="32">
        <f t="shared" si="2"/>
        <v>1</v>
      </c>
      <c r="AH57" s="32">
        <v>1</v>
      </c>
      <c r="AI57" s="32">
        <v>1</v>
      </c>
      <c r="AJ57" s="32">
        <v>1</v>
      </c>
      <c r="AK57" s="30"/>
      <c r="AL57" s="32">
        <f t="shared" si="3"/>
        <v>1</v>
      </c>
      <c r="AM57" s="30"/>
      <c r="AN57" s="32"/>
      <c r="AO57" s="32"/>
      <c r="AP57" s="32">
        <v>1</v>
      </c>
      <c r="AQ57" s="32">
        <v>1</v>
      </c>
      <c r="AR57" s="32">
        <v>1</v>
      </c>
      <c r="AS57" s="32"/>
      <c r="AT57" s="32">
        <v>1</v>
      </c>
      <c r="AU57" s="30"/>
      <c r="AV57" s="30"/>
      <c r="AW57" s="30"/>
      <c r="AX57" s="30" t="s">
        <v>10737</v>
      </c>
      <c r="AY57" s="30"/>
      <c r="AZ57" s="75" t="s">
        <v>10785</v>
      </c>
    </row>
    <row r="58" spans="1:52" ht="16.5">
      <c r="A58" s="25" t="s">
        <v>10818</v>
      </c>
      <c r="B58" s="25" t="s">
        <v>4398</v>
      </c>
      <c r="C58" s="25" t="s">
        <v>68</v>
      </c>
      <c r="D58" s="25" t="s">
        <v>10819</v>
      </c>
      <c r="E58" s="258" t="s">
        <v>10820</v>
      </c>
      <c r="F58" s="25" t="s">
        <v>10821</v>
      </c>
      <c r="G58" s="25" t="s">
        <v>3138</v>
      </c>
      <c r="H58" s="25" t="s">
        <v>3138</v>
      </c>
      <c r="I58" s="26" t="s">
        <v>4402</v>
      </c>
      <c r="J58" s="26" t="s">
        <v>9281</v>
      </c>
      <c r="K58" s="62" t="s">
        <v>10407</v>
      </c>
      <c r="L58" s="25" t="s">
        <v>73</v>
      </c>
      <c r="M58" s="25" t="s">
        <v>10822</v>
      </c>
      <c r="N58" s="49" t="s">
        <v>10823</v>
      </c>
      <c r="O58" s="27" t="s">
        <v>10824</v>
      </c>
      <c r="P58" s="28"/>
      <c r="Q58" s="29">
        <v>4</v>
      </c>
      <c r="R58" s="29">
        <v>16</v>
      </c>
      <c r="S58" s="29">
        <v>266.19</v>
      </c>
      <c r="T58" s="30" t="s">
        <v>88</v>
      </c>
      <c r="U58" s="30" t="s">
        <v>78</v>
      </c>
      <c r="V58" s="30" t="s">
        <v>89</v>
      </c>
      <c r="W58" s="38" t="s">
        <v>9697</v>
      </c>
      <c r="X58" s="26" t="s">
        <v>10411</v>
      </c>
      <c r="Y58" s="26" t="s">
        <v>91</v>
      </c>
      <c r="Z58" s="26" t="s">
        <v>91</v>
      </c>
      <c r="AA58" s="26" t="s">
        <v>172</v>
      </c>
      <c r="AB58" s="31" t="s">
        <v>13</v>
      </c>
      <c r="AC58" s="30" t="s">
        <v>172</v>
      </c>
      <c r="AD58" s="25" t="s">
        <v>172</v>
      </c>
      <c r="AE58" s="25" t="s">
        <v>174</v>
      </c>
      <c r="AF58" s="26" t="s">
        <v>175</v>
      </c>
      <c r="AG58" s="32">
        <f t="shared" si="2"/>
        <v>1</v>
      </c>
      <c r="AH58" s="32">
        <v>1</v>
      </c>
      <c r="AI58" s="32">
        <v>1</v>
      </c>
      <c r="AJ58" s="32">
        <v>1</v>
      </c>
      <c r="AK58" s="30"/>
      <c r="AL58" s="32">
        <f t="shared" si="3"/>
        <v>1</v>
      </c>
      <c r="AM58" s="30"/>
      <c r="AN58" s="32"/>
      <c r="AO58" s="32"/>
      <c r="AP58" s="32">
        <v>1</v>
      </c>
      <c r="AQ58" s="32">
        <v>1</v>
      </c>
      <c r="AR58" s="25">
        <v>1</v>
      </c>
      <c r="AS58" s="34" t="s">
        <v>10825</v>
      </c>
      <c r="AT58" s="32">
        <v>1</v>
      </c>
      <c r="AU58" s="30"/>
      <c r="AV58" s="30"/>
      <c r="AW58" s="30"/>
      <c r="AX58" s="30" t="s">
        <v>10701</v>
      </c>
      <c r="AY58" s="30"/>
      <c r="AZ58" s="75" t="s">
        <v>10773</v>
      </c>
    </row>
    <row r="59" spans="1:52" ht="16.5">
      <c r="A59" s="25" t="s">
        <v>10826</v>
      </c>
      <c r="B59" s="25" t="s">
        <v>4398</v>
      </c>
      <c r="C59" s="25" t="s">
        <v>73</v>
      </c>
      <c r="D59" s="25" t="s">
        <v>10827</v>
      </c>
      <c r="E59" s="258" t="s">
        <v>10828</v>
      </c>
      <c r="F59" s="25" t="s">
        <v>10829</v>
      </c>
      <c r="G59" s="25" t="s">
        <v>3138</v>
      </c>
      <c r="H59" s="25" t="s">
        <v>3138</v>
      </c>
      <c r="I59" s="26" t="s">
        <v>4402</v>
      </c>
      <c r="J59" s="26" t="s">
        <v>9281</v>
      </c>
      <c r="K59" s="62" t="s">
        <v>10407</v>
      </c>
      <c r="L59" s="25" t="s">
        <v>73</v>
      </c>
      <c r="M59" s="25" t="s">
        <v>10830</v>
      </c>
      <c r="N59" s="49" t="s">
        <v>10831</v>
      </c>
      <c r="O59" s="27" t="s">
        <v>10832</v>
      </c>
      <c r="P59" s="28"/>
      <c r="Q59" s="77">
        <v>4</v>
      </c>
      <c r="R59" s="77" t="s">
        <v>4409</v>
      </c>
      <c r="S59" s="77" t="s">
        <v>10833</v>
      </c>
      <c r="T59" s="30" t="s">
        <v>88</v>
      </c>
      <c r="U59" s="30" t="s">
        <v>78</v>
      </c>
      <c r="V59" s="30" t="s">
        <v>89</v>
      </c>
      <c r="W59" s="38" t="s">
        <v>9697</v>
      </c>
      <c r="X59" s="26" t="s">
        <v>10411</v>
      </c>
      <c r="Y59" s="26" t="s">
        <v>91</v>
      </c>
      <c r="Z59" s="26" t="s">
        <v>91</v>
      </c>
      <c r="AA59" s="26" t="s">
        <v>172</v>
      </c>
      <c r="AB59" s="31" t="s">
        <v>13</v>
      </c>
      <c r="AC59" s="30" t="s">
        <v>172</v>
      </c>
      <c r="AD59" s="25" t="s">
        <v>10602</v>
      </c>
      <c r="AE59" s="25" t="s">
        <v>172</v>
      </c>
      <c r="AF59" s="26" t="s">
        <v>175</v>
      </c>
      <c r="AG59" s="32">
        <f t="shared" si="2"/>
        <v>1</v>
      </c>
      <c r="AH59" s="32">
        <v>1</v>
      </c>
      <c r="AI59" s="32">
        <v>1</v>
      </c>
      <c r="AJ59" s="32">
        <v>1</v>
      </c>
      <c r="AK59" s="30"/>
      <c r="AL59" s="32">
        <f t="shared" si="3"/>
        <v>1</v>
      </c>
      <c r="AM59" s="30"/>
      <c r="AN59" s="32"/>
      <c r="AO59" s="32"/>
      <c r="AP59" s="32">
        <v>1</v>
      </c>
      <c r="AQ59" s="32">
        <v>1</v>
      </c>
      <c r="AR59" s="32">
        <v>1</v>
      </c>
      <c r="AS59" s="32"/>
      <c r="AT59" s="32">
        <v>1</v>
      </c>
      <c r="AU59" s="30"/>
      <c r="AV59" s="30"/>
      <c r="AW59" s="30"/>
      <c r="AX59" s="30" t="s">
        <v>10834</v>
      </c>
      <c r="AY59" s="30"/>
      <c r="AZ59" s="75" t="s">
        <v>10764</v>
      </c>
    </row>
    <row r="60" spans="1:52" ht="16.5">
      <c r="A60" s="25" t="s">
        <v>10835</v>
      </c>
      <c r="B60" s="25" t="s">
        <v>4398</v>
      </c>
      <c r="C60" s="25" t="s">
        <v>68</v>
      </c>
      <c r="D60" s="25" t="s">
        <v>10836</v>
      </c>
      <c r="E60" s="258" t="s">
        <v>10837</v>
      </c>
      <c r="F60" s="25" t="s">
        <v>10838</v>
      </c>
      <c r="G60" s="25" t="s">
        <v>3138</v>
      </c>
      <c r="H60" s="25" t="s">
        <v>3138</v>
      </c>
      <c r="I60" s="26" t="s">
        <v>4402</v>
      </c>
      <c r="J60" s="26" t="s">
        <v>9281</v>
      </c>
      <c r="K60" s="62" t="s">
        <v>10407</v>
      </c>
      <c r="L60" s="25" t="s">
        <v>73</v>
      </c>
      <c r="M60" s="25" t="s">
        <v>10834</v>
      </c>
      <c r="N60" s="49" t="s">
        <v>10839</v>
      </c>
      <c r="O60" s="27" t="s">
        <v>10840</v>
      </c>
      <c r="P60" s="28"/>
      <c r="Q60" s="29">
        <v>8</v>
      </c>
      <c r="R60" s="29">
        <v>32</v>
      </c>
      <c r="S60" s="29">
        <v>302.89999999999998</v>
      </c>
      <c r="T60" s="30" t="s">
        <v>88</v>
      </c>
      <c r="U60" s="30" t="s">
        <v>78</v>
      </c>
      <c r="V60" s="30" t="s">
        <v>89</v>
      </c>
      <c r="W60" s="38" t="s">
        <v>9697</v>
      </c>
      <c r="X60" s="26" t="s">
        <v>10411</v>
      </c>
      <c r="Y60" s="26" t="s">
        <v>91</v>
      </c>
      <c r="Z60" s="26" t="s">
        <v>91</v>
      </c>
      <c r="AA60" s="26" t="s">
        <v>172</v>
      </c>
      <c r="AB60" s="31" t="s">
        <v>13</v>
      </c>
      <c r="AC60" s="30" t="s">
        <v>172</v>
      </c>
      <c r="AD60" s="25" t="s">
        <v>172</v>
      </c>
      <c r="AE60" s="25" t="s">
        <v>174</v>
      </c>
      <c r="AF60" s="26" t="s">
        <v>175</v>
      </c>
      <c r="AG60" s="32">
        <f t="shared" si="2"/>
        <v>1</v>
      </c>
      <c r="AH60" s="32">
        <v>1</v>
      </c>
      <c r="AI60" s="32">
        <v>1</v>
      </c>
      <c r="AJ60" s="32">
        <v>1</v>
      </c>
      <c r="AK60" s="30"/>
      <c r="AL60" s="32">
        <f t="shared" si="3"/>
        <v>1</v>
      </c>
      <c r="AM60" s="30"/>
      <c r="AN60" s="32"/>
      <c r="AO60" s="32"/>
      <c r="AP60" s="32">
        <v>1</v>
      </c>
      <c r="AQ60" s="32">
        <v>1</v>
      </c>
      <c r="AR60" s="32">
        <v>1</v>
      </c>
      <c r="AS60" s="32"/>
      <c r="AT60" s="32">
        <v>1</v>
      </c>
      <c r="AU60" s="30"/>
      <c r="AV60" s="30"/>
      <c r="AW60" s="30"/>
      <c r="AX60" s="30" t="s">
        <v>10841</v>
      </c>
      <c r="AY60" s="30"/>
      <c r="AZ60" s="75" t="s">
        <v>7778</v>
      </c>
    </row>
    <row r="61" spans="1:52" ht="16.5">
      <c r="A61" s="25" t="s">
        <v>10842</v>
      </c>
      <c r="B61" s="25" t="s">
        <v>4398</v>
      </c>
      <c r="C61" s="25" t="s">
        <v>68</v>
      </c>
      <c r="D61" s="25" t="s">
        <v>10843</v>
      </c>
      <c r="E61" s="258" t="s">
        <v>10844</v>
      </c>
      <c r="F61" s="25" t="s">
        <v>10845</v>
      </c>
      <c r="G61" s="25" t="s">
        <v>3138</v>
      </c>
      <c r="H61" s="25" t="s">
        <v>3138</v>
      </c>
      <c r="I61" s="26" t="s">
        <v>4402</v>
      </c>
      <c r="J61" s="26" t="s">
        <v>9281</v>
      </c>
      <c r="K61" s="62" t="s">
        <v>10407</v>
      </c>
      <c r="L61" s="25" t="s">
        <v>73</v>
      </c>
      <c r="M61" s="25" t="s">
        <v>10846</v>
      </c>
      <c r="N61" s="49" t="s">
        <v>10847</v>
      </c>
      <c r="O61" s="27" t="s">
        <v>10848</v>
      </c>
      <c r="P61" s="28"/>
      <c r="Q61" s="29">
        <v>8</v>
      </c>
      <c r="R61" s="29">
        <v>32</v>
      </c>
      <c r="S61" s="29">
        <v>282.70999999999998</v>
      </c>
      <c r="T61" s="30" t="s">
        <v>88</v>
      </c>
      <c r="U61" s="30" t="s">
        <v>78</v>
      </c>
      <c r="V61" s="30" t="s">
        <v>89</v>
      </c>
      <c r="W61" s="38" t="s">
        <v>9697</v>
      </c>
      <c r="X61" s="26" t="s">
        <v>10411</v>
      </c>
      <c r="Y61" s="26" t="s">
        <v>91</v>
      </c>
      <c r="Z61" s="26" t="s">
        <v>91</v>
      </c>
      <c r="AA61" s="26" t="s">
        <v>172</v>
      </c>
      <c r="AB61" s="31" t="s">
        <v>13</v>
      </c>
      <c r="AC61" s="30" t="s">
        <v>172</v>
      </c>
      <c r="AD61" s="25" t="s">
        <v>172</v>
      </c>
      <c r="AE61" s="25" t="s">
        <v>174</v>
      </c>
      <c r="AF61" s="26" t="s">
        <v>175</v>
      </c>
      <c r="AG61" s="32">
        <f t="shared" si="2"/>
        <v>1</v>
      </c>
      <c r="AH61" s="32">
        <v>1</v>
      </c>
      <c r="AI61" s="32">
        <v>1</v>
      </c>
      <c r="AJ61" s="32">
        <v>1</v>
      </c>
      <c r="AK61" s="30"/>
      <c r="AL61" s="32">
        <f t="shared" si="3"/>
        <v>1</v>
      </c>
      <c r="AM61" s="30"/>
      <c r="AN61" s="32"/>
      <c r="AO61" s="32"/>
      <c r="AP61" s="32">
        <v>1</v>
      </c>
      <c r="AQ61" s="32">
        <v>1</v>
      </c>
      <c r="AR61" s="32">
        <v>1</v>
      </c>
      <c r="AS61" s="32"/>
      <c r="AT61" s="32">
        <v>1</v>
      </c>
      <c r="AU61" s="30"/>
      <c r="AV61" s="30"/>
      <c r="AW61" s="30"/>
      <c r="AX61" s="30" t="s">
        <v>10849</v>
      </c>
      <c r="AY61" s="30"/>
      <c r="AZ61" s="75" t="s">
        <v>10836</v>
      </c>
    </row>
    <row r="62" spans="1:52" ht="16.5">
      <c r="A62" s="25" t="s">
        <v>10850</v>
      </c>
      <c r="B62" s="25" t="s">
        <v>4398</v>
      </c>
      <c r="C62" s="25" t="s">
        <v>73</v>
      </c>
      <c r="D62" s="25" t="s">
        <v>10851</v>
      </c>
      <c r="E62" s="258" t="s">
        <v>10852</v>
      </c>
      <c r="F62" s="25" t="s">
        <v>10853</v>
      </c>
      <c r="G62" s="25" t="s">
        <v>3138</v>
      </c>
      <c r="H62" s="25" t="s">
        <v>3138</v>
      </c>
      <c r="I62" s="26" t="s">
        <v>4402</v>
      </c>
      <c r="J62" s="26" t="s">
        <v>9281</v>
      </c>
      <c r="K62" s="62" t="s">
        <v>10407</v>
      </c>
      <c r="L62" s="25" t="s">
        <v>73</v>
      </c>
      <c r="M62" s="25" t="s">
        <v>10854</v>
      </c>
      <c r="N62" s="49" t="s">
        <v>10855</v>
      </c>
      <c r="O62" s="27" t="s">
        <v>10856</v>
      </c>
      <c r="P62" s="28"/>
      <c r="Q62" s="77">
        <v>8</v>
      </c>
      <c r="R62" s="77" t="s">
        <v>9030</v>
      </c>
      <c r="S62" s="77" t="s">
        <v>10857</v>
      </c>
      <c r="T62" s="30" t="s">
        <v>88</v>
      </c>
      <c r="U62" s="30" t="s">
        <v>78</v>
      </c>
      <c r="V62" s="30" t="s">
        <v>89</v>
      </c>
      <c r="W62" s="38" t="s">
        <v>9697</v>
      </c>
      <c r="X62" s="26" t="s">
        <v>10411</v>
      </c>
      <c r="Y62" s="26" t="s">
        <v>91</v>
      </c>
      <c r="Z62" s="26" t="s">
        <v>91</v>
      </c>
      <c r="AA62" s="26" t="s">
        <v>172</v>
      </c>
      <c r="AB62" s="31" t="s">
        <v>13</v>
      </c>
      <c r="AC62" s="30" t="s">
        <v>172</v>
      </c>
      <c r="AD62" s="25" t="s">
        <v>4423</v>
      </c>
      <c r="AE62" s="25" t="s">
        <v>172</v>
      </c>
      <c r="AF62" s="26" t="s">
        <v>175</v>
      </c>
      <c r="AG62" s="32">
        <f t="shared" si="2"/>
        <v>1</v>
      </c>
      <c r="AH62" s="32">
        <v>1</v>
      </c>
      <c r="AI62" s="32">
        <v>1</v>
      </c>
      <c r="AJ62" s="32">
        <v>1</v>
      </c>
      <c r="AK62" s="30"/>
      <c r="AL62" s="32">
        <f t="shared" si="3"/>
        <v>1</v>
      </c>
      <c r="AM62" s="30"/>
      <c r="AN62" s="32"/>
      <c r="AO62" s="32"/>
      <c r="AP62" s="32">
        <v>1</v>
      </c>
      <c r="AQ62" s="32">
        <v>1</v>
      </c>
      <c r="AR62" s="32">
        <v>1</v>
      </c>
      <c r="AS62" s="32"/>
      <c r="AT62" s="32">
        <v>1</v>
      </c>
      <c r="AU62" s="30"/>
      <c r="AV62" s="30"/>
      <c r="AW62" s="30"/>
      <c r="AX62" s="30" t="s">
        <v>10858</v>
      </c>
      <c r="AY62" s="30"/>
      <c r="AZ62" s="75" t="s">
        <v>10859</v>
      </c>
    </row>
    <row r="63" spans="1:52" ht="16.5">
      <c r="A63" s="25" t="s">
        <v>10860</v>
      </c>
      <c r="B63" s="25" t="s">
        <v>4398</v>
      </c>
      <c r="C63" s="25" t="s">
        <v>68</v>
      </c>
      <c r="D63" s="25" t="s">
        <v>10861</v>
      </c>
      <c r="E63" s="258" t="s">
        <v>10862</v>
      </c>
      <c r="F63" s="25" t="s">
        <v>10863</v>
      </c>
      <c r="G63" s="25" t="s">
        <v>3138</v>
      </c>
      <c r="H63" s="25" t="s">
        <v>3138</v>
      </c>
      <c r="I63" s="26" t="s">
        <v>4402</v>
      </c>
      <c r="J63" s="26" t="s">
        <v>9281</v>
      </c>
      <c r="K63" s="62" t="s">
        <v>10407</v>
      </c>
      <c r="L63" s="25" t="s">
        <v>73</v>
      </c>
      <c r="M63" s="25" t="s">
        <v>10864</v>
      </c>
      <c r="N63" s="49" t="s">
        <v>10865</v>
      </c>
      <c r="O63" s="27" t="s">
        <v>10866</v>
      </c>
      <c r="P63" s="28"/>
      <c r="Q63" s="29">
        <v>8</v>
      </c>
      <c r="R63" s="29">
        <v>32</v>
      </c>
      <c r="S63" s="29">
        <v>382.52</v>
      </c>
      <c r="T63" s="30" t="s">
        <v>88</v>
      </c>
      <c r="U63" s="30" t="s">
        <v>78</v>
      </c>
      <c r="V63" s="30" t="s">
        <v>89</v>
      </c>
      <c r="W63" s="38" t="s">
        <v>9697</v>
      </c>
      <c r="X63" s="26" t="s">
        <v>10411</v>
      </c>
      <c r="Y63" s="26" t="s">
        <v>91</v>
      </c>
      <c r="Z63" s="26" t="s">
        <v>91</v>
      </c>
      <c r="AA63" s="26" t="s">
        <v>172</v>
      </c>
      <c r="AB63" s="31" t="s">
        <v>13</v>
      </c>
      <c r="AC63" s="30" t="s">
        <v>172</v>
      </c>
      <c r="AD63" s="25" t="s">
        <v>172</v>
      </c>
      <c r="AE63" s="25" t="s">
        <v>174</v>
      </c>
      <c r="AF63" s="26" t="s">
        <v>175</v>
      </c>
      <c r="AG63" s="32">
        <f t="shared" si="2"/>
        <v>1</v>
      </c>
      <c r="AH63" s="32">
        <v>1</v>
      </c>
      <c r="AI63" s="32">
        <v>1</v>
      </c>
      <c r="AJ63" s="32">
        <v>1</v>
      </c>
      <c r="AK63" s="30"/>
      <c r="AL63" s="32">
        <f t="shared" si="3"/>
        <v>1</v>
      </c>
      <c r="AM63" s="30"/>
      <c r="AN63" s="32"/>
      <c r="AO63" s="32"/>
      <c r="AP63" s="32">
        <v>1</v>
      </c>
      <c r="AQ63" s="32">
        <v>1</v>
      </c>
      <c r="AR63" s="32">
        <v>1</v>
      </c>
      <c r="AS63" s="32"/>
      <c r="AT63" s="32">
        <v>1</v>
      </c>
      <c r="AU63" s="30" t="s">
        <v>10867</v>
      </c>
      <c r="AV63" s="30"/>
      <c r="AW63" s="30"/>
      <c r="AX63" s="30" t="s">
        <v>10868</v>
      </c>
      <c r="AY63" s="30"/>
      <c r="AZ63" s="75" t="s">
        <v>10869</v>
      </c>
    </row>
    <row r="64" spans="1:52" ht="16.5">
      <c r="A64" s="25" t="s">
        <v>10870</v>
      </c>
      <c r="B64" s="25" t="s">
        <v>4398</v>
      </c>
      <c r="C64" s="25" t="s">
        <v>68</v>
      </c>
      <c r="D64" s="25" t="s">
        <v>10871</v>
      </c>
      <c r="E64" s="258" t="s">
        <v>10872</v>
      </c>
      <c r="F64" s="25" t="s">
        <v>10873</v>
      </c>
      <c r="G64" s="25" t="s">
        <v>3138</v>
      </c>
      <c r="H64" s="25" t="s">
        <v>3138</v>
      </c>
      <c r="I64" s="26" t="s">
        <v>4402</v>
      </c>
      <c r="J64" s="26" t="s">
        <v>9281</v>
      </c>
      <c r="K64" s="62" t="s">
        <v>10407</v>
      </c>
      <c r="L64" s="25" t="s">
        <v>73</v>
      </c>
      <c r="M64" s="25" t="s">
        <v>10874</v>
      </c>
      <c r="N64" s="49" t="s">
        <v>10875</v>
      </c>
      <c r="O64" s="27" t="s">
        <v>10876</v>
      </c>
      <c r="P64" s="28"/>
      <c r="Q64" s="29">
        <v>8</v>
      </c>
      <c r="R64" s="29">
        <v>32</v>
      </c>
      <c r="S64" s="29">
        <v>283.70999999999998</v>
      </c>
      <c r="T64" s="30" t="s">
        <v>88</v>
      </c>
      <c r="U64" s="30" t="s">
        <v>78</v>
      </c>
      <c r="V64" s="30" t="s">
        <v>89</v>
      </c>
      <c r="W64" s="38" t="s">
        <v>9697</v>
      </c>
      <c r="X64" s="26" t="s">
        <v>10411</v>
      </c>
      <c r="Y64" s="26" t="s">
        <v>91</v>
      </c>
      <c r="Z64" s="26" t="s">
        <v>91</v>
      </c>
      <c r="AA64" s="26" t="s">
        <v>172</v>
      </c>
      <c r="AB64" s="31" t="s">
        <v>13</v>
      </c>
      <c r="AC64" s="30" t="s">
        <v>172</v>
      </c>
      <c r="AD64" s="25" t="s">
        <v>172</v>
      </c>
      <c r="AE64" s="25" t="s">
        <v>174</v>
      </c>
      <c r="AF64" s="26" t="s">
        <v>175</v>
      </c>
      <c r="AG64" s="32">
        <f t="shared" si="2"/>
        <v>1</v>
      </c>
      <c r="AH64" s="32">
        <v>1</v>
      </c>
      <c r="AI64" s="32">
        <v>1</v>
      </c>
      <c r="AJ64" s="32">
        <v>1</v>
      </c>
      <c r="AK64" s="30"/>
      <c r="AL64" s="32">
        <f t="shared" si="3"/>
        <v>1</v>
      </c>
      <c r="AM64" s="30"/>
      <c r="AN64" s="32"/>
      <c r="AO64" s="32"/>
      <c r="AP64" s="32">
        <v>1</v>
      </c>
      <c r="AQ64" s="32">
        <v>1</v>
      </c>
      <c r="AR64" s="32">
        <v>1</v>
      </c>
      <c r="AS64" s="32"/>
      <c r="AT64" s="32">
        <v>1</v>
      </c>
      <c r="AU64" s="30"/>
      <c r="AV64" s="30"/>
      <c r="AW64" s="30"/>
      <c r="AX64" s="30" t="s">
        <v>10864</v>
      </c>
      <c r="AY64" s="30"/>
      <c r="AZ64" s="75" t="s">
        <v>10877</v>
      </c>
    </row>
    <row r="65" spans="1:52" ht="16.5">
      <c r="A65" s="25" t="s">
        <v>10878</v>
      </c>
      <c r="B65" s="25" t="s">
        <v>4398</v>
      </c>
      <c r="C65" s="25" t="s">
        <v>68</v>
      </c>
      <c r="D65" s="25" t="s">
        <v>10879</v>
      </c>
      <c r="E65" s="258" t="s">
        <v>10880</v>
      </c>
      <c r="F65" s="25" t="s">
        <v>10881</v>
      </c>
      <c r="G65" s="25" t="s">
        <v>3138</v>
      </c>
      <c r="H65" s="25" t="s">
        <v>3138</v>
      </c>
      <c r="I65" s="26" t="s">
        <v>4402</v>
      </c>
      <c r="J65" s="26" t="s">
        <v>9281</v>
      </c>
      <c r="K65" s="62" t="s">
        <v>10407</v>
      </c>
      <c r="L65" s="25" t="s">
        <v>73</v>
      </c>
      <c r="M65" s="25" t="s">
        <v>10882</v>
      </c>
      <c r="N65" s="49" t="s">
        <v>10883</v>
      </c>
      <c r="O65" s="27" t="s">
        <v>10884</v>
      </c>
      <c r="P65" s="28"/>
      <c r="Q65" s="29">
        <v>8</v>
      </c>
      <c r="R65" s="29">
        <v>32</v>
      </c>
      <c r="S65" s="29">
        <v>302.14</v>
      </c>
      <c r="T65" s="30" t="s">
        <v>88</v>
      </c>
      <c r="U65" s="30" t="s">
        <v>78</v>
      </c>
      <c r="V65" s="30" t="s">
        <v>89</v>
      </c>
      <c r="W65" s="38" t="s">
        <v>9697</v>
      </c>
      <c r="X65" s="26" t="s">
        <v>10411</v>
      </c>
      <c r="Y65" s="26" t="s">
        <v>91</v>
      </c>
      <c r="Z65" s="26" t="s">
        <v>91</v>
      </c>
      <c r="AA65" s="26" t="s">
        <v>172</v>
      </c>
      <c r="AB65" s="31" t="s">
        <v>13</v>
      </c>
      <c r="AC65" s="30" t="s">
        <v>172</v>
      </c>
      <c r="AD65" s="25" t="s">
        <v>172</v>
      </c>
      <c r="AE65" s="25" t="s">
        <v>174</v>
      </c>
      <c r="AF65" s="26" t="s">
        <v>175</v>
      </c>
      <c r="AG65" s="32">
        <f t="shared" si="2"/>
        <v>1</v>
      </c>
      <c r="AH65" s="32">
        <v>1</v>
      </c>
      <c r="AI65" s="32">
        <v>1</v>
      </c>
      <c r="AJ65" s="32">
        <v>1</v>
      </c>
      <c r="AK65" s="30"/>
      <c r="AL65" s="32">
        <f t="shared" si="3"/>
        <v>1</v>
      </c>
      <c r="AM65" s="30"/>
      <c r="AN65" s="32"/>
      <c r="AO65" s="32"/>
      <c r="AP65" s="32">
        <v>1</v>
      </c>
      <c r="AQ65" s="32">
        <v>1</v>
      </c>
      <c r="AR65" s="32">
        <v>1</v>
      </c>
      <c r="AS65" s="32"/>
      <c r="AT65" s="32">
        <v>1</v>
      </c>
      <c r="AU65" s="30" t="s">
        <v>10885</v>
      </c>
      <c r="AV65" s="30"/>
      <c r="AW65" s="30"/>
      <c r="AX65" s="30" t="s">
        <v>10886</v>
      </c>
      <c r="AY65" s="30"/>
      <c r="AZ65" s="75" t="s">
        <v>10887</v>
      </c>
    </row>
    <row r="66" spans="1:52" ht="16.5">
      <c r="A66" s="25" t="s">
        <v>10888</v>
      </c>
      <c r="B66" s="25" t="s">
        <v>4398</v>
      </c>
      <c r="C66" s="25" t="s">
        <v>73</v>
      </c>
      <c r="D66" s="25" t="s">
        <v>10889</v>
      </c>
      <c r="E66" s="258" t="s">
        <v>10890</v>
      </c>
      <c r="F66" s="25" t="s">
        <v>10891</v>
      </c>
      <c r="G66" s="25" t="s">
        <v>3138</v>
      </c>
      <c r="H66" s="25" t="s">
        <v>3138</v>
      </c>
      <c r="I66" s="26" t="s">
        <v>4402</v>
      </c>
      <c r="J66" s="26" t="s">
        <v>9281</v>
      </c>
      <c r="K66" s="62" t="s">
        <v>10407</v>
      </c>
      <c r="L66" s="25" t="s">
        <v>73</v>
      </c>
      <c r="M66" s="25" t="s">
        <v>10892</v>
      </c>
      <c r="N66" s="49" t="s">
        <v>10893</v>
      </c>
      <c r="O66" s="27" t="s">
        <v>10894</v>
      </c>
      <c r="P66" s="28"/>
      <c r="Q66" s="77">
        <v>4</v>
      </c>
      <c r="R66" s="77" t="s">
        <v>4409</v>
      </c>
      <c r="S66" s="77" t="s">
        <v>4410</v>
      </c>
      <c r="T66" s="30" t="s">
        <v>88</v>
      </c>
      <c r="U66" s="30" t="s">
        <v>78</v>
      </c>
      <c r="V66" s="30" t="s">
        <v>89</v>
      </c>
      <c r="W66" s="38" t="s">
        <v>9697</v>
      </c>
      <c r="X66" s="26" t="s">
        <v>10411</v>
      </c>
      <c r="Y66" s="26" t="s">
        <v>91</v>
      </c>
      <c r="Z66" s="26" t="s">
        <v>91</v>
      </c>
      <c r="AA66" s="26" t="s">
        <v>172</v>
      </c>
      <c r="AB66" s="31" t="s">
        <v>13</v>
      </c>
      <c r="AC66" s="30" t="s">
        <v>172</v>
      </c>
      <c r="AD66" s="25" t="s">
        <v>4423</v>
      </c>
      <c r="AE66" s="25" t="s">
        <v>172</v>
      </c>
      <c r="AF66" s="26" t="s">
        <v>175</v>
      </c>
      <c r="AG66" s="32">
        <f t="shared" si="2"/>
        <v>1</v>
      </c>
      <c r="AH66" s="32">
        <v>1</v>
      </c>
      <c r="AI66" s="32">
        <v>1</v>
      </c>
      <c r="AJ66" s="32">
        <v>1</v>
      </c>
      <c r="AK66" s="30"/>
      <c r="AL66" s="32">
        <f t="shared" si="3"/>
        <v>1</v>
      </c>
      <c r="AM66" s="30"/>
      <c r="AN66" s="32"/>
      <c r="AO66" s="32"/>
      <c r="AP66" s="32">
        <v>1</v>
      </c>
      <c r="AQ66" s="32">
        <v>1</v>
      </c>
      <c r="AR66" s="32">
        <v>1</v>
      </c>
      <c r="AS66" s="32"/>
      <c r="AT66" s="32">
        <v>1</v>
      </c>
      <c r="AU66" s="30"/>
      <c r="AV66" s="30"/>
      <c r="AW66" s="30"/>
      <c r="AX66" s="30" t="s">
        <v>10895</v>
      </c>
      <c r="AY66" s="30"/>
      <c r="AZ66" s="75" t="s">
        <v>10896</v>
      </c>
    </row>
    <row r="67" spans="1:52" ht="16.5">
      <c r="A67" s="25" t="s">
        <v>10897</v>
      </c>
      <c r="B67" s="25" t="s">
        <v>4398</v>
      </c>
      <c r="C67" s="25" t="s">
        <v>68</v>
      </c>
      <c r="D67" s="25" t="s">
        <v>10859</v>
      </c>
      <c r="E67" s="258" t="s">
        <v>10898</v>
      </c>
      <c r="F67" s="25" t="s">
        <v>10899</v>
      </c>
      <c r="G67" s="25" t="s">
        <v>3138</v>
      </c>
      <c r="H67" s="25" t="s">
        <v>3138</v>
      </c>
      <c r="I67" s="26" t="s">
        <v>4402</v>
      </c>
      <c r="J67" s="26" t="s">
        <v>9281</v>
      </c>
      <c r="K67" s="62" t="s">
        <v>10407</v>
      </c>
      <c r="L67" s="25" t="s">
        <v>73</v>
      </c>
      <c r="M67" s="25" t="s">
        <v>10841</v>
      </c>
      <c r="N67" s="49" t="s">
        <v>10900</v>
      </c>
      <c r="O67" s="27" t="s">
        <v>10901</v>
      </c>
      <c r="P67" s="28"/>
      <c r="Q67" s="29">
        <v>8</v>
      </c>
      <c r="R67" s="29">
        <v>32</v>
      </c>
      <c r="S67" s="29">
        <v>804.37</v>
      </c>
      <c r="T67" s="30" t="s">
        <v>88</v>
      </c>
      <c r="U67" s="30" t="s">
        <v>78</v>
      </c>
      <c r="V67" s="30" t="s">
        <v>89</v>
      </c>
      <c r="W67" s="38" t="s">
        <v>9697</v>
      </c>
      <c r="X67" s="26" t="s">
        <v>10411</v>
      </c>
      <c r="Y67" s="26" t="s">
        <v>91</v>
      </c>
      <c r="Z67" s="26" t="s">
        <v>91</v>
      </c>
      <c r="AA67" s="26" t="s">
        <v>172</v>
      </c>
      <c r="AB67" s="31" t="s">
        <v>13</v>
      </c>
      <c r="AC67" s="30" t="s">
        <v>172</v>
      </c>
      <c r="AD67" s="25" t="s">
        <v>172</v>
      </c>
      <c r="AE67" s="25" t="s">
        <v>174</v>
      </c>
      <c r="AF67" s="26" t="s">
        <v>175</v>
      </c>
      <c r="AG67" s="32">
        <f t="shared" ref="AG67:AG98" si="4">IF(COUNTIF(AZ:AZ,D67)&gt;0,1,0)</f>
        <v>1</v>
      </c>
      <c r="AH67" s="32">
        <v>1</v>
      </c>
      <c r="AI67" s="32">
        <v>1</v>
      </c>
      <c r="AJ67" s="32">
        <v>1</v>
      </c>
      <c r="AK67" s="30"/>
      <c r="AL67" s="32">
        <f t="shared" si="3"/>
        <v>1</v>
      </c>
      <c r="AM67" s="30"/>
      <c r="AN67" s="32"/>
      <c r="AO67" s="32"/>
      <c r="AP67" s="32">
        <v>1</v>
      </c>
      <c r="AQ67" s="32">
        <v>1</v>
      </c>
      <c r="AR67" s="32">
        <v>1</v>
      </c>
      <c r="AS67" s="32"/>
      <c r="AT67" s="32">
        <v>1</v>
      </c>
      <c r="AU67" s="30"/>
      <c r="AV67" s="30"/>
      <c r="AW67" s="30"/>
      <c r="AX67" s="30" t="s">
        <v>10760</v>
      </c>
      <c r="AY67" s="30"/>
      <c r="AZ67" s="75" t="s">
        <v>10861</v>
      </c>
    </row>
    <row r="68" spans="1:52" ht="16.5">
      <c r="A68" s="25" t="s">
        <v>10902</v>
      </c>
      <c r="B68" s="25" t="s">
        <v>4398</v>
      </c>
      <c r="C68" s="25" t="s">
        <v>73</v>
      </c>
      <c r="D68" s="25" t="s">
        <v>10903</v>
      </c>
      <c r="E68" s="258" t="s">
        <v>10904</v>
      </c>
      <c r="F68" s="25" t="s">
        <v>10905</v>
      </c>
      <c r="G68" s="25" t="s">
        <v>3138</v>
      </c>
      <c r="H68" s="25" t="s">
        <v>3138</v>
      </c>
      <c r="I68" s="26" t="s">
        <v>4402</v>
      </c>
      <c r="J68" s="26" t="s">
        <v>9281</v>
      </c>
      <c r="K68" s="62" t="s">
        <v>10407</v>
      </c>
      <c r="L68" s="25" t="s">
        <v>73</v>
      </c>
      <c r="M68" s="25" t="s">
        <v>10906</v>
      </c>
      <c r="N68" s="49" t="s">
        <v>10907</v>
      </c>
      <c r="O68" s="27" t="s">
        <v>10908</v>
      </c>
      <c r="P68" s="28"/>
      <c r="Q68" s="77">
        <v>4</v>
      </c>
      <c r="R68" s="77" t="s">
        <v>4409</v>
      </c>
      <c r="S68" s="77" t="s">
        <v>7721</v>
      </c>
      <c r="T68" s="30" t="s">
        <v>88</v>
      </c>
      <c r="U68" s="30" t="s">
        <v>78</v>
      </c>
      <c r="V68" s="30" t="s">
        <v>89</v>
      </c>
      <c r="W68" s="38" t="s">
        <v>9697</v>
      </c>
      <c r="X68" s="26" t="s">
        <v>10411</v>
      </c>
      <c r="Y68" s="26" t="s">
        <v>91</v>
      </c>
      <c r="Z68" s="26" t="s">
        <v>91</v>
      </c>
      <c r="AA68" s="26" t="s">
        <v>172</v>
      </c>
      <c r="AB68" s="31" t="s">
        <v>13</v>
      </c>
      <c r="AC68" s="30" t="s">
        <v>172</v>
      </c>
      <c r="AD68" s="25" t="s">
        <v>4423</v>
      </c>
      <c r="AE68" s="25" t="s">
        <v>172</v>
      </c>
      <c r="AF68" s="26" t="s">
        <v>175</v>
      </c>
      <c r="AG68" s="32">
        <f t="shared" si="4"/>
        <v>1</v>
      </c>
      <c r="AH68" s="32">
        <v>1</v>
      </c>
      <c r="AI68" s="32">
        <v>1</v>
      </c>
      <c r="AJ68" s="32">
        <v>1</v>
      </c>
      <c r="AK68" s="30"/>
      <c r="AL68" s="32">
        <f t="shared" si="3"/>
        <v>1</v>
      </c>
      <c r="AM68" s="30"/>
      <c r="AN68" s="32"/>
      <c r="AO68" s="32"/>
      <c r="AP68" s="32">
        <v>1</v>
      </c>
      <c r="AQ68" s="32">
        <v>1</v>
      </c>
      <c r="AR68" s="32">
        <v>1</v>
      </c>
      <c r="AS68" s="32"/>
      <c r="AT68" s="32">
        <v>1</v>
      </c>
      <c r="AU68" s="30"/>
      <c r="AV68" s="30"/>
      <c r="AW68" s="30"/>
      <c r="AX68" s="30" t="s">
        <v>10815</v>
      </c>
      <c r="AY68" s="30"/>
      <c r="AZ68" s="75" t="s">
        <v>10909</v>
      </c>
    </row>
    <row r="69" spans="1:52" ht="16.5">
      <c r="A69" s="25" t="s">
        <v>10910</v>
      </c>
      <c r="B69" s="25" t="s">
        <v>4398</v>
      </c>
      <c r="C69" s="25" t="s">
        <v>68</v>
      </c>
      <c r="D69" s="25" t="s">
        <v>10909</v>
      </c>
      <c r="E69" s="258" t="s">
        <v>10911</v>
      </c>
      <c r="F69" s="25" t="s">
        <v>10912</v>
      </c>
      <c r="G69" s="25" t="s">
        <v>3138</v>
      </c>
      <c r="H69" s="25" t="s">
        <v>3138</v>
      </c>
      <c r="I69" s="26" t="s">
        <v>4402</v>
      </c>
      <c r="J69" s="26" t="s">
        <v>9281</v>
      </c>
      <c r="K69" s="62" t="s">
        <v>10407</v>
      </c>
      <c r="L69" s="25" t="s">
        <v>73</v>
      </c>
      <c r="M69" s="25" t="s">
        <v>10886</v>
      </c>
      <c r="N69" s="49" t="s">
        <v>10913</v>
      </c>
      <c r="O69" s="27" t="s">
        <v>10914</v>
      </c>
      <c r="P69" s="28"/>
      <c r="Q69" s="29">
        <v>8</v>
      </c>
      <c r="R69" s="29">
        <v>32</v>
      </c>
      <c r="S69" s="29">
        <v>342.95</v>
      </c>
      <c r="T69" s="30" t="s">
        <v>88</v>
      </c>
      <c r="U69" s="30" t="s">
        <v>78</v>
      </c>
      <c r="V69" s="30" t="s">
        <v>89</v>
      </c>
      <c r="W69" s="38" t="s">
        <v>9697</v>
      </c>
      <c r="X69" s="26" t="s">
        <v>10411</v>
      </c>
      <c r="Y69" s="26" t="s">
        <v>91</v>
      </c>
      <c r="Z69" s="26" t="s">
        <v>91</v>
      </c>
      <c r="AA69" s="26" t="s">
        <v>172</v>
      </c>
      <c r="AB69" s="31" t="s">
        <v>13</v>
      </c>
      <c r="AC69" s="30" t="s">
        <v>172</v>
      </c>
      <c r="AD69" s="25" t="s">
        <v>172</v>
      </c>
      <c r="AE69" s="25" t="s">
        <v>174</v>
      </c>
      <c r="AF69" s="26" t="s">
        <v>175</v>
      </c>
      <c r="AG69" s="32">
        <f t="shared" si="4"/>
        <v>1</v>
      </c>
      <c r="AH69" s="32">
        <v>1</v>
      </c>
      <c r="AI69" s="32">
        <v>1</v>
      </c>
      <c r="AJ69" s="32">
        <v>1</v>
      </c>
      <c r="AK69" s="30"/>
      <c r="AL69" s="32">
        <f t="shared" si="3"/>
        <v>1</v>
      </c>
      <c r="AM69" s="30"/>
      <c r="AN69" s="32"/>
      <c r="AO69" s="32"/>
      <c r="AP69" s="32">
        <v>1</v>
      </c>
      <c r="AQ69" s="32">
        <v>1</v>
      </c>
      <c r="AR69" s="32">
        <v>1</v>
      </c>
      <c r="AS69" s="32"/>
      <c r="AT69" s="32">
        <v>1</v>
      </c>
      <c r="AU69" s="30"/>
      <c r="AV69" s="30"/>
      <c r="AW69" s="30"/>
      <c r="AX69" s="30" t="s">
        <v>10915</v>
      </c>
      <c r="AY69" s="30"/>
      <c r="AZ69" s="75" t="s">
        <v>10879</v>
      </c>
    </row>
    <row r="70" spans="1:52" ht="16.5">
      <c r="A70" s="25" t="s">
        <v>10916</v>
      </c>
      <c r="B70" s="25" t="s">
        <v>4398</v>
      </c>
      <c r="C70" s="25" t="s">
        <v>68</v>
      </c>
      <c r="D70" s="25" t="s">
        <v>10877</v>
      </c>
      <c r="E70" s="258" t="s">
        <v>10917</v>
      </c>
      <c r="F70" s="25" t="s">
        <v>10918</v>
      </c>
      <c r="G70" s="25" t="s">
        <v>3138</v>
      </c>
      <c r="H70" s="25" t="s">
        <v>3138</v>
      </c>
      <c r="I70" s="26" t="s">
        <v>4402</v>
      </c>
      <c r="J70" s="26" t="s">
        <v>9281</v>
      </c>
      <c r="K70" s="62" t="s">
        <v>10407</v>
      </c>
      <c r="L70" s="25" t="s">
        <v>73</v>
      </c>
      <c r="M70" s="25" t="s">
        <v>10919</v>
      </c>
      <c r="N70" s="49" t="s">
        <v>10920</v>
      </c>
      <c r="O70" s="27" t="s">
        <v>10921</v>
      </c>
      <c r="P70" s="28"/>
      <c r="Q70" s="29">
        <v>8</v>
      </c>
      <c r="R70" s="29">
        <v>32</v>
      </c>
      <c r="S70" s="29">
        <v>342.81</v>
      </c>
      <c r="T70" s="30" t="s">
        <v>88</v>
      </c>
      <c r="U70" s="30" t="s">
        <v>78</v>
      </c>
      <c r="V70" s="30" t="s">
        <v>89</v>
      </c>
      <c r="W70" s="38" t="s">
        <v>9697</v>
      </c>
      <c r="X70" s="26" t="s">
        <v>10411</v>
      </c>
      <c r="Y70" s="26" t="s">
        <v>91</v>
      </c>
      <c r="Z70" s="26" t="s">
        <v>91</v>
      </c>
      <c r="AA70" s="26" t="s">
        <v>172</v>
      </c>
      <c r="AB70" s="31" t="s">
        <v>13</v>
      </c>
      <c r="AC70" s="30" t="s">
        <v>172</v>
      </c>
      <c r="AD70" s="25" t="s">
        <v>172</v>
      </c>
      <c r="AE70" s="25" t="s">
        <v>174</v>
      </c>
      <c r="AF70" s="26" t="s">
        <v>175</v>
      </c>
      <c r="AG70" s="32">
        <f t="shared" si="4"/>
        <v>1</v>
      </c>
      <c r="AH70" s="32">
        <v>1</v>
      </c>
      <c r="AI70" s="32">
        <v>1</v>
      </c>
      <c r="AJ70" s="32">
        <v>1</v>
      </c>
      <c r="AK70" s="30"/>
      <c r="AL70" s="32">
        <f t="shared" si="3"/>
        <v>1</v>
      </c>
      <c r="AM70" s="30"/>
      <c r="AN70" s="32"/>
      <c r="AO70" s="32"/>
      <c r="AP70" s="32">
        <v>1</v>
      </c>
      <c r="AQ70" s="32">
        <v>1</v>
      </c>
      <c r="AR70" s="32">
        <v>1</v>
      </c>
      <c r="AS70" s="32"/>
      <c r="AT70" s="32">
        <v>1</v>
      </c>
      <c r="AU70" s="30"/>
      <c r="AV70" s="30"/>
      <c r="AW70" s="30"/>
      <c r="AX70" s="30" t="s">
        <v>10822</v>
      </c>
      <c r="AY70" s="30"/>
      <c r="AZ70" s="75" t="s">
        <v>10922</v>
      </c>
    </row>
    <row r="71" spans="1:52" ht="16.5">
      <c r="A71" s="25" t="s">
        <v>10923</v>
      </c>
      <c r="B71" s="25" t="s">
        <v>4398</v>
      </c>
      <c r="C71" s="25" t="s">
        <v>68</v>
      </c>
      <c r="D71" s="25" t="s">
        <v>10896</v>
      </c>
      <c r="E71" s="258" t="s">
        <v>10924</v>
      </c>
      <c r="F71" s="25" t="s">
        <v>10925</v>
      </c>
      <c r="G71" s="25" t="s">
        <v>3138</v>
      </c>
      <c r="H71" s="25" t="s">
        <v>3138</v>
      </c>
      <c r="I71" s="26" t="s">
        <v>4402</v>
      </c>
      <c r="J71" s="26" t="s">
        <v>9281</v>
      </c>
      <c r="K71" s="62" t="s">
        <v>10407</v>
      </c>
      <c r="L71" s="25" t="s">
        <v>73</v>
      </c>
      <c r="M71" s="25" t="s">
        <v>10868</v>
      </c>
      <c r="N71" s="49" t="s">
        <v>10926</v>
      </c>
      <c r="O71" s="27" t="s">
        <v>10927</v>
      </c>
      <c r="P71" s="28"/>
      <c r="Q71" s="29">
        <v>4</v>
      </c>
      <c r="R71" s="29">
        <v>16</v>
      </c>
      <c r="S71" s="29">
        <v>297.83</v>
      </c>
      <c r="T71" s="30" t="s">
        <v>88</v>
      </c>
      <c r="U71" s="30" t="s">
        <v>78</v>
      </c>
      <c r="V71" s="30" t="s">
        <v>89</v>
      </c>
      <c r="W71" s="38" t="s">
        <v>9697</v>
      </c>
      <c r="X71" s="26" t="s">
        <v>10411</v>
      </c>
      <c r="Y71" s="26" t="s">
        <v>91</v>
      </c>
      <c r="Z71" s="26" t="s">
        <v>91</v>
      </c>
      <c r="AA71" s="26" t="s">
        <v>172</v>
      </c>
      <c r="AB71" s="31" t="s">
        <v>13</v>
      </c>
      <c r="AC71" s="30" t="s">
        <v>172</v>
      </c>
      <c r="AD71" s="25" t="s">
        <v>172</v>
      </c>
      <c r="AE71" s="25" t="s">
        <v>174</v>
      </c>
      <c r="AF71" s="26" t="s">
        <v>175</v>
      </c>
      <c r="AG71" s="32">
        <f t="shared" si="4"/>
        <v>1</v>
      </c>
      <c r="AH71" s="32">
        <v>1</v>
      </c>
      <c r="AI71" s="32">
        <v>1</v>
      </c>
      <c r="AJ71" s="32">
        <v>1</v>
      </c>
      <c r="AK71" s="30"/>
      <c r="AL71" s="32">
        <f t="shared" si="3"/>
        <v>1</v>
      </c>
      <c r="AM71" s="30"/>
      <c r="AN71" s="32"/>
      <c r="AO71" s="32"/>
      <c r="AP71" s="32">
        <v>1</v>
      </c>
      <c r="AQ71" s="32">
        <v>1</v>
      </c>
      <c r="AR71" s="32">
        <v>1</v>
      </c>
      <c r="AS71" s="32"/>
      <c r="AT71" s="32">
        <v>1</v>
      </c>
      <c r="AU71" s="30"/>
      <c r="AV71" s="30"/>
      <c r="AW71" s="30"/>
      <c r="AX71" s="30" t="s">
        <v>10854</v>
      </c>
      <c r="AY71" s="30"/>
      <c r="AZ71" s="75" t="s">
        <v>10812</v>
      </c>
    </row>
    <row r="72" spans="1:52" ht="16.5">
      <c r="A72" s="25" t="s">
        <v>10928</v>
      </c>
      <c r="B72" s="25" t="s">
        <v>4398</v>
      </c>
      <c r="C72" s="25" t="s">
        <v>68</v>
      </c>
      <c r="D72" s="25" t="s">
        <v>10929</v>
      </c>
      <c r="E72" s="258" t="s">
        <v>10930</v>
      </c>
      <c r="F72" s="25" t="s">
        <v>10931</v>
      </c>
      <c r="G72" s="25" t="s">
        <v>3138</v>
      </c>
      <c r="H72" s="25" t="s">
        <v>3138</v>
      </c>
      <c r="I72" s="26" t="s">
        <v>4402</v>
      </c>
      <c r="J72" s="26" t="s">
        <v>9281</v>
      </c>
      <c r="K72" s="62" t="s">
        <v>10407</v>
      </c>
      <c r="L72" s="25" t="s">
        <v>73</v>
      </c>
      <c r="M72" s="25" t="s">
        <v>10915</v>
      </c>
      <c r="N72" s="49" t="s">
        <v>10932</v>
      </c>
      <c r="O72" s="27" t="s">
        <v>10933</v>
      </c>
      <c r="P72" s="28"/>
      <c r="Q72" s="29">
        <v>12</v>
      </c>
      <c r="R72" s="29">
        <v>48</v>
      </c>
      <c r="S72" s="29">
        <v>338.25</v>
      </c>
      <c r="T72" s="30" t="s">
        <v>88</v>
      </c>
      <c r="U72" s="30" t="s">
        <v>78</v>
      </c>
      <c r="V72" s="30" t="s">
        <v>89</v>
      </c>
      <c r="W72" s="38" t="s">
        <v>9697</v>
      </c>
      <c r="X72" s="26" t="s">
        <v>10411</v>
      </c>
      <c r="Y72" s="26" t="s">
        <v>91</v>
      </c>
      <c r="Z72" s="26" t="s">
        <v>91</v>
      </c>
      <c r="AA72" s="26" t="s">
        <v>172</v>
      </c>
      <c r="AB72" s="31" t="s">
        <v>13</v>
      </c>
      <c r="AC72" s="30" t="s">
        <v>172</v>
      </c>
      <c r="AD72" s="25" t="s">
        <v>172</v>
      </c>
      <c r="AE72" s="25" t="s">
        <v>174</v>
      </c>
      <c r="AF72" s="26" t="s">
        <v>175</v>
      </c>
      <c r="AG72" s="32">
        <f t="shared" si="4"/>
        <v>1</v>
      </c>
      <c r="AH72" s="32">
        <v>1</v>
      </c>
      <c r="AI72" s="32">
        <v>1</v>
      </c>
      <c r="AJ72" s="32">
        <v>1</v>
      </c>
      <c r="AK72" s="30"/>
      <c r="AL72" s="32">
        <f t="shared" si="3"/>
        <v>1</v>
      </c>
      <c r="AM72" s="30"/>
      <c r="AN72" s="32"/>
      <c r="AO72" s="32"/>
      <c r="AP72" s="32">
        <v>1</v>
      </c>
      <c r="AQ72" s="32">
        <v>1</v>
      </c>
      <c r="AR72" s="32">
        <v>1</v>
      </c>
      <c r="AS72" s="32"/>
      <c r="AT72" s="32">
        <v>1</v>
      </c>
      <c r="AU72" s="30"/>
      <c r="AV72" s="30"/>
      <c r="AW72" s="30"/>
      <c r="AX72" s="30" t="s">
        <v>10906</v>
      </c>
      <c r="AY72" s="30"/>
      <c r="AZ72" s="75" t="s">
        <v>10929</v>
      </c>
    </row>
    <row r="73" spans="1:52" ht="16.5">
      <c r="A73" s="25" t="s">
        <v>10934</v>
      </c>
      <c r="B73" s="25" t="s">
        <v>4398</v>
      </c>
      <c r="C73" s="25" t="s">
        <v>68</v>
      </c>
      <c r="D73" s="25" t="s">
        <v>10887</v>
      </c>
      <c r="E73" s="258" t="s">
        <v>10935</v>
      </c>
      <c r="F73" s="25" t="s">
        <v>10936</v>
      </c>
      <c r="G73" s="25" t="s">
        <v>3138</v>
      </c>
      <c r="H73" s="25" t="s">
        <v>3138</v>
      </c>
      <c r="I73" s="26" t="s">
        <v>4402</v>
      </c>
      <c r="J73" s="26" t="s">
        <v>9281</v>
      </c>
      <c r="K73" s="62" t="s">
        <v>10407</v>
      </c>
      <c r="L73" s="25" t="s">
        <v>73</v>
      </c>
      <c r="M73" s="25" t="s">
        <v>10858</v>
      </c>
      <c r="N73" s="49" t="s">
        <v>10937</v>
      </c>
      <c r="O73" s="27" t="s">
        <v>10938</v>
      </c>
      <c r="P73" s="28"/>
      <c r="Q73" s="29">
        <v>4</v>
      </c>
      <c r="R73" s="29">
        <v>16</v>
      </c>
      <c r="S73" s="29">
        <v>286.11</v>
      </c>
      <c r="T73" s="30" t="s">
        <v>88</v>
      </c>
      <c r="U73" s="30" t="s">
        <v>78</v>
      </c>
      <c r="V73" s="30" t="s">
        <v>89</v>
      </c>
      <c r="W73" s="38" t="s">
        <v>9697</v>
      </c>
      <c r="X73" s="26" t="s">
        <v>10411</v>
      </c>
      <c r="Y73" s="26" t="s">
        <v>91</v>
      </c>
      <c r="Z73" s="26" t="s">
        <v>91</v>
      </c>
      <c r="AA73" s="26" t="s">
        <v>172</v>
      </c>
      <c r="AB73" s="31" t="s">
        <v>13</v>
      </c>
      <c r="AC73" s="30" t="s">
        <v>172</v>
      </c>
      <c r="AD73" s="25" t="s">
        <v>172</v>
      </c>
      <c r="AE73" s="25" t="s">
        <v>174</v>
      </c>
      <c r="AF73" s="26" t="s">
        <v>175</v>
      </c>
      <c r="AG73" s="32">
        <f t="shared" si="4"/>
        <v>1</v>
      </c>
      <c r="AH73" s="32">
        <v>1</v>
      </c>
      <c r="AI73" s="32">
        <v>1</v>
      </c>
      <c r="AJ73" s="32">
        <v>1</v>
      </c>
      <c r="AK73" s="30"/>
      <c r="AL73" s="32">
        <f t="shared" si="3"/>
        <v>1</v>
      </c>
      <c r="AM73" s="30"/>
      <c r="AN73" s="32"/>
      <c r="AO73" s="32"/>
      <c r="AP73" s="32">
        <v>1</v>
      </c>
      <c r="AQ73" s="32">
        <v>1</v>
      </c>
      <c r="AR73" s="32">
        <v>1</v>
      </c>
      <c r="AS73" s="32"/>
      <c r="AT73" s="32">
        <v>1</v>
      </c>
      <c r="AU73" s="30"/>
      <c r="AV73" s="30"/>
      <c r="AW73" s="30"/>
      <c r="AX73" s="30" t="s">
        <v>10892</v>
      </c>
      <c r="AY73" s="30"/>
      <c r="AZ73" s="75" t="s">
        <v>9750</v>
      </c>
    </row>
    <row r="74" spans="1:52" ht="16.5">
      <c r="A74" s="25" t="s">
        <v>10939</v>
      </c>
      <c r="B74" s="25" t="s">
        <v>4398</v>
      </c>
      <c r="C74" s="25" t="s">
        <v>68</v>
      </c>
      <c r="D74" s="25" t="s">
        <v>10922</v>
      </c>
      <c r="E74" s="258" t="s">
        <v>10940</v>
      </c>
      <c r="F74" s="25" t="s">
        <v>10941</v>
      </c>
      <c r="G74" s="25" t="s">
        <v>3138</v>
      </c>
      <c r="H74" s="25" t="s">
        <v>3138</v>
      </c>
      <c r="I74" s="26" t="s">
        <v>4402</v>
      </c>
      <c r="J74" s="26" t="s">
        <v>9281</v>
      </c>
      <c r="K74" s="62" t="s">
        <v>10407</v>
      </c>
      <c r="L74" s="25" t="s">
        <v>73</v>
      </c>
      <c r="M74" s="25" t="s">
        <v>10895</v>
      </c>
      <c r="N74" s="49" t="s">
        <v>10942</v>
      </c>
      <c r="O74" s="27" t="s">
        <v>10943</v>
      </c>
      <c r="P74" s="28"/>
      <c r="Q74" s="29">
        <v>8</v>
      </c>
      <c r="R74" s="29">
        <v>32</v>
      </c>
      <c r="S74" s="29">
        <v>323.08</v>
      </c>
      <c r="T74" s="30" t="s">
        <v>88</v>
      </c>
      <c r="U74" s="30" t="s">
        <v>78</v>
      </c>
      <c r="V74" s="30" t="s">
        <v>89</v>
      </c>
      <c r="W74" s="38" t="s">
        <v>9697</v>
      </c>
      <c r="X74" s="26" t="s">
        <v>10411</v>
      </c>
      <c r="Y74" s="26" t="s">
        <v>91</v>
      </c>
      <c r="Z74" s="26" t="s">
        <v>91</v>
      </c>
      <c r="AA74" s="26" t="s">
        <v>172</v>
      </c>
      <c r="AB74" s="31" t="s">
        <v>13</v>
      </c>
      <c r="AC74" s="30" t="s">
        <v>172</v>
      </c>
      <c r="AD74" s="25" t="s">
        <v>172</v>
      </c>
      <c r="AE74" s="25" t="s">
        <v>174</v>
      </c>
      <c r="AF74" s="26" t="s">
        <v>175</v>
      </c>
      <c r="AG74" s="32">
        <f t="shared" si="4"/>
        <v>1</v>
      </c>
      <c r="AH74" s="32">
        <v>1</v>
      </c>
      <c r="AI74" s="32">
        <v>1</v>
      </c>
      <c r="AJ74" s="32">
        <v>1</v>
      </c>
      <c r="AK74" s="30"/>
      <c r="AL74" s="32">
        <f t="shared" si="3"/>
        <v>1</v>
      </c>
      <c r="AM74" s="30"/>
      <c r="AN74" s="32"/>
      <c r="AO74" s="32"/>
      <c r="AP74" s="32">
        <v>1</v>
      </c>
      <c r="AQ74" s="32">
        <v>1</v>
      </c>
      <c r="AR74" s="32">
        <v>1</v>
      </c>
      <c r="AS74" s="32"/>
      <c r="AT74" s="32">
        <v>1</v>
      </c>
      <c r="AU74" s="30"/>
      <c r="AV74" s="30"/>
      <c r="AW74" s="30"/>
      <c r="AX74" s="30" t="s">
        <v>10882</v>
      </c>
      <c r="AY74" s="30"/>
      <c r="AZ74" s="75" t="s">
        <v>10819</v>
      </c>
    </row>
    <row r="75" spans="1:52" ht="16.5">
      <c r="A75" s="25" t="s">
        <v>10944</v>
      </c>
      <c r="B75" s="25" t="s">
        <v>4398</v>
      </c>
      <c r="C75" s="25" t="s">
        <v>68</v>
      </c>
      <c r="D75" s="25" t="s">
        <v>10869</v>
      </c>
      <c r="E75" s="258" t="s">
        <v>10945</v>
      </c>
      <c r="F75" s="25" t="s">
        <v>5800</v>
      </c>
      <c r="G75" s="25" t="s">
        <v>3138</v>
      </c>
      <c r="H75" s="25" t="s">
        <v>3138</v>
      </c>
      <c r="I75" s="26" t="s">
        <v>4402</v>
      </c>
      <c r="J75" s="26" t="s">
        <v>9281</v>
      </c>
      <c r="K75" s="62" t="s">
        <v>10407</v>
      </c>
      <c r="L75" s="25" t="s">
        <v>73</v>
      </c>
      <c r="M75" s="25" t="s">
        <v>10849</v>
      </c>
      <c r="N75" s="49" t="s">
        <v>10946</v>
      </c>
      <c r="O75" s="27" t="s">
        <v>10947</v>
      </c>
      <c r="P75" s="28"/>
      <c r="Q75" s="29">
        <v>4</v>
      </c>
      <c r="R75" s="29">
        <v>16</v>
      </c>
      <c r="S75" s="29">
        <v>286.33999999999997</v>
      </c>
      <c r="T75" s="30" t="s">
        <v>88</v>
      </c>
      <c r="U75" s="30" t="s">
        <v>78</v>
      </c>
      <c r="V75" s="30" t="s">
        <v>89</v>
      </c>
      <c r="W75" s="38" t="s">
        <v>9697</v>
      </c>
      <c r="X75" s="26" t="s">
        <v>10411</v>
      </c>
      <c r="Y75" s="26" t="s">
        <v>91</v>
      </c>
      <c r="Z75" s="26" t="s">
        <v>91</v>
      </c>
      <c r="AA75" s="26" t="s">
        <v>172</v>
      </c>
      <c r="AB75" s="31" t="s">
        <v>13</v>
      </c>
      <c r="AC75" s="30" t="s">
        <v>172</v>
      </c>
      <c r="AD75" s="25" t="s">
        <v>172</v>
      </c>
      <c r="AE75" s="25" t="s">
        <v>174</v>
      </c>
      <c r="AF75" s="26" t="s">
        <v>175</v>
      </c>
      <c r="AG75" s="32">
        <f t="shared" si="4"/>
        <v>1</v>
      </c>
      <c r="AH75" s="32">
        <v>1</v>
      </c>
      <c r="AI75" s="32">
        <v>1</v>
      </c>
      <c r="AJ75" s="32">
        <v>1</v>
      </c>
      <c r="AK75" s="30"/>
      <c r="AL75" s="32">
        <f t="shared" si="3"/>
        <v>1</v>
      </c>
      <c r="AM75" s="30"/>
      <c r="AN75" s="32"/>
      <c r="AO75" s="32"/>
      <c r="AP75" s="32">
        <v>1</v>
      </c>
      <c r="AQ75" s="32">
        <v>1</v>
      </c>
      <c r="AR75" s="32">
        <v>1</v>
      </c>
      <c r="AS75" s="32"/>
      <c r="AT75" s="32">
        <v>1</v>
      </c>
      <c r="AU75" s="30"/>
      <c r="AV75" s="30"/>
      <c r="AW75" s="30"/>
      <c r="AX75" s="30" t="s">
        <v>10803</v>
      </c>
      <c r="AY75" s="30"/>
      <c r="AZ75" s="75" t="s">
        <v>10871</v>
      </c>
    </row>
    <row r="76" spans="1:52" ht="16.5">
      <c r="A76" s="25" t="s">
        <v>10948</v>
      </c>
      <c r="B76" s="25" t="s">
        <v>4398</v>
      </c>
      <c r="C76" s="25" t="s">
        <v>68</v>
      </c>
      <c r="D76" s="25" t="s">
        <v>10949</v>
      </c>
      <c r="E76" s="258" t="s">
        <v>10950</v>
      </c>
      <c r="F76" s="25" t="s">
        <v>10951</v>
      </c>
      <c r="G76" s="25" t="s">
        <v>3138</v>
      </c>
      <c r="H76" s="25" t="s">
        <v>3138</v>
      </c>
      <c r="I76" s="26" t="s">
        <v>4402</v>
      </c>
      <c r="J76" s="26" t="s">
        <v>9281</v>
      </c>
      <c r="K76" s="62" t="s">
        <v>10407</v>
      </c>
      <c r="L76" s="25" t="s">
        <v>73</v>
      </c>
      <c r="M76" s="25" t="s">
        <v>10952</v>
      </c>
      <c r="N76" s="49" t="s">
        <v>10953</v>
      </c>
      <c r="O76" s="27" t="s">
        <v>10954</v>
      </c>
      <c r="P76" s="28"/>
      <c r="Q76" s="29">
        <v>8</v>
      </c>
      <c r="R76" s="29">
        <v>32</v>
      </c>
      <c r="S76" s="29">
        <v>303.67</v>
      </c>
      <c r="T76" s="30" t="s">
        <v>88</v>
      </c>
      <c r="U76" s="30" t="s">
        <v>78</v>
      </c>
      <c r="V76" s="30" t="s">
        <v>89</v>
      </c>
      <c r="W76" s="38" t="s">
        <v>90</v>
      </c>
      <c r="X76" s="26" t="s">
        <v>10411</v>
      </c>
      <c r="Y76" s="26" t="s">
        <v>91</v>
      </c>
      <c r="Z76" s="26" t="s">
        <v>91</v>
      </c>
      <c r="AA76" s="26" t="s">
        <v>172</v>
      </c>
      <c r="AB76" s="31" t="s">
        <v>15</v>
      </c>
      <c r="AC76" s="30" t="s">
        <v>172</v>
      </c>
      <c r="AD76" s="25" t="s">
        <v>172</v>
      </c>
      <c r="AE76" s="25" t="s">
        <v>174</v>
      </c>
      <c r="AF76" s="26" t="s">
        <v>175</v>
      </c>
      <c r="AG76" s="32">
        <f t="shared" si="4"/>
        <v>1</v>
      </c>
      <c r="AH76" s="32">
        <v>1</v>
      </c>
      <c r="AI76" s="32">
        <v>1</v>
      </c>
      <c r="AJ76" s="32">
        <v>1</v>
      </c>
      <c r="AK76" s="30">
        <v>1</v>
      </c>
      <c r="AL76" s="32">
        <f t="shared" si="3"/>
        <v>1</v>
      </c>
      <c r="AM76" s="30"/>
      <c r="AN76" s="32">
        <v>1</v>
      </c>
      <c r="AO76" s="32">
        <v>1</v>
      </c>
      <c r="AP76" s="32">
        <v>1</v>
      </c>
      <c r="AQ76" s="32">
        <v>1</v>
      </c>
      <c r="AR76" s="32">
        <v>1</v>
      </c>
      <c r="AS76" s="32"/>
      <c r="AT76" s="32">
        <v>1</v>
      </c>
      <c r="AU76" s="30"/>
      <c r="AV76" s="30"/>
      <c r="AW76" s="30"/>
      <c r="AX76" s="30" t="s">
        <v>10874</v>
      </c>
      <c r="AY76" s="30"/>
      <c r="AZ76" s="75" t="s">
        <v>10843</v>
      </c>
    </row>
    <row r="77" spans="1:52" ht="16.5">
      <c r="A77" s="25" t="s">
        <v>10955</v>
      </c>
      <c r="B77" s="25" t="s">
        <v>4398</v>
      </c>
      <c r="C77" s="25" t="s">
        <v>68</v>
      </c>
      <c r="D77" s="25" t="s">
        <v>10956</v>
      </c>
      <c r="E77" s="258" t="s">
        <v>10957</v>
      </c>
      <c r="F77" s="25" t="s">
        <v>10958</v>
      </c>
      <c r="G77" s="25" t="s">
        <v>3138</v>
      </c>
      <c r="H77" s="25" t="s">
        <v>3138</v>
      </c>
      <c r="I77" s="26" t="s">
        <v>4402</v>
      </c>
      <c r="J77" s="26" t="s">
        <v>9281</v>
      </c>
      <c r="K77" s="62" t="s">
        <v>10407</v>
      </c>
      <c r="L77" s="25" t="s">
        <v>73</v>
      </c>
      <c r="M77" s="25" t="s">
        <v>10959</v>
      </c>
      <c r="N77" s="49" t="s">
        <v>10960</v>
      </c>
      <c r="O77" s="27" t="s">
        <v>10961</v>
      </c>
      <c r="P77" s="28"/>
      <c r="Q77" s="29">
        <v>4</v>
      </c>
      <c r="R77" s="29">
        <v>16</v>
      </c>
      <c r="S77" s="29">
        <v>356.21</v>
      </c>
      <c r="T77" s="30" t="s">
        <v>88</v>
      </c>
      <c r="U77" s="30" t="s">
        <v>78</v>
      </c>
      <c r="V77" s="30" t="s">
        <v>89</v>
      </c>
      <c r="W77" s="38" t="s">
        <v>90</v>
      </c>
      <c r="X77" s="26" t="s">
        <v>10411</v>
      </c>
      <c r="Y77" s="26" t="s">
        <v>91</v>
      </c>
      <c r="Z77" s="26" t="s">
        <v>91</v>
      </c>
      <c r="AA77" s="26" t="s">
        <v>172</v>
      </c>
      <c r="AB77" s="31" t="s">
        <v>15</v>
      </c>
      <c r="AC77" s="30" t="s">
        <v>172</v>
      </c>
      <c r="AD77" s="25" t="s">
        <v>172</v>
      </c>
      <c r="AE77" s="25" t="s">
        <v>174</v>
      </c>
      <c r="AF77" s="26" t="s">
        <v>175</v>
      </c>
      <c r="AG77" s="32">
        <f t="shared" si="4"/>
        <v>1</v>
      </c>
      <c r="AH77" s="32">
        <v>1</v>
      </c>
      <c r="AI77" s="32">
        <v>1</v>
      </c>
      <c r="AJ77" s="32">
        <v>1</v>
      </c>
      <c r="AK77" s="30">
        <v>1</v>
      </c>
      <c r="AL77" s="32">
        <f t="shared" si="3"/>
        <v>1</v>
      </c>
      <c r="AM77" s="30"/>
      <c r="AN77" s="32">
        <v>1</v>
      </c>
      <c r="AO77" s="32">
        <v>1</v>
      </c>
      <c r="AP77" s="32">
        <v>1</v>
      </c>
      <c r="AQ77" s="32">
        <v>1</v>
      </c>
      <c r="AR77" s="32">
        <v>1</v>
      </c>
      <c r="AS77" s="32"/>
      <c r="AT77" s="32">
        <v>1</v>
      </c>
      <c r="AU77" s="30"/>
      <c r="AV77" s="30"/>
      <c r="AW77" s="30"/>
      <c r="AX77" s="30" t="s">
        <v>10830</v>
      </c>
      <c r="AY77" s="30"/>
      <c r="AZ77" s="75" t="s">
        <v>10851</v>
      </c>
    </row>
    <row r="78" spans="1:52" ht="16.5">
      <c r="A78" s="25" t="s">
        <v>10962</v>
      </c>
      <c r="B78" s="25" t="s">
        <v>4398</v>
      </c>
      <c r="C78" s="25" t="s">
        <v>73</v>
      </c>
      <c r="D78" s="25" t="s">
        <v>10963</v>
      </c>
      <c r="E78" s="258" t="s">
        <v>10964</v>
      </c>
      <c r="F78" s="25" t="s">
        <v>10965</v>
      </c>
      <c r="G78" s="25" t="s">
        <v>3138</v>
      </c>
      <c r="H78" s="25" t="s">
        <v>3138</v>
      </c>
      <c r="I78" s="26" t="s">
        <v>4402</v>
      </c>
      <c r="J78" s="26" t="s">
        <v>9281</v>
      </c>
      <c r="K78" s="62" t="s">
        <v>10407</v>
      </c>
      <c r="L78" s="25" t="s">
        <v>73</v>
      </c>
      <c r="M78" s="25" t="s">
        <v>10966</v>
      </c>
      <c r="N78" s="49" t="s">
        <v>10967</v>
      </c>
      <c r="O78" s="27" t="s">
        <v>10968</v>
      </c>
      <c r="P78" s="28"/>
      <c r="Q78" s="77">
        <v>8</v>
      </c>
      <c r="R78" s="77" t="s">
        <v>9030</v>
      </c>
      <c r="S78" s="77" t="s">
        <v>9060</v>
      </c>
      <c r="T78" s="30" t="s">
        <v>88</v>
      </c>
      <c r="U78" s="30" t="s">
        <v>78</v>
      </c>
      <c r="V78" s="30" t="s">
        <v>89</v>
      </c>
      <c r="W78" s="38" t="s">
        <v>90</v>
      </c>
      <c r="X78" s="26" t="s">
        <v>10411</v>
      </c>
      <c r="Y78" s="26" t="s">
        <v>91</v>
      </c>
      <c r="Z78" s="26" t="s">
        <v>91</v>
      </c>
      <c r="AA78" s="26" t="s">
        <v>172</v>
      </c>
      <c r="AB78" s="31" t="s">
        <v>15</v>
      </c>
      <c r="AC78" s="30" t="s">
        <v>172</v>
      </c>
      <c r="AD78" s="25" t="s">
        <v>4423</v>
      </c>
      <c r="AE78" s="25" t="s">
        <v>172</v>
      </c>
      <c r="AF78" s="26" t="s">
        <v>175</v>
      </c>
      <c r="AG78" s="32">
        <f t="shared" si="4"/>
        <v>1</v>
      </c>
      <c r="AH78" s="32">
        <v>1</v>
      </c>
      <c r="AI78" s="32">
        <v>1</v>
      </c>
      <c r="AJ78" s="32">
        <v>1</v>
      </c>
      <c r="AK78" s="30">
        <v>1</v>
      </c>
      <c r="AL78" s="32">
        <f t="shared" si="3"/>
        <v>1</v>
      </c>
      <c r="AM78" s="30"/>
      <c r="AN78" s="32">
        <v>1</v>
      </c>
      <c r="AO78" s="32">
        <v>1</v>
      </c>
      <c r="AP78" s="32">
        <v>1</v>
      </c>
      <c r="AQ78" s="32">
        <v>1</v>
      </c>
      <c r="AR78" s="32">
        <v>1</v>
      </c>
      <c r="AS78" s="32"/>
      <c r="AT78" s="32">
        <v>1</v>
      </c>
      <c r="AU78" s="30"/>
      <c r="AV78" s="30"/>
      <c r="AW78" s="30"/>
      <c r="AX78" s="30" t="s">
        <v>10969</v>
      </c>
      <c r="AY78" s="30"/>
      <c r="AZ78" s="75" t="s">
        <v>10903</v>
      </c>
    </row>
    <row r="79" spans="1:52" ht="16.5">
      <c r="A79" s="25" t="s">
        <v>10970</v>
      </c>
      <c r="B79" s="25" t="s">
        <v>4398</v>
      </c>
      <c r="C79" s="25" t="s">
        <v>73</v>
      </c>
      <c r="D79" s="25" t="s">
        <v>10971</v>
      </c>
      <c r="E79" s="258" t="s">
        <v>10972</v>
      </c>
      <c r="F79" s="25" t="s">
        <v>10973</v>
      </c>
      <c r="G79" s="25" t="s">
        <v>3138</v>
      </c>
      <c r="H79" s="25" t="s">
        <v>3138</v>
      </c>
      <c r="I79" s="26" t="s">
        <v>4402</v>
      </c>
      <c r="J79" s="26" t="s">
        <v>9281</v>
      </c>
      <c r="K79" s="62" t="s">
        <v>10407</v>
      </c>
      <c r="L79" s="25" t="s">
        <v>73</v>
      </c>
      <c r="M79" s="25" t="s">
        <v>10974</v>
      </c>
      <c r="N79" s="49" t="s">
        <v>10975</v>
      </c>
      <c r="O79" s="27" t="s">
        <v>10976</v>
      </c>
      <c r="P79" s="28"/>
      <c r="Q79" s="77">
        <v>4</v>
      </c>
      <c r="R79" s="77" t="s">
        <v>4409</v>
      </c>
      <c r="S79" s="77" t="s">
        <v>10977</v>
      </c>
      <c r="T79" s="30" t="s">
        <v>88</v>
      </c>
      <c r="U79" s="30" t="s">
        <v>78</v>
      </c>
      <c r="V79" s="30" t="s">
        <v>89</v>
      </c>
      <c r="W79" s="38" t="s">
        <v>90</v>
      </c>
      <c r="X79" s="26" t="s">
        <v>10411</v>
      </c>
      <c r="Y79" s="26" t="s">
        <v>91</v>
      </c>
      <c r="Z79" s="26" t="s">
        <v>91</v>
      </c>
      <c r="AA79" s="26" t="s">
        <v>172</v>
      </c>
      <c r="AB79" s="31" t="s">
        <v>15</v>
      </c>
      <c r="AC79" s="30" t="s">
        <v>172</v>
      </c>
      <c r="AD79" s="25" t="s">
        <v>4423</v>
      </c>
      <c r="AE79" s="25" t="s">
        <v>172</v>
      </c>
      <c r="AF79" s="26" t="s">
        <v>175</v>
      </c>
      <c r="AG79" s="32">
        <f t="shared" si="4"/>
        <v>1</v>
      </c>
      <c r="AH79" s="32">
        <v>1</v>
      </c>
      <c r="AI79" s="32">
        <v>1</v>
      </c>
      <c r="AJ79" s="32">
        <v>1</v>
      </c>
      <c r="AK79" s="30">
        <v>1</v>
      </c>
      <c r="AL79" s="32">
        <f t="shared" si="3"/>
        <v>1</v>
      </c>
      <c r="AM79" s="30"/>
      <c r="AN79" s="32">
        <v>1</v>
      </c>
      <c r="AO79" s="32">
        <v>1</v>
      </c>
      <c r="AP79" s="32">
        <v>1</v>
      </c>
      <c r="AQ79" s="32">
        <v>1</v>
      </c>
      <c r="AR79" s="32">
        <v>1</v>
      </c>
      <c r="AS79" s="32"/>
      <c r="AT79" s="32">
        <v>1</v>
      </c>
      <c r="AU79" s="30"/>
      <c r="AV79" s="30"/>
      <c r="AW79" s="30"/>
      <c r="AX79" s="30" t="s">
        <v>10978</v>
      </c>
      <c r="AY79" s="30"/>
      <c r="AZ79" s="75" t="s">
        <v>10889</v>
      </c>
    </row>
    <row r="80" spans="1:52" ht="16.5">
      <c r="A80" s="25" t="s">
        <v>10979</v>
      </c>
      <c r="B80" s="25" t="s">
        <v>4398</v>
      </c>
      <c r="C80" s="25" t="s">
        <v>68</v>
      </c>
      <c r="D80" s="25" t="s">
        <v>10980</v>
      </c>
      <c r="E80" s="258" t="s">
        <v>10981</v>
      </c>
      <c r="F80" s="25" t="s">
        <v>10982</v>
      </c>
      <c r="G80" s="25" t="s">
        <v>3138</v>
      </c>
      <c r="H80" s="25" t="s">
        <v>3138</v>
      </c>
      <c r="I80" s="26" t="s">
        <v>4402</v>
      </c>
      <c r="J80" s="26" t="s">
        <v>9281</v>
      </c>
      <c r="K80" s="62" t="s">
        <v>10407</v>
      </c>
      <c r="L80" s="25" t="s">
        <v>73</v>
      </c>
      <c r="M80" s="25" t="s">
        <v>10983</v>
      </c>
      <c r="N80" s="49" t="s">
        <v>10984</v>
      </c>
      <c r="O80" s="27" t="s">
        <v>10985</v>
      </c>
      <c r="P80" s="28"/>
      <c r="Q80" s="29">
        <v>4</v>
      </c>
      <c r="R80" s="29">
        <v>16</v>
      </c>
      <c r="S80" s="29">
        <v>267.14</v>
      </c>
      <c r="T80" s="30" t="s">
        <v>88</v>
      </c>
      <c r="U80" s="30" t="s">
        <v>78</v>
      </c>
      <c r="V80" s="30" t="s">
        <v>89</v>
      </c>
      <c r="W80" s="38" t="s">
        <v>90</v>
      </c>
      <c r="X80" s="26" t="s">
        <v>10411</v>
      </c>
      <c r="Y80" s="26" t="s">
        <v>91</v>
      </c>
      <c r="Z80" s="26" t="s">
        <v>91</v>
      </c>
      <c r="AA80" s="26" t="s">
        <v>172</v>
      </c>
      <c r="AB80" s="31" t="s">
        <v>15</v>
      </c>
      <c r="AC80" s="30" t="s">
        <v>172</v>
      </c>
      <c r="AD80" s="25" t="s">
        <v>172</v>
      </c>
      <c r="AE80" s="25" t="s">
        <v>174</v>
      </c>
      <c r="AF80" s="26" t="s">
        <v>175</v>
      </c>
      <c r="AG80" s="32">
        <f t="shared" si="4"/>
        <v>1</v>
      </c>
      <c r="AH80" s="32">
        <v>1</v>
      </c>
      <c r="AI80" s="32">
        <v>1</v>
      </c>
      <c r="AJ80" s="32">
        <v>1</v>
      </c>
      <c r="AK80" s="30">
        <v>1</v>
      </c>
      <c r="AL80" s="32">
        <f t="shared" si="3"/>
        <v>1</v>
      </c>
      <c r="AM80" s="30"/>
      <c r="AN80" s="32">
        <v>1</v>
      </c>
      <c r="AO80" s="32">
        <v>1</v>
      </c>
      <c r="AP80" s="32">
        <v>1</v>
      </c>
      <c r="AQ80" s="32">
        <v>1</v>
      </c>
      <c r="AR80" s="32">
        <v>1</v>
      </c>
      <c r="AS80" s="32"/>
      <c r="AT80" s="32">
        <v>1</v>
      </c>
      <c r="AU80" s="30"/>
      <c r="AV80" s="30"/>
      <c r="AW80" s="30"/>
      <c r="AX80" s="30" t="s">
        <v>10986</v>
      </c>
      <c r="AY80" s="30"/>
      <c r="AZ80" s="75" t="s">
        <v>10827</v>
      </c>
    </row>
    <row r="81" spans="1:52" ht="16.5">
      <c r="A81" s="25" t="s">
        <v>10987</v>
      </c>
      <c r="B81" s="25" t="s">
        <v>4398</v>
      </c>
      <c r="C81" s="25" t="s">
        <v>68</v>
      </c>
      <c r="D81" s="25" t="s">
        <v>10988</v>
      </c>
      <c r="E81" s="258" t="s">
        <v>10989</v>
      </c>
      <c r="F81" s="25" t="s">
        <v>10645</v>
      </c>
      <c r="G81" s="25" t="s">
        <v>3138</v>
      </c>
      <c r="H81" s="25" t="s">
        <v>3138</v>
      </c>
      <c r="I81" s="26" t="s">
        <v>4402</v>
      </c>
      <c r="J81" s="26" t="s">
        <v>9281</v>
      </c>
      <c r="K81" s="62" t="s">
        <v>10407</v>
      </c>
      <c r="L81" s="25" t="s">
        <v>73</v>
      </c>
      <c r="M81" s="25" t="s">
        <v>10990</v>
      </c>
      <c r="N81" s="49" t="s">
        <v>10991</v>
      </c>
      <c r="O81" s="27" t="s">
        <v>10992</v>
      </c>
      <c r="P81" s="28"/>
      <c r="Q81" s="29">
        <v>4</v>
      </c>
      <c r="R81" s="29">
        <v>16</v>
      </c>
      <c r="S81" s="29">
        <v>266.25</v>
      </c>
      <c r="T81" s="30" t="s">
        <v>88</v>
      </c>
      <c r="U81" s="30" t="s">
        <v>78</v>
      </c>
      <c r="V81" s="30" t="s">
        <v>89</v>
      </c>
      <c r="W81" s="38" t="s">
        <v>90</v>
      </c>
      <c r="X81" s="26" t="s">
        <v>10411</v>
      </c>
      <c r="Y81" s="26" t="s">
        <v>91</v>
      </c>
      <c r="Z81" s="26" t="s">
        <v>91</v>
      </c>
      <c r="AA81" s="26" t="s">
        <v>172</v>
      </c>
      <c r="AB81" s="31" t="s">
        <v>15</v>
      </c>
      <c r="AC81" s="30" t="s">
        <v>172</v>
      </c>
      <c r="AD81" s="25" t="s">
        <v>172</v>
      </c>
      <c r="AE81" s="25" t="s">
        <v>174</v>
      </c>
      <c r="AF81" s="26" t="s">
        <v>175</v>
      </c>
      <c r="AG81" s="32">
        <f t="shared" si="4"/>
        <v>1</v>
      </c>
      <c r="AH81" s="32">
        <v>1</v>
      </c>
      <c r="AI81" s="32">
        <v>1</v>
      </c>
      <c r="AJ81" s="32">
        <v>1</v>
      </c>
      <c r="AK81" s="30">
        <v>1</v>
      </c>
      <c r="AL81" s="32">
        <f t="shared" si="3"/>
        <v>1</v>
      </c>
      <c r="AM81" s="30"/>
      <c r="AN81" s="32">
        <v>1</v>
      </c>
      <c r="AO81" s="32">
        <v>1</v>
      </c>
      <c r="AP81" s="32">
        <v>1</v>
      </c>
      <c r="AQ81" s="32">
        <v>1</v>
      </c>
      <c r="AR81" s="32">
        <v>1</v>
      </c>
      <c r="AS81" s="32"/>
      <c r="AT81" s="32">
        <v>1</v>
      </c>
      <c r="AU81" s="30"/>
      <c r="AV81" s="30"/>
      <c r="AW81" s="30"/>
      <c r="AX81" s="30" t="s">
        <v>10993</v>
      </c>
      <c r="AY81" s="30"/>
      <c r="AZ81" s="75" t="s">
        <v>7955</v>
      </c>
    </row>
    <row r="82" spans="1:52" ht="16.5">
      <c r="A82" s="25" t="s">
        <v>10994</v>
      </c>
      <c r="B82" s="25" t="s">
        <v>4398</v>
      </c>
      <c r="C82" s="25" t="s">
        <v>68</v>
      </c>
      <c r="D82" s="25" t="s">
        <v>10995</v>
      </c>
      <c r="E82" s="258" t="s">
        <v>10996</v>
      </c>
      <c r="F82" s="25" t="s">
        <v>10997</v>
      </c>
      <c r="G82" s="25" t="s">
        <v>3138</v>
      </c>
      <c r="H82" s="25" t="s">
        <v>3138</v>
      </c>
      <c r="I82" s="26" t="s">
        <v>4402</v>
      </c>
      <c r="J82" s="26" t="s">
        <v>9281</v>
      </c>
      <c r="K82" s="62" t="s">
        <v>10407</v>
      </c>
      <c r="L82" s="25" t="s">
        <v>73</v>
      </c>
      <c r="M82" s="25" t="s">
        <v>10998</v>
      </c>
      <c r="N82" s="49" t="s">
        <v>10999</v>
      </c>
      <c r="O82" s="27" t="s">
        <v>11000</v>
      </c>
      <c r="P82" s="28"/>
      <c r="Q82" s="29">
        <v>8</v>
      </c>
      <c r="R82" s="29">
        <v>32</v>
      </c>
      <c r="S82" s="29">
        <v>282.25</v>
      </c>
      <c r="T82" s="30" t="s">
        <v>88</v>
      </c>
      <c r="U82" s="30" t="s">
        <v>78</v>
      </c>
      <c r="V82" s="30" t="s">
        <v>89</v>
      </c>
      <c r="W82" s="38" t="s">
        <v>90</v>
      </c>
      <c r="X82" s="26" t="s">
        <v>10411</v>
      </c>
      <c r="Y82" s="26" t="s">
        <v>91</v>
      </c>
      <c r="Z82" s="26" t="s">
        <v>91</v>
      </c>
      <c r="AA82" s="26" t="s">
        <v>172</v>
      </c>
      <c r="AB82" s="31" t="s">
        <v>15</v>
      </c>
      <c r="AC82" s="30" t="s">
        <v>172</v>
      </c>
      <c r="AD82" s="25" t="s">
        <v>172</v>
      </c>
      <c r="AE82" s="25" t="s">
        <v>174</v>
      </c>
      <c r="AF82" s="26" t="s">
        <v>175</v>
      </c>
      <c r="AG82" s="32">
        <f t="shared" si="4"/>
        <v>1</v>
      </c>
      <c r="AH82" s="32">
        <v>1</v>
      </c>
      <c r="AI82" s="32">
        <v>1</v>
      </c>
      <c r="AJ82" s="32">
        <v>1</v>
      </c>
      <c r="AK82" s="30">
        <v>1</v>
      </c>
      <c r="AL82" s="32">
        <f t="shared" si="3"/>
        <v>1</v>
      </c>
      <c r="AM82" s="30"/>
      <c r="AN82" s="32">
        <v>1</v>
      </c>
      <c r="AO82" s="32">
        <v>1</v>
      </c>
      <c r="AP82" s="32">
        <v>1</v>
      </c>
      <c r="AQ82" s="32">
        <v>1</v>
      </c>
      <c r="AR82" s="32">
        <v>1</v>
      </c>
      <c r="AS82" s="32"/>
      <c r="AT82" s="32">
        <v>1</v>
      </c>
      <c r="AU82" s="30"/>
      <c r="AV82" s="30"/>
      <c r="AW82" s="30"/>
      <c r="AX82" s="30" t="s">
        <v>10919</v>
      </c>
      <c r="AY82" s="30"/>
      <c r="AZ82" s="75" t="s">
        <v>11001</v>
      </c>
    </row>
    <row r="83" spans="1:52" ht="16.5">
      <c r="A83" s="25" t="s">
        <v>11002</v>
      </c>
      <c r="B83" s="25" t="s">
        <v>4398</v>
      </c>
      <c r="C83" s="25" t="s">
        <v>68</v>
      </c>
      <c r="D83" s="25" t="s">
        <v>11001</v>
      </c>
      <c r="E83" s="258" t="s">
        <v>11003</v>
      </c>
      <c r="F83" s="25" t="s">
        <v>11004</v>
      </c>
      <c r="G83" s="25" t="s">
        <v>3138</v>
      </c>
      <c r="H83" s="25" t="s">
        <v>3138</v>
      </c>
      <c r="I83" s="26" t="s">
        <v>4402</v>
      </c>
      <c r="J83" s="26" t="s">
        <v>9281</v>
      </c>
      <c r="K83" s="62" t="s">
        <v>10407</v>
      </c>
      <c r="L83" s="25" t="s">
        <v>73</v>
      </c>
      <c r="M83" s="25" t="s">
        <v>11005</v>
      </c>
      <c r="N83" s="49" t="s">
        <v>11006</v>
      </c>
      <c r="O83" s="27" t="s">
        <v>11007</v>
      </c>
      <c r="P83" s="28"/>
      <c r="Q83" s="29">
        <v>4</v>
      </c>
      <c r="R83" s="29">
        <v>16</v>
      </c>
      <c r="S83" s="29">
        <v>316.13</v>
      </c>
      <c r="T83" s="30" t="s">
        <v>88</v>
      </c>
      <c r="U83" s="30" t="s">
        <v>78</v>
      </c>
      <c r="V83" s="30" t="s">
        <v>89</v>
      </c>
      <c r="W83" s="38" t="s">
        <v>90</v>
      </c>
      <c r="X83" s="26" t="s">
        <v>10411</v>
      </c>
      <c r="Y83" s="26" t="s">
        <v>91</v>
      </c>
      <c r="Z83" s="26" t="s">
        <v>91</v>
      </c>
      <c r="AA83" s="26" t="s">
        <v>172</v>
      </c>
      <c r="AB83" s="31" t="s">
        <v>15</v>
      </c>
      <c r="AC83" s="30" t="s">
        <v>172</v>
      </c>
      <c r="AD83" s="25" t="s">
        <v>172</v>
      </c>
      <c r="AE83" s="25" t="s">
        <v>174</v>
      </c>
      <c r="AF83" s="26" t="s">
        <v>175</v>
      </c>
      <c r="AG83" s="32">
        <f t="shared" si="4"/>
        <v>1</v>
      </c>
      <c r="AH83" s="32">
        <v>1</v>
      </c>
      <c r="AI83" s="32">
        <v>1</v>
      </c>
      <c r="AJ83" s="32">
        <v>1</v>
      </c>
      <c r="AK83" s="30">
        <v>1</v>
      </c>
      <c r="AL83" s="32">
        <f t="shared" si="3"/>
        <v>1</v>
      </c>
      <c r="AM83" s="30"/>
      <c r="AN83" s="32">
        <v>1</v>
      </c>
      <c r="AO83" s="32">
        <v>1</v>
      </c>
      <c r="AP83" s="32">
        <v>1</v>
      </c>
      <c r="AQ83" s="32">
        <v>1</v>
      </c>
      <c r="AR83" s="32">
        <v>1</v>
      </c>
      <c r="AS83" s="32"/>
      <c r="AT83" s="32">
        <v>1</v>
      </c>
      <c r="AU83" s="30"/>
      <c r="AV83" s="30"/>
      <c r="AW83" s="30"/>
      <c r="AX83" s="30" t="s">
        <v>11008</v>
      </c>
      <c r="AY83" s="30"/>
      <c r="AZ83" s="75" t="s">
        <v>11009</v>
      </c>
    </row>
    <row r="84" spans="1:52" ht="16.5">
      <c r="A84" s="25" t="s">
        <v>11010</v>
      </c>
      <c r="B84" s="25" t="s">
        <v>4398</v>
      </c>
      <c r="C84" s="25" t="s">
        <v>68</v>
      </c>
      <c r="D84" s="25" t="s">
        <v>11011</v>
      </c>
      <c r="E84" s="258" t="s">
        <v>11012</v>
      </c>
      <c r="F84" s="25" t="s">
        <v>11013</v>
      </c>
      <c r="G84" s="25" t="s">
        <v>3138</v>
      </c>
      <c r="H84" s="25" t="s">
        <v>3138</v>
      </c>
      <c r="I84" s="26" t="s">
        <v>4402</v>
      </c>
      <c r="J84" s="26" t="s">
        <v>9281</v>
      </c>
      <c r="K84" s="62" t="s">
        <v>10407</v>
      </c>
      <c r="L84" s="25" t="s">
        <v>73</v>
      </c>
      <c r="M84" s="25" t="s">
        <v>10978</v>
      </c>
      <c r="N84" s="49" t="s">
        <v>11014</v>
      </c>
      <c r="O84" s="27" t="s">
        <v>11015</v>
      </c>
      <c r="P84" s="28"/>
      <c r="Q84" s="29">
        <v>4</v>
      </c>
      <c r="R84" s="29">
        <v>16</v>
      </c>
      <c r="S84" s="29">
        <v>336.64</v>
      </c>
      <c r="T84" s="30" t="s">
        <v>88</v>
      </c>
      <c r="U84" s="30" t="s">
        <v>78</v>
      </c>
      <c r="V84" s="30" t="s">
        <v>89</v>
      </c>
      <c r="W84" s="38" t="s">
        <v>90</v>
      </c>
      <c r="X84" s="26" t="s">
        <v>10411</v>
      </c>
      <c r="Y84" s="26" t="s">
        <v>91</v>
      </c>
      <c r="Z84" s="26" t="s">
        <v>91</v>
      </c>
      <c r="AA84" s="26" t="s">
        <v>172</v>
      </c>
      <c r="AB84" s="31" t="s">
        <v>15</v>
      </c>
      <c r="AC84" s="30" t="s">
        <v>172</v>
      </c>
      <c r="AD84" s="25" t="s">
        <v>172</v>
      </c>
      <c r="AE84" s="25" t="s">
        <v>174</v>
      </c>
      <c r="AF84" s="26" t="s">
        <v>175</v>
      </c>
      <c r="AG84" s="32">
        <f t="shared" si="4"/>
        <v>1</v>
      </c>
      <c r="AH84" s="32">
        <v>1</v>
      </c>
      <c r="AI84" s="32">
        <v>1</v>
      </c>
      <c r="AJ84" s="32">
        <v>1</v>
      </c>
      <c r="AK84" s="30">
        <v>1</v>
      </c>
      <c r="AL84" s="32">
        <f t="shared" si="3"/>
        <v>1</v>
      </c>
      <c r="AM84" s="30"/>
      <c r="AN84" s="32">
        <v>1</v>
      </c>
      <c r="AO84" s="32">
        <v>1</v>
      </c>
      <c r="AP84" s="32">
        <v>1</v>
      </c>
      <c r="AQ84" s="32">
        <v>1</v>
      </c>
      <c r="AR84" s="32">
        <v>1</v>
      </c>
      <c r="AS84" s="32"/>
      <c r="AT84" s="32">
        <v>1</v>
      </c>
      <c r="AU84" s="30"/>
      <c r="AV84" s="30"/>
      <c r="AW84" s="30"/>
      <c r="AX84" s="30" t="s">
        <v>10846</v>
      </c>
      <c r="AY84" s="30"/>
      <c r="AZ84" s="75" t="s">
        <v>11016</v>
      </c>
    </row>
    <row r="85" spans="1:52" ht="16.5">
      <c r="A85" s="25" t="s">
        <v>11017</v>
      </c>
      <c r="B85" s="25" t="s">
        <v>4398</v>
      </c>
      <c r="C85" s="25" t="s">
        <v>68</v>
      </c>
      <c r="D85" s="25" t="s">
        <v>11018</v>
      </c>
      <c r="E85" s="258" t="s">
        <v>11019</v>
      </c>
      <c r="F85" s="25" t="s">
        <v>11020</v>
      </c>
      <c r="G85" s="25" t="s">
        <v>3138</v>
      </c>
      <c r="H85" s="25" t="s">
        <v>3138</v>
      </c>
      <c r="I85" s="26" t="s">
        <v>4402</v>
      </c>
      <c r="J85" s="26" t="s">
        <v>9281</v>
      </c>
      <c r="K85" s="62" t="s">
        <v>10407</v>
      </c>
      <c r="L85" s="25" t="s">
        <v>73</v>
      </c>
      <c r="M85" s="25" t="s">
        <v>10575</v>
      </c>
      <c r="N85" s="49" t="s">
        <v>11021</v>
      </c>
      <c r="O85" s="27" t="s">
        <v>11022</v>
      </c>
      <c r="P85" s="28"/>
      <c r="Q85" s="29">
        <v>8</v>
      </c>
      <c r="R85" s="29">
        <v>32</v>
      </c>
      <c r="S85" s="29">
        <v>282.31</v>
      </c>
      <c r="T85" s="30" t="s">
        <v>88</v>
      </c>
      <c r="U85" s="30" t="s">
        <v>78</v>
      </c>
      <c r="V85" s="30" t="s">
        <v>89</v>
      </c>
      <c r="W85" s="38" t="s">
        <v>90</v>
      </c>
      <c r="X85" s="26" t="s">
        <v>10411</v>
      </c>
      <c r="Y85" s="26" t="s">
        <v>91</v>
      </c>
      <c r="Z85" s="26" t="s">
        <v>91</v>
      </c>
      <c r="AA85" s="26" t="s">
        <v>172</v>
      </c>
      <c r="AB85" s="36" t="s">
        <v>7</v>
      </c>
      <c r="AC85" s="30" t="s">
        <v>172</v>
      </c>
      <c r="AD85" s="25" t="s">
        <v>172</v>
      </c>
      <c r="AE85" s="25" t="s">
        <v>174</v>
      </c>
      <c r="AF85" s="26" t="s">
        <v>175</v>
      </c>
      <c r="AG85" s="32">
        <f t="shared" si="4"/>
        <v>1</v>
      </c>
      <c r="AH85" s="32">
        <v>1</v>
      </c>
      <c r="AI85" s="32">
        <v>1</v>
      </c>
      <c r="AJ85" s="32">
        <v>1</v>
      </c>
      <c r="AK85" s="30"/>
      <c r="AL85" s="32">
        <f t="shared" si="3"/>
        <v>1</v>
      </c>
      <c r="AM85" s="30"/>
      <c r="AN85" s="25" t="s">
        <v>10663</v>
      </c>
      <c r="AO85" s="32"/>
      <c r="AP85" s="37" t="s">
        <v>10664</v>
      </c>
      <c r="AQ85" s="32">
        <v>1</v>
      </c>
      <c r="AR85" s="32">
        <v>1</v>
      </c>
      <c r="AS85" s="32"/>
      <c r="AT85" s="32">
        <v>1</v>
      </c>
      <c r="AU85" s="30"/>
      <c r="AV85" s="30"/>
      <c r="AW85" s="30"/>
      <c r="AX85" s="30" t="s">
        <v>10974</v>
      </c>
      <c r="AY85" s="30"/>
      <c r="AZ85" s="75" t="s">
        <v>10956</v>
      </c>
    </row>
    <row r="86" spans="1:52" ht="16.5">
      <c r="A86" s="25" t="s">
        <v>11023</v>
      </c>
      <c r="B86" s="25" t="s">
        <v>4398</v>
      </c>
      <c r="C86" s="25" t="s">
        <v>68</v>
      </c>
      <c r="D86" s="25" t="s">
        <v>11024</v>
      </c>
      <c r="E86" s="258" t="s">
        <v>11025</v>
      </c>
      <c r="F86" s="25" t="s">
        <v>9666</v>
      </c>
      <c r="G86" s="25" t="s">
        <v>3138</v>
      </c>
      <c r="H86" s="25" t="s">
        <v>3138</v>
      </c>
      <c r="I86" s="26" t="s">
        <v>4402</v>
      </c>
      <c r="J86" s="26" t="s">
        <v>9281</v>
      </c>
      <c r="K86" s="62" t="s">
        <v>10407</v>
      </c>
      <c r="L86" s="25" t="s">
        <v>73</v>
      </c>
      <c r="M86" s="25" t="s">
        <v>11026</v>
      </c>
      <c r="N86" s="49" t="s">
        <v>11027</v>
      </c>
      <c r="O86" s="27" t="s">
        <v>11028</v>
      </c>
      <c r="P86" s="28"/>
      <c r="Q86" s="29">
        <v>4</v>
      </c>
      <c r="R86" s="29">
        <v>16</v>
      </c>
      <c r="S86" s="29">
        <v>266.29000000000002</v>
      </c>
      <c r="T86" s="30" t="s">
        <v>88</v>
      </c>
      <c r="U86" s="30" t="s">
        <v>78</v>
      </c>
      <c r="V86" s="30" t="s">
        <v>89</v>
      </c>
      <c r="W86" s="38" t="s">
        <v>90</v>
      </c>
      <c r="X86" s="26" t="s">
        <v>10411</v>
      </c>
      <c r="Y86" s="26" t="s">
        <v>91</v>
      </c>
      <c r="Z86" s="26" t="s">
        <v>91</v>
      </c>
      <c r="AA86" s="26" t="s">
        <v>172</v>
      </c>
      <c r="AB86" s="31" t="s">
        <v>15</v>
      </c>
      <c r="AC86" s="30" t="s">
        <v>172</v>
      </c>
      <c r="AD86" s="25" t="s">
        <v>172</v>
      </c>
      <c r="AE86" s="25" t="s">
        <v>174</v>
      </c>
      <c r="AF86" s="26" t="s">
        <v>175</v>
      </c>
      <c r="AG86" s="32">
        <f t="shared" si="4"/>
        <v>1</v>
      </c>
      <c r="AH86" s="32">
        <v>1</v>
      </c>
      <c r="AI86" s="32">
        <v>1</v>
      </c>
      <c r="AJ86" s="32">
        <v>1</v>
      </c>
      <c r="AK86" s="30">
        <v>1</v>
      </c>
      <c r="AL86" s="32">
        <f t="shared" si="3"/>
        <v>1</v>
      </c>
      <c r="AM86" s="30"/>
      <c r="AN86" s="32">
        <v>1</v>
      </c>
      <c r="AO86" s="32">
        <v>1</v>
      </c>
      <c r="AP86" s="32">
        <v>1</v>
      </c>
      <c r="AQ86" s="32">
        <v>1</v>
      </c>
      <c r="AR86" s="32">
        <v>1</v>
      </c>
      <c r="AS86" s="32"/>
      <c r="AT86" s="32">
        <v>1</v>
      </c>
      <c r="AU86" s="30"/>
      <c r="AV86" s="30"/>
      <c r="AW86" s="30"/>
      <c r="AX86" s="30" t="s">
        <v>10966</v>
      </c>
      <c r="AY86" s="30"/>
      <c r="AZ86" s="75" t="s">
        <v>11029</v>
      </c>
    </row>
    <row r="87" spans="1:52" ht="16.5">
      <c r="A87" s="25" t="s">
        <v>11030</v>
      </c>
      <c r="B87" s="25" t="s">
        <v>4398</v>
      </c>
      <c r="C87" s="25" t="s">
        <v>68</v>
      </c>
      <c r="D87" s="25" t="s">
        <v>11016</v>
      </c>
      <c r="E87" s="258" t="s">
        <v>11031</v>
      </c>
      <c r="F87" s="25" t="s">
        <v>11032</v>
      </c>
      <c r="G87" s="25" t="s">
        <v>3138</v>
      </c>
      <c r="H87" s="25" t="s">
        <v>3138</v>
      </c>
      <c r="I87" s="26" t="s">
        <v>4402</v>
      </c>
      <c r="J87" s="26" t="s">
        <v>9281</v>
      </c>
      <c r="K87" s="62" t="s">
        <v>10407</v>
      </c>
      <c r="L87" s="25" t="s">
        <v>73</v>
      </c>
      <c r="M87" s="25" t="s">
        <v>11033</v>
      </c>
      <c r="N87" s="49" t="s">
        <v>11034</v>
      </c>
      <c r="O87" s="27" t="s">
        <v>11035</v>
      </c>
      <c r="P87" s="28"/>
      <c r="Q87" s="29">
        <v>8</v>
      </c>
      <c r="R87" s="29">
        <v>32</v>
      </c>
      <c r="S87" s="29">
        <v>383.09</v>
      </c>
      <c r="T87" s="30" t="s">
        <v>88</v>
      </c>
      <c r="U87" s="30" t="s">
        <v>78</v>
      </c>
      <c r="V87" s="30" t="s">
        <v>89</v>
      </c>
      <c r="W87" s="38" t="s">
        <v>90</v>
      </c>
      <c r="X87" s="26" t="s">
        <v>10411</v>
      </c>
      <c r="Y87" s="26" t="s">
        <v>91</v>
      </c>
      <c r="Z87" s="26" t="s">
        <v>91</v>
      </c>
      <c r="AA87" s="26" t="s">
        <v>172</v>
      </c>
      <c r="AB87" s="31" t="s">
        <v>15</v>
      </c>
      <c r="AC87" s="30" t="s">
        <v>172</v>
      </c>
      <c r="AD87" s="25" t="s">
        <v>172</v>
      </c>
      <c r="AE87" s="25" t="s">
        <v>174</v>
      </c>
      <c r="AF87" s="26" t="s">
        <v>175</v>
      </c>
      <c r="AG87" s="32">
        <f t="shared" si="4"/>
        <v>1</v>
      </c>
      <c r="AH87" s="32">
        <v>1</v>
      </c>
      <c r="AI87" s="32">
        <v>1</v>
      </c>
      <c r="AJ87" s="32">
        <v>1</v>
      </c>
      <c r="AK87" s="30">
        <v>1</v>
      </c>
      <c r="AL87" s="32">
        <f t="shared" si="3"/>
        <v>1</v>
      </c>
      <c r="AM87" s="30"/>
      <c r="AN87" s="32">
        <v>1</v>
      </c>
      <c r="AO87" s="32">
        <v>1</v>
      </c>
      <c r="AP87" s="32">
        <v>1</v>
      </c>
      <c r="AQ87" s="32">
        <v>1</v>
      </c>
      <c r="AR87" s="32">
        <v>1</v>
      </c>
      <c r="AS87" s="32"/>
      <c r="AT87" s="32">
        <v>1</v>
      </c>
      <c r="AU87" s="30" t="s">
        <v>11036</v>
      </c>
      <c r="AV87" s="30"/>
      <c r="AW87" s="30"/>
      <c r="AX87" s="30" t="s">
        <v>11037</v>
      </c>
      <c r="AY87" s="30"/>
      <c r="AZ87" s="75" t="s">
        <v>10949</v>
      </c>
    </row>
    <row r="88" spans="1:52">
      <c r="A88" s="25" t="s">
        <v>11038</v>
      </c>
      <c r="B88" s="25" t="s">
        <v>4398</v>
      </c>
      <c r="C88" s="25" t="s">
        <v>68</v>
      </c>
      <c r="D88" s="25" t="s">
        <v>11039</v>
      </c>
      <c r="E88" s="258" t="s">
        <v>11040</v>
      </c>
      <c r="F88" s="25" t="s">
        <v>11041</v>
      </c>
      <c r="G88" s="25" t="s">
        <v>3138</v>
      </c>
      <c r="H88" s="25" t="s">
        <v>3138</v>
      </c>
      <c r="I88" s="26" t="s">
        <v>4402</v>
      </c>
      <c r="J88" s="26" t="s">
        <v>9281</v>
      </c>
      <c r="K88" s="64" t="s">
        <v>3213</v>
      </c>
      <c r="L88" s="25" t="s">
        <v>73</v>
      </c>
      <c r="M88" s="25" t="s">
        <v>11042</v>
      </c>
      <c r="N88" s="49" t="s">
        <v>11043</v>
      </c>
      <c r="O88" s="27" t="s">
        <v>11044</v>
      </c>
      <c r="P88" s="28"/>
      <c r="Q88" s="29">
        <v>8</v>
      </c>
      <c r="R88" s="29">
        <v>32</v>
      </c>
      <c r="S88" s="29">
        <v>342.56</v>
      </c>
      <c r="T88" s="30" t="s">
        <v>88</v>
      </c>
      <c r="U88" s="30" t="s">
        <v>78</v>
      </c>
      <c r="V88" s="30" t="s">
        <v>89</v>
      </c>
      <c r="W88" s="38" t="s">
        <v>90</v>
      </c>
      <c r="X88" s="26" t="s">
        <v>10411</v>
      </c>
      <c r="Y88" s="26" t="s">
        <v>91</v>
      </c>
      <c r="Z88" s="26" t="s">
        <v>91</v>
      </c>
      <c r="AA88" s="26" t="s">
        <v>172</v>
      </c>
      <c r="AB88" s="31"/>
      <c r="AC88" s="30" t="s">
        <v>172</v>
      </c>
      <c r="AD88" s="25" t="s">
        <v>172</v>
      </c>
      <c r="AE88" s="25" t="s">
        <v>174</v>
      </c>
      <c r="AF88" s="26" t="s">
        <v>175</v>
      </c>
      <c r="AG88" s="32">
        <f t="shared" si="4"/>
        <v>0</v>
      </c>
      <c r="AH88" s="32"/>
      <c r="AI88" s="32"/>
      <c r="AJ88" s="32"/>
      <c r="AK88" s="30"/>
      <c r="AL88" s="32"/>
      <c r="AM88" s="30"/>
      <c r="AN88" s="32"/>
      <c r="AO88" s="32"/>
      <c r="AP88" s="32"/>
      <c r="AQ88" s="32"/>
      <c r="AR88" s="32"/>
      <c r="AS88" s="30"/>
      <c r="AT88" s="32"/>
      <c r="AU88" s="30"/>
      <c r="AV88" s="30"/>
      <c r="AW88" s="30"/>
      <c r="AX88" s="30"/>
      <c r="AY88" s="30"/>
      <c r="AZ88" s="30"/>
    </row>
    <row r="89" spans="1:52" ht="16.5">
      <c r="A89" s="25" t="s">
        <v>11045</v>
      </c>
      <c r="B89" s="25" t="s">
        <v>4398</v>
      </c>
      <c r="C89" s="25" t="s">
        <v>68</v>
      </c>
      <c r="D89" s="25" t="s">
        <v>11046</v>
      </c>
      <c r="E89" s="258" t="s">
        <v>11047</v>
      </c>
      <c r="F89" s="25" t="s">
        <v>11048</v>
      </c>
      <c r="G89" s="25" t="s">
        <v>3138</v>
      </c>
      <c r="H89" s="25" t="s">
        <v>3138</v>
      </c>
      <c r="I89" s="26" t="s">
        <v>4402</v>
      </c>
      <c r="J89" s="26" t="s">
        <v>9281</v>
      </c>
      <c r="K89" s="62" t="s">
        <v>10407</v>
      </c>
      <c r="L89" s="25" t="s">
        <v>73</v>
      </c>
      <c r="M89" s="25" t="s">
        <v>11049</v>
      </c>
      <c r="N89" s="49" t="s">
        <v>11050</v>
      </c>
      <c r="O89" s="27" t="s">
        <v>11051</v>
      </c>
      <c r="P89" s="28"/>
      <c r="Q89" s="29">
        <v>8</v>
      </c>
      <c r="R89" s="29">
        <v>32</v>
      </c>
      <c r="S89" s="29">
        <v>383.69</v>
      </c>
      <c r="T89" s="30" t="s">
        <v>88</v>
      </c>
      <c r="U89" s="30" t="s">
        <v>78</v>
      </c>
      <c r="V89" s="30" t="s">
        <v>89</v>
      </c>
      <c r="W89" s="38" t="s">
        <v>90</v>
      </c>
      <c r="X89" s="26" t="s">
        <v>10411</v>
      </c>
      <c r="Y89" s="26" t="s">
        <v>91</v>
      </c>
      <c r="Z89" s="26" t="s">
        <v>91</v>
      </c>
      <c r="AA89" s="26" t="s">
        <v>172</v>
      </c>
      <c r="AB89" s="31" t="s">
        <v>15</v>
      </c>
      <c r="AC89" s="30" t="s">
        <v>172</v>
      </c>
      <c r="AD89" s="25" t="s">
        <v>172</v>
      </c>
      <c r="AE89" s="25" t="s">
        <v>174</v>
      </c>
      <c r="AF89" s="26" t="s">
        <v>175</v>
      </c>
      <c r="AG89" s="32">
        <f t="shared" si="4"/>
        <v>1</v>
      </c>
      <c r="AH89" s="32">
        <v>1</v>
      </c>
      <c r="AI89" s="32">
        <v>1</v>
      </c>
      <c r="AJ89" s="32">
        <v>1</v>
      </c>
      <c r="AK89" s="30">
        <v>1</v>
      </c>
      <c r="AL89" s="32">
        <f t="shared" ref="AL89:AL120" si="5">IF(COUNTIF(AX:AX,"*"&amp;M89&amp;"*")&gt;0,1,0)</f>
        <v>1</v>
      </c>
      <c r="AM89" s="30"/>
      <c r="AN89" s="32">
        <v>1</v>
      </c>
      <c r="AO89" s="32">
        <v>1</v>
      </c>
      <c r="AP89" s="32">
        <v>1</v>
      </c>
      <c r="AQ89" s="32">
        <v>1</v>
      </c>
      <c r="AR89" s="32">
        <v>1</v>
      </c>
      <c r="AS89" s="32"/>
      <c r="AT89" s="32">
        <v>1</v>
      </c>
      <c r="AU89" s="30"/>
      <c r="AV89" s="30"/>
      <c r="AW89" s="30"/>
      <c r="AX89" s="30" t="s">
        <v>11052</v>
      </c>
      <c r="AY89" s="30"/>
      <c r="AZ89" s="75" t="s">
        <v>11046</v>
      </c>
    </row>
    <row r="90" spans="1:52" ht="16.5">
      <c r="A90" s="25" t="s">
        <v>11053</v>
      </c>
      <c r="B90" s="25" t="s">
        <v>4398</v>
      </c>
      <c r="C90" s="25" t="s">
        <v>68</v>
      </c>
      <c r="D90" s="25" t="s">
        <v>11029</v>
      </c>
      <c r="E90" s="258" t="s">
        <v>11054</v>
      </c>
      <c r="F90" s="25" t="s">
        <v>11055</v>
      </c>
      <c r="G90" s="25" t="s">
        <v>3138</v>
      </c>
      <c r="H90" s="25" t="s">
        <v>3138</v>
      </c>
      <c r="I90" s="26" t="s">
        <v>4402</v>
      </c>
      <c r="J90" s="26" t="s">
        <v>9281</v>
      </c>
      <c r="K90" s="62" t="s">
        <v>10407</v>
      </c>
      <c r="L90" s="25" t="s">
        <v>73</v>
      </c>
      <c r="M90" s="25" t="s">
        <v>10993</v>
      </c>
      <c r="N90" s="49" t="s">
        <v>11056</v>
      </c>
      <c r="O90" s="27" t="s">
        <v>11057</v>
      </c>
      <c r="P90" s="28"/>
      <c r="Q90" s="29">
        <v>8</v>
      </c>
      <c r="R90" s="29">
        <v>32</v>
      </c>
      <c r="S90" s="29">
        <v>383.65</v>
      </c>
      <c r="T90" s="30" t="s">
        <v>88</v>
      </c>
      <c r="U90" s="30" t="s">
        <v>78</v>
      </c>
      <c r="V90" s="30" t="s">
        <v>89</v>
      </c>
      <c r="W90" s="38" t="s">
        <v>90</v>
      </c>
      <c r="X90" s="26" t="s">
        <v>10411</v>
      </c>
      <c r="Y90" s="26" t="s">
        <v>91</v>
      </c>
      <c r="Z90" s="26" t="s">
        <v>91</v>
      </c>
      <c r="AA90" s="26" t="s">
        <v>172</v>
      </c>
      <c r="AB90" s="31" t="s">
        <v>15</v>
      </c>
      <c r="AC90" s="30" t="s">
        <v>172</v>
      </c>
      <c r="AD90" s="25" t="s">
        <v>172</v>
      </c>
      <c r="AE90" s="25" t="s">
        <v>174</v>
      </c>
      <c r="AF90" s="26" t="s">
        <v>175</v>
      </c>
      <c r="AG90" s="32">
        <f t="shared" si="4"/>
        <v>1</v>
      </c>
      <c r="AH90" s="32">
        <v>1</v>
      </c>
      <c r="AI90" s="32">
        <v>1</v>
      </c>
      <c r="AJ90" s="32">
        <v>1</v>
      </c>
      <c r="AK90" s="30">
        <v>1</v>
      </c>
      <c r="AL90" s="32">
        <f t="shared" si="5"/>
        <v>1</v>
      </c>
      <c r="AM90" s="30"/>
      <c r="AN90" s="32">
        <v>1</v>
      </c>
      <c r="AO90" s="32">
        <v>1</v>
      </c>
      <c r="AP90" s="32">
        <v>1</v>
      </c>
      <c r="AQ90" s="32">
        <v>1</v>
      </c>
      <c r="AR90" s="32">
        <v>1</v>
      </c>
      <c r="AS90" s="32"/>
      <c r="AT90" s="32">
        <v>1</v>
      </c>
      <c r="AU90" s="30"/>
      <c r="AV90" s="30"/>
      <c r="AW90" s="30"/>
      <c r="AX90" s="30" t="s">
        <v>11058</v>
      </c>
      <c r="AY90" s="30"/>
      <c r="AZ90" s="75" t="s">
        <v>11011</v>
      </c>
    </row>
    <row r="91" spans="1:52" ht="16.5">
      <c r="A91" s="25" t="s">
        <v>11059</v>
      </c>
      <c r="B91" s="25" t="s">
        <v>4398</v>
      </c>
      <c r="C91" s="25" t="s">
        <v>68</v>
      </c>
      <c r="D91" s="25" t="s">
        <v>11009</v>
      </c>
      <c r="E91" s="258" t="s">
        <v>11060</v>
      </c>
      <c r="F91" s="25" t="s">
        <v>11061</v>
      </c>
      <c r="G91" s="25" t="s">
        <v>3138</v>
      </c>
      <c r="H91" s="25" t="s">
        <v>3138</v>
      </c>
      <c r="I91" s="26" t="s">
        <v>4402</v>
      </c>
      <c r="J91" s="26" t="s">
        <v>9281</v>
      </c>
      <c r="K91" s="62" t="s">
        <v>10407</v>
      </c>
      <c r="L91" s="25" t="s">
        <v>73</v>
      </c>
      <c r="M91" s="25" t="s">
        <v>10969</v>
      </c>
      <c r="N91" s="49" t="s">
        <v>11062</v>
      </c>
      <c r="O91" s="27" t="s">
        <v>11063</v>
      </c>
      <c r="P91" s="28"/>
      <c r="Q91" s="29">
        <v>4</v>
      </c>
      <c r="R91" s="29">
        <v>16</v>
      </c>
      <c r="S91" s="29">
        <v>316.64999999999998</v>
      </c>
      <c r="T91" s="30" t="s">
        <v>88</v>
      </c>
      <c r="U91" s="30" t="s">
        <v>78</v>
      </c>
      <c r="V91" s="30" t="s">
        <v>89</v>
      </c>
      <c r="W91" s="38" t="s">
        <v>90</v>
      </c>
      <c r="X91" s="26" t="s">
        <v>10411</v>
      </c>
      <c r="Y91" s="26" t="s">
        <v>91</v>
      </c>
      <c r="Z91" s="26" t="s">
        <v>91</v>
      </c>
      <c r="AA91" s="26" t="s">
        <v>172</v>
      </c>
      <c r="AB91" s="31" t="s">
        <v>15</v>
      </c>
      <c r="AC91" s="30" t="s">
        <v>172</v>
      </c>
      <c r="AD91" s="25" t="s">
        <v>172</v>
      </c>
      <c r="AE91" s="25" t="s">
        <v>174</v>
      </c>
      <c r="AF91" s="26" t="s">
        <v>175</v>
      </c>
      <c r="AG91" s="32">
        <f t="shared" si="4"/>
        <v>1</v>
      </c>
      <c r="AH91" s="32">
        <v>1</v>
      </c>
      <c r="AI91" s="32">
        <v>1</v>
      </c>
      <c r="AJ91" s="32">
        <v>1</v>
      </c>
      <c r="AK91" s="30">
        <v>1</v>
      </c>
      <c r="AL91" s="32">
        <f t="shared" si="5"/>
        <v>1</v>
      </c>
      <c r="AM91" s="30"/>
      <c r="AN91" s="32">
        <v>1</v>
      </c>
      <c r="AO91" s="32">
        <v>1</v>
      </c>
      <c r="AP91" s="32">
        <v>1</v>
      </c>
      <c r="AQ91" s="32">
        <v>1</v>
      </c>
      <c r="AR91" s="32">
        <v>1</v>
      </c>
      <c r="AS91" s="32"/>
      <c r="AT91" s="32">
        <v>1</v>
      </c>
      <c r="AU91" s="30"/>
      <c r="AV91" s="30"/>
      <c r="AW91" s="30"/>
      <c r="AX91" s="30" t="s">
        <v>11064</v>
      </c>
      <c r="AY91" s="30"/>
      <c r="AZ91" s="75" t="s">
        <v>11065</v>
      </c>
    </row>
    <row r="92" spans="1:52" ht="16.5">
      <c r="A92" s="25" t="s">
        <v>11066</v>
      </c>
      <c r="B92" s="25" t="s">
        <v>4398</v>
      </c>
      <c r="C92" s="25" t="s">
        <v>68</v>
      </c>
      <c r="D92" s="25" t="s">
        <v>11067</v>
      </c>
      <c r="E92" s="258" t="s">
        <v>11068</v>
      </c>
      <c r="F92" s="25" t="s">
        <v>11069</v>
      </c>
      <c r="G92" s="25" t="s">
        <v>3138</v>
      </c>
      <c r="H92" s="25" t="s">
        <v>3138</v>
      </c>
      <c r="I92" s="26" t="s">
        <v>4402</v>
      </c>
      <c r="J92" s="26" t="s">
        <v>9281</v>
      </c>
      <c r="K92" s="62" t="s">
        <v>10407</v>
      </c>
      <c r="L92" s="25" t="s">
        <v>73</v>
      </c>
      <c r="M92" s="25" t="s">
        <v>11070</v>
      </c>
      <c r="N92" s="49" t="s">
        <v>11071</v>
      </c>
      <c r="O92" s="27" t="s">
        <v>11072</v>
      </c>
      <c r="P92" s="28"/>
      <c r="Q92" s="29">
        <v>4</v>
      </c>
      <c r="R92" s="29">
        <v>16</v>
      </c>
      <c r="S92" s="29">
        <v>286.62</v>
      </c>
      <c r="T92" s="30" t="s">
        <v>88</v>
      </c>
      <c r="U92" s="30" t="s">
        <v>78</v>
      </c>
      <c r="V92" s="30" t="s">
        <v>89</v>
      </c>
      <c r="W92" s="38" t="s">
        <v>90</v>
      </c>
      <c r="X92" s="26" t="s">
        <v>10411</v>
      </c>
      <c r="Y92" s="26" t="s">
        <v>91</v>
      </c>
      <c r="Z92" s="26" t="s">
        <v>91</v>
      </c>
      <c r="AA92" s="26" t="s">
        <v>172</v>
      </c>
      <c r="AB92" s="31" t="s">
        <v>15</v>
      </c>
      <c r="AC92" s="30" t="s">
        <v>172</v>
      </c>
      <c r="AD92" s="25" t="s">
        <v>172</v>
      </c>
      <c r="AE92" s="25" t="s">
        <v>174</v>
      </c>
      <c r="AF92" s="26" t="s">
        <v>175</v>
      </c>
      <c r="AG92" s="32">
        <f t="shared" si="4"/>
        <v>1</v>
      </c>
      <c r="AH92" s="32">
        <v>1</v>
      </c>
      <c r="AI92" s="32">
        <v>1</v>
      </c>
      <c r="AJ92" s="32">
        <v>1</v>
      </c>
      <c r="AK92" s="30">
        <v>1</v>
      </c>
      <c r="AL92" s="32">
        <f t="shared" si="5"/>
        <v>1</v>
      </c>
      <c r="AM92" s="30"/>
      <c r="AN92" s="32">
        <v>1</v>
      </c>
      <c r="AO92" s="32">
        <v>1</v>
      </c>
      <c r="AP92" s="32">
        <v>1</v>
      </c>
      <c r="AQ92" s="32">
        <v>1</v>
      </c>
      <c r="AR92" s="32">
        <v>1</v>
      </c>
      <c r="AS92" s="32"/>
      <c r="AT92" s="32">
        <v>1</v>
      </c>
      <c r="AU92" s="30"/>
      <c r="AV92" s="30"/>
      <c r="AW92" s="30"/>
      <c r="AX92" s="30" t="s">
        <v>11073</v>
      </c>
      <c r="AY92" s="30"/>
      <c r="AZ92" s="75" t="s">
        <v>11074</v>
      </c>
    </row>
    <row r="93" spans="1:52" ht="16.5">
      <c r="A93" s="25" t="s">
        <v>11075</v>
      </c>
      <c r="B93" s="25" t="s">
        <v>4398</v>
      </c>
      <c r="C93" s="25" t="s">
        <v>68</v>
      </c>
      <c r="D93" s="25" t="s">
        <v>11076</v>
      </c>
      <c r="E93" s="258" t="s">
        <v>11077</v>
      </c>
      <c r="F93" s="25" t="s">
        <v>11078</v>
      </c>
      <c r="G93" s="25" t="s">
        <v>3138</v>
      </c>
      <c r="H93" s="25" t="s">
        <v>3138</v>
      </c>
      <c r="I93" s="26" t="s">
        <v>4402</v>
      </c>
      <c r="J93" s="26" t="s">
        <v>9281</v>
      </c>
      <c r="K93" s="62" t="s">
        <v>10407</v>
      </c>
      <c r="L93" s="25" t="s">
        <v>73</v>
      </c>
      <c r="M93" s="25" t="s">
        <v>11079</v>
      </c>
      <c r="N93" s="49" t="s">
        <v>11080</v>
      </c>
      <c r="O93" s="27" t="s">
        <v>11081</v>
      </c>
      <c r="P93" s="28"/>
      <c r="Q93" s="29">
        <v>4</v>
      </c>
      <c r="R93" s="29">
        <v>16</v>
      </c>
      <c r="S93" s="29">
        <v>267.76</v>
      </c>
      <c r="T93" s="30" t="s">
        <v>88</v>
      </c>
      <c r="U93" s="30" t="s">
        <v>78</v>
      </c>
      <c r="V93" s="30" t="s">
        <v>89</v>
      </c>
      <c r="W93" s="38" t="s">
        <v>90</v>
      </c>
      <c r="X93" s="26" t="s">
        <v>10411</v>
      </c>
      <c r="Y93" s="26" t="s">
        <v>91</v>
      </c>
      <c r="Z93" s="26" t="s">
        <v>91</v>
      </c>
      <c r="AA93" s="26" t="s">
        <v>172</v>
      </c>
      <c r="AB93" s="31" t="s">
        <v>15</v>
      </c>
      <c r="AC93" s="30" t="s">
        <v>172</v>
      </c>
      <c r="AD93" s="25" t="s">
        <v>172</v>
      </c>
      <c r="AE93" s="25" t="s">
        <v>174</v>
      </c>
      <c r="AF93" s="26" t="s">
        <v>175</v>
      </c>
      <c r="AG93" s="32">
        <f t="shared" si="4"/>
        <v>1</v>
      </c>
      <c r="AH93" s="32">
        <v>1</v>
      </c>
      <c r="AI93" s="32">
        <v>1</v>
      </c>
      <c r="AJ93" s="32">
        <v>1</v>
      </c>
      <c r="AK93" s="30">
        <v>1</v>
      </c>
      <c r="AL93" s="32">
        <f t="shared" si="5"/>
        <v>1</v>
      </c>
      <c r="AM93" s="30"/>
      <c r="AN93" s="32">
        <v>1</v>
      </c>
      <c r="AO93" s="32">
        <v>1</v>
      </c>
      <c r="AP93" s="32">
        <v>1</v>
      </c>
      <c r="AQ93" s="32">
        <v>1</v>
      </c>
      <c r="AR93" s="32">
        <v>1</v>
      </c>
      <c r="AS93" s="32"/>
      <c r="AT93" s="32">
        <v>1</v>
      </c>
      <c r="AU93" s="30"/>
      <c r="AV93" s="30"/>
      <c r="AW93" s="30"/>
      <c r="AX93" s="30" t="s">
        <v>11082</v>
      </c>
      <c r="AY93" s="30"/>
      <c r="AZ93" s="75" t="s">
        <v>11076</v>
      </c>
    </row>
    <row r="94" spans="1:52" ht="16.5">
      <c r="A94" s="25" t="s">
        <v>11083</v>
      </c>
      <c r="B94" s="25" t="s">
        <v>4398</v>
      </c>
      <c r="C94" s="25" t="s">
        <v>68</v>
      </c>
      <c r="D94" s="25" t="s">
        <v>11074</v>
      </c>
      <c r="E94" s="258" t="s">
        <v>11084</v>
      </c>
      <c r="F94" s="25" t="s">
        <v>11085</v>
      </c>
      <c r="G94" s="25" t="s">
        <v>3138</v>
      </c>
      <c r="H94" s="25" t="s">
        <v>3138</v>
      </c>
      <c r="I94" s="26" t="s">
        <v>4402</v>
      </c>
      <c r="J94" s="26" t="s">
        <v>9281</v>
      </c>
      <c r="K94" s="62" t="s">
        <v>10407</v>
      </c>
      <c r="L94" s="25" t="s">
        <v>73</v>
      </c>
      <c r="M94" s="25" t="s">
        <v>11008</v>
      </c>
      <c r="N94" s="49" t="s">
        <v>11086</v>
      </c>
      <c r="O94" s="27" t="s">
        <v>11087</v>
      </c>
      <c r="P94" s="28"/>
      <c r="Q94" s="29">
        <v>4</v>
      </c>
      <c r="R94" s="29">
        <v>16</v>
      </c>
      <c r="S94" s="29">
        <v>266.73</v>
      </c>
      <c r="T94" s="30" t="s">
        <v>88</v>
      </c>
      <c r="U94" s="30" t="s">
        <v>78</v>
      </c>
      <c r="V94" s="30" t="s">
        <v>89</v>
      </c>
      <c r="W94" s="38" t="s">
        <v>90</v>
      </c>
      <c r="X94" s="26" t="s">
        <v>10411</v>
      </c>
      <c r="Y94" s="26" t="s">
        <v>91</v>
      </c>
      <c r="Z94" s="26" t="s">
        <v>91</v>
      </c>
      <c r="AA94" s="26" t="s">
        <v>172</v>
      </c>
      <c r="AB94" s="31" t="s">
        <v>15</v>
      </c>
      <c r="AC94" s="30" t="s">
        <v>172</v>
      </c>
      <c r="AD94" s="25" t="s">
        <v>172</v>
      </c>
      <c r="AE94" s="25" t="s">
        <v>174</v>
      </c>
      <c r="AF94" s="26" t="s">
        <v>175</v>
      </c>
      <c r="AG94" s="32">
        <f t="shared" si="4"/>
        <v>1</v>
      </c>
      <c r="AH94" s="32">
        <v>1</v>
      </c>
      <c r="AI94" s="32">
        <v>1</v>
      </c>
      <c r="AJ94" s="32">
        <v>1</v>
      </c>
      <c r="AK94" s="30">
        <v>1</v>
      </c>
      <c r="AL94" s="32">
        <f t="shared" si="5"/>
        <v>1</v>
      </c>
      <c r="AM94" s="30"/>
      <c r="AN94" s="32">
        <v>1</v>
      </c>
      <c r="AO94" s="32">
        <v>1</v>
      </c>
      <c r="AP94" s="32">
        <v>1</v>
      </c>
      <c r="AQ94" s="32">
        <v>1</v>
      </c>
      <c r="AR94" s="32">
        <v>1</v>
      </c>
      <c r="AS94" s="32"/>
      <c r="AT94" s="32">
        <v>1</v>
      </c>
      <c r="AU94" s="30"/>
      <c r="AV94" s="30"/>
      <c r="AW94" s="30"/>
      <c r="AX94" s="30" t="s">
        <v>11088</v>
      </c>
      <c r="AY94" s="30"/>
      <c r="AZ94" s="75" t="s">
        <v>11067</v>
      </c>
    </row>
    <row r="95" spans="1:52" ht="16.5">
      <c r="A95" s="25" t="s">
        <v>11089</v>
      </c>
      <c r="B95" s="25" t="s">
        <v>4398</v>
      </c>
      <c r="C95" s="25" t="s">
        <v>68</v>
      </c>
      <c r="D95" s="25" t="s">
        <v>11065</v>
      </c>
      <c r="E95" s="258" t="s">
        <v>11090</v>
      </c>
      <c r="F95" s="25" t="s">
        <v>11091</v>
      </c>
      <c r="G95" s="25" t="s">
        <v>3138</v>
      </c>
      <c r="H95" s="25" t="s">
        <v>3138</v>
      </c>
      <c r="I95" s="26" t="s">
        <v>4402</v>
      </c>
      <c r="J95" s="26" t="s">
        <v>9281</v>
      </c>
      <c r="K95" s="62" t="s">
        <v>10407</v>
      </c>
      <c r="L95" s="25" t="s">
        <v>73</v>
      </c>
      <c r="M95" s="25" t="s">
        <v>10986</v>
      </c>
      <c r="N95" s="49" t="s">
        <v>11092</v>
      </c>
      <c r="O95" s="27" t="s">
        <v>11093</v>
      </c>
      <c r="P95" s="28"/>
      <c r="Q95" s="29">
        <v>4</v>
      </c>
      <c r="R95" s="29">
        <v>16</v>
      </c>
      <c r="S95" s="29">
        <v>266.10000000000002</v>
      </c>
      <c r="T95" s="30" t="s">
        <v>88</v>
      </c>
      <c r="U95" s="30" t="s">
        <v>78</v>
      </c>
      <c r="V95" s="30" t="s">
        <v>89</v>
      </c>
      <c r="W95" s="38" t="s">
        <v>90</v>
      </c>
      <c r="X95" s="26" t="s">
        <v>10411</v>
      </c>
      <c r="Y95" s="26" t="s">
        <v>91</v>
      </c>
      <c r="Z95" s="26" t="s">
        <v>91</v>
      </c>
      <c r="AA95" s="26" t="s">
        <v>172</v>
      </c>
      <c r="AB95" s="31" t="s">
        <v>15</v>
      </c>
      <c r="AC95" s="30" t="s">
        <v>172</v>
      </c>
      <c r="AD95" s="25" t="s">
        <v>172</v>
      </c>
      <c r="AE95" s="25" t="s">
        <v>174</v>
      </c>
      <c r="AF95" s="26" t="s">
        <v>175</v>
      </c>
      <c r="AG95" s="32">
        <f t="shared" si="4"/>
        <v>1</v>
      </c>
      <c r="AH95" s="32">
        <v>1</v>
      </c>
      <c r="AI95" s="32">
        <v>1</v>
      </c>
      <c r="AJ95" s="32">
        <v>1</v>
      </c>
      <c r="AK95" s="30">
        <v>1</v>
      </c>
      <c r="AL95" s="32">
        <f t="shared" si="5"/>
        <v>1</v>
      </c>
      <c r="AM95" s="30"/>
      <c r="AN95" s="32">
        <v>1</v>
      </c>
      <c r="AO95" s="32">
        <v>1</v>
      </c>
      <c r="AP95" s="32">
        <v>1</v>
      </c>
      <c r="AQ95" s="32">
        <v>1</v>
      </c>
      <c r="AR95" s="32">
        <v>1</v>
      </c>
      <c r="AS95" s="32"/>
      <c r="AT95" s="32">
        <v>1</v>
      </c>
      <c r="AU95" s="30"/>
      <c r="AV95" s="30"/>
      <c r="AW95" s="30"/>
      <c r="AX95" s="30" t="s">
        <v>11094</v>
      </c>
      <c r="AY95" s="30"/>
      <c r="AZ95" s="75" t="s">
        <v>11024</v>
      </c>
    </row>
    <row r="96" spans="1:52" ht="16.5">
      <c r="A96" s="25" t="s">
        <v>11095</v>
      </c>
      <c r="B96" s="25" t="s">
        <v>4398</v>
      </c>
      <c r="C96" s="25" t="s">
        <v>68</v>
      </c>
      <c r="D96" s="25" t="s">
        <v>11096</v>
      </c>
      <c r="E96" s="258" t="s">
        <v>11097</v>
      </c>
      <c r="F96" s="25" t="s">
        <v>11098</v>
      </c>
      <c r="G96" s="25" t="s">
        <v>3138</v>
      </c>
      <c r="H96" s="25" t="s">
        <v>3138</v>
      </c>
      <c r="I96" s="26" t="s">
        <v>4402</v>
      </c>
      <c r="J96" s="26" t="s">
        <v>9281</v>
      </c>
      <c r="K96" s="62" t="s">
        <v>10407</v>
      </c>
      <c r="L96" s="25" t="s">
        <v>73</v>
      </c>
      <c r="M96" s="25" t="s">
        <v>11099</v>
      </c>
      <c r="N96" s="49" t="s">
        <v>11100</v>
      </c>
      <c r="O96" s="27" t="s">
        <v>11101</v>
      </c>
      <c r="P96" s="28"/>
      <c r="Q96" s="29">
        <v>8</v>
      </c>
      <c r="R96" s="29">
        <v>32</v>
      </c>
      <c r="S96" s="29">
        <v>382.82</v>
      </c>
      <c r="T96" s="30" t="s">
        <v>88</v>
      </c>
      <c r="U96" s="30" t="s">
        <v>78</v>
      </c>
      <c r="V96" s="30" t="s">
        <v>89</v>
      </c>
      <c r="W96" s="38" t="s">
        <v>9987</v>
      </c>
      <c r="X96" s="26" t="s">
        <v>10411</v>
      </c>
      <c r="Y96" s="26" t="s">
        <v>91</v>
      </c>
      <c r="Z96" s="26" t="s">
        <v>91</v>
      </c>
      <c r="AA96" s="26" t="s">
        <v>172</v>
      </c>
      <c r="AB96" s="31" t="s">
        <v>17</v>
      </c>
      <c r="AC96" s="30" t="s">
        <v>172</v>
      </c>
      <c r="AD96" s="25" t="s">
        <v>172</v>
      </c>
      <c r="AE96" s="25" t="s">
        <v>174</v>
      </c>
      <c r="AF96" s="26" t="s">
        <v>175</v>
      </c>
      <c r="AG96" s="32">
        <f t="shared" si="4"/>
        <v>1</v>
      </c>
      <c r="AH96" s="32">
        <v>1</v>
      </c>
      <c r="AI96" s="32">
        <v>1</v>
      </c>
      <c r="AJ96" s="32">
        <v>1</v>
      </c>
      <c r="AK96" s="30">
        <v>1</v>
      </c>
      <c r="AL96" s="32">
        <f t="shared" si="5"/>
        <v>1</v>
      </c>
      <c r="AM96" s="30"/>
      <c r="AN96" s="32">
        <v>1</v>
      </c>
      <c r="AO96" s="32">
        <v>1</v>
      </c>
      <c r="AP96" s="32">
        <v>1</v>
      </c>
      <c r="AQ96" s="32">
        <v>1</v>
      </c>
      <c r="AR96" s="32">
        <v>1</v>
      </c>
      <c r="AS96" s="32"/>
      <c r="AT96" s="32">
        <v>1</v>
      </c>
      <c r="AU96" s="30"/>
      <c r="AV96" s="30"/>
      <c r="AW96" s="30"/>
      <c r="AX96" s="30" t="s">
        <v>10959</v>
      </c>
      <c r="AY96" s="30"/>
      <c r="AZ96" s="75" t="s">
        <v>10995</v>
      </c>
    </row>
    <row r="97" spans="1:52" ht="16.5">
      <c r="A97" s="25" t="s">
        <v>11102</v>
      </c>
      <c r="B97" s="25" t="s">
        <v>4398</v>
      </c>
      <c r="C97" s="25" t="s">
        <v>68</v>
      </c>
      <c r="D97" s="25" t="s">
        <v>11103</v>
      </c>
      <c r="E97" s="258" t="s">
        <v>11104</v>
      </c>
      <c r="F97" s="25" t="s">
        <v>11105</v>
      </c>
      <c r="G97" s="25" t="s">
        <v>3138</v>
      </c>
      <c r="H97" s="25" t="s">
        <v>3138</v>
      </c>
      <c r="I97" s="26" t="s">
        <v>4402</v>
      </c>
      <c r="J97" s="26" t="s">
        <v>9281</v>
      </c>
      <c r="K97" s="62" t="s">
        <v>10407</v>
      </c>
      <c r="L97" s="25" t="s">
        <v>73</v>
      </c>
      <c r="M97" s="25" t="s">
        <v>11106</v>
      </c>
      <c r="N97" s="49" t="s">
        <v>11107</v>
      </c>
      <c r="O97" s="27" t="s">
        <v>11108</v>
      </c>
      <c r="P97" s="28"/>
      <c r="Q97" s="29">
        <v>4</v>
      </c>
      <c r="R97" s="29">
        <v>16</v>
      </c>
      <c r="S97" s="29">
        <v>286.17</v>
      </c>
      <c r="T97" s="30" t="s">
        <v>88</v>
      </c>
      <c r="U97" s="30" t="s">
        <v>78</v>
      </c>
      <c r="V97" s="30" t="s">
        <v>89</v>
      </c>
      <c r="W97" s="38" t="s">
        <v>9987</v>
      </c>
      <c r="X97" s="26" t="s">
        <v>10411</v>
      </c>
      <c r="Y97" s="26" t="s">
        <v>91</v>
      </c>
      <c r="Z97" s="26" t="s">
        <v>91</v>
      </c>
      <c r="AA97" s="26" t="s">
        <v>172</v>
      </c>
      <c r="AB97" s="31" t="s">
        <v>17</v>
      </c>
      <c r="AC97" s="30" t="s">
        <v>172</v>
      </c>
      <c r="AD97" s="25" t="s">
        <v>172</v>
      </c>
      <c r="AE97" s="25" t="s">
        <v>174</v>
      </c>
      <c r="AF97" s="26" t="s">
        <v>175</v>
      </c>
      <c r="AG97" s="32">
        <f t="shared" si="4"/>
        <v>1</v>
      </c>
      <c r="AH97" s="32">
        <v>1</v>
      </c>
      <c r="AI97" s="32">
        <v>1</v>
      </c>
      <c r="AJ97" s="32">
        <v>1</v>
      </c>
      <c r="AK97" s="30">
        <v>1</v>
      </c>
      <c r="AL97" s="32">
        <f t="shared" si="5"/>
        <v>1</v>
      </c>
      <c r="AM97" s="30"/>
      <c r="AN97" s="32">
        <v>1</v>
      </c>
      <c r="AO97" s="32">
        <v>1</v>
      </c>
      <c r="AP97" s="32">
        <v>1</v>
      </c>
      <c r="AQ97" s="32">
        <v>1</v>
      </c>
      <c r="AR97" s="32">
        <v>1</v>
      </c>
      <c r="AS97" s="32"/>
      <c r="AT97" s="32">
        <v>1</v>
      </c>
      <c r="AU97" s="30"/>
      <c r="AV97" s="30"/>
      <c r="AW97" s="30"/>
      <c r="AX97" s="30" t="s">
        <v>11109</v>
      </c>
      <c r="AY97" s="30"/>
      <c r="AZ97" s="75" t="s">
        <v>10988</v>
      </c>
    </row>
    <row r="98" spans="1:52" ht="16.5">
      <c r="A98" s="25" t="s">
        <v>11110</v>
      </c>
      <c r="B98" s="25" t="s">
        <v>4398</v>
      </c>
      <c r="C98" s="25" t="s">
        <v>68</v>
      </c>
      <c r="D98" s="25" t="s">
        <v>11111</v>
      </c>
      <c r="E98" s="258" t="s">
        <v>11112</v>
      </c>
      <c r="F98" s="25" t="s">
        <v>11113</v>
      </c>
      <c r="G98" s="25" t="s">
        <v>3138</v>
      </c>
      <c r="H98" s="25" t="s">
        <v>3138</v>
      </c>
      <c r="I98" s="26" t="s">
        <v>4402</v>
      </c>
      <c r="J98" s="26" t="s">
        <v>9281</v>
      </c>
      <c r="K98" s="62" t="s">
        <v>10407</v>
      </c>
      <c r="L98" s="25" t="s">
        <v>73</v>
      </c>
      <c r="M98" s="25" t="s">
        <v>11114</v>
      </c>
      <c r="N98" s="49" t="s">
        <v>11115</v>
      </c>
      <c r="O98" s="27" t="s">
        <v>11116</v>
      </c>
      <c r="P98" s="28"/>
      <c r="Q98" s="29">
        <v>8</v>
      </c>
      <c r="R98" s="29">
        <v>32</v>
      </c>
      <c r="S98" s="29">
        <v>302.16000000000003</v>
      </c>
      <c r="T98" s="30" t="s">
        <v>88</v>
      </c>
      <c r="U98" s="30" t="s">
        <v>78</v>
      </c>
      <c r="V98" s="30" t="s">
        <v>89</v>
      </c>
      <c r="W98" s="38" t="s">
        <v>9987</v>
      </c>
      <c r="X98" s="26" t="s">
        <v>10411</v>
      </c>
      <c r="Y98" s="26" t="s">
        <v>91</v>
      </c>
      <c r="Z98" s="26" t="s">
        <v>91</v>
      </c>
      <c r="AA98" s="26" t="s">
        <v>172</v>
      </c>
      <c r="AB98" s="31" t="s">
        <v>17</v>
      </c>
      <c r="AC98" s="30" t="s">
        <v>172</v>
      </c>
      <c r="AD98" s="25" t="s">
        <v>172</v>
      </c>
      <c r="AE98" s="25" t="s">
        <v>174</v>
      </c>
      <c r="AF98" s="26" t="s">
        <v>175</v>
      </c>
      <c r="AG98" s="32">
        <f t="shared" si="4"/>
        <v>1</v>
      </c>
      <c r="AH98" s="32">
        <v>1</v>
      </c>
      <c r="AI98" s="32">
        <v>1</v>
      </c>
      <c r="AJ98" s="32">
        <v>1</v>
      </c>
      <c r="AK98" s="30">
        <v>1</v>
      </c>
      <c r="AL98" s="32">
        <f t="shared" si="5"/>
        <v>1</v>
      </c>
      <c r="AM98" s="30"/>
      <c r="AN98" s="32">
        <v>1</v>
      </c>
      <c r="AO98" s="32">
        <v>1</v>
      </c>
      <c r="AP98" s="32">
        <v>1</v>
      </c>
      <c r="AQ98" s="32">
        <v>1</v>
      </c>
      <c r="AR98" s="32">
        <v>1</v>
      </c>
      <c r="AS98" s="32"/>
      <c r="AT98" s="32">
        <v>1</v>
      </c>
      <c r="AU98" s="30"/>
      <c r="AV98" s="30"/>
      <c r="AW98" s="30"/>
      <c r="AX98" s="30" t="s">
        <v>11099</v>
      </c>
      <c r="AY98" s="30"/>
      <c r="AZ98" s="75" t="s">
        <v>10980</v>
      </c>
    </row>
    <row r="99" spans="1:52" ht="16.5">
      <c r="A99" s="25" t="s">
        <v>11117</v>
      </c>
      <c r="B99" s="25" t="s">
        <v>4398</v>
      </c>
      <c r="C99" s="25" t="s">
        <v>68</v>
      </c>
      <c r="D99" s="25" t="s">
        <v>11118</v>
      </c>
      <c r="E99" s="258" t="s">
        <v>11119</v>
      </c>
      <c r="F99" s="25" t="s">
        <v>11120</v>
      </c>
      <c r="G99" s="25" t="s">
        <v>3138</v>
      </c>
      <c r="H99" s="25" t="s">
        <v>3138</v>
      </c>
      <c r="I99" s="26" t="s">
        <v>4402</v>
      </c>
      <c r="J99" s="26" t="s">
        <v>9281</v>
      </c>
      <c r="K99" s="62" t="s">
        <v>10407</v>
      </c>
      <c r="L99" s="25" t="s">
        <v>73</v>
      </c>
      <c r="M99" s="25" t="s">
        <v>11121</v>
      </c>
      <c r="N99" s="49" t="s">
        <v>11122</v>
      </c>
      <c r="O99" s="27" t="s">
        <v>11123</v>
      </c>
      <c r="P99" s="28"/>
      <c r="Q99" s="29">
        <v>4</v>
      </c>
      <c r="R99" s="29">
        <v>16</v>
      </c>
      <c r="S99" s="29">
        <v>266.70999999999998</v>
      </c>
      <c r="T99" s="30" t="s">
        <v>88</v>
      </c>
      <c r="U99" s="30" t="s">
        <v>78</v>
      </c>
      <c r="V99" s="30" t="s">
        <v>89</v>
      </c>
      <c r="W99" s="38" t="s">
        <v>9987</v>
      </c>
      <c r="X99" s="26" t="s">
        <v>10411</v>
      </c>
      <c r="Y99" s="26" t="s">
        <v>91</v>
      </c>
      <c r="Z99" s="26" t="s">
        <v>91</v>
      </c>
      <c r="AA99" s="26" t="s">
        <v>172</v>
      </c>
      <c r="AB99" s="31" t="s">
        <v>17</v>
      </c>
      <c r="AC99" s="30" t="s">
        <v>172</v>
      </c>
      <c r="AD99" s="25" t="s">
        <v>172</v>
      </c>
      <c r="AE99" s="25" t="s">
        <v>174</v>
      </c>
      <c r="AF99" s="26" t="s">
        <v>175</v>
      </c>
      <c r="AG99" s="32">
        <f t="shared" ref="AG99:AG130" si="6">IF(COUNTIF(AZ:AZ,D99)&gt;0,1,0)</f>
        <v>1</v>
      </c>
      <c r="AH99" s="32">
        <v>1</v>
      </c>
      <c r="AI99" s="32">
        <v>1</v>
      </c>
      <c r="AJ99" s="32">
        <v>1</v>
      </c>
      <c r="AK99" s="30">
        <v>1</v>
      </c>
      <c r="AL99" s="32">
        <f t="shared" si="5"/>
        <v>1</v>
      </c>
      <c r="AM99" s="30"/>
      <c r="AN99" s="32">
        <v>1</v>
      </c>
      <c r="AO99" s="32">
        <v>1</v>
      </c>
      <c r="AP99" s="32">
        <v>1</v>
      </c>
      <c r="AQ99" s="32">
        <v>1</v>
      </c>
      <c r="AR99" s="32">
        <v>1</v>
      </c>
      <c r="AS99" s="32"/>
      <c r="AT99" s="32">
        <v>1</v>
      </c>
      <c r="AU99" s="30"/>
      <c r="AV99" s="30"/>
      <c r="AW99" s="30"/>
      <c r="AX99" s="30" t="s">
        <v>11124</v>
      </c>
      <c r="AY99" s="30"/>
      <c r="AZ99" s="75" t="s">
        <v>10971</v>
      </c>
    </row>
    <row r="100" spans="1:52" ht="16.5">
      <c r="A100" s="25" t="s">
        <v>11125</v>
      </c>
      <c r="B100" s="25" t="s">
        <v>4398</v>
      </c>
      <c r="C100" s="25" t="s">
        <v>68</v>
      </c>
      <c r="D100" s="25" t="s">
        <v>11126</v>
      </c>
      <c r="E100" s="258" t="s">
        <v>11127</v>
      </c>
      <c r="F100" s="25" t="s">
        <v>11128</v>
      </c>
      <c r="G100" s="25" t="s">
        <v>3138</v>
      </c>
      <c r="H100" s="25" t="s">
        <v>3138</v>
      </c>
      <c r="I100" s="26" t="s">
        <v>4402</v>
      </c>
      <c r="J100" s="26" t="s">
        <v>9281</v>
      </c>
      <c r="K100" s="62" t="s">
        <v>10407</v>
      </c>
      <c r="L100" s="25" t="s">
        <v>73</v>
      </c>
      <c r="M100" s="25" t="s">
        <v>11124</v>
      </c>
      <c r="N100" s="49" t="s">
        <v>11129</v>
      </c>
      <c r="O100" s="27" t="s">
        <v>11130</v>
      </c>
      <c r="P100" s="28"/>
      <c r="Q100" s="29">
        <v>8</v>
      </c>
      <c r="R100" s="29">
        <v>32</v>
      </c>
      <c r="S100" s="29">
        <v>302.2</v>
      </c>
      <c r="T100" s="30" t="s">
        <v>88</v>
      </c>
      <c r="U100" s="30" t="s">
        <v>78</v>
      </c>
      <c r="V100" s="30" t="s">
        <v>89</v>
      </c>
      <c r="W100" s="38" t="s">
        <v>9987</v>
      </c>
      <c r="X100" s="26" t="s">
        <v>10411</v>
      </c>
      <c r="Y100" s="26" t="s">
        <v>91</v>
      </c>
      <c r="Z100" s="26" t="s">
        <v>91</v>
      </c>
      <c r="AA100" s="26" t="s">
        <v>172</v>
      </c>
      <c r="AB100" s="31" t="s">
        <v>17</v>
      </c>
      <c r="AC100" s="30" t="s">
        <v>172</v>
      </c>
      <c r="AD100" s="25" t="s">
        <v>172</v>
      </c>
      <c r="AE100" s="25" t="s">
        <v>174</v>
      </c>
      <c r="AF100" s="26" t="s">
        <v>175</v>
      </c>
      <c r="AG100" s="32">
        <f t="shared" si="6"/>
        <v>1</v>
      </c>
      <c r="AH100" s="32">
        <v>1</v>
      </c>
      <c r="AI100" s="32">
        <v>1</v>
      </c>
      <c r="AJ100" s="32">
        <v>1</v>
      </c>
      <c r="AK100" s="30">
        <v>1</v>
      </c>
      <c r="AL100" s="32">
        <f t="shared" si="5"/>
        <v>1</v>
      </c>
      <c r="AM100" s="30"/>
      <c r="AN100" s="32">
        <v>1</v>
      </c>
      <c r="AO100" s="32">
        <v>1</v>
      </c>
      <c r="AP100" s="32">
        <v>1</v>
      </c>
      <c r="AQ100" s="32">
        <v>1</v>
      </c>
      <c r="AR100" s="32">
        <v>1</v>
      </c>
      <c r="AS100" s="32"/>
      <c r="AT100" s="32">
        <v>1</v>
      </c>
      <c r="AU100" s="30"/>
      <c r="AV100" s="30"/>
      <c r="AW100" s="30"/>
      <c r="AX100" s="30" t="s">
        <v>11121</v>
      </c>
      <c r="AY100" s="30"/>
      <c r="AZ100" s="75" t="s">
        <v>10963</v>
      </c>
    </row>
    <row r="101" spans="1:52" ht="16.5">
      <c r="A101" s="25" t="s">
        <v>11131</v>
      </c>
      <c r="B101" s="25" t="s">
        <v>4398</v>
      </c>
      <c r="C101" s="25" t="s">
        <v>68</v>
      </c>
      <c r="D101" s="25" t="s">
        <v>11132</v>
      </c>
      <c r="E101" s="258" t="s">
        <v>11133</v>
      </c>
      <c r="F101" s="25" t="s">
        <v>11134</v>
      </c>
      <c r="G101" s="25" t="s">
        <v>3138</v>
      </c>
      <c r="H101" s="25" t="s">
        <v>3138</v>
      </c>
      <c r="I101" s="26" t="s">
        <v>4402</v>
      </c>
      <c r="J101" s="26" t="s">
        <v>9281</v>
      </c>
      <c r="K101" s="62" t="s">
        <v>10407</v>
      </c>
      <c r="L101" s="25" t="s">
        <v>73</v>
      </c>
      <c r="M101" s="25" t="s">
        <v>11082</v>
      </c>
      <c r="N101" s="49" t="s">
        <v>11135</v>
      </c>
      <c r="O101" s="27" t="s">
        <v>11136</v>
      </c>
      <c r="P101" s="28"/>
      <c r="Q101" s="29">
        <v>4</v>
      </c>
      <c r="R101" s="29">
        <v>16</v>
      </c>
      <c r="S101" s="29">
        <v>266.25</v>
      </c>
      <c r="T101" s="30" t="s">
        <v>88</v>
      </c>
      <c r="U101" s="30" t="s">
        <v>78</v>
      </c>
      <c r="V101" s="30" t="s">
        <v>89</v>
      </c>
      <c r="W101" s="38" t="s">
        <v>9987</v>
      </c>
      <c r="X101" s="26" t="s">
        <v>10411</v>
      </c>
      <c r="Y101" s="26" t="s">
        <v>91</v>
      </c>
      <c r="Z101" s="26" t="s">
        <v>91</v>
      </c>
      <c r="AA101" s="26" t="s">
        <v>172</v>
      </c>
      <c r="AB101" s="31" t="s">
        <v>17</v>
      </c>
      <c r="AC101" s="30" t="s">
        <v>172</v>
      </c>
      <c r="AD101" s="25" t="s">
        <v>172</v>
      </c>
      <c r="AE101" s="25" t="s">
        <v>174</v>
      </c>
      <c r="AF101" s="26" t="s">
        <v>175</v>
      </c>
      <c r="AG101" s="32">
        <f t="shared" si="6"/>
        <v>1</v>
      </c>
      <c r="AH101" s="32">
        <v>1</v>
      </c>
      <c r="AI101" s="32">
        <v>1</v>
      </c>
      <c r="AJ101" s="32">
        <v>1</v>
      </c>
      <c r="AK101" s="30">
        <v>1</v>
      </c>
      <c r="AL101" s="32">
        <f t="shared" si="5"/>
        <v>1</v>
      </c>
      <c r="AM101" s="30"/>
      <c r="AN101" s="32">
        <v>1</v>
      </c>
      <c r="AO101" s="32">
        <v>1</v>
      </c>
      <c r="AP101" s="32">
        <v>1</v>
      </c>
      <c r="AQ101" s="32">
        <v>1</v>
      </c>
      <c r="AR101" s="32">
        <v>1</v>
      </c>
      <c r="AS101" s="32"/>
      <c r="AT101" s="32">
        <v>1</v>
      </c>
      <c r="AU101" s="30"/>
      <c r="AV101" s="30"/>
      <c r="AW101" s="30"/>
      <c r="AX101" s="30" t="s">
        <v>11114</v>
      </c>
      <c r="AY101" s="30"/>
      <c r="AZ101" s="75" t="s">
        <v>11137</v>
      </c>
    </row>
    <row r="102" spans="1:52" ht="16.5">
      <c r="A102" s="25" t="s">
        <v>11138</v>
      </c>
      <c r="B102" s="25" t="s">
        <v>4398</v>
      </c>
      <c r="C102" s="25" t="s">
        <v>68</v>
      </c>
      <c r="D102" s="25" t="s">
        <v>11139</v>
      </c>
      <c r="E102" s="258" t="s">
        <v>11140</v>
      </c>
      <c r="F102" s="25" t="s">
        <v>11141</v>
      </c>
      <c r="G102" s="25" t="s">
        <v>3138</v>
      </c>
      <c r="H102" s="25" t="s">
        <v>3138</v>
      </c>
      <c r="I102" s="26" t="s">
        <v>4402</v>
      </c>
      <c r="J102" s="26" t="s">
        <v>9281</v>
      </c>
      <c r="K102" s="62" t="s">
        <v>10407</v>
      </c>
      <c r="L102" s="25" t="s">
        <v>73</v>
      </c>
      <c r="M102" s="25" t="s">
        <v>11052</v>
      </c>
      <c r="N102" s="49" t="s">
        <v>11142</v>
      </c>
      <c r="O102" s="27" t="s">
        <v>11143</v>
      </c>
      <c r="P102" s="28"/>
      <c r="Q102" s="29">
        <v>4</v>
      </c>
      <c r="R102" s="29">
        <v>16</v>
      </c>
      <c r="S102" s="29">
        <v>266.14</v>
      </c>
      <c r="T102" s="30" t="s">
        <v>88</v>
      </c>
      <c r="U102" s="30" t="s">
        <v>78</v>
      </c>
      <c r="V102" s="30" t="s">
        <v>89</v>
      </c>
      <c r="W102" s="38" t="s">
        <v>9987</v>
      </c>
      <c r="X102" s="26" t="s">
        <v>10411</v>
      </c>
      <c r="Y102" s="26" t="s">
        <v>91</v>
      </c>
      <c r="Z102" s="26" t="s">
        <v>91</v>
      </c>
      <c r="AA102" s="26" t="s">
        <v>172</v>
      </c>
      <c r="AB102" s="31" t="s">
        <v>17</v>
      </c>
      <c r="AC102" s="30" t="s">
        <v>172</v>
      </c>
      <c r="AD102" s="25" t="s">
        <v>172</v>
      </c>
      <c r="AE102" s="25" t="s">
        <v>174</v>
      </c>
      <c r="AF102" s="26" t="s">
        <v>175</v>
      </c>
      <c r="AG102" s="32">
        <f t="shared" si="6"/>
        <v>1</v>
      </c>
      <c r="AH102" s="32">
        <v>1</v>
      </c>
      <c r="AI102" s="32">
        <v>1</v>
      </c>
      <c r="AJ102" s="32">
        <v>1</v>
      </c>
      <c r="AK102" s="30">
        <v>1</v>
      </c>
      <c r="AL102" s="32">
        <f t="shared" si="5"/>
        <v>1</v>
      </c>
      <c r="AM102" s="30"/>
      <c r="AN102" s="32">
        <v>1</v>
      </c>
      <c r="AO102" s="32">
        <v>1</v>
      </c>
      <c r="AP102" s="32">
        <v>1</v>
      </c>
      <c r="AQ102" s="32">
        <v>1</v>
      </c>
      <c r="AR102" s="32">
        <v>1</v>
      </c>
      <c r="AS102" s="32"/>
      <c r="AT102" s="32">
        <v>1</v>
      </c>
      <c r="AU102" s="30"/>
      <c r="AV102" s="30"/>
      <c r="AW102" s="30"/>
      <c r="AX102" s="30" t="s">
        <v>11070</v>
      </c>
      <c r="AY102" s="30"/>
      <c r="AZ102" s="75" t="s">
        <v>11139</v>
      </c>
    </row>
    <row r="103" spans="1:52" ht="16.5">
      <c r="A103" s="25" t="s">
        <v>11144</v>
      </c>
      <c r="B103" s="25" t="s">
        <v>4398</v>
      </c>
      <c r="C103" s="25" t="s">
        <v>68</v>
      </c>
      <c r="D103" s="25" t="s">
        <v>11145</v>
      </c>
      <c r="E103" s="258" t="s">
        <v>11146</v>
      </c>
      <c r="F103" s="25" t="s">
        <v>11147</v>
      </c>
      <c r="G103" s="25" t="s">
        <v>3138</v>
      </c>
      <c r="H103" s="25" t="s">
        <v>3138</v>
      </c>
      <c r="I103" s="26" t="s">
        <v>4402</v>
      </c>
      <c r="J103" s="26" t="s">
        <v>9281</v>
      </c>
      <c r="K103" s="62" t="s">
        <v>10407</v>
      </c>
      <c r="L103" s="25" t="s">
        <v>73</v>
      </c>
      <c r="M103" s="25" t="s">
        <v>11058</v>
      </c>
      <c r="N103" s="49" t="s">
        <v>11148</v>
      </c>
      <c r="O103" s="27" t="s">
        <v>11149</v>
      </c>
      <c r="P103" s="28"/>
      <c r="Q103" s="29">
        <v>8</v>
      </c>
      <c r="R103" s="29">
        <v>32</v>
      </c>
      <c r="S103" s="29">
        <v>383.02</v>
      </c>
      <c r="T103" s="30" t="s">
        <v>88</v>
      </c>
      <c r="U103" s="30" t="s">
        <v>78</v>
      </c>
      <c r="V103" s="30" t="s">
        <v>89</v>
      </c>
      <c r="W103" s="38" t="s">
        <v>9987</v>
      </c>
      <c r="X103" s="26" t="s">
        <v>10411</v>
      </c>
      <c r="Y103" s="26" t="s">
        <v>91</v>
      </c>
      <c r="Z103" s="26" t="s">
        <v>91</v>
      </c>
      <c r="AA103" s="26" t="s">
        <v>172</v>
      </c>
      <c r="AB103" s="31" t="s">
        <v>17</v>
      </c>
      <c r="AC103" s="30" t="s">
        <v>172</v>
      </c>
      <c r="AD103" s="25" t="s">
        <v>172</v>
      </c>
      <c r="AE103" s="25" t="s">
        <v>174</v>
      </c>
      <c r="AF103" s="26" t="s">
        <v>175</v>
      </c>
      <c r="AG103" s="32">
        <f t="shared" si="6"/>
        <v>1</v>
      </c>
      <c r="AH103" s="32">
        <v>1</v>
      </c>
      <c r="AI103" s="32">
        <v>1</v>
      </c>
      <c r="AJ103" s="32">
        <v>1</v>
      </c>
      <c r="AK103" s="30">
        <v>1</v>
      </c>
      <c r="AL103" s="32">
        <f t="shared" si="5"/>
        <v>1</v>
      </c>
      <c r="AM103" s="30"/>
      <c r="AN103" s="32">
        <v>1</v>
      </c>
      <c r="AO103" s="32">
        <v>1</v>
      </c>
      <c r="AP103" s="32">
        <v>1</v>
      </c>
      <c r="AQ103" s="32">
        <v>1</v>
      </c>
      <c r="AR103" s="32">
        <v>1</v>
      </c>
      <c r="AS103" s="32"/>
      <c r="AT103" s="32">
        <v>1</v>
      </c>
      <c r="AU103" s="30"/>
      <c r="AV103" s="30"/>
      <c r="AW103" s="30"/>
      <c r="AX103" s="30" t="s">
        <v>10952</v>
      </c>
      <c r="AY103" s="30"/>
      <c r="AZ103" s="75" t="s">
        <v>11145</v>
      </c>
    </row>
    <row r="104" spans="1:52" ht="16.5">
      <c r="A104" s="25" t="s">
        <v>11150</v>
      </c>
      <c r="B104" s="25" t="s">
        <v>4398</v>
      </c>
      <c r="C104" s="25" t="s">
        <v>68</v>
      </c>
      <c r="D104" s="25" t="s">
        <v>11151</v>
      </c>
      <c r="E104" s="258" t="s">
        <v>11152</v>
      </c>
      <c r="F104" s="25" t="s">
        <v>11153</v>
      </c>
      <c r="G104" s="25" t="s">
        <v>3138</v>
      </c>
      <c r="H104" s="25" t="s">
        <v>3138</v>
      </c>
      <c r="I104" s="26" t="s">
        <v>4402</v>
      </c>
      <c r="J104" s="26" t="s">
        <v>9281</v>
      </c>
      <c r="K104" s="62" t="s">
        <v>10407</v>
      </c>
      <c r="L104" s="25" t="s">
        <v>73</v>
      </c>
      <c r="M104" s="25" t="s">
        <v>11109</v>
      </c>
      <c r="N104" s="49" t="s">
        <v>11154</v>
      </c>
      <c r="O104" s="27" t="s">
        <v>11155</v>
      </c>
      <c r="P104" s="28"/>
      <c r="Q104" s="29">
        <v>4</v>
      </c>
      <c r="R104" s="29">
        <v>16</v>
      </c>
      <c r="S104" s="29">
        <v>366.27</v>
      </c>
      <c r="T104" s="30" t="s">
        <v>88</v>
      </c>
      <c r="U104" s="30" t="s">
        <v>78</v>
      </c>
      <c r="V104" s="30" t="s">
        <v>89</v>
      </c>
      <c r="W104" s="38" t="s">
        <v>9987</v>
      </c>
      <c r="X104" s="26" t="s">
        <v>10411</v>
      </c>
      <c r="Y104" s="26" t="s">
        <v>91</v>
      </c>
      <c r="Z104" s="26" t="s">
        <v>91</v>
      </c>
      <c r="AA104" s="26" t="s">
        <v>172</v>
      </c>
      <c r="AB104" s="31" t="s">
        <v>17</v>
      </c>
      <c r="AC104" s="30" t="s">
        <v>172</v>
      </c>
      <c r="AD104" s="25" t="s">
        <v>172</v>
      </c>
      <c r="AE104" s="25" t="s">
        <v>174</v>
      </c>
      <c r="AF104" s="26" t="s">
        <v>175</v>
      </c>
      <c r="AG104" s="32">
        <f t="shared" si="6"/>
        <v>1</v>
      </c>
      <c r="AH104" s="32">
        <v>1</v>
      </c>
      <c r="AI104" s="32">
        <v>1</v>
      </c>
      <c r="AJ104" s="32">
        <v>1</v>
      </c>
      <c r="AK104" s="30">
        <v>1</v>
      </c>
      <c r="AL104" s="32">
        <f t="shared" si="5"/>
        <v>1</v>
      </c>
      <c r="AM104" s="30"/>
      <c r="AN104" s="32">
        <v>1</v>
      </c>
      <c r="AO104" s="32">
        <v>1</v>
      </c>
      <c r="AP104" s="32">
        <v>1</v>
      </c>
      <c r="AQ104" s="32">
        <v>1</v>
      </c>
      <c r="AR104" s="32">
        <v>1</v>
      </c>
      <c r="AS104" s="32"/>
      <c r="AT104" s="32">
        <v>1</v>
      </c>
      <c r="AU104" s="30"/>
      <c r="AV104" s="30"/>
      <c r="AW104" s="30"/>
      <c r="AX104" s="30" t="s">
        <v>11079</v>
      </c>
      <c r="AY104" s="30"/>
      <c r="AZ104" s="75" t="s">
        <v>11156</v>
      </c>
    </row>
    <row r="105" spans="1:52" ht="16.5">
      <c r="A105" s="25" t="s">
        <v>11157</v>
      </c>
      <c r="B105" s="25" t="s">
        <v>4398</v>
      </c>
      <c r="C105" s="25" t="s">
        <v>68</v>
      </c>
      <c r="D105" s="25" t="s">
        <v>11158</v>
      </c>
      <c r="E105" s="258" t="s">
        <v>11159</v>
      </c>
      <c r="F105" s="25" t="s">
        <v>11160</v>
      </c>
      <c r="G105" s="25" t="s">
        <v>3138</v>
      </c>
      <c r="H105" s="25" t="s">
        <v>3138</v>
      </c>
      <c r="I105" s="26" t="s">
        <v>4402</v>
      </c>
      <c r="J105" s="26" t="s">
        <v>9281</v>
      </c>
      <c r="K105" s="62" t="s">
        <v>10407</v>
      </c>
      <c r="L105" s="25" t="s">
        <v>73</v>
      </c>
      <c r="M105" s="25" t="s">
        <v>11094</v>
      </c>
      <c r="N105" s="49" t="s">
        <v>11161</v>
      </c>
      <c r="O105" s="27" t="s">
        <v>11162</v>
      </c>
      <c r="P105" s="28"/>
      <c r="Q105" s="29">
        <v>4</v>
      </c>
      <c r="R105" s="29">
        <v>16</v>
      </c>
      <c r="S105" s="29">
        <v>466.27</v>
      </c>
      <c r="T105" s="30" t="s">
        <v>88</v>
      </c>
      <c r="U105" s="30" t="s">
        <v>78</v>
      </c>
      <c r="V105" s="30" t="s">
        <v>89</v>
      </c>
      <c r="W105" s="38" t="s">
        <v>9987</v>
      </c>
      <c r="X105" s="26" t="s">
        <v>10411</v>
      </c>
      <c r="Y105" s="26" t="s">
        <v>91</v>
      </c>
      <c r="Z105" s="26" t="s">
        <v>91</v>
      </c>
      <c r="AA105" s="26" t="s">
        <v>172</v>
      </c>
      <c r="AB105" s="31" t="s">
        <v>17</v>
      </c>
      <c r="AC105" s="30" t="s">
        <v>172</v>
      </c>
      <c r="AD105" s="25" t="s">
        <v>172</v>
      </c>
      <c r="AE105" s="25" t="s">
        <v>174</v>
      </c>
      <c r="AF105" s="26" t="s">
        <v>175</v>
      </c>
      <c r="AG105" s="32">
        <f t="shared" si="6"/>
        <v>1</v>
      </c>
      <c r="AH105" s="32">
        <v>1</v>
      </c>
      <c r="AI105" s="32">
        <v>1</v>
      </c>
      <c r="AJ105" s="32">
        <v>1</v>
      </c>
      <c r="AK105" s="30">
        <v>1</v>
      </c>
      <c r="AL105" s="32">
        <f t="shared" si="5"/>
        <v>1</v>
      </c>
      <c r="AM105" s="30"/>
      <c r="AN105" s="32">
        <v>1</v>
      </c>
      <c r="AO105" s="32">
        <v>1</v>
      </c>
      <c r="AP105" s="32">
        <v>1</v>
      </c>
      <c r="AQ105" s="32">
        <v>1</v>
      </c>
      <c r="AR105" s="32">
        <v>1</v>
      </c>
      <c r="AS105" s="32"/>
      <c r="AT105" s="32">
        <v>1</v>
      </c>
      <c r="AU105" s="30"/>
      <c r="AV105" s="30"/>
      <c r="AW105" s="30"/>
      <c r="AX105" s="30" t="s">
        <v>11026</v>
      </c>
      <c r="AY105" s="30"/>
      <c r="AZ105" s="75" t="s">
        <v>11163</v>
      </c>
    </row>
    <row r="106" spans="1:52" ht="16.5">
      <c r="A106" s="25" t="s">
        <v>11164</v>
      </c>
      <c r="B106" s="25" t="s">
        <v>4398</v>
      </c>
      <c r="C106" s="25" t="s">
        <v>68</v>
      </c>
      <c r="D106" s="25" t="s">
        <v>11165</v>
      </c>
      <c r="E106" s="258" t="s">
        <v>11166</v>
      </c>
      <c r="F106" s="25" t="s">
        <v>11167</v>
      </c>
      <c r="G106" s="25" t="s">
        <v>3138</v>
      </c>
      <c r="H106" s="25" t="s">
        <v>3138</v>
      </c>
      <c r="I106" s="26" t="s">
        <v>4402</v>
      </c>
      <c r="J106" s="26" t="s">
        <v>9281</v>
      </c>
      <c r="K106" s="62" t="s">
        <v>10407</v>
      </c>
      <c r="L106" s="25" t="s">
        <v>73</v>
      </c>
      <c r="M106" s="25" t="s">
        <v>11088</v>
      </c>
      <c r="N106" s="49" t="s">
        <v>11168</v>
      </c>
      <c r="O106" s="27" t="s">
        <v>11169</v>
      </c>
      <c r="P106" s="28"/>
      <c r="Q106" s="29">
        <v>4</v>
      </c>
      <c r="R106" s="29">
        <v>16</v>
      </c>
      <c r="S106" s="29">
        <v>266.76</v>
      </c>
      <c r="T106" s="30" t="s">
        <v>88</v>
      </c>
      <c r="U106" s="30" t="s">
        <v>78</v>
      </c>
      <c r="V106" s="30" t="s">
        <v>89</v>
      </c>
      <c r="W106" s="38" t="s">
        <v>9987</v>
      </c>
      <c r="X106" s="26" t="s">
        <v>10411</v>
      </c>
      <c r="Y106" s="26" t="s">
        <v>91</v>
      </c>
      <c r="Z106" s="26" t="s">
        <v>91</v>
      </c>
      <c r="AA106" s="26" t="s">
        <v>172</v>
      </c>
      <c r="AB106" s="31" t="s">
        <v>17</v>
      </c>
      <c r="AC106" s="30" t="s">
        <v>172</v>
      </c>
      <c r="AD106" s="25" t="s">
        <v>172</v>
      </c>
      <c r="AE106" s="25" t="s">
        <v>174</v>
      </c>
      <c r="AF106" s="26" t="s">
        <v>175</v>
      </c>
      <c r="AG106" s="32">
        <f t="shared" si="6"/>
        <v>1</v>
      </c>
      <c r="AH106" s="32">
        <v>1</v>
      </c>
      <c r="AI106" s="32">
        <v>1</v>
      </c>
      <c r="AJ106" s="32">
        <v>1</v>
      </c>
      <c r="AK106" s="30">
        <v>1</v>
      </c>
      <c r="AL106" s="32">
        <f t="shared" si="5"/>
        <v>1</v>
      </c>
      <c r="AM106" s="30"/>
      <c r="AN106" s="32">
        <v>1</v>
      </c>
      <c r="AO106" s="32">
        <v>1</v>
      </c>
      <c r="AP106" s="32">
        <v>1</v>
      </c>
      <c r="AQ106" s="32">
        <v>1</v>
      </c>
      <c r="AR106" s="32">
        <v>1</v>
      </c>
      <c r="AS106" s="32"/>
      <c r="AT106" s="32">
        <v>1</v>
      </c>
      <c r="AU106" s="30"/>
      <c r="AV106" s="30"/>
      <c r="AW106" s="30"/>
      <c r="AX106" s="30" t="s">
        <v>10983</v>
      </c>
      <c r="AY106" s="30"/>
      <c r="AZ106" s="75" t="s">
        <v>11132</v>
      </c>
    </row>
    <row r="107" spans="1:52" ht="16.5">
      <c r="A107" s="25" t="s">
        <v>11170</v>
      </c>
      <c r="B107" s="25" t="s">
        <v>4398</v>
      </c>
      <c r="C107" s="25" t="s">
        <v>68</v>
      </c>
      <c r="D107" s="25" t="s">
        <v>11171</v>
      </c>
      <c r="E107" s="258" t="s">
        <v>11172</v>
      </c>
      <c r="F107" s="25" t="s">
        <v>11173</v>
      </c>
      <c r="G107" s="25" t="s">
        <v>3138</v>
      </c>
      <c r="H107" s="25" t="s">
        <v>3138</v>
      </c>
      <c r="I107" s="26" t="s">
        <v>4402</v>
      </c>
      <c r="J107" s="26" t="s">
        <v>9281</v>
      </c>
      <c r="K107" s="62" t="s">
        <v>10407</v>
      </c>
      <c r="L107" s="25" t="s">
        <v>73</v>
      </c>
      <c r="M107" s="25" t="s">
        <v>11174</v>
      </c>
      <c r="N107" s="49" t="s">
        <v>11175</v>
      </c>
      <c r="O107" s="27" t="s">
        <v>11176</v>
      </c>
      <c r="P107" s="28"/>
      <c r="Q107" s="29">
        <v>4</v>
      </c>
      <c r="R107" s="29">
        <v>16</v>
      </c>
      <c r="S107" s="29">
        <v>416.15</v>
      </c>
      <c r="T107" s="30" t="s">
        <v>88</v>
      </c>
      <c r="U107" s="30" t="s">
        <v>78</v>
      </c>
      <c r="V107" s="30" t="s">
        <v>89</v>
      </c>
      <c r="W107" s="38" t="s">
        <v>9987</v>
      </c>
      <c r="X107" s="26" t="s">
        <v>10411</v>
      </c>
      <c r="Y107" s="26" t="s">
        <v>91</v>
      </c>
      <c r="Z107" s="26" t="s">
        <v>91</v>
      </c>
      <c r="AA107" s="26" t="s">
        <v>172</v>
      </c>
      <c r="AB107" s="31" t="s">
        <v>17</v>
      </c>
      <c r="AC107" s="30" t="s">
        <v>172</v>
      </c>
      <c r="AD107" s="25" t="s">
        <v>172</v>
      </c>
      <c r="AE107" s="25" t="s">
        <v>174</v>
      </c>
      <c r="AF107" s="26" t="s">
        <v>175</v>
      </c>
      <c r="AG107" s="32">
        <f t="shared" si="6"/>
        <v>1</v>
      </c>
      <c r="AH107" s="32">
        <v>1</v>
      </c>
      <c r="AI107" s="32">
        <v>1</v>
      </c>
      <c r="AJ107" s="32">
        <v>1</v>
      </c>
      <c r="AK107" s="30">
        <v>1</v>
      </c>
      <c r="AL107" s="32">
        <f t="shared" si="5"/>
        <v>1</v>
      </c>
      <c r="AM107" s="30"/>
      <c r="AN107" s="32">
        <v>1</v>
      </c>
      <c r="AO107" s="32">
        <v>1</v>
      </c>
      <c r="AP107" s="32">
        <v>1</v>
      </c>
      <c r="AQ107" s="32">
        <v>1</v>
      </c>
      <c r="AR107" s="32">
        <v>1</v>
      </c>
      <c r="AS107" s="25" t="s">
        <v>11177</v>
      </c>
      <c r="AT107" s="25">
        <v>1</v>
      </c>
      <c r="AU107" s="30"/>
      <c r="AV107" s="30"/>
      <c r="AW107" s="39" t="s">
        <v>405</v>
      </c>
      <c r="AX107" s="30" t="s">
        <v>11178</v>
      </c>
      <c r="AY107" s="30"/>
      <c r="AZ107" s="75" t="s">
        <v>11171</v>
      </c>
    </row>
    <row r="108" spans="1:52" ht="16.5">
      <c r="A108" s="25" t="s">
        <v>11179</v>
      </c>
      <c r="B108" s="25" t="s">
        <v>4398</v>
      </c>
      <c r="C108" s="25" t="s">
        <v>68</v>
      </c>
      <c r="D108" s="25" t="s">
        <v>11156</v>
      </c>
      <c r="E108" s="258" t="s">
        <v>11180</v>
      </c>
      <c r="F108" s="25" t="s">
        <v>11181</v>
      </c>
      <c r="G108" s="25" t="s">
        <v>3138</v>
      </c>
      <c r="H108" s="25" t="s">
        <v>3138</v>
      </c>
      <c r="I108" s="26" t="s">
        <v>4402</v>
      </c>
      <c r="J108" s="26" t="s">
        <v>9281</v>
      </c>
      <c r="K108" s="62" t="s">
        <v>10407</v>
      </c>
      <c r="L108" s="25" t="s">
        <v>73</v>
      </c>
      <c r="M108" s="25" t="s">
        <v>11064</v>
      </c>
      <c r="N108" s="49" t="s">
        <v>11182</v>
      </c>
      <c r="O108" s="27" t="s">
        <v>11183</v>
      </c>
      <c r="P108" s="28"/>
      <c r="Q108" s="29">
        <v>4</v>
      </c>
      <c r="R108" s="29">
        <v>16</v>
      </c>
      <c r="S108" s="29">
        <v>267.27999999999997</v>
      </c>
      <c r="T108" s="30" t="s">
        <v>88</v>
      </c>
      <c r="U108" s="30" t="s">
        <v>78</v>
      </c>
      <c r="V108" s="30" t="s">
        <v>89</v>
      </c>
      <c r="W108" s="38" t="s">
        <v>9987</v>
      </c>
      <c r="X108" s="26" t="s">
        <v>10411</v>
      </c>
      <c r="Y108" s="26" t="s">
        <v>91</v>
      </c>
      <c r="Z108" s="26" t="s">
        <v>91</v>
      </c>
      <c r="AA108" s="26" t="s">
        <v>172</v>
      </c>
      <c r="AB108" s="31" t="s">
        <v>17</v>
      </c>
      <c r="AC108" s="30" t="s">
        <v>172</v>
      </c>
      <c r="AD108" s="25" t="s">
        <v>172</v>
      </c>
      <c r="AE108" s="25" t="s">
        <v>174</v>
      </c>
      <c r="AF108" s="26" t="s">
        <v>175</v>
      </c>
      <c r="AG108" s="32">
        <f t="shared" si="6"/>
        <v>1</v>
      </c>
      <c r="AH108" s="32">
        <v>1</v>
      </c>
      <c r="AI108" s="32">
        <v>1</v>
      </c>
      <c r="AJ108" s="32">
        <v>1</v>
      </c>
      <c r="AK108" s="30">
        <v>1</v>
      </c>
      <c r="AL108" s="32">
        <f t="shared" si="5"/>
        <v>1</v>
      </c>
      <c r="AM108" s="30"/>
      <c r="AN108" s="32">
        <v>1</v>
      </c>
      <c r="AO108" s="32">
        <v>1</v>
      </c>
      <c r="AP108" s="32">
        <v>1</v>
      </c>
      <c r="AQ108" s="32">
        <v>1</v>
      </c>
      <c r="AR108" s="32">
        <v>1</v>
      </c>
      <c r="AS108" s="32"/>
      <c r="AT108" s="32">
        <v>1</v>
      </c>
      <c r="AU108" s="30"/>
      <c r="AV108" s="30"/>
      <c r="AW108" s="30"/>
      <c r="AX108" s="30" t="s">
        <v>11184</v>
      </c>
      <c r="AY108" s="30"/>
      <c r="AZ108" s="75" t="s">
        <v>11165</v>
      </c>
    </row>
    <row r="109" spans="1:52" ht="16.5">
      <c r="A109" s="25" t="s">
        <v>11185</v>
      </c>
      <c r="B109" s="25" t="s">
        <v>4398</v>
      </c>
      <c r="C109" s="25" t="s">
        <v>68</v>
      </c>
      <c r="D109" s="25" t="s">
        <v>11137</v>
      </c>
      <c r="E109" s="258" t="s">
        <v>11186</v>
      </c>
      <c r="F109" s="25" t="s">
        <v>11187</v>
      </c>
      <c r="G109" s="25" t="s">
        <v>3138</v>
      </c>
      <c r="H109" s="25" t="s">
        <v>3138</v>
      </c>
      <c r="I109" s="26" t="s">
        <v>4402</v>
      </c>
      <c r="J109" s="26" t="s">
        <v>9281</v>
      </c>
      <c r="K109" s="62" t="s">
        <v>10407</v>
      </c>
      <c r="L109" s="25" t="s">
        <v>73</v>
      </c>
      <c r="M109" s="25" t="s">
        <v>11037</v>
      </c>
      <c r="N109" s="49" t="s">
        <v>11188</v>
      </c>
      <c r="O109" s="27" t="s">
        <v>11189</v>
      </c>
      <c r="P109" s="28"/>
      <c r="Q109" s="29">
        <v>4</v>
      </c>
      <c r="R109" s="29">
        <v>16</v>
      </c>
      <c r="S109" s="29">
        <v>267.01</v>
      </c>
      <c r="T109" s="30" t="s">
        <v>88</v>
      </c>
      <c r="U109" s="30" t="s">
        <v>78</v>
      </c>
      <c r="V109" s="30" t="s">
        <v>89</v>
      </c>
      <c r="W109" s="38" t="s">
        <v>9987</v>
      </c>
      <c r="X109" s="26" t="s">
        <v>10411</v>
      </c>
      <c r="Y109" s="26" t="s">
        <v>91</v>
      </c>
      <c r="Z109" s="26" t="s">
        <v>91</v>
      </c>
      <c r="AA109" s="26" t="s">
        <v>172</v>
      </c>
      <c r="AB109" s="31" t="s">
        <v>17</v>
      </c>
      <c r="AC109" s="30" t="s">
        <v>172</v>
      </c>
      <c r="AD109" s="25" t="s">
        <v>172</v>
      </c>
      <c r="AE109" s="25" t="s">
        <v>174</v>
      </c>
      <c r="AF109" s="26" t="s">
        <v>175</v>
      </c>
      <c r="AG109" s="32">
        <f t="shared" si="6"/>
        <v>1</v>
      </c>
      <c r="AH109" s="32">
        <v>1</v>
      </c>
      <c r="AI109" s="32">
        <v>1</v>
      </c>
      <c r="AJ109" s="32">
        <v>1</v>
      </c>
      <c r="AK109" s="30">
        <v>1</v>
      </c>
      <c r="AL109" s="32">
        <f t="shared" si="5"/>
        <v>1</v>
      </c>
      <c r="AM109" s="30"/>
      <c r="AN109" s="32">
        <v>1</v>
      </c>
      <c r="AO109" s="32">
        <v>1</v>
      </c>
      <c r="AP109" s="32">
        <v>1</v>
      </c>
      <c r="AQ109" s="32">
        <v>1</v>
      </c>
      <c r="AR109" s="32">
        <v>1</v>
      </c>
      <c r="AS109" s="32"/>
      <c r="AT109" s="32">
        <v>1</v>
      </c>
      <c r="AU109" s="30"/>
      <c r="AV109" s="30"/>
      <c r="AW109" s="30"/>
      <c r="AX109" s="30" t="s">
        <v>11190</v>
      </c>
      <c r="AY109" s="30"/>
      <c r="AZ109" s="75" t="s">
        <v>11158</v>
      </c>
    </row>
    <row r="110" spans="1:52" ht="16.5">
      <c r="A110" s="25" t="s">
        <v>11191</v>
      </c>
      <c r="B110" s="25" t="s">
        <v>4398</v>
      </c>
      <c r="C110" s="25" t="s">
        <v>68</v>
      </c>
      <c r="D110" s="25" t="s">
        <v>11163</v>
      </c>
      <c r="E110" s="258" t="s">
        <v>11192</v>
      </c>
      <c r="F110" s="25" t="s">
        <v>11193</v>
      </c>
      <c r="G110" s="25" t="s">
        <v>3138</v>
      </c>
      <c r="H110" s="25" t="s">
        <v>3138</v>
      </c>
      <c r="I110" s="26" t="s">
        <v>9528</v>
      </c>
      <c r="J110" s="26" t="s">
        <v>9281</v>
      </c>
      <c r="K110" s="62" t="s">
        <v>10407</v>
      </c>
      <c r="L110" s="25" t="s">
        <v>73</v>
      </c>
      <c r="M110" s="25" t="s">
        <v>11073</v>
      </c>
      <c r="N110" s="49" t="s">
        <v>11194</v>
      </c>
      <c r="O110" s="27" t="s">
        <v>11195</v>
      </c>
      <c r="P110" s="28"/>
      <c r="Q110" s="29">
        <v>4</v>
      </c>
      <c r="R110" s="29">
        <v>16</v>
      </c>
      <c r="S110" s="29">
        <v>306.69</v>
      </c>
      <c r="T110" s="30" t="s">
        <v>88</v>
      </c>
      <c r="U110" s="30" t="s">
        <v>78</v>
      </c>
      <c r="V110" s="30" t="s">
        <v>89</v>
      </c>
      <c r="W110" s="38" t="s">
        <v>9987</v>
      </c>
      <c r="X110" s="26" t="s">
        <v>10411</v>
      </c>
      <c r="Y110" s="26" t="s">
        <v>91</v>
      </c>
      <c r="Z110" s="26" t="s">
        <v>91</v>
      </c>
      <c r="AA110" s="26" t="s">
        <v>172</v>
      </c>
      <c r="AB110" s="31" t="s">
        <v>17</v>
      </c>
      <c r="AC110" s="30" t="s">
        <v>172</v>
      </c>
      <c r="AD110" s="25" t="s">
        <v>172</v>
      </c>
      <c r="AE110" s="25" t="s">
        <v>174</v>
      </c>
      <c r="AF110" s="26" t="s">
        <v>175</v>
      </c>
      <c r="AG110" s="32">
        <f t="shared" si="6"/>
        <v>1</v>
      </c>
      <c r="AH110" s="32">
        <v>1</v>
      </c>
      <c r="AI110" s="32">
        <v>1</v>
      </c>
      <c r="AJ110" s="32">
        <v>1</v>
      </c>
      <c r="AK110" s="30">
        <v>1</v>
      </c>
      <c r="AL110" s="32">
        <f t="shared" si="5"/>
        <v>1</v>
      </c>
      <c r="AM110" s="30"/>
      <c r="AN110" s="32">
        <v>1</v>
      </c>
      <c r="AO110" s="32">
        <v>1</v>
      </c>
      <c r="AP110" s="32">
        <v>1</v>
      </c>
      <c r="AQ110" s="32">
        <v>1</v>
      </c>
      <c r="AR110" s="32">
        <v>1</v>
      </c>
      <c r="AS110" s="32"/>
      <c r="AT110" s="32">
        <v>1</v>
      </c>
      <c r="AU110" s="30"/>
      <c r="AV110" s="30"/>
      <c r="AW110" s="30"/>
      <c r="AX110" s="30" t="s">
        <v>11196</v>
      </c>
      <c r="AY110" s="30"/>
      <c r="AZ110" s="75" t="s">
        <v>11151</v>
      </c>
    </row>
    <row r="111" spans="1:52" ht="16.5">
      <c r="A111" s="25" t="s">
        <v>11197</v>
      </c>
      <c r="B111" s="25" t="s">
        <v>4398</v>
      </c>
      <c r="C111" s="25" t="s">
        <v>68</v>
      </c>
      <c r="D111" s="25" t="s">
        <v>11198</v>
      </c>
      <c r="E111" s="258" t="s">
        <v>11199</v>
      </c>
      <c r="F111" s="25" t="s">
        <v>11200</v>
      </c>
      <c r="G111" s="25" t="s">
        <v>3138</v>
      </c>
      <c r="H111" s="25" t="s">
        <v>3138</v>
      </c>
      <c r="I111" s="26" t="s">
        <v>9528</v>
      </c>
      <c r="J111" s="26" t="s">
        <v>9281</v>
      </c>
      <c r="K111" s="62" t="s">
        <v>10407</v>
      </c>
      <c r="L111" s="25" t="s">
        <v>73</v>
      </c>
      <c r="M111" s="25" t="s">
        <v>11201</v>
      </c>
      <c r="N111" s="49" t="s">
        <v>11202</v>
      </c>
      <c r="O111" s="27" t="s">
        <v>11203</v>
      </c>
      <c r="P111" s="28"/>
      <c r="Q111" s="29">
        <v>4</v>
      </c>
      <c r="R111" s="29">
        <v>16</v>
      </c>
      <c r="S111" s="29">
        <v>287.35000000000002</v>
      </c>
      <c r="T111" s="30" t="s">
        <v>88</v>
      </c>
      <c r="U111" s="30" t="s">
        <v>78</v>
      </c>
      <c r="V111" s="30" t="s">
        <v>89</v>
      </c>
      <c r="W111" s="38" t="s">
        <v>10128</v>
      </c>
      <c r="X111" s="26" t="s">
        <v>10411</v>
      </c>
      <c r="Y111" s="26" t="s">
        <v>91</v>
      </c>
      <c r="Z111" s="26" t="s">
        <v>91</v>
      </c>
      <c r="AA111" s="26" t="s">
        <v>172</v>
      </c>
      <c r="AB111" s="31" t="s">
        <v>19</v>
      </c>
      <c r="AC111" s="30" t="s">
        <v>172</v>
      </c>
      <c r="AD111" s="25" t="s">
        <v>172</v>
      </c>
      <c r="AE111" s="25" t="s">
        <v>174</v>
      </c>
      <c r="AF111" s="26" t="s">
        <v>175</v>
      </c>
      <c r="AG111" s="32">
        <f t="shared" si="6"/>
        <v>1</v>
      </c>
      <c r="AH111" s="32">
        <v>1</v>
      </c>
      <c r="AI111" s="32">
        <v>1</v>
      </c>
      <c r="AJ111" s="32">
        <v>1</v>
      </c>
      <c r="AK111" s="30"/>
      <c r="AL111" s="32">
        <f t="shared" si="5"/>
        <v>1</v>
      </c>
      <c r="AM111" s="30"/>
      <c r="AN111" s="32"/>
      <c r="AO111" s="32">
        <v>1</v>
      </c>
      <c r="AP111" s="32">
        <v>1</v>
      </c>
      <c r="AQ111" s="32">
        <v>1</v>
      </c>
      <c r="AR111" s="32">
        <v>1</v>
      </c>
      <c r="AS111" s="32"/>
      <c r="AT111" s="32">
        <v>1</v>
      </c>
      <c r="AU111" s="30"/>
      <c r="AV111" s="30"/>
      <c r="AW111" s="30"/>
      <c r="AX111" s="30" t="s">
        <v>10998</v>
      </c>
      <c r="AY111" s="30"/>
      <c r="AZ111" s="75" t="s">
        <v>11096</v>
      </c>
    </row>
    <row r="112" spans="1:52" ht="16.5">
      <c r="A112" s="25" t="s">
        <v>11204</v>
      </c>
      <c r="B112" s="25" t="s">
        <v>4398</v>
      </c>
      <c r="C112" s="25" t="s">
        <v>68</v>
      </c>
      <c r="D112" s="25" t="s">
        <v>11205</v>
      </c>
      <c r="E112" s="258" t="s">
        <v>11206</v>
      </c>
      <c r="F112" s="25" t="s">
        <v>11207</v>
      </c>
      <c r="G112" s="25" t="s">
        <v>3138</v>
      </c>
      <c r="H112" s="25" t="s">
        <v>3138</v>
      </c>
      <c r="I112" s="26" t="s">
        <v>9528</v>
      </c>
      <c r="J112" s="26" t="s">
        <v>9281</v>
      </c>
      <c r="K112" s="62" t="s">
        <v>10407</v>
      </c>
      <c r="L112" s="25" t="s">
        <v>73</v>
      </c>
      <c r="M112" s="25" t="s">
        <v>11208</v>
      </c>
      <c r="N112" s="49" t="s">
        <v>11209</v>
      </c>
      <c r="O112" s="27" t="s">
        <v>11210</v>
      </c>
      <c r="P112" s="28"/>
      <c r="Q112" s="29">
        <v>4</v>
      </c>
      <c r="R112" s="29">
        <v>16</v>
      </c>
      <c r="S112" s="29">
        <v>266.52</v>
      </c>
      <c r="T112" s="30" t="s">
        <v>88</v>
      </c>
      <c r="U112" s="30" t="s">
        <v>78</v>
      </c>
      <c r="V112" s="30" t="s">
        <v>89</v>
      </c>
      <c r="W112" s="38" t="s">
        <v>10128</v>
      </c>
      <c r="X112" s="26" t="s">
        <v>10411</v>
      </c>
      <c r="Y112" s="26" t="s">
        <v>91</v>
      </c>
      <c r="Z112" s="26" t="s">
        <v>91</v>
      </c>
      <c r="AA112" s="26" t="s">
        <v>172</v>
      </c>
      <c r="AB112" s="31" t="s">
        <v>19</v>
      </c>
      <c r="AC112" s="30" t="s">
        <v>172</v>
      </c>
      <c r="AD112" s="25" t="s">
        <v>172</v>
      </c>
      <c r="AE112" s="25" t="s">
        <v>174</v>
      </c>
      <c r="AF112" s="26" t="s">
        <v>175</v>
      </c>
      <c r="AG112" s="32">
        <f t="shared" si="6"/>
        <v>1</v>
      </c>
      <c r="AH112" s="32">
        <v>1</v>
      </c>
      <c r="AI112" s="32">
        <v>1</v>
      </c>
      <c r="AJ112" s="32">
        <v>1</v>
      </c>
      <c r="AK112" s="30"/>
      <c r="AL112" s="32">
        <f t="shared" si="5"/>
        <v>1</v>
      </c>
      <c r="AM112" s="30"/>
      <c r="AN112" s="32"/>
      <c r="AO112" s="32">
        <v>1</v>
      </c>
      <c r="AP112" s="32">
        <v>1</v>
      </c>
      <c r="AQ112" s="32">
        <v>1</v>
      </c>
      <c r="AR112" s="32">
        <v>1</v>
      </c>
      <c r="AS112" s="32"/>
      <c r="AT112" s="32">
        <v>1</v>
      </c>
      <c r="AU112" s="30"/>
      <c r="AV112" s="30"/>
      <c r="AW112" s="30"/>
      <c r="AX112" s="30" t="s">
        <v>10990</v>
      </c>
      <c r="AY112" s="30"/>
      <c r="AZ112" s="75" t="s">
        <v>11126</v>
      </c>
    </row>
    <row r="113" spans="1:52" ht="16.5">
      <c r="A113" s="25" t="s">
        <v>11211</v>
      </c>
      <c r="B113" s="25" t="s">
        <v>4398</v>
      </c>
      <c r="C113" s="25" t="s">
        <v>68</v>
      </c>
      <c r="D113" s="25" t="s">
        <v>11212</v>
      </c>
      <c r="E113" s="258" t="s">
        <v>11213</v>
      </c>
      <c r="F113" s="25" t="s">
        <v>11214</v>
      </c>
      <c r="G113" s="25" t="s">
        <v>3138</v>
      </c>
      <c r="H113" s="25" t="s">
        <v>3138</v>
      </c>
      <c r="I113" s="26" t="s">
        <v>9528</v>
      </c>
      <c r="J113" s="26" t="s">
        <v>9281</v>
      </c>
      <c r="K113" s="62" t="s">
        <v>10407</v>
      </c>
      <c r="L113" s="25" t="s">
        <v>73</v>
      </c>
      <c r="M113" s="25" t="s">
        <v>11215</v>
      </c>
      <c r="N113" s="49" t="s">
        <v>11216</v>
      </c>
      <c r="O113" s="27" t="s">
        <v>11217</v>
      </c>
      <c r="P113" s="28"/>
      <c r="Q113" s="29">
        <v>4</v>
      </c>
      <c r="R113" s="29">
        <v>16</v>
      </c>
      <c r="S113" s="29">
        <v>286.33999999999997</v>
      </c>
      <c r="T113" s="30" t="s">
        <v>88</v>
      </c>
      <c r="U113" s="30" t="s">
        <v>78</v>
      </c>
      <c r="V113" s="30" t="s">
        <v>89</v>
      </c>
      <c r="W113" s="38" t="s">
        <v>10128</v>
      </c>
      <c r="X113" s="26" t="s">
        <v>10411</v>
      </c>
      <c r="Y113" s="26" t="s">
        <v>91</v>
      </c>
      <c r="Z113" s="26" t="s">
        <v>91</v>
      </c>
      <c r="AA113" s="26" t="s">
        <v>172</v>
      </c>
      <c r="AB113" s="31" t="s">
        <v>19</v>
      </c>
      <c r="AC113" s="30" t="s">
        <v>172</v>
      </c>
      <c r="AD113" s="25" t="s">
        <v>172</v>
      </c>
      <c r="AE113" s="25" t="s">
        <v>174</v>
      </c>
      <c r="AF113" s="26" t="s">
        <v>175</v>
      </c>
      <c r="AG113" s="32">
        <f t="shared" si="6"/>
        <v>1</v>
      </c>
      <c r="AH113" s="32">
        <v>1</v>
      </c>
      <c r="AI113" s="32">
        <v>1</v>
      </c>
      <c r="AJ113" s="32">
        <v>1</v>
      </c>
      <c r="AK113" s="30"/>
      <c r="AL113" s="32">
        <f t="shared" si="5"/>
        <v>1</v>
      </c>
      <c r="AM113" s="30"/>
      <c r="AN113" s="32"/>
      <c r="AO113" s="32">
        <v>1</v>
      </c>
      <c r="AP113" s="32">
        <v>1</v>
      </c>
      <c r="AQ113" s="32">
        <v>1</v>
      </c>
      <c r="AR113" s="32">
        <v>1</v>
      </c>
      <c r="AS113" s="32"/>
      <c r="AT113" s="32">
        <v>1</v>
      </c>
      <c r="AU113" s="30"/>
      <c r="AV113" s="30"/>
      <c r="AW113" s="30"/>
      <c r="AX113" s="30" t="s">
        <v>11218</v>
      </c>
      <c r="AY113" s="30"/>
      <c r="AZ113" s="75" t="s">
        <v>11118</v>
      </c>
    </row>
    <row r="114" spans="1:52" ht="16.5">
      <c r="A114" s="25" t="s">
        <v>11219</v>
      </c>
      <c r="B114" s="25" t="s">
        <v>4398</v>
      </c>
      <c r="C114" s="25" t="s">
        <v>68</v>
      </c>
      <c r="D114" s="25" t="s">
        <v>11220</v>
      </c>
      <c r="E114" s="258" t="s">
        <v>11221</v>
      </c>
      <c r="F114" s="25" t="s">
        <v>11222</v>
      </c>
      <c r="G114" s="25" t="s">
        <v>3138</v>
      </c>
      <c r="H114" s="25" t="s">
        <v>3138</v>
      </c>
      <c r="I114" s="26" t="s">
        <v>9528</v>
      </c>
      <c r="J114" s="26" t="s">
        <v>9281</v>
      </c>
      <c r="K114" s="62" t="s">
        <v>10407</v>
      </c>
      <c r="L114" s="25" t="s">
        <v>73</v>
      </c>
      <c r="M114" s="25" t="s">
        <v>11223</v>
      </c>
      <c r="N114" s="49" t="s">
        <v>11224</v>
      </c>
      <c r="O114" s="27" t="s">
        <v>11225</v>
      </c>
      <c r="P114" s="28"/>
      <c r="Q114" s="29">
        <v>4</v>
      </c>
      <c r="R114" s="29">
        <v>16</v>
      </c>
      <c r="S114" s="29">
        <v>266.14999999999998</v>
      </c>
      <c r="T114" s="30" t="s">
        <v>88</v>
      </c>
      <c r="U114" s="30" t="s">
        <v>78</v>
      </c>
      <c r="V114" s="30" t="s">
        <v>89</v>
      </c>
      <c r="W114" s="38" t="s">
        <v>10128</v>
      </c>
      <c r="X114" s="26" t="s">
        <v>10411</v>
      </c>
      <c r="Y114" s="26" t="s">
        <v>91</v>
      </c>
      <c r="Z114" s="26" t="s">
        <v>91</v>
      </c>
      <c r="AA114" s="26" t="s">
        <v>172</v>
      </c>
      <c r="AB114" s="31" t="s">
        <v>19</v>
      </c>
      <c r="AC114" s="30" t="s">
        <v>172</v>
      </c>
      <c r="AD114" s="25" t="s">
        <v>172</v>
      </c>
      <c r="AE114" s="25" t="s">
        <v>174</v>
      </c>
      <c r="AF114" s="26" t="s">
        <v>175</v>
      </c>
      <c r="AG114" s="32">
        <f t="shared" si="6"/>
        <v>1</v>
      </c>
      <c r="AH114" s="32">
        <v>1</v>
      </c>
      <c r="AI114" s="32">
        <v>1</v>
      </c>
      <c r="AJ114" s="32">
        <v>1</v>
      </c>
      <c r="AK114" s="30"/>
      <c r="AL114" s="32">
        <f t="shared" si="5"/>
        <v>1</v>
      </c>
      <c r="AM114" s="30"/>
      <c r="AN114" s="32"/>
      <c r="AO114" s="32">
        <v>1</v>
      </c>
      <c r="AP114" s="32">
        <v>1</v>
      </c>
      <c r="AQ114" s="32">
        <v>1</v>
      </c>
      <c r="AR114" s="32">
        <v>1</v>
      </c>
      <c r="AS114" s="32"/>
      <c r="AT114" s="32">
        <v>1</v>
      </c>
      <c r="AU114" s="30"/>
      <c r="AV114" s="30"/>
      <c r="AW114" s="30"/>
      <c r="AX114" s="30" t="s">
        <v>11226</v>
      </c>
      <c r="AY114" s="30"/>
      <c r="AZ114" s="75" t="s">
        <v>11111</v>
      </c>
    </row>
    <row r="115" spans="1:52" ht="16.5">
      <c r="A115" s="25" t="s">
        <v>11227</v>
      </c>
      <c r="B115" s="25" t="s">
        <v>4398</v>
      </c>
      <c r="C115" s="25" t="s">
        <v>73</v>
      </c>
      <c r="D115" s="25" t="s">
        <v>11228</v>
      </c>
      <c r="E115" s="258" t="s">
        <v>11229</v>
      </c>
      <c r="F115" s="25" t="s">
        <v>11230</v>
      </c>
      <c r="G115" s="25" t="s">
        <v>3138</v>
      </c>
      <c r="H115" s="25" t="s">
        <v>3138</v>
      </c>
      <c r="I115" s="26" t="s">
        <v>9528</v>
      </c>
      <c r="J115" s="26" t="s">
        <v>9281</v>
      </c>
      <c r="K115" s="62" t="s">
        <v>10407</v>
      </c>
      <c r="L115" s="25" t="s">
        <v>73</v>
      </c>
      <c r="M115" s="25" t="s">
        <v>11218</v>
      </c>
      <c r="N115" s="49" t="s">
        <v>11231</v>
      </c>
      <c r="O115" s="27" t="s">
        <v>11232</v>
      </c>
      <c r="P115" s="28"/>
      <c r="Q115" s="77">
        <v>4</v>
      </c>
      <c r="R115" s="77" t="s">
        <v>4409</v>
      </c>
      <c r="S115" s="77" t="s">
        <v>11233</v>
      </c>
      <c r="T115" s="30" t="s">
        <v>88</v>
      </c>
      <c r="U115" s="30" t="s">
        <v>78</v>
      </c>
      <c r="V115" s="30" t="s">
        <v>89</v>
      </c>
      <c r="W115" s="38" t="s">
        <v>10128</v>
      </c>
      <c r="X115" s="26" t="s">
        <v>10411</v>
      </c>
      <c r="Y115" s="26" t="s">
        <v>91</v>
      </c>
      <c r="Z115" s="26" t="s">
        <v>91</v>
      </c>
      <c r="AA115" s="26" t="s">
        <v>172</v>
      </c>
      <c r="AB115" s="31" t="s">
        <v>19</v>
      </c>
      <c r="AC115" s="30" t="s">
        <v>172</v>
      </c>
      <c r="AD115" s="25" t="s">
        <v>10602</v>
      </c>
      <c r="AE115" s="25" t="s">
        <v>172</v>
      </c>
      <c r="AF115" s="26" t="s">
        <v>175</v>
      </c>
      <c r="AG115" s="32">
        <f t="shared" si="6"/>
        <v>1</v>
      </c>
      <c r="AH115" s="32">
        <v>1</v>
      </c>
      <c r="AI115" s="32">
        <v>1</v>
      </c>
      <c r="AJ115" s="32">
        <v>1</v>
      </c>
      <c r="AK115" s="30"/>
      <c r="AL115" s="32">
        <f t="shared" si="5"/>
        <v>1</v>
      </c>
      <c r="AM115" s="30"/>
      <c r="AN115" s="32"/>
      <c r="AO115" s="32">
        <v>1</v>
      </c>
      <c r="AP115" s="32">
        <v>1</v>
      </c>
      <c r="AQ115" s="32">
        <v>1</v>
      </c>
      <c r="AR115" s="32">
        <v>1</v>
      </c>
      <c r="AS115" s="32"/>
      <c r="AT115" s="32">
        <v>1</v>
      </c>
      <c r="AU115" s="30"/>
      <c r="AV115" s="30"/>
      <c r="AW115" s="30"/>
      <c r="AX115" s="30" t="s">
        <v>11005</v>
      </c>
      <c r="AY115" s="30"/>
      <c r="AZ115" s="75" t="s">
        <v>10061</v>
      </c>
    </row>
    <row r="116" spans="1:52" ht="16.5">
      <c r="A116" s="25" t="s">
        <v>11234</v>
      </c>
      <c r="B116" s="25" t="s">
        <v>4398</v>
      </c>
      <c r="C116" s="25" t="s">
        <v>68</v>
      </c>
      <c r="D116" s="25" t="s">
        <v>11235</v>
      </c>
      <c r="E116" s="258" t="s">
        <v>11236</v>
      </c>
      <c r="F116" s="25" t="s">
        <v>11237</v>
      </c>
      <c r="G116" s="25" t="s">
        <v>3138</v>
      </c>
      <c r="H116" s="25" t="s">
        <v>3138</v>
      </c>
      <c r="I116" s="26" t="s">
        <v>9528</v>
      </c>
      <c r="J116" s="26" t="s">
        <v>9281</v>
      </c>
      <c r="K116" s="62" t="s">
        <v>10407</v>
      </c>
      <c r="L116" s="25" t="s">
        <v>73</v>
      </c>
      <c r="M116" s="25" t="s">
        <v>11238</v>
      </c>
      <c r="N116" s="49" t="s">
        <v>11239</v>
      </c>
      <c r="O116" s="27" t="s">
        <v>11240</v>
      </c>
      <c r="P116" s="28"/>
      <c r="Q116" s="29">
        <v>4</v>
      </c>
      <c r="R116" s="29">
        <v>16</v>
      </c>
      <c r="S116" s="29">
        <v>287.76</v>
      </c>
      <c r="T116" s="30" t="s">
        <v>88</v>
      </c>
      <c r="U116" s="30" t="s">
        <v>78</v>
      </c>
      <c r="V116" s="30" t="s">
        <v>89</v>
      </c>
      <c r="W116" s="38" t="s">
        <v>10128</v>
      </c>
      <c r="X116" s="26" t="s">
        <v>10411</v>
      </c>
      <c r="Y116" s="26" t="s">
        <v>91</v>
      </c>
      <c r="Z116" s="26" t="s">
        <v>91</v>
      </c>
      <c r="AA116" s="26" t="s">
        <v>172</v>
      </c>
      <c r="AB116" s="31" t="s">
        <v>19</v>
      </c>
      <c r="AC116" s="30" t="s">
        <v>172</v>
      </c>
      <c r="AD116" s="25" t="s">
        <v>172</v>
      </c>
      <c r="AE116" s="25" t="s">
        <v>174</v>
      </c>
      <c r="AF116" s="26" t="s">
        <v>175</v>
      </c>
      <c r="AG116" s="32">
        <f t="shared" si="6"/>
        <v>1</v>
      </c>
      <c r="AH116" s="32">
        <v>1</v>
      </c>
      <c r="AI116" s="32">
        <v>1</v>
      </c>
      <c r="AJ116" s="32">
        <v>1</v>
      </c>
      <c r="AK116" s="30"/>
      <c r="AL116" s="32">
        <f t="shared" si="5"/>
        <v>1</v>
      </c>
      <c r="AM116" s="30"/>
      <c r="AN116" s="32"/>
      <c r="AO116" s="32">
        <v>1</v>
      </c>
      <c r="AP116" s="32">
        <v>1</v>
      </c>
      <c r="AQ116" s="32">
        <v>1</v>
      </c>
      <c r="AR116" s="32">
        <v>1</v>
      </c>
      <c r="AS116" s="32"/>
      <c r="AT116" s="32">
        <v>1</v>
      </c>
      <c r="AU116" s="30"/>
      <c r="AV116" s="30"/>
      <c r="AW116" s="30"/>
      <c r="AX116" s="30" t="s">
        <v>11174</v>
      </c>
      <c r="AY116" s="30"/>
      <c r="AZ116" s="75" t="s">
        <v>11103</v>
      </c>
    </row>
    <row r="117" spans="1:52" ht="16.5">
      <c r="A117" s="25" t="s">
        <v>11241</v>
      </c>
      <c r="B117" s="25" t="s">
        <v>4398</v>
      </c>
      <c r="C117" s="25" t="s">
        <v>73</v>
      </c>
      <c r="D117" s="25" t="s">
        <v>11242</v>
      </c>
      <c r="E117" s="258" t="s">
        <v>11243</v>
      </c>
      <c r="F117" s="25" t="s">
        <v>11244</v>
      </c>
      <c r="G117" s="25" t="s">
        <v>3138</v>
      </c>
      <c r="H117" s="25" t="s">
        <v>3138</v>
      </c>
      <c r="I117" s="26" t="s">
        <v>9528</v>
      </c>
      <c r="J117" s="26" t="s">
        <v>9281</v>
      </c>
      <c r="K117" s="62" t="s">
        <v>10407</v>
      </c>
      <c r="L117" s="25" t="s">
        <v>73</v>
      </c>
      <c r="M117" s="25" t="s">
        <v>11245</v>
      </c>
      <c r="N117" s="49" t="s">
        <v>11246</v>
      </c>
      <c r="O117" s="27" t="s">
        <v>11247</v>
      </c>
      <c r="P117" s="28"/>
      <c r="Q117" s="77">
        <v>4</v>
      </c>
      <c r="R117" s="77" t="s">
        <v>4409</v>
      </c>
      <c r="S117" s="77" t="s">
        <v>11248</v>
      </c>
      <c r="T117" s="30" t="s">
        <v>88</v>
      </c>
      <c r="U117" s="30" t="s">
        <v>78</v>
      </c>
      <c r="V117" s="30" t="s">
        <v>89</v>
      </c>
      <c r="W117" s="38" t="s">
        <v>10128</v>
      </c>
      <c r="X117" s="26" t="s">
        <v>10411</v>
      </c>
      <c r="Y117" s="26" t="s">
        <v>91</v>
      </c>
      <c r="Z117" s="26" t="s">
        <v>91</v>
      </c>
      <c r="AA117" s="26" t="s">
        <v>172</v>
      </c>
      <c r="AB117" s="31" t="s">
        <v>19</v>
      </c>
      <c r="AC117" s="30" t="s">
        <v>172</v>
      </c>
      <c r="AD117" s="25" t="s">
        <v>4423</v>
      </c>
      <c r="AE117" s="25" t="s">
        <v>172</v>
      </c>
      <c r="AF117" s="26" t="s">
        <v>175</v>
      </c>
      <c r="AG117" s="32">
        <f t="shared" si="6"/>
        <v>1</v>
      </c>
      <c r="AH117" s="32">
        <v>1</v>
      </c>
      <c r="AI117" s="32">
        <v>1</v>
      </c>
      <c r="AJ117" s="32">
        <v>1</v>
      </c>
      <c r="AK117" s="30"/>
      <c r="AL117" s="32">
        <f t="shared" si="5"/>
        <v>1</v>
      </c>
      <c r="AM117" s="30"/>
      <c r="AN117" s="32"/>
      <c r="AO117" s="32">
        <v>1</v>
      </c>
      <c r="AP117" s="32">
        <v>1</v>
      </c>
      <c r="AQ117" s="32">
        <v>1</v>
      </c>
      <c r="AR117" s="32">
        <v>1</v>
      </c>
      <c r="AS117" s="32"/>
      <c r="AT117" s="32">
        <v>1</v>
      </c>
      <c r="AU117" s="30"/>
      <c r="AV117" s="30"/>
      <c r="AW117" s="30"/>
      <c r="AX117" s="30" t="s">
        <v>11249</v>
      </c>
      <c r="AY117" s="30"/>
      <c r="AZ117" s="75" t="s">
        <v>11250</v>
      </c>
    </row>
    <row r="118" spans="1:52" ht="16.5">
      <c r="A118" s="25" t="s">
        <v>11251</v>
      </c>
      <c r="B118" s="25" t="s">
        <v>4398</v>
      </c>
      <c r="C118" s="25" t="s">
        <v>73</v>
      </c>
      <c r="D118" s="25" t="s">
        <v>11252</v>
      </c>
      <c r="E118" s="258" t="s">
        <v>11253</v>
      </c>
      <c r="F118" s="25" t="s">
        <v>11254</v>
      </c>
      <c r="G118" s="25" t="s">
        <v>3138</v>
      </c>
      <c r="H118" s="25" t="s">
        <v>3138</v>
      </c>
      <c r="I118" s="26" t="s">
        <v>9528</v>
      </c>
      <c r="J118" s="26" t="s">
        <v>9281</v>
      </c>
      <c r="K118" s="62" t="s">
        <v>10407</v>
      </c>
      <c r="L118" s="25" t="s">
        <v>73</v>
      </c>
      <c r="M118" s="25" t="s">
        <v>11178</v>
      </c>
      <c r="N118" s="49" t="s">
        <v>11255</v>
      </c>
      <c r="O118" s="27" t="s">
        <v>11256</v>
      </c>
      <c r="P118" s="28"/>
      <c r="Q118" s="77">
        <v>4</v>
      </c>
      <c r="R118" s="77" t="s">
        <v>4409</v>
      </c>
      <c r="S118" s="77" t="s">
        <v>11257</v>
      </c>
      <c r="T118" s="30" t="s">
        <v>88</v>
      </c>
      <c r="U118" s="30" t="s">
        <v>78</v>
      </c>
      <c r="V118" s="30" t="s">
        <v>89</v>
      </c>
      <c r="W118" s="38" t="s">
        <v>10128</v>
      </c>
      <c r="X118" s="26" t="s">
        <v>10411</v>
      </c>
      <c r="Y118" s="26" t="s">
        <v>91</v>
      </c>
      <c r="Z118" s="26" t="s">
        <v>91</v>
      </c>
      <c r="AA118" s="26" t="s">
        <v>172</v>
      </c>
      <c r="AB118" s="31" t="s">
        <v>19</v>
      </c>
      <c r="AC118" s="30" t="s">
        <v>172</v>
      </c>
      <c r="AD118" s="25" t="s">
        <v>4423</v>
      </c>
      <c r="AE118" s="25" t="s">
        <v>172</v>
      </c>
      <c r="AF118" s="26" t="s">
        <v>175</v>
      </c>
      <c r="AG118" s="32">
        <f t="shared" si="6"/>
        <v>1</v>
      </c>
      <c r="AH118" s="32">
        <v>1</v>
      </c>
      <c r="AI118" s="32">
        <v>1</v>
      </c>
      <c r="AJ118" s="32">
        <v>1</v>
      </c>
      <c r="AK118" s="30"/>
      <c r="AL118" s="32">
        <f t="shared" si="5"/>
        <v>1</v>
      </c>
      <c r="AM118" s="30"/>
      <c r="AN118" s="32"/>
      <c r="AO118" s="32">
        <v>1</v>
      </c>
      <c r="AP118" s="32">
        <v>1</v>
      </c>
      <c r="AQ118" s="32">
        <v>1</v>
      </c>
      <c r="AR118" s="32">
        <v>1</v>
      </c>
      <c r="AS118" s="32"/>
      <c r="AT118" s="32">
        <v>1</v>
      </c>
      <c r="AU118" s="30"/>
      <c r="AV118" s="30"/>
      <c r="AW118" s="30"/>
      <c r="AX118" s="30" t="s">
        <v>11215</v>
      </c>
      <c r="AY118" s="30"/>
      <c r="AZ118" s="75" t="s">
        <v>11212</v>
      </c>
    </row>
    <row r="119" spans="1:52" ht="16.5">
      <c r="A119" s="25" t="s">
        <v>11258</v>
      </c>
      <c r="B119" s="25" t="s">
        <v>4398</v>
      </c>
      <c r="C119" s="25" t="s">
        <v>68</v>
      </c>
      <c r="D119" s="25" t="s">
        <v>11259</v>
      </c>
      <c r="E119" s="258" t="s">
        <v>11260</v>
      </c>
      <c r="F119" s="25" t="s">
        <v>11261</v>
      </c>
      <c r="G119" s="25" t="s">
        <v>3138</v>
      </c>
      <c r="H119" s="25" t="s">
        <v>3138</v>
      </c>
      <c r="I119" s="26" t="s">
        <v>9528</v>
      </c>
      <c r="J119" s="26" t="s">
        <v>9281</v>
      </c>
      <c r="K119" s="62" t="s">
        <v>10407</v>
      </c>
      <c r="L119" s="25" t="s">
        <v>73</v>
      </c>
      <c r="M119" s="25" t="s">
        <v>11262</v>
      </c>
      <c r="N119" s="49" t="s">
        <v>11263</v>
      </c>
      <c r="O119" s="27" t="s">
        <v>11264</v>
      </c>
      <c r="P119" s="28"/>
      <c r="Q119" s="29">
        <v>8</v>
      </c>
      <c r="R119" s="29">
        <v>32</v>
      </c>
      <c r="S119" s="29">
        <v>282.37</v>
      </c>
      <c r="T119" s="30" t="s">
        <v>88</v>
      </c>
      <c r="U119" s="30" t="s">
        <v>78</v>
      </c>
      <c r="V119" s="30" t="s">
        <v>89</v>
      </c>
      <c r="W119" s="38" t="s">
        <v>10128</v>
      </c>
      <c r="X119" s="26" t="s">
        <v>10411</v>
      </c>
      <c r="Y119" s="26" t="s">
        <v>91</v>
      </c>
      <c r="Z119" s="26" t="s">
        <v>91</v>
      </c>
      <c r="AA119" s="26" t="s">
        <v>172</v>
      </c>
      <c r="AB119" s="31" t="s">
        <v>19</v>
      </c>
      <c r="AC119" s="30" t="s">
        <v>172</v>
      </c>
      <c r="AD119" s="25" t="s">
        <v>172</v>
      </c>
      <c r="AE119" s="25" t="s">
        <v>174</v>
      </c>
      <c r="AF119" s="26" t="s">
        <v>175</v>
      </c>
      <c r="AG119" s="32">
        <f t="shared" si="6"/>
        <v>1</v>
      </c>
      <c r="AH119" s="32">
        <v>1</v>
      </c>
      <c r="AI119" s="32">
        <v>1</v>
      </c>
      <c r="AJ119" s="32">
        <v>1</v>
      </c>
      <c r="AK119" s="30"/>
      <c r="AL119" s="32">
        <f t="shared" si="5"/>
        <v>1</v>
      </c>
      <c r="AM119" s="30"/>
      <c r="AN119" s="32"/>
      <c r="AO119" s="32">
        <v>1</v>
      </c>
      <c r="AP119" s="32">
        <v>1</v>
      </c>
      <c r="AQ119" s="32">
        <v>1</v>
      </c>
      <c r="AR119" s="32">
        <v>1</v>
      </c>
      <c r="AS119" s="32"/>
      <c r="AT119" s="32">
        <v>1</v>
      </c>
      <c r="AU119" s="30"/>
      <c r="AV119" s="30"/>
      <c r="AW119" s="30"/>
      <c r="AX119" s="30" t="s">
        <v>11265</v>
      </c>
      <c r="AY119" s="30"/>
      <c r="AZ119" s="75" t="s">
        <v>11198</v>
      </c>
    </row>
    <row r="120" spans="1:52" ht="16.5">
      <c r="A120" s="25" t="s">
        <v>11266</v>
      </c>
      <c r="B120" s="25" t="s">
        <v>4398</v>
      </c>
      <c r="C120" s="25" t="s">
        <v>68</v>
      </c>
      <c r="D120" s="25" t="s">
        <v>11250</v>
      </c>
      <c r="E120" s="258" t="s">
        <v>11267</v>
      </c>
      <c r="F120" s="25" t="s">
        <v>11268</v>
      </c>
      <c r="G120" s="25" t="s">
        <v>3138</v>
      </c>
      <c r="H120" s="25" t="s">
        <v>3138</v>
      </c>
      <c r="I120" s="26" t="s">
        <v>9528</v>
      </c>
      <c r="J120" s="26" t="s">
        <v>9281</v>
      </c>
      <c r="K120" s="62" t="s">
        <v>10407</v>
      </c>
      <c r="L120" s="25" t="s">
        <v>73</v>
      </c>
      <c r="M120" s="25" t="s">
        <v>11249</v>
      </c>
      <c r="N120" s="49" t="s">
        <v>11269</v>
      </c>
      <c r="O120" s="27" t="s">
        <v>11270</v>
      </c>
      <c r="P120" s="28"/>
      <c r="Q120" s="29">
        <v>4</v>
      </c>
      <c r="R120" s="29">
        <v>16</v>
      </c>
      <c r="S120" s="29">
        <v>337.28</v>
      </c>
      <c r="T120" s="30" t="s">
        <v>88</v>
      </c>
      <c r="U120" s="30" t="s">
        <v>78</v>
      </c>
      <c r="V120" s="30" t="s">
        <v>89</v>
      </c>
      <c r="W120" s="38" t="s">
        <v>10128</v>
      </c>
      <c r="X120" s="26" t="s">
        <v>10411</v>
      </c>
      <c r="Y120" s="26" t="s">
        <v>91</v>
      </c>
      <c r="Z120" s="26" t="s">
        <v>91</v>
      </c>
      <c r="AA120" s="26" t="s">
        <v>172</v>
      </c>
      <c r="AB120" s="31" t="s">
        <v>19</v>
      </c>
      <c r="AC120" s="30" t="s">
        <v>172</v>
      </c>
      <c r="AD120" s="25" t="s">
        <v>172</v>
      </c>
      <c r="AE120" s="25" t="s">
        <v>174</v>
      </c>
      <c r="AF120" s="26" t="s">
        <v>175</v>
      </c>
      <c r="AG120" s="32">
        <f t="shared" si="6"/>
        <v>1</v>
      </c>
      <c r="AH120" s="32">
        <v>1</v>
      </c>
      <c r="AI120" s="32">
        <v>1</v>
      </c>
      <c r="AJ120" s="32">
        <v>1</v>
      </c>
      <c r="AK120" s="30"/>
      <c r="AL120" s="32">
        <f t="shared" si="5"/>
        <v>1</v>
      </c>
      <c r="AM120" s="30"/>
      <c r="AN120" s="32"/>
      <c r="AO120" s="32">
        <v>1</v>
      </c>
      <c r="AP120" s="32">
        <v>1</v>
      </c>
      <c r="AQ120" s="32">
        <v>1</v>
      </c>
      <c r="AR120" s="32">
        <v>1</v>
      </c>
      <c r="AS120" s="32"/>
      <c r="AT120" s="32">
        <v>1</v>
      </c>
      <c r="AU120" s="30"/>
      <c r="AV120" s="30"/>
      <c r="AW120" s="30"/>
      <c r="AX120" s="30" t="s">
        <v>11049</v>
      </c>
      <c r="AY120" s="30"/>
      <c r="AZ120" s="75" t="s">
        <v>11271</v>
      </c>
    </row>
    <row r="121" spans="1:52" ht="16.5">
      <c r="A121" s="25" t="s">
        <v>11272</v>
      </c>
      <c r="B121" s="25" t="s">
        <v>4398</v>
      </c>
      <c r="C121" s="25" t="s">
        <v>68</v>
      </c>
      <c r="D121" s="25" t="s">
        <v>11273</v>
      </c>
      <c r="E121" s="258" t="s">
        <v>11274</v>
      </c>
      <c r="F121" s="25" t="s">
        <v>11275</v>
      </c>
      <c r="G121" s="25" t="s">
        <v>3138</v>
      </c>
      <c r="H121" s="25" t="s">
        <v>3138</v>
      </c>
      <c r="I121" s="26" t="s">
        <v>9528</v>
      </c>
      <c r="J121" s="26" t="s">
        <v>9281</v>
      </c>
      <c r="K121" s="62" t="s">
        <v>10407</v>
      </c>
      <c r="L121" s="25" t="s">
        <v>73</v>
      </c>
      <c r="M121" s="25" t="s">
        <v>11276</v>
      </c>
      <c r="N121" s="49" t="s">
        <v>11277</v>
      </c>
      <c r="O121" s="27" t="s">
        <v>11278</v>
      </c>
      <c r="P121" s="28"/>
      <c r="Q121" s="29">
        <v>4</v>
      </c>
      <c r="R121" s="29">
        <v>16</v>
      </c>
      <c r="S121" s="29">
        <v>306.83</v>
      </c>
      <c r="T121" s="30" t="s">
        <v>88</v>
      </c>
      <c r="U121" s="30" t="s">
        <v>78</v>
      </c>
      <c r="V121" s="30" t="s">
        <v>89</v>
      </c>
      <c r="W121" s="38" t="s">
        <v>10128</v>
      </c>
      <c r="X121" s="26" t="s">
        <v>10411</v>
      </c>
      <c r="Y121" s="26" t="s">
        <v>91</v>
      </c>
      <c r="Z121" s="26" t="s">
        <v>91</v>
      </c>
      <c r="AA121" s="26" t="s">
        <v>172</v>
      </c>
      <c r="AB121" s="31" t="s">
        <v>19</v>
      </c>
      <c r="AC121" s="30" t="s">
        <v>172</v>
      </c>
      <c r="AD121" s="25" t="s">
        <v>172</v>
      </c>
      <c r="AE121" s="25" t="s">
        <v>174</v>
      </c>
      <c r="AF121" s="26" t="s">
        <v>175</v>
      </c>
      <c r="AG121" s="32">
        <f t="shared" si="6"/>
        <v>1</v>
      </c>
      <c r="AH121" s="32">
        <v>1</v>
      </c>
      <c r="AI121" s="32">
        <v>1</v>
      </c>
      <c r="AJ121" s="32">
        <v>1</v>
      </c>
      <c r="AK121" s="30"/>
      <c r="AL121" s="32">
        <f t="shared" ref="AL121:AL142" si="7">IF(COUNTIF(AX:AX,"*"&amp;M121&amp;"*")&gt;0,1,0)</f>
        <v>1</v>
      </c>
      <c r="AM121" s="30"/>
      <c r="AN121" s="32"/>
      <c r="AO121" s="32">
        <v>1</v>
      </c>
      <c r="AP121" s="32">
        <v>1</v>
      </c>
      <c r="AQ121" s="32">
        <v>1</v>
      </c>
      <c r="AR121" s="32">
        <v>1</v>
      </c>
      <c r="AS121" s="32"/>
      <c r="AT121" s="32">
        <v>1</v>
      </c>
      <c r="AU121" s="30"/>
      <c r="AV121" s="30"/>
      <c r="AW121" s="30"/>
      <c r="AX121" s="30" t="s">
        <v>11106</v>
      </c>
      <c r="AY121" s="30"/>
      <c r="AZ121" s="75" t="s">
        <v>11235</v>
      </c>
    </row>
    <row r="122" spans="1:52" ht="16.5">
      <c r="A122" s="25" t="s">
        <v>11279</v>
      </c>
      <c r="B122" s="25" t="s">
        <v>4398</v>
      </c>
      <c r="C122" s="25" t="s">
        <v>73</v>
      </c>
      <c r="D122" s="25" t="s">
        <v>11280</v>
      </c>
      <c r="E122" s="258" t="s">
        <v>11281</v>
      </c>
      <c r="F122" s="25" t="s">
        <v>11282</v>
      </c>
      <c r="G122" s="25" t="s">
        <v>3138</v>
      </c>
      <c r="H122" s="25" t="s">
        <v>3138</v>
      </c>
      <c r="I122" s="26" t="s">
        <v>9528</v>
      </c>
      <c r="J122" s="26" t="s">
        <v>9281</v>
      </c>
      <c r="K122" s="62" t="s">
        <v>10407</v>
      </c>
      <c r="L122" s="25" t="s">
        <v>73</v>
      </c>
      <c r="M122" s="25" t="s">
        <v>11283</v>
      </c>
      <c r="N122" s="49" t="s">
        <v>11284</v>
      </c>
      <c r="O122" s="27" t="s">
        <v>11285</v>
      </c>
      <c r="P122" s="28"/>
      <c r="Q122" s="77">
        <v>4</v>
      </c>
      <c r="R122" s="77" t="s">
        <v>4409</v>
      </c>
      <c r="S122" s="77" t="s">
        <v>9076</v>
      </c>
      <c r="T122" s="30" t="s">
        <v>88</v>
      </c>
      <c r="U122" s="30" t="s">
        <v>78</v>
      </c>
      <c r="V122" s="30" t="s">
        <v>89</v>
      </c>
      <c r="W122" s="38" t="s">
        <v>10128</v>
      </c>
      <c r="X122" s="26" t="s">
        <v>10411</v>
      </c>
      <c r="Y122" s="26" t="s">
        <v>91</v>
      </c>
      <c r="Z122" s="26" t="s">
        <v>91</v>
      </c>
      <c r="AA122" s="26" t="s">
        <v>172</v>
      </c>
      <c r="AB122" s="31" t="s">
        <v>19</v>
      </c>
      <c r="AC122" s="30" t="s">
        <v>172</v>
      </c>
      <c r="AD122" s="25" t="s">
        <v>4423</v>
      </c>
      <c r="AE122" s="25" t="s">
        <v>172</v>
      </c>
      <c r="AF122" s="26" t="s">
        <v>175</v>
      </c>
      <c r="AG122" s="32">
        <f t="shared" si="6"/>
        <v>1</v>
      </c>
      <c r="AH122" s="32">
        <v>1</v>
      </c>
      <c r="AI122" s="32">
        <v>1</v>
      </c>
      <c r="AJ122" s="32">
        <v>1</v>
      </c>
      <c r="AK122" s="30"/>
      <c r="AL122" s="32">
        <f t="shared" si="7"/>
        <v>1</v>
      </c>
      <c r="AM122" s="30"/>
      <c r="AN122" s="32"/>
      <c r="AO122" s="32">
        <v>1</v>
      </c>
      <c r="AP122" s="32">
        <v>1</v>
      </c>
      <c r="AQ122" s="32">
        <v>1</v>
      </c>
      <c r="AR122" s="32">
        <v>1</v>
      </c>
      <c r="AS122" s="32"/>
      <c r="AT122" s="32">
        <v>1</v>
      </c>
      <c r="AU122" s="30"/>
      <c r="AV122" s="30"/>
      <c r="AW122" s="30"/>
      <c r="AX122" s="30" t="s">
        <v>11286</v>
      </c>
      <c r="AY122" s="30"/>
      <c r="AZ122" s="75" t="s">
        <v>11287</v>
      </c>
    </row>
    <row r="123" spans="1:52" ht="16.5">
      <c r="A123" s="25" t="s">
        <v>11288</v>
      </c>
      <c r="B123" s="25" t="s">
        <v>4398</v>
      </c>
      <c r="C123" s="25" t="s">
        <v>68</v>
      </c>
      <c r="D123" s="25" t="s">
        <v>11271</v>
      </c>
      <c r="E123" s="258" t="s">
        <v>11289</v>
      </c>
      <c r="F123" s="25" t="s">
        <v>11290</v>
      </c>
      <c r="G123" s="25" t="s">
        <v>3138</v>
      </c>
      <c r="H123" s="25" t="s">
        <v>3138</v>
      </c>
      <c r="I123" s="26" t="s">
        <v>9528</v>
      </c>
      <c r="J123" s="26" t="s">
        <v>9281</v>
      </c>
      <c r="K123" s="62" t="s">
        <v>10407</v>
      </c>
      <c r="L123" s="25" t="s">
        <v>73</v>
      </c>
      <c r="M123" s="25" t="s">
        <v>11291</v>
      </c>
      <c r="N123" s="49" t="s">
        <v>11292</v>
      </c>
      <c r="O123" s="27" t="s">
        <v>11293</v>
      </c>
      <c r="P123" s="28"/>
      <c r="Q123" s="29">
        <v>4</v>
      </c>
      <c r="R123" s="29">
        <v>16</v>
      </c>
      <c r="S123" s="29">
        <v>297.70999999999998</v>
      </c>
      <c r="T123" s="30" t="s">
        <v>88</v>
      </c>
      <c r="U123" s="30" t="s">
        <v>78</v>
      </c>
      <c r="V123" s="30" t="s">
        <v>89</v>
      </c>
      <c r="W123" s="38" t="s">
        <v>10128</v>
      </c>
      <c r="X123" s="26" t="s">
        <v>10411</v>
      </c>
      <c r="Y123" s="26" t="s">
        <v>91</v>
      </c>
      <c r="Z123" s="26" t="s">
        <v>91</v>
      </c>
      <c r="AA123" s="26" t="s">
        <v>172</v>
      </c>
      <c r="AB123" s="31" t="s">
        <v>19</v>
      </c>
      <c r="AC123" s="30" t="s">
        <v>172</v>
      </c>
      <c r="AD123" s="25" t="s">
        <v>172</v>
      </c>
      <c r="AE123" s="25" t="s">
        <v>174</v>
      </c>
      <c r="AF123" s="26" t="s">
        <v>175</v>
      </c>
      <c r="AG123" s="32">
        <f t="shared" si="6"/>
        <v>1</v>
      </c>
      <c r="AH123" s="32">
        <v>1</v>
      </c>
      <c r="AI123" s="32">
        <v>1</v>
      </c>
      <c r="AJ123" s="32">
        <v>1</v>
      </c>
      <c r="AK123" s="30"/>
      <c r="AL123" s="32">
        <f t="shared" si="7"/>
        <v>1</v>
      </c>
      <c r="AM123" s="30"/>
      <c r="AN123" s="32"/>
      <c r="AO123" s="32">
        <v>1</v>
      </c>
      <c r="AP123" s="32">
        <v>1</v>
      </c>
      <c r="AQ123" s="32">
        <v>1</v>
      </c>
      <c r="AR123" s="32">
        <v>1</v>
      </c>
      <c r="AS123" s="32"/>
      <c r="AT123" s="32">
        <v>1</v>
      </c>
      <c r="AU123" s="30"/>
      <c r="AV123" s="30"/>
      <c r="AW123" s="30"/>
      <c r="AX123" s="30" t="s">
        <v>11294</v>
      </c>
      <c r="AY123" s="30"/>
      <c r="AZ123" s="75" t="s">
        <v>11273</v>
      </c>
    </row>
    <row r="124" spans="1:52" ht="16.5">
      <c r="A124" s="25" t="s">
        <v>11295</v>
      </c>
      <c r="B124" s="25" t="s">
        <v>4398</v>
      </c>
      <c r="C124" s="25" t="s">
        <v>68</v>
      </c>
      <c r="D124" s="25" t="s">
        <v>11296</v>
      </c>
      <c r="E124" s="258" t="s">
        <v>11297</v>
      </c>
      <c r="F124" s="25" t="s">
        <v>11298</v>
      </c>
      <c r="G124" s="25" t="s">
        <v>3138</v>
      </c>
      <c r="H124" s="25" t="s">
        <v>3138</v>
      </c>
      <c r="I124" s="26" t="s">
        <v>9528</v>
      </c>
      <c r="J124" s="26" t="s">
        <v>9281</v>
      </c>
      <c r="K124" s="62" t="s">
        <v>10407</v>
      </c>
      <c r="L124" s="25" t="s">
        <v>73</v>
      </c>
      <c r="M124" s="25" t="s">
        <v>11299</v>
      </c>
      <c r="N124" s="49" t="s">
        <v>11300</v>
      </c>
      <c r="O124" s="27" t="s">
        <v>11301</v>
      </c>
      <c r="P124" s="28"/>
      <c r="Q124" s="29">
        <v>8</v>
      </c>
      <c r="R124" s="29">
        <v>32</v>
      </c>
      <c r="S124" s="29">
        <v>282.20999999999998</v>
      </c>
      <c r="T124" s="30" t="s">
        <v>88</v>
      </c>
      <c r="U124" s="30" t="s">
        <v>78</v>
      </c>
      <c r="V124" s="30" t="s">
        <v>89</v>
      </c>
      <c r="W124" s="38" t="s">
        <v>10128</v>
      </c>
      <c r="X124" s="26" t="s">
        <v>10411</v>
      </c>
      <c r="Y124" s="26" t="s">
        <v>91</v>
      </c>
      <c r="Z124" s="26" t="s">
        <v>91</v>
      </c>
      <c r="AA124" s="26" t="s">
        <v>172</v>
      </c>
      <c r="AB124" s="31" t="s">
        <v>19</v>
      </c>
      <c r="AC124" s="30" t="s">
        <v>172</v>
      </c>
      <c r="AD124" s="25" t="s">
        <v>172</v>
      </c>
      <c r="AE124" s="25" t="s">
        <v>174</v>
      </c>
      <c r="AF124" s="26" t="s">
        <v>175</v>
      </c>
      <c r="AG124" s="32">
        <f t="shared" si="6"/>
        <v>1</v>
      </c>
      <c r="AH124" s="32">
        <v>1</v>
      </c>
      <c r="AI124" s="32">
        <v>1</v>
      </c>
      <c r="AJ124" s="32">
        <v>1</v>
      </c>
      <c r="AK124" s="30"/>
      <c r="AL124" s="32">
        <f t="shared" si="7"/>
        <v>1</v>
      </c>
      <c r="AM124" s="30"/>
      <c r="AN124" s="32"/>
      <c r="AO124" s="32">
        <v>1</v>
      </c>
      <c r="AP124" s="32">
        <v>1</v>
      </c>
      <c r="AQ124" s="32">
        <v>1</v>
      </c>
      <c r="AR124" s="32">
        <v>1</v>
      </c>
      <c r="AS124" s="32"/>
      <c r="AT124" s="32">
        <v>1</v>
      </c>
      <c r="AU124" s="30"/>
      <c r="AV124" s="30"/>
      <c r="AW124" s="30"/>
      <c r="AX124" s="30" t="s">
        <v>11262</v>
      </c>
      <c r="AY124" s="30"/>
      <c r="AZ124" s="75" t="s">
        <v>11205</v>
      </c>
    </row>
    <row r="125" spans="1:52" ht="16.5">
      <c r="A125" s="25" t="s">
        <v>11302</v>
      </c>
      <c r="B125" s="25" t="s">
        <v>4398</v>
      </c>
      <c r="C125" s="25" t="s">
        <v>68</v>
      </c>
      <c r="D125" s="25" t="s">
        <v>11303</v>
      </c>
      <c r="E125" s="258" t="s">
        <v>11304</v>
      </c>
      <c r="F125" s="25" t="s">
        <v>11305</v>
      </c>
      <c r="G125" s="25" t="s">
        <v>3138</v>
      </c>
      <c r="H125" s="25" t="s">
        <v>3138</v>
      </c>
      <c r="I125" s="26" t="s">
        <v>9528</v>
      </c>
      <c r="J125" s="26" t="s">
        <v>9281</v>
      </c>
      <c r="K125" s="62" t="s">
        <v>10407</v>
      </c>
      <c r="L125" s="25" t="s">
        <v>73</v>
      </c>
      <c r="M125" s="25" t="s">
        <v>11306</v>
      </c>
      <c r="N125" s="49" t="s">
        <v>11307</v>
      </c>
      <c r="O125" s="27" t="s">
        <v>11308</v>
      </c>
      <c r="P125" s="28"/>
      <c r="Q125" s="29">
        <v>4</v>
      </c>
      <c r="R125" s="29">
        <v>16</v>
      </c>
      <c r="S125" s="29">
        <v>267.33999999999997</v>
      </c>
      <c r="T125" s="30" t="s">
        <v>88</v>
      </c>
      <c r="U125" s="30" t="s">
        <v>78</v>
      </c>
      <c r="V125" s="30" t="s">
        <v>89</v>
      </c>
      <c r="W125" s="38" t="s">
        <v>10128</v>
      </c>
      <c r="X125" s="26" t="s">
        <v>10411</v>
      </c>
      <c r="Y125" s="26" t="s">
        <v>91</v>
      </c>
      <c r="Z125" s="26" t="s">
        <v>91</v>
      </c>
      <c r="AA125" s="26" t="s">
        <v>172</v>
      </c>
      <c r="AB125" s="31" t="s">
        <v>19</v>
      </c>
      <c r="AC125" s="30" t="s">
        <v>172</v>
      </c>
      <c r="AD125" s="25" t="s">
        <v>172</v>
      </c>
      <c r="AE125" s="25" t="s">
        <v>174</v>
      </c>
      <c r="AF125" s="26" t="s">
        <v>175</v>
      </c>
      <c r="AG125" s="32">
        <f t="shared" si="6"/>
        <v>1</v>
      </c>
      <c r="AH125" s="32">
        <v>1</v>
      </c>
      <c r="AI125" s="32">
        <v>1</v>
      </c>
      <c r="AJ125" s="32">
        <v>1</v>
      </c>
      <c r="AK125" s="30"/>
      <c r="AL125" s="32">
        <f t="shared" si="7"/>
        <v>1</v>
      </c>
      <c r="AM125" s="30"/>
      <c r="AN125" s="32"/>
      <c r="AO125" s="32">
        <v>1</v>
      </c>
      <c r="AP125" s="32">
        <v>1</v>
      </c>
      <c r="AQ125" s="32">
        <v>1</v>
      </c>
      <c r="AR125" s="32">
        <v>1</v>
      </c>
      <c r="AS125" s="32"/>
      <c r="AT125" s="32">
        <v>1</v>
      </c>
      <c r="AU125" s="30"/>
      <c r="AV125" s="30"/>
      <c r="AW125" s="30"/>
      <c r="AX125" s="30" t="s">
        <v>11306</v>
      </c>
      <c r="AY125" s="30"/>
      <c r="AZ125" s="75" t="s">
        <v>11309</v>
      </c>
    </row>
    <row r="126" spans="1:52" ht="16.5">
      <c r="A126" s="25" t="s">
        <v>11310</v>
      </c>
      <c r="B126" s="25" t="s">
        <v>4398</v>
      </c>
      <c r="C126" s="25" t="s">
        <v>68</v>
      </c>
      <c r="D126" s="25" t="s">
        <v>11287</v>
      </c>
      <c r="E126" s="258" t="s">
        <v>11311</v>
      </c>
      <c r="F126" s="25" t="s">
        <v>11312</v>
      </c>
      <c r="G126" s="25" t="s">
        <v>3138</v>
      </c>
      <c r="H126" s="25" t="s">
        <v>3138</v>
      </c>
      <c r="I126" s="26" t="s">
        <v>9528</v>
      </c>
      <c r="J126" s="26" t="s">
        <v>9281</v>
      </c>
      <c r="K126" s="62" t="s">
        <v>10407</v>
      </c>
      <c r="L126" s="25" t="s">
        <v>73</v>
      </c>
      <c r="M126" s="25" t="s">
        <v>11265</v>
      </c>
      <c r="N126" s="49" t="s">
        <v>11313</v>
      </c>
      <c r="O126" s="27" t="s">
        <v>11314</v>
      </c>
      <c r="P126" s="28"/>
      <c r="Q126" s="29">
        <v>4</v>
      </c>
      <c r="R126" s="29">
        <v>16</v>
      </c>
      <c r="S126" s="29">
        <v>366.64</v>
      </c>
      <c r="T126" s="30" t="s">
        <v>88</v>
      </c>
      <c r="U126" s="30" t="s">
        <v>78</v>
      </c>
      <c r="V126" s="30" t="s">
        <v>89</v>
      </c>
      <c r="W126" s="38" t="s">
        <v>10128</v>
      </c>
      <c r="X126" s="26" t="s">
        <v>10411</v>
      </c>
      <c r="Y126" s="26" t="s">
        <v>91</v>
      </c>
      <c r="Z126" s="26" t="s">
        <v>91</v>
      </c>
      <c r="AA126" s="26" t="s">
        <v>172</v>
      </c>
      <c r="AB126" s="31" t="s">
        <v>19</v>
      </c>
      <c r="AC126" s="30" t="s">
        <v>172</v>
      </c>
      <c r="AD126" s="25" t="s">
        <v>172</v>
      </c>
      <c r="AE126" s="25" t="s">
        <v>174</v>
      </c>
      <c r="AF126" s="26" t="s">
        <v>175</v>
      </c>
      <c r="AG126" s="32">
        <f t="shared" si="6"/>
        <v>1</v>
      </c>
      <c r="AH126" s="32">
        <v>1</v>
      </c>
      <c r="AI126" s="32">
        <v>1</v>
      </c>
      <c r="AJ126" s="32">
        <v>1</v>
      </c>
      <c r="AK126" s="30"/>
      <c r="AL126" s="32">
        <f t="shared" si="7"/>
        <v>1</v>
      </c>
      <c r="AM126" s="30"/>
      <c r="AN126" s="32"/>
      <c r="AO126" s="32">
        <v>1</v>
      </c>
      <c r="AP126" s="32">
        <v>1</v>
      </c>
      <c r="AQ126" s="32">
        <v>1</v>
      </c>
      <c r="AR126" s="32">
        <v>1</v>
      </c>
      <c r="AS126" s="32"/>
      <c r="AT126" s="32">
        <v>1</v>
      </c>
      <c r="AU126" s="30"/>
      <c r="AV126" s="30"/>
      <c r="AW126" s="30"/>
      <c r="AX126" s="30" t="s">
        <v>11223</v>
      </c>
      <c r="AY126" s="30"/>
      <c r="AZ126" s="75" t="s">
        <v>11315</v>
      </c>
    </row>
    <row r="127" spans="1:52" ht="16.5">
      <c r="A127" s="25" t="s">
        <v>11316</v>
      </c>
      <c r="B127" s="25" t="s">
        <v>4398</v>
      </c>
      <c r="C127" s="25" t="s">
        <v>68</v>
      </c>
      <c r="D127" s="25" t="s">
        <v>11317</v>
      </c>
      <c r="E127" s="258" t="s">
        <v>11318</v>
      </c>
      <c r="F127" s="25" t="s">
        <v>9376</v>
      </c>
      <c r="G127" s="25" t="s">
        <v>3138</v>
      </c>
      <c r="H127" s="25" t="s">
        <v>3138</v>
      </c>
      <c r="I127" s="26" t="s">
        <v>9528</v>
      </c>
      <c r="J127" s="26" t="s">
        <v>9281</v>
      </c>
      <c r="K127" s="62" t="s">
        <v>10407</v>
      </c>
      <c r="L127" s="25" t="s">
        <v>73</v>
      </c>
      <c r="M127" s="25" t="s">
        <v>11294</v>
      </c>
      <c r="N127" s="49" t="s">
        <v>11319</v>
      </c>
      <c r="O127" s="27" t="s">
        <v>11320</v>
      </c>
      <c r="P127" s="28"/>
      <c r="Q127" s="29">
        <v>8</v>
      </c>
      <c r="R127" s="29">
        <v>32</v>
      </c>
      <c r="S127" s="29">
        <v>302.69</v>
      </c>
      <c r="T127" s="30" t="s">
        <v>88</v>
      </c>
      <c r="U127" s="30" t="s">
        <v>78</v>
      </c>
      <c r="V127" s="30" t="s">
        <v>89</v>
      </c>
      <c r="W127" s="38" t="s">
        <v>10128</v>
      </c>
      <c r="X127" s="26" t="s">
        <v>10411</v>
      </c>
      <c r="Y127" s="26" t="s">
        <v>91</v>
      </c>
      <c r="Z127" s="26" t="s">
        <v>91</v>
      </c>
      <c r="AA127" s="26" t="s">
        <v>172</v>
      </c>
      <c r="AB127" s="31" t="s">
        <v>19</v>
      </c>
      <c r="AC127" s="30" t="s">
        <v>172</v>
      </c>
      <c r="AD127" s="25" t="s">
        <v>172</v>
      </c>
      <c r="AE127" s="25" t="s">
        <v>174</v>
      </c>
      <c r="AF127" s="26" t="s">
        <v>175</v>
      </c>
      <c r="AG127" s="32">
        <f t="shared" si="6"/>
        <v>1</v>
      </c>
      <c r="AH127" s="32">
        <v>1</v>
      </c>
      <c r="AI127" s="32">
        <v>1</v>
      </c>
      <c r="AJ127" s="32">
        <v>1</v>
      </c>
      <c r="AK127" s="30"/>
      <c r="AL127" s="32">
        <f t="shared" si="7"/>
        <v>1</v>
      </c>
      <c r="AM127" s="30"/>
      <c r="AN127" s="32"/>
      <c r="AO127" s="32">
        <v>1</v>
      </c>
      <c r="AP127" s="32">
        <v>1</v>
      </c>
      <c r="AQ127" s="32">
        <v>1</v>
      </c>
      <c r="AR127" s="32">
        <v>1</v>
      </c>
      <c r="AS127" s="32"/>
      <c r="AT127" s="32">
        <v>1</v>
      </c>
      <c r="AU127" s="30"/>
      <c r="AV127" s="30"/>
      <c r="AW127" s="30"/>
      <c r="AX127" s="30" t="s">
        <v>11238</v>
      </c>
      <c r="AY127" s="30"/>
      <c r="AZ127" s="75" t="s">
        <v>11317</v>
      </c>
    </row>
    <row r="128" spans="1:52" ht="16.5">
      <c r="A128" s="25" t="s">
        <v>11321</v>
      </c>
      <c r="B128" s="25" t="s">
        <v>4398</v>
      </c>
      <c r="C128" s="25" t="s">
        <v>68</v>
      </c>
      <c r="D128" s="25" t="s">
        <v>11315</v>
      </c>
      <c r="E128" s="258" t="s">
        <v>11322</v>
      </c>
      <c r="F128" s="25" t="s">
        <v>11323</v>
      </c>
      <c r="G128" s="25" t="s">
        <v>3138</v>
      </c>
      <c r="H128" s="25" t="s">
        <v>3138</v>
      </c>
      <c r="I128" s="26" t="s">
        <v>9528</v>
      </c>
      <c r="J128" s="26" t="s">
        <v>9281</v>
      </c>
      <c r="K128" s="62" t="s">
        <v>10407</v>
      </c>
      <c r="L128" s="25" t="s">
        <v>73</v>
      </c>
      <c r="M128" s="25" t="s">
        <v>11286</v>
      </c>
      <c r="N128" s="49" t="s">
        <v>11324</v>
      </c>
      <c r="O128" s="27" t="s">
        <v>11325</v>
      </c>
      <c r="P128" s="28"/>
      <c r="Q128" s="29">
        <v>4</v>
      </c>
      <c r="R128" s="29">
        <v>16</v>
      </c>
      <c r="S128" s="29">
        <v>266.14</v>
      </c>
      <c r="T128" s="30" t="s">
        <v>88</v>
      </c>
      <c r="U128" s="30" t="s">
        <v>78</v>
      </c>
      <c r="V128" s="30" t="s">
        <v>89</v>
      </c>
      <c r="W128" s="38" t="s">
        <v>10128</v>
      </c>
      <c r="X128" s="26" t="s">
        <v>10411</v>
      </c>
      <c r="Y128" s="26" t="s">
        <v>91</v>
      </c>
      <c r="Z128" s="26" t="s">
        <v>91</v>
      </c>
      <c r="AA128" s="26" t="s">
        <v>172</v>
      </c>
      <c r="AB128" s="31" t="s">
        <v>19</v>
      </c>
      <c r="AC128" s="30" t="s">
        <v>172</v>
      </c>
      <c r="AD128" s="25" t="s">
        <v>172</v>
      </c>
      <c r="AE128" s="25" t="s">
        <v>174</v>
      </c>
      <c r="AF128" s="26" t="s">
        <v>175</v>
      </c>
      <c r="AG128" s="32">
        <f t="shared" si="6"/>
        <v>1</v>
      </c>
      <c r="AH128" s="32">
        <v>1</v>
      </c>
      <c r="AI128" s="32">
        <v>1</v>
      </c>
      <c r="AJ128" s="32">
        <v>1</v>
      </c>
      <c r="AK128" s="30"/>
      <c r="AL128" s="32">
        <f t="shared" si="7"/>
        <v>1</v>
      </c>
      <c r="AM128" s="30"/>
      <c r="AN128" s="32"/>
      <c r="AO128" s="32">
        <v>1</v>
      </c>
      <c r="AP128" s="32">
        <v>1</v>
      </c>
      <c r="AQ128" s="32">
        <v>1</v>
      </c>
      <c r="AR128" s="32">
        <v>1</v>
      </c>
      <c r="AS128" s="32"/>
      <c r="AT128" s="32">
        <v>1</v>
      </c>
      <c r="AU128" s="30"/>
      <c r="AV128" s="30"/>
      <c r="AW128" s="30"/>
      <c r="AX128" s="30" t="s">
        <v>11208</v>
      </c>
      <c r="AY128" s="30"/>
      <c r="AZ128" s="75" t="s">
        <v>11259</v>
      </c>
    </row>
    <row r="129" spans="1:52" ht="16.5">
      <c r="A129" s="25" t="s">
        <v>11326</v>
      </c>
      <c r="B129" s="25" t="s">
        <v>4398</v>
      </c>
      <c r="C129" s="25" t="s">
        <v>68</v>
      </c>
      <c r="D129" s="25" t="s">
        <v>11309</v>
      </c>
      <c r="E129" s="258" t="s">
        <v>11327</v>
      </c>
      <c r="F129" s="25" t="s">
        <v>11328</v>
      </c>
      <c r="G129" s="25" t="s">
        <v>3138</v>
      </c>
      <c r="H129" s="25" t="s">
        <v>3138</v>
      </c>
      <c r="I129" s="26" t="s">
        <v>9528</v>
      </c>
      <c r="J129" s="26" t="s">
        <v>9281</v>
      </c>
      <c r="K129" s="62" t="s">
        <v>10407</v>
      </c>
      <c r="L129" s="25" t="s">
        <v>73</v>
      </c>
      <c r="M129" s="25" t="s">
        <v>11329</v>
      </c>
      <c r="N129" s="49" t="s">
        <v>11330</v>
      </c>
      <c r="O129" s="27" t="s">
        <v>11331</v>
      </c>
      <c r="P129" s="28"/>
      <c r="Q129" s="29">
        <v>8</v>
      </c>
      <c r="R129" s="29">
        <v>32</v>
      </c>
      <c r="S129" s="29">
        <v>302.45</v>
      </c>
      <c r="T129" s="30" t="s">
        <v>88</v>
      </c>
      <c r="U129" s="30" t="s">
        <v>78</v>
      </c>
      <c r="V129" s="30" t="s">
        <v>89</v>
      </c>
      <c r="W129" s="38" t="s">
        <v>10128</v>
      </c>
      <c r="X129" s="26" t="s">
        <v>10411</v>
      </c>
      <c r="Y129" s="26" t="s">
        <v>91</v>
      </c>
      <c r="Z129" s="26" t="s">
        <v>91</v>
      </c>
      <c r="AA129" s="26" t="s">
        <v>172</v>
      </c>
      <c r="AB129" s="31" t="s">
        <v>19</v>
      </c>
      <c r="AC129" s="30" t="s">
        <v>172</v>
      </c>
      <c r="AD129" s="25" t="s">
        <v>172</v>
      </c>
      <c r="AE129" s="25" t="s">
        <v>174</v>
      </c>
      <c r="AF129" s="26" t="s">
        <v>175</v>
      </c>
      <c r="AG129" s="32">
        <f t="shared" si="6"/>
        <v>1</v>
      </c>
      <c r="AH129" s="32">
        <v>1</v>
      </c>
      <c r="AI129" s="32">
        <v>1</v>
      </c>
      <c r="AJ129" s="32">
        <v>1</v>
      </c>
      <c r="AK129" s="30"/>
      <c r="AL129" s="32">
        <f t="shared" si="7"/>
        <v>1</v>
      </c>
      <c r="AM129" s="30"/>
      <c r="AN129" s="32"/>
      <c r="AO129" s="32">
        <v>1</v>
      </c>
      <c r="AP129" s="32">
        <v>1</v>
      </c>
      <c r="AQ129" s="32">
        <v>1</v>
      </c>
      <c r="AR129" s="32">
        <v>1</v>
      </c>
      <c r="AS129" s="32"/>
      <c r="AT129" s="32">
        <v>1</v>
      </c>
      <c r="AU129" s="30"/>
      <c r="AV129" s="30"/>
      <c r="AW129" s="30"/>
      <c r="AX129" s="30" t="s">
        <v>11329</v>
      </c>
      <c r="AY129" s="30"/>
      <c r="AZ129" s="75" t="s">
        <v>11303</v>
      </c>
    </row>
    <row r="130" spans="1:52" ht="16.5">
      <c r="A130" s="25" t="s">
        <v>11332</v>
      </c>
      <c r="B130" s="25" t="s">
        <v>4398</v>
      </c>
      <c r="C130" s="25" t="s">
        <v>68</v>
      </c>
      <c r="D130" s="25" t="s">
        <v>11333</v>
      </c>
      <c r="E130" s="258" t="s">
        <v>11334</v>
      </c>
      <c r="F130" s="25" t="s">
        <v>11335</v>
      </c>
      <c r="G130" s="25" t="s">
        <v>3138</v>
      </c>
      <c r="H130" s="25" t="s">
        <v>3138</v>
      </c>
      <c r="I130" s="26" t="s">
        <v>9528</v>
      </c>
      <c r="J130" s="26" t="s">
        <v>9281</v>
      </c>
      <c r="K130" s="62" t="s">
        <v>10407</v>
      </c>
      <c r="L130" s="25" t="s">
        <v>73</v>
      </c>
      <c r="M130" s="25" t="s">
        <v>11336</v>
      </c>
      <c r="N130" s="49" t="s">
        <v>11337</v>
      </c>
      <c r="O130" s="27" t="s">
        <v>11338</v>
      </c>
      <c r="P130" s="28"/>
      <c r="Q130" s="29">
        <v>4</v>
      </c>
      <c r="R130" s="29">
        <v>16</v>
      </c>
      <c r="S130" s="29">
        <v>267.76</v>
      </c>
      <c r="T130" s="30" t="s">
        <v>88</v>
      </c>
      <c r="U130" s="30" t="s">
        <v>78</v>
      </c>
      <c r="V130" s="30" t="s">
        <v>89</v>
      </c>
      <c r="W130" s="38" t="s">
        <v>10271</v>
      </c>
      <c r="X130" s="26" t="s">
        <v>10411</v>
      </c>
      <c r="Y130" s="26" t="s">
        <v>91</v>
      </c>
      <c r="Z130" s="26" t="s">
        <v>91</v>
      </c>
      <c r="AA130" s="26" t="s">
        <v>172</v>
      </c>
      <c r="AB130" s="31" t="s">
        <v>21</v>
      </c>
      <c r="AC130" s="30" t="s">
        <v>172</v>
      </c>
      <c r="AD130" s="25" t="s">
        <v>172</v>
      </c>
      <c r="AE130" s="25" t="s">
        <v>174</v>
      </c>
      <c r="AF130" s="26" t="s">
        <v>175</v>
      </c>
      <c r="AG130" s="32">
        <f t="shared" si="6"/>
        <v>1</v>
      </c>
      <c r="AH130" s="32">
        <v>1</v>
      </c>
      <c r="AI130" s="32">
        <v>1</v>
      </c>
      <c r="AJ130" s="32">
        <v>1</v>
      </c>
      <c r="AK130" s="30"/>
      <c r="AL130" s="32">
        <f t="shared" si="7"/>
        <v>1</v>
      </c>
      <c r="AM130" s="30"/>
      <c r="AN130" s="32"/>
      <c r="AO130" s="32">
        <v>1</v>
      </c>
      <c r="AP130" s="32">
        <v>1</v>
      </c>
      <c r="AQ130" s="32">
        <v>1</v>
      </c>
      <c r="AR130" s="32">
        <v>1</v>
      </c>
      <c r="AS130" s="32"/>
      <c r="AT130" s="32">
        <v>1</v>
      </c>
      <c r="AU130" s="30"/>
      <c r="AV130" s="30"/>
      <c r="AW130" s="30"/>
      <c r="AX130" s="30" t="s">
        <v>11339</v>
      </c>
      <c r="AY130" s="30"/>
      <c r="AZ130" s="75" t="s">
        <v>11296</v>
      </c>
    </row>
    <row r="131" spans="1:52" ht="16.5">
      <c r="A131" s="25" t="s">
        <v>11340</v>
      </c>
      <c r="B131" s="25" t="s">
        <v>4398</v>
      </c>
      <c r="C131" s="25" t="s">
        <v>68</v>
      </c>
      <c r="D131" s="25" t="s">
        <v>11341</v>
      </c>
      <c r="E131" s="258" t="s">
        <v>11342</v>
      </c>
      <c r="F131" s="25" t="s">
        <v>11343</v>
      </c>
      <c r="G131" s="25" t="s">
        <v>3138</v>
      </c>
      <c r="H131" s="25" t="s">
        <v>3138</v>
      </c>
      <c r="I131" s="26" t="s">
        <v>9528</v>
      </c>
      <c r="J131" s="26" t="s">
        <v>9281</v>
      </c>
      <c r="K131" s="62" t="s">
        <v>10407</v>
      </c>
      <c r="L131" s="25" t="s">
        <v>73</v>
      </c>
      <c r="M131" s="25" t="s">
        <v>10567</v>
      </c>
      <c r="N131" s="49" t="s">
        <v>11344</v>
      </c>
      <c r="O131" s="27" t="s">
        <v>11345</v>
      </c>
      <c r="P131" s="28"/>
      <c r="Q131" s="29">
        <v>4</v>
      </c>
      <c r="R131" s="29">
        <v>16</v>
      </c>
      <c r="S131" s="29">
        <v>266.13</v>
      </c>
      <c r="T131" s="30" t="s">
        <v>88</v>
      </c>
      <c r="U131" s="30" t="s">
        <v>78</v>
      </c>
      <c r="V131" s="30" t="s">
        <v>89</v>
      </c>
      <c r="W131" s="38" t="s">
        <v>10271</v>
      </c>
      <c r="X131" s="26" t="s">
        <v>10411</v>
      </c>
      <c r="Y131" s="26" t="s">
        <v>91</v>
      </c>
      <c r="Z131" s="26" t="s">
        <v>91</v>
      </c>
      <c r="AA131" s="26" t="s">
        <v>172</v>
      </c>
      <c r="AB131" s="36" t="s">
        <v>7</v>
      </c>
      <c r="AC131" s="30" t="s">
        <v>172</v>
      </c>
      <c r="AD131" s="25" t="s">
        <v>172</v>
      </c>
      <c r="AE131" s="25" t="s">
        <v>174</v>
      </c>
      <c r="AF131" s="26" t="s">
        <v>175</v>
      </c>
      <c r="AG131" s="32">
        <f t="shared" ref="AG131:AG153" si="8">IF(COUNTIF(AZ:AZ,D131)&gt;0,1,0)</f>
        <v>1</v>
      </c>
      <c r="AH131" s="32">
        <v>1</v>
      </c>
      <c r="AI131" s="32">
        <v>1</v>
      </c>
      <c r="AJ131" s="32">
        <v>1</v>
      </c>
      <c r="AK131" s="30"/>
      <c r="AL131" s="32">
        <f t="shared" si="7"/>
        <v>1</v>
      </c>
      <c r="AM131" s="30"/>
      <c r="AN131" s="32"/>
      <c r="AO131" s="32">
        <v>1</v>
      </c>
      <c r="AP131" s="32">
        <v>1</v>
      </c>
      <c r="AQ131" s="32">
        <v>1</v>
      </c>
      <c r="AR131" s="32">
        <v>1</v>
      </c>
      <c r="AS131" s="32"/>
      <c r="AT131" s="32">
        <v>1</v>
      </c>
      <c r="AU131" s="30"/>
      <c r="AV131" s="30"/>
      <c r="AW131" s="30"/>
      <c r="AX131" s="30" t="s">
        <v>11283</v>
      </c>
      <c r="AY131" s="30"/>
      <c r="AZ131" s="75" t="s">
        <v>11220</v>
      </c>
    </row>
    <row r="132" spans="1:52" ht="16.5">
      <c r="A132" s="25" t="s">
        <v>11346</v>
      </c>
      <c r="B132" s="25" t="s">
        <v>4398</v>
      </c>
      <c r="C132" s="25" t="s">
        <v>68</v>
      </c>
      <c r="D132" s="25" t="s">
        <v>11347</v>
      </c>
      <c r="E132" s="258" t="s">
        <v>11348</v>
      </c>
      <c r="F132" s="25" t="s">
        <v>11349</v>
      </c>
      <c r="G132" s="25" t="s">
        <v>3138</v>
      </c>
      <c r="H132" s="25" t="s">
        <v>3138</v>
      </c>
      <c r="I132" s="26" t="s">
        <v>9528</v>
      </c>
      <c r="J132" s="26" t="s">
        <v>9281</v>
      </c>
      <c r="K132" s="62" t="s">
        <v>10407</v>
      </c>
      <c r="L132" s="25" t="s">
        <v>73</v>
      </c>
      <c r="M132" s="25" t="s">
        <v>11196</v>
      </c>
      <c r="N132" s="49" t="s">
        <v>11350</v>
      </c>
      <c r="O132" s="27" t="s">
        <v>11351</v>
      </c>
      <c r="P132" s="28"/>
      <c r="Q132" s="29">
        <v>4</v>
      </c>
      <c r="R132" s="29">
        <v>16</v>
      </c>
      <c r="S132" s="29">
        <v>266.10000000000002</v>
      </c>
      <c r="T132" s="30" t="s">
        <v>88</v>
      </c>
      <c r="U132" s="30" t="s">
        <v>78</v>
      </c>
      <c r="V132" s="30" t="s">
        <v>89</v>
      </c>
      <c r="W132" s="38" t="s">
        <v>10271</v>
      </c>
      <c r="X132" s="26" t="s">
        <v>10411</v>
      </c>
      <c r="Y132" s="26" t="s">
        <v>91</v>
      </c>
      <c r="Z132" s="26" t="s">
        <v>91</v>
      </c>
      <c r="AA132" s="26" t="s">
        <v>172</v>
      </c>
      <c r="AB132" s="31" t="s">
        <v>21</v>
      </c>
      <c r="AC132" s="30" t="s">
        <v>172</v>
      </c>
      <c r="AD132" s="25" t="s">
        <v>172</v>
      </c>
      <c r="AE132" s="25" t="s">
        <v>174</v>
      </c>
      <c r="AF132" s="26" t="s">
        <v>175</v>
      </c>
      <c r="AG132" s="32">
        <f t="shared" si="8"/>
        <v>1</v>
      </c>
      <c r="AH132" s="32">
        <v>1</v>
      </c>
      <c r="AI132" s="32">
        <v>1</v>
      </c>
      <c r="AJ132" s="32">
        <v>1</v>
      </c>
      <c r="AK132" s="30"/>
      <c r="AL132" s="32">
        <f t="shared" si="7"/>
        <v>1</v>
      </c>
      <c r="AM132" s="30"/>
      <c r="AN132" s="32"/>
      <c r="AO132" s="32">
        <v>1</v>
      </c>
      <c r="AP132" s="32">
        <v>1</v>
      </c>
      <c r="AQ132" s="32">
        <v>1</v>
      </c>
      <c r="AR132" s="32">
        <v>1</v>
      </c>
      <c r="AS132" s="32"/>
      <c r="AT132" s="32">
        <v>1</v>
      </c>
      <c r="AU132" s="30"/>
      <c r="AV132" s="30"/>
      <c r="AW132" s="30"/>
      <c r="AX132" s="30" t="s">
        <v>11352</v>
      </c>
      <c r="AY132" s="30"/>
      <c r="AZ132" s="75" t="s">
        <v>11280</v>
      </c>
    </row>
    <row r="133" spans="1:52" ht="16.5">
      <c r="A133" s="25" t="s">
        <v>11353</v>
      </c>
      <c r="B133" s="25" t="s">
        <v>4398</v>
      </c>
      <c r="C133" s="25" t="s">
        <v>68</v>
      </c>
      <c r="D133" s="25" t="s">
        <v>11354</v>
      </c>
      <c r="E133" s="258" t="s">
        <v>11355</v>
      </c>
      <c r="F133" s="25" t="s">
        <v>11356</v>
      </c>
      <c r="G133" s="25" t="s">
        <v>3138</v>
      </c>
      <c r="H133" s="25" t="s">
        <v>3138</v>
      </c>
      <c r="I133" s="26" t="s">
        <v>9528</v>
      </c>
      <c r="J133" s="26" t="s">
        <v>9281</v>
      </c>
      <c r="K133" s="62" t="s">
        <v>10407</v>
      </c>
      <c r="L133" s="25" t="s">
        <v>73</v>
      </c>
      <c r="M133" s="25" t="s">
        <v>11357</v>
      </c>
      <c r="N133" s="49" t="s">
        <v>11358</v>
      </c>
      <c r="O133" s="27" t="s">
        <v>11359</v>
      </c>
      <c r="P133" s="28"/>
      <c r="Q133" s="29">
        <v>4</v>
      </c>
      <c r="R133" s="29">
        <v>16</v>
      </c>
      <c r="S133" s="29">
        <v>267.72000000000003</v>
      </c>
      <c r="T133" s="30" t="s">
        <v>88</v>
      </c>
      <c r="U133" s="30" t="s">
        <v>78</v>
      </c>
      <c r="V133" s="30" t="s">
        <v>89</v>
      </c>
      <c r="W133" s="38" t="s">
        <v>10271</v>
      </c>
      <c r="X133" s="26" t="s">
        <v>10411</v>
      </c>
      <c r="Y133" s="26" t="s">
        <v>91</v>
      </c>
      <c r="Z133" s="26" t="s">
        <v>91</v>
      </c>
      <c r="AA133" s="26" t="s">
        <v>172</v>
      </c>
      <c r="AB133" s="31" t="s">
        <v>21</v>
      </c>
      <c r="AC133" s="30" t="s">
        <v>172</v>
      </c>
      <c r="AD133" s="25" t="s">
        <v>172</v>
      </c>
      <c r="AE133" s="25" t="s">
        <v>174</v>
      </c>
      <c r="AF133" s="26" t="s">
        <v>175</v>
      </c>
      <c r="AG133" s="32">
        <f t="shared" si="8"/>
        <v>1</v>
      </c>
      <c r="AH133" s="32">
        <v>1</v>
      </c>
      <c r="AI133" s="32">
        <v>1</v>
      </c>
      <c r="AJ133" s="32">
        <v>1</v>
      </c>
      <c r="AK133" s="30"/>
      <c r="AL133" s="32">
        <f t="shared" si="7"/>
        <v>1</v>
      </c>
      <c r="AM133" s="30"/>
      <c r="AN133" s="32"/>
      <c r="AO133" s="32">
        <v>1</v>
      </c>
      <c r="AP133" s="32">
        <v>1</v>
      </c>
      <c r="AQ133" s="32">
        <v>1</v>
      </c>
      <c r="AR133" s="32">
        <v>1</v>
      </c>
      <c r="AS133" s="32"/>
      <c r="AT133" s="32">
        <v>1</v>
      </c>
      <c r="AU133" s="30"/>
      <c r="AV133" s="30"/>
      <c r="AW133" s="30"/>
      <c r="AX133" s="30" t="s">
        <v>11360</v>
      </c>
      <c r="AY133" s="30"/>
      <c r="AZ133" s="75" t="s">
        <v>11252</v>
      </c>
    </row>
    <row r="134" spans="1:52" ht="16.5">
      <c r="A134" s="34" t="s">
        <v>11361</v>
      </c>
      <c r="B134" s="25" t="s">
        <v>4398</v>
      </c>
      <c r="C134" s="25" t="s">
        <v>68</v>
      </c>
      <c r="D134" s="34" t="s">
        <v>11362</v>
      </c>
      <c r="E134" s="258" t="s">
        <v>11363</v>
      </c>
      <c r="F134" s="25" t="s">
        <v>11364</v>
      </c>
      <c r="G134" s="25" t="s">
        <v>3138</v>
      </c>
      <c r="H134" s="25" t="s">
        <v>3138</v>
      </c>
      <c r="I134" s="26" t="s">
        <v>9528</v>
      </c>
      <c r="J134" s="26" t="s">
        <v>9281</v>
      </c>
      <c r="K134" s="62" t="s">
        <v>10407</v>
      </c>
      <c r="L134" s="25" t="s">
        <v>73</v>
      </c>
      <c r="M134" s="25" t="s">
        <v>11365</v>
      </c>
      <c r="N134" s="49" t="s">
        <v>11366</v>
      </c>
      <c r="O134" s="27" t="s">
        <v>11367</v>
      </c>
      <c r="P134" s="28"/>
      <c r="Q134" s="29">
        <v>4</v>
      </c>
      <c r="R134" s="29">
        <v>16</v>
      </c>
      <c r="S134" s="29">
        <v>266.11</v>
      </c>
      <c r="T134" s="30" t="s">
        <v>88</v>
      </c>
      <c r="U134" s="30" t="s">
        <v>78</v>
      </c>
      <c r="V134" s="30" t="s">
        <v>89</v>
      </c>
      <c r="W134" s="38" t="s">
        <v>10271</v>
      </c>
      <c r="X134" s="26" t="s">
        <v>10411</v>
      </c>
      <c r="Y134" s="26" t="s">
        <v>91</v>
      </c>
      <c r="Z134" s="26" t="s">
        <v>91</v>
      </c>
      <c r="AA134" s="26" t="s">
        <v>172</v>
      </c>
      <c r="AB134" s="31" t="s">
        <v>21</v>
      </c>
      <c r="AC134" s="30" t="s">
        <v>172</v>
      </c>
      <c r="AD134" s="25" t="s">
        <v>172</v>
      </c>
      <c r="AE134" s="25" t="s">
        <v>174</v>
      </c>
      <c r="AF134" s="26" t="s">
        <v>175</v>
      </c>
      <c r="AG134" s="32">
        <f t="shared" si="8"/>
        <v>1</v>
      </c>
      <c r="AH134" s="32">
        <v>1</v>
      </c>
      <c r="AI134" s="32">
        <v>1</v>
      </c>
      <c r="AJ134" s="32">
        <v>1</v>
      </c>
      <c r="AK134" s="30"/>
      <c r="AL134" s="32">
        <f t="shared" si="7"/>
        <v>1</v>
      </c>
      <c r="AM134" s="30"/>
      <c r="AN134" s="32"/>
      <c r="AO134" s="32">
        <v>1</v>
      </c>
      <c r="AP134" s="32">
        <v>1</v>
      </c>
      <c r="AQ134" s="32">
        <v>1</v>
      </c>
      <c r="AR134" s="32">
        <v>1</v>
      </c>
      <c r="AS134" s="32"/>
      <c r="AT134" s="32">
        <v>1</v>
      </c>
      <c r="AU134" s="30"/>
      <c r="AV134" s="30"/>
      <c r="AW134" s="30"/>
      <c r="AX134" s="30" t="s">
        <v>11365</v>
      </c>
      <c r="AY134" s="30"/>
      <c r="AZ134" s="75" t="s">
        <v>11242</v>
      </c>
    </row>
    <row r="135" spans="1:52" ht="16.5">
      <c r="A135" s="25" t="s">
        <v>11368</v>
      </c>
      <c r="B135" s="25" t="s">
        <v>4398</v>
      </c>
      <c r="C135" s="25" t="s">
        <v>68</v>
      </c>
      <c r="D135" s="25" t="s">
        <v>11369</v>
      </c>
      <c r="E135" s="258" t="s">
        <v>11370</v>
      </c>
      <c r="F135" s="25" t="s">
        <v>11371</v>
      </c>
      <c r="G135" s="25" t="s">
        <v>3138</v>
      </c>
      <c r="H135" s="25" t="s">
        <v>3138</v>
      </c>
      <c r="I135" s="26" t="s">
        <v>9528</v>
      </c>
      <c r="J135" s="26" t="s">
        <v>9281</v>
      </c>
      <c r="K135" s="62" t="s">
        <v>10407</v>
      </c>
      <c r="L135" s="25" t="s">
        <v>73</v>
      </c>
      <c r="M135" s="25" t="s">
        <v>11360</v>
      </c>
      <c r="N135" s="49" t="s">
        <v>11372</v>
      </c>
      <c r="O135" s="27" t="s">
        <v>11373</v>
      </c>
      <c r="P135" s="28"/>
      <c r="Q135" s="29">
        <v>4</v>
      </c>
      <c r="R135" s="29">
        <v>16</v>
      </c>
      <c r="S135" s="29">
        <v>266.2</v>
      </c>
      <c r="T135" s="30" t="s">
        <v>88</v>
      </c>
      <c r="U135" s="30" t="s">
        <v>78</v>
      </c>
      <c r="V135" s="30" t="s">
        <v>89</v>
      </c>
      <c r="W135" s="38" t="s">
        <v>10271</v>
      </c>
      <c r="X135" s="26" t="s">
        <v>10411</v>
      </c>
      <c r="Y135" s="26" t="s">
        <v>91</v>
      </c>
      <c r="Z135" s="26" t="s">
        <v>91</v>
      </c>
      <c r="AA135" s="26" t="s">
        <v>172</v>
      </c>
      <c r="AB135" s="31" t="s">
        <v>21</v>
      </c>
      <c r="AC135" s="30" t="s">
        <v>172</v>
      </c>
      <c r="AD135" s="25" t="s">
        <v>172</v>
      </c>
      <c r="AE135" s="25" t="s">
        <v>174</v>
      </c>
      <c r="AF135" s="26" t="s">
        <v>175</v>
      </c>
      <c r="AG135" s="32">
        <f t="shared" si="8"/>
        <v>1</v>
      </c>
      <c r="AH135" s="32">
        <v>1</v>
      </c>
      <c r="AI135" s="32">
        <v>1</v>
      </c>
      <c r="AJ135" s="32">
        <v>1</v>
      </c>
      <c r="AK135" s="30"/>
      <c r="AL135" s="32">
        <f t="shared" si="7"/>
        <v>1</v>
      </c>
      <c r="AM135" s="30"/>
      <c r="AN135" s="32"/>
      <c r="AO135" s="32">
        <v>1</v>
      </c>
      <c r="AP135" s="32">
        <v>1</v>
      </c>
      <c r="AQ135" s="32">
        <v>1</v>
      </c>
      <c r="AR135" s="32">
        <v>1</v>
      </c>
      <c r="AS135" s="32"/>
      <c r="AT135" s="32">
        <v>1</v>
      </c>
      <c r="AU135" s="30"/>
      <c r="AV135" s="30"/>
      <c r="AW135" s="30"/>
      <c r="AX135" s="30" t="s">
        <v>11357</v>
      </c>
      <c r="AY135" s="30"/>
      <c r="AZ135" s="75" t="s">
        <v>11228</v>
      </c>
    </row>
    <row r="136" spans="1:52">
      <c r="A136" s="25" t="s">
        <v>11374</v>
      </c>
      <c r="B136" s="25" t="s">
        <v>4398</v>
      </c>
      <c r="C136" s="25" t="s">
        <v>68</v>
      </c>
      <c r="D136" s="25" t="s">
        <v>11375</v>
      </c>
      <c r="E136" s="258" t="s">
        <v>11376</v>
      </c>
      <c r="F136" s="25" t="s">
        <v>11377</v>
      </c>
      <c r="G136" s="25" t="s">
        <v>3138</v>
      </c>
      <c r="H136" s="25" t="s">
        <v>3138</v>
      </c>
      <c r="I136" s="26" t="s">
        <v>9528</v>
      </c>
      <c r="J136" s="26" t="s">
        <v>9281</v>
      </c>
      <c r="K136" s="62" t="s">
        <v>10407</v>
      </c>
      <c r="L136" s="25" t="s">
        <v>73</v>
      </c>
      <c r="M136" s="25" t="s">
        <v>11190</v>
      </c>
      <c r="N136" s="49" t="s">
        <v>11378</v>
      </c>
      <c r="O136" s="27" t="s">
        <v>11379</v>
      </c>
      <c r="P136" s="28"/>
      <c r="Q136" s="29">
        <v>4</v>
      </c>
      <c r="R136" s="29">
        <v>16</v>
      </c>
      <c r="S136" s="29">
        <v>267.79000000000002</v>
      </c>
      <c r="T136" s="30" t="s">
        <v>88</v>
      </c>
      <c r="U136" s="30" t="s">
        <v>78</v>
      </c>
      <c r="V136" s="30" t="s">
        <v>89</v>
      </c>
      <c r="W136" s="38" t="s">
        <v>10271</v>
      </c>
      <c r="X136" s="26" t="s">
        <v>10411</v>
      </c>
      <c r="Y136" s="26" t="s">
        <v>91</v>
      </c>
      <c r="Z136" s="26" t="s">
        <v>91</v>
      </c>
      <c r="AA136" s="26" t="s">
        <v>172</v>
      </c>
      <c r="AB136" s="31" t="s">
        <v>21</v>
      </c>
      <c r="AC136" s="30" t="s">
        <v>172</v>
      </c>
      <c r="AD136" s="25" t="s">
        <v>172</v>
      </c>
      <c r="AE136" s="25" t="s">
        <v>174</v>
      </c>
      <c r="AF136" s="26" t="s">
        <v>175</v>
      </c>
      <c r="AG136" s="32">
        <f t="shared" si="8"/>
        <v>1</v>
      </c>
      <c r="AH136" s="32">
        <v>1</v>
      </c>
      <c r="AI136" s="32">
        <v>1</v>
      </c>
      <c r="AJ136" s="32">
        <v>1</v>
      </c>
      <c r="AK136" s="30"/>
      <c r="AL136" s="32">
        <f t="shared" si="7"/>
        <v>1</v>
      </c>
      <c r="AM136" s="30"/>
      <c r="AN136" s="32"/>
      <c r="AO136" s="32">
        <v>1</v>
      </c>
      <c r="AP136" s="32">
        <v>1</v>
      </c>
      <c r="AQ136" s="32">
        <v>1</v>
      </c>
      <c r="AR136" s="32">
        <v>1</v>
      </c>
      <c r="AS136" s="32"/>
      <c r="AT136" s="32">
        <v>1</v>
      </c>
      <c r="AU136" s="30"/>
      <c r="AV136" s="30"/>
      <c r="AW136" s="30"/>
      <c r="AX136" s="30" t="s">
        <v>11299</v>
      </c>
      <c r="AY136" s="30"/>
      <c r="AZ136" s="30" t="s">
        <v>83</v>
      </c>
    </row>
    <row r="137" spans="1:52">
      <c r="A137" s="25" t="s">
        <v>11380</v>
      </c>
      <c r="B137" s="25" t="s">
        <v>4398</v>
      </c>
      <c r="C137" s="25" t="s">
        <v>68</v>
      </c>
      <c r="D137" s="25" t="s">
        <v>11381</v>
      </c>
      <c r="E137" s="258" t="s">
        <v>11382</v>
      </c>
      <c r="F137" s="25" t="s">
        <v>11383</v>
      </c>
      <c r="G137" s="25" t="s">
        <v>3138</v>
      </c>
      <c r="H137" s="25" t="s">
        <v>3138</v>
      </c>
      <c r="I137" s="26" t="s">
        <v>9528</v>
      </c>
      <c r="J137" s="26" t="s">
        <v>9281</v>
      </c>
      <c r="K137" s="62" t="s">
        <v>10407</v>
      </c>
      <c r="L137" s="25" t="s">
        <v>73</v>
      </c>
      <c r="M137" s="25" t="s">
        <v>11384</v>
      </c>
      <c r="N137" s="49" t="s">
        <v>11385</v>
      </c>
      <c r="O137" s="27" t="s">
        <v>11386</v>
      </c>
      <c r="P137" s="28"/>
      <c r="Q137" s="29">
        <v>4</v>
      </c>
      <c r="R137" s="29">
        <v>16</v>
      </c>
      <c r="S137" s="29">
        <v>266.70999999999998</v>
      </c>
      <c r="T137" s="30" t="s">
        <v>88</v>
      </c>
      <c r="U137" s="30" t="s">
        <v>78</v>
      </c>
      <c r="V137" s="30" t="s">
        <v>89</v>
      </c>
      <c r="W137" s="38" t="s">
        <v>10271</v>
      </c>
      <c r="X137" s="26" t="s">
        <v>10411</v>
      </c>
      <c r="Y137" s="26" t="s">
        <v>91</v>
      </c>
      <c r="Z137" s="26" t="s">
        <v>91</v>
      </c>
      <c r="AA137" s="26" t="s">
        <v>172</v>
      </c>
      <c r="AB137" s="31" t="s">
        <v>21</v>
      </c>
      <c r="AC137" s="30" t="s">
        <v>172</v>
      </c>
      <c r="AD137" s="25" t="s">
        <v>172</v>
      </c>
      <c r="AE137" s="25" t="s">
        <v>174</v>
      </c>
      <c r="AF137" s="26" t="s">
        <v>175</v>
      </c>
      <c r="AG137" s="32">
        <f t="shared" si="8"/>
        <v>1</v>
      </c>
      <c r="AH137" s="32">
        <v>1</v>
      </c>
      <c r="AI137" s="32">
        <v>1</v>
      </c>
      <c r="AJ137" s="32">
        <v>1</v>
      </c>
      <c r="AK137" s="30"/>
      <c r="AL137" s="32">
        <f t="shared" si="7"/>
        <v>1</v>
      </c>
      <c r="AM137" s="30"/>
      <c r="AN137" s="32"/>
      <c r="AO137" s="32">
        <v>1</v>
      </c>
      <c r="AP137" s="32">
        <v>1</v>
      </c>
      <c r="AQ137" s="32">
        <v>1</v>
      </c>
      <c r="AR137" s="32">
        <v>1</v>
      </c>
      <c r="AS137" s="32"/>
      <c r="AT137" s="32">
        <v>1</v>
      </c>
      <c r="AU137" s="30"/>
      <c r="AV137" s="30"/>
      <c r="AW137" s="30"/>
      <c r="AX137" s="30" t="s">
        <v>11387</v>
      </c>
      <c r="AY137" s="30"/>
      <c r="AZ137" s="30" t="s">
        <v>11388</v>
      </c>
    </row>
    <row r="138" spans="1:52">
      <c r="A138" s="25" t="s">
        <v>11389</v>
      </c>
      <c r="B138" s="25" t="s">
        <v>4398</v>
      </c>
      <c r="C138" s="25" t="s">
        <v>68</v>
      </c>
      <c r="D138" s="25" t="s">
        <v>11390</v>
      </c>
      <c r="E138" s="258" t="s">
        <v>11391</v>
      </c>
      <c r="F138" s="25" t="s">
        <v>11392</v>
      </c>
      <c r="G138" s="25" t="s">
        <v>3138</v>
      </c>
      <c r="H138" s="25" t="s">
        <v>3138</v>
      </c>
      <c r="I138" s="26" t="s">
        <v>9528</v>
      </c>
      <c r="J138" s="26" t="s">
        <v>9281</v>
      </c>
      <c r="K138" s="62" t="s">
        <v>10407</v>
      </c>
      <c r="L138" s="25" t="s">
        <v>73</v>
      </c>
      <c r="M138" s="25" t="s">
        <v>11393</v>
      </c>
      <c r="N138" s="49" t="s">
        <v>11394</v>
      </c>
      <c r="O138" s="27" t="s">
        <v>11395</v>
      </c>
      <c r="P138" s="28"/>
      <c r="Q138" s="29">
        <v>4</v>
      </c>
      <c r="R138" s="29">
        <v>16</v>
      </c>
      <c r="S138" s="29">
        <v>266.2</v>
      </c>
      <c r="T138" s="30" t="s">
        <v>88</v>
      </c>
      <c r="U138" s="30" t="s">
        <v>78</v>
      </c>
      <c r="V138" s="30" t="s">
        <v>89</v>
      </c>
      <c r="W138" s="38" t="s">
        <v>10271</v>
      </c>
      <c r="X138" s="26" t="s">
        <v>10411</v>
      </c>
      <c r="Y138" s="26" t="s">
        <v>91</v>
      </c>
      <c r="Z138" s="26" t="s">
        <v>91</v>
      </c>
      <c r="AA138" s="26" t="s">
        <v>172</v>
      </c>
      <c r="AB138" s="31" t="s">
        <v>21</v>
      </c>
      <c r="AC138" s="30" t="s">
        <v>172</v>
      </c>
      <c r="AD138" s="25" t="s">
        <v>172</v>
      </c>
      <c r="AE138" s="25" t="s">
        <v>174</v>
      </c>
      <c r="AF138" s="26" t="s">
        <v>175</v>
      </c>
      <c r="AG138" s="32">
        <f t="shared" si="8"/>
        <v>1</v>
      </c>
      <c r="AH138" s="32">
        <v>1</v>
      </c>
      <c r="AI138" s="32">
        <v>1</v>
      </c>
      <c r="AJ138" s="32">
        <v>1</v>
      </c>
      <c r="AK138" s="30"/>
      <c r="AL138" s="32">
        <f t="shared" si="7"/>
        <v>1</v>
      </c>
      <c r="AM138" s="30"/>
      <c r="AN138" s="32"/>
      <c r="AO138" s="32">
        <v>1</v>
      </c>
      <c r="AP138" s="32">
        <v>1</v>
      </c>
      <c r="AQ138" s="32">
        <v>1</v>
      </c>
      <c r="AR138" s="32">
        <v>1</v>
      </c>
      <c r="AS138" s="32"/>
      <c r="AT138" s="32">
        <v>1</v>
      </c>
      <c r="AU138" s="30"/>
      <c r="AV138" s="30"/>
      <c r="AW138" s="30"/>
      <c r="AX138" s="30" t="s">
        <v>11396</v>
      </c>
      <c r="AY138" s="30"/>
      <c r="AZ138" s="30" t="s">
        <v>11397</v>
      </c>
    </row>
    <row r="139" spans="1:52">
      <c r="A139" s="25" t="s">
        <v>11398</v>
      </c>
      <c r="B139" s="25" t="s">
        <v>4398</v>
      </c>
      <c r="C139" s="25" t="s">
        <v>68</v>
      </c>
      <c r="D139" s="25" t="s">
        <v>11399</v>
      </c>
      <c r="E139" s="258" t="s">
        <v>11400</v>
      </c>
      <c r="F139" s="25" t="s">
        <v>11401</v>
      </c>
      <c r="G139" s="25" t="s">
        <v>3138</v>
      </c>
      <c r="H139" s="25" t="s">
        <v>3138</v>
      </c>
      <c r="I139" s="26" t="s">
        <v>9528</v>
      </c>
      <c r="J139" s="26" t="s">
        <v>9281</v>
      </c>
      <c r="K139" s="62" t="s">
        <v>10407</v>
      </c>
      <c r="L139" s="25" t="s">
        <v>73</v>
      </c>
      <c r="M139" s="25" t="s">
        <v>11402</v>
      </c>
      <c r="N139" s="49" t="s">
        <v>11403</v>
      </c>
      <c r="O139" s="27" t="s">
        <v>11404</v>
      </c>
      <c r="P139" s="28"/>
      <c r="Q139" s="29">
        <v>4</v>
      </c>
      <c r="R139" s="29">
        <v>16</v>
      </c>
      <c r="S139" s="29">
        <v>286.69</v>
      </c>
      <c r="T139" s="30" t="s">
        <v>88</v>
      </c>
      <c r="U139" s="30" t="s">
        <v>78</v>
      </c>
      <c r="V139" s="30" t="s">
        <v>89</v>
      </c>
      <c r="W139" s="38" t="s">
        <v>10271</v>
      </c>
      <c r="X139" s="26" t="s">
        <v>10411</v>
      </c>
      <c r="Y139" s="26" t="s">
        <v>91</v>
      </c>
      <c r="Z139" s="26" t="s">
        <v>91</v>
      </c>
      <c r="AA139" s="26" t="s">
        <v>172</v>
      </c>
      <c r="AB139" s="31" t="s">
        <v>21</v>
      </c>
      <c r="AC139" s="30" t="s">
        <v>172</v>
      </c>
      <c r="AD139" s="25" t="s">
        <v>172</v>
      </c>
      <c r="AE139" s="25" t="s">
        <v>174</v>
      </c>
      <c r="AF139" s="26" t="s">
        <v>175</v>
      </c>
      <c r="AG139" s="32">
        <f t="shared" si="8"/>
        <v>1</v>
      </c>
      <c r="AH139" s="32">
        <v>1</v>
      </c>
      <c r="AI139" s="32">
        <v>1</v>
      </c>
      <c r="AJ139" s="32">
        <v>1</v>
      </c>
      <c r="AK139" s="30"/>
      <c r="AL139" s="32">
        <f t="shared" si="7"/>
        <v>1</v>
      </c>
      <c r="AM139" s="30"/>
      <c r="AN139" s="32"/>
      <c r="AO139" s="32">
        <v>1</v>
      </c>
      <c r="AP139" s="32">
        <v>1</v>
      </c>
      <c r="AQ139" s="32">
        <v>1</v>
      </c>
      <c r="AR139" s="32">
        <v>1</v>
      </c>
      <c r="AS139" s="32"/>
      <c r="AT139" s="32">
        <v>1</v>
      </c>
      <c r="AU139" s="30"/>
      <c r="AV139" s="30"/>
      <c r="AW139" s="30"/>
      <c r="AX139" s="30" t="s">
        <v>11402</v>
      </c>
      <c r="AY139" s="30"/>
      <c r="AZ139" s="30" t="s">
        <v>11399</v>
      </c>
    </row>
    <row r="140" spans="1:52">
      <c r="A140" s="25" t="s">
        <v>11405</v>
      </c>
      <c r="B140" s="25" t="s">
        <v>4398</v>
      </c>
      <c r="C140" s="25" t="s">
        <v>68</v>
      </c>
      <c r="D140" s="25" t="s">
        <v>11388</v>
      </c>
      <c r="E140" s="258" t="s">
        <v>11406</v>
      </c>
      <c r="F140" s="25" t="s">
        <v>11407</v>
      </c>
      <c r="G140" s="25" t="s">
        <v>3138</v>
      </c>
      <c r="H140" s="25" t="s">
        <v>3138</v>
      </c>
      <c r="I140" s="26" t="s">
        <v>9528</v>
      </c>
      <c r="J140" s="26" t="s">
        <v>9281</v>
      </c>
      <c r="K140" s="62" t="s">
        <v>10407</v>
      </c>
      <c r="L140" s="25" t="s">
        <v>73</v>
      </c>
      <c r="M140" s="25" t="s">
        <v>11184</v>
      </c>
      <c r="N140" s="49" t="s">
        <v>11408</v>
      </c>
      <c r="O140" s="27" t="s">
        <v>11409</v>
      </c>
      <c r="P140" s="28"/>
      <c r="Q140" s="29">
        <v>4</v>
      </c>
      <c r="R140" s="29">
        <v>16</v>
      </c>
      <c r="S140" s="29">
        <v>267.7</v>
      </c>
      <c r="T140" s="30" t="s">
        <v>88</v>
      </c>
      <c r="U140" s="30" t="s">
        <v>78</v>
      </c>
      <c r="V140" s="30" t="s">
        <v>89</v>
      </c>
      <c r="W140" s="38" t="s">
        <v>10271</v>
      </c>
      <c r="X140" s="26" t="s">
        <v>10411</v>
      </c>
      <c r="Y140" s="26" t="s">
        <v>91</v>
      </c>
      <c r="Z140" s="26" t="s">
        <v>91</v>
      </c>
      <c r="AA140" s="26" t="s">
        <v>172</v>
      </c>
      <c r="AB140" s="31" t="s">
        <v>21</v>
      </c>
      <c r="AC140" s="30" t="s">
        <v>172</v>
      </c>
      <c r="AD140" s="25" t="s">
        <v>172</v>
      </c>
      <c r="AE140" s="25" t="s">
        <v>174</v>
      </c>
      <c r="AF140" s="26" t="s">
        <v>175</v>
      </c>
      <c r="AG140" s="32">
        <f t="shared" si="8"/>
        <v>1</v>
      </c>
      <c r="AH140" s="32">
        <v>1</v>
      </c>
      <c r="AI140" s="32">
        <v>1</v>
      </c>
      <c r="AJ140" s="32">
        <v>1</v>
      </c>
      <c r="AK140" s="30"/>
      <c r="AL140" s="32">
        <f t="shared" si="7"/>
        <v>1</v>
      </c>
      <c r="AM140" s="30"/>
      <c r="AN140" s="32"/>
      <c r="AO140" s="32">
        <v>1</v>
      </c>
      <c r="AP140" s="32">
        <v>1</v>
      </c>
      <c r="AQ140" s="32">
        <v>1</v>
      </c>
      <c r="AR140" s="32">
        <v>1</v>
      </c>
      <c r="AS140" s="32"/>
      <c r="AT140" s="32">
        <v>1</v>
      </c>
      <c r="AU140" s="30"/>
      <c r="AV140" s="30"/>
      <c r="AW140" s="30"/>
      <c r="AX140" s="30" t="s">
        <v>11393</v>
      </c>
      <c r="AY140" s="30"/>
      <c r="AZ140" s="30" t="s">
        <v>11410</v>
      </c>
    </row>
    <row r="141" spans="1:52">
      <c r="A141" s="25" t="s">
        <v>11411</v>
      </c>
      <c r="B141" s="25" t="s">
        <v>4398</v>
      </c>
      <c r="C141" s="25" t="s">
        <v>68</v>
      </c>
      <c r="D141" s="25" t="s">
        <v>11397</v>
      </c>
      <c r="E141" s="258" t="s">
        <v>11412</v>
      </c>
      <c r="F141" s="25" t="s">
        <v>11413</v>
      </c>
      <c r="G141" s="25" t="s">
        <v>3138</v>
      </c>
      <c r="H141" s="25" t="s">
        <v>3138</v>
      </c>
      <c r="I141" s="26" t="s">
        <v>9528</v>
      </c>
      <c r="J141" s="26" t="s">
        <v>9281</v>
      </c>
      <c r="K141" s="62" t="s">
        <v>10407</v>
      </c>
      <c r="L141" s="25" t="s">
        <v>73</v>
      </c>
      <c r="M141" s="25" t="s">
        <v>11396</v>
      </c>
      <c r="N141" s="49" t="s">
        <v>11414</v>
      </c>
      <c r="O141" s="27" t="s">
        <v>11415</v>
      </c>
      <c r="P141" s="28"/>
      <c r="Q141" s="29">
        <v>8</v>
      </c>
      <c r="R141" s="29">
        <v>32</v>
      </c>
      <c r="S141" s="29">
        <v>482.4</v>
      </c>
      <c r="T141" s="30" t="s">
        <v>88</v>
      </c>
      <c r="U141" s="30" t="s">
        <v>78</v>
      </c>
      <c r="V141" s="30" t="s">
        <v>89</v>
      </c>
      <c r="W141" s="38" t="s">
        <v>10271</v>
      </c>
      <c r="X141" s="26" t="s">
        <v>10411</v>
      </c>
      <c r="Y141" s="26" t="s">
        <v>91</v>
      </c>
      <c r="Z141" s="26" t="s">
        <v>91</v>
      </c>
      <c r="AA141" s="26" t="s">
        <v>172</v>
      </c>
      <c r="AB141" s="31" t="s">
        <v>21</v>
      </c>
      <c r="AC141" s="30" t="s">
        <v>172</v>
      </c>
      <c r="AD141" s="25" t="s">
        <v>172</v>
      </c>
      <c r="AE141" s="25" t="s">
        <v>174</v>
      </c>
      <c r="AF141" s="26" t="s">
        <v>175</v>
      </c>
      <c r="AG141" s="32">
        <f t="shared" si="8"/>
        <v>1</v>
      </c>
      <c r="AH141" s="32">
        <v>1</v>
      </c>
      <c r="AI141" s="32">
        <v>1</v>
      </c>
      <c r="AJ141" s="32">
        <v>1</v>
      </c>
      <c r="AK141" s="30"/>
      <c r="AL141" s="32">
        <f t="shared" si="7"/>
        <v>1</v>
      </c>
      <c r="AM141" s="30"/>
      <c r="AN141" s="32"/>
      <c r="AO141" s="32">
        <v>1</v>
      </c>
      <c r="AP141" s="32">
        <v>1</v>
      </c>
      <c r="AQ141" s="32">
        <v>1</v>
      </c>
      <c r="AR141" s="32">
        <v>1</v>
      </c>
      <c r="AS141" s="32"/>
      <c r="AT141" s="32">
        <v>1</v>
      </c>
      <c r="AU141" s="30"/>
      <c r="AV141" s="30"/>
      <c r="AW141" s="30"/>
      <c r="AX141" s="30" t="s">
        <v>11416</v>
      </c>
      <c r="AY141" s="30"/>
      <c r="AZ141" s="30" t="s">
        <v>11390</v>
      </c>
    </row>
    <row r="142" spans="1:52">
      <c r="A142" s="25" t="s">
        <v>11417</v>
      </c>
      <c r="B142" s="25" t="s">
        <v>4398</v>
      </c>
      <c r="C142" s="25" t="s">
        <v>68</v>
      </c>
      <c r="D142" s="25" t="s">
        <v>11418</v>
      </c>
      <c r="E142" s="258" t="s">
        <v>11419</v>
      </c>
      <c r="F142" s="25" t="s">
        <v>11420</v>
      </c>
      <c r="G142" s="25" t="s">
        <v>3138</v>
      </c>
      <c r="H142" s="25" t="s">
        <v>3138</v>
      </c>
      <c r="I142" s="26" t="s">
        <v>9528</v>
      </c>
      <c r="J142" s="26" t="s">
        <v>9281</v>
      </c>
      <c r="K142" s="62" t="s">
        <v>10407</v>
      </c>
      <c r="L142" s="25" t="s">
        <v>73</v>
      </c>
      <c r="M142" s="25" t="s">
        <v>11421</v>
      </c>
      <c r="N142" s="49" t="s">
        <v>11422</v>
      </c>
      <c r="O142" s="27" t="s">
        <v>11423</v>
      </c>
      <c r="P142" s="28"/>
      <c r="Q142" s="29">
        <v>8</v>
      </c>
      <c r="R142" s="29">
        <v>32</v>
      </c>
      <c r="S142" s="29">
        <v>283.86</v>
      </c>
      <c r="T142" s="30" t="s">
        <v>88</v>
      </c>
      <c r="U142" s="30" t="s">
        <v>78</v>
      </c>
      <c r="V142" s="30" t="s">
        <v>89</v>
      </c>
      <c r="W142" s="38" t="s">
        <v>10271</v>
      </c>
      <c r="X142" s="26" t="s">
        <v>10411</v>
      </c>
      <c r="Y142" s="26" t="s">
        <v>91</v>
      </c>
      <c r="Z142" s="26" t="s">
        <v>91</v>
      </c>
      <c r="AA142" s="26" t="s">
        <v>172</v>
      </c>
      <c r="AB142" s="31" t="s">
        <v>21</v>
      </c>
      <c r="AC142" s="30" t="s">
        <v>172</v>
      </c>
      <c r="AD142" s="25" t="s">
        <v>172</v>
      </c>
      <c r="AE142" s="25" t="s">
        <v>174</v>
      </c>
      <c r="AF142" s="26" t="s">
        <v>175</v>
      </c>
      <c r="AG142" s="32">
        <f t="shared" si="8"/>
        <v>1</v>
      </c>
      <c r="AH142" s="32">
        <v>1</v>
      </c>
      <c r="AI142" s="32">
        <v>1</v>
      </c>
      <c r="AJ142" s="32">
        <v>1</v>
      </c>
      <c r="AK142" s="30"/>
      <c r="AL142" s="32">
        <f t="shared" si="7"/>
        <v>1</v>
      </c>
      <c r="AM142" s="30"/>
      <c r="AN142" s="32"/>
      <c r="AO142" s="32">
        <v>1</v>
      </c>
      <c r="AP142" s="32">
        <v>1</v>
      </c>
      <c r="AQ142" s="32">
        <v>1</v>
      </c>
      <c r="AR142" s="32">
        <v>1</v>
      </c>
      <c r="AS142" s="32"/>
      <c r="AT142" s="32">
        <v>1</v>
      </c>
      <c r="AU142" s="30"/>
      <c r="AV142" s="30"/>
      <c r="AW142" s="30"/>
      <c r="AX142" s="30" t="s">
        <v>11384</v>
      </c>
      <c r="AY142" s="30"/>
      <c r="AZ142" s="30" t="s">
        <v>11424</v>
      </c>
    </row>
    <row r="143" spans="1:52">
      <c r="A143" s="25" t="s">
        <v>11425</v>
      </c>
      <c r="B143" s="25" t="s">
        <v>4398</v>
      </c>
      <c r="C143" s="25" t="s">
        <v>68</v>
      </c>
      <c r="D143" s="25" t="s">
        <v>11426</v>
      </c>
      <c r="E143" s="258" t="s">
        <v>11427</v>
      </c>
      <c r="F143" s="25" t="s">
        <v>11428</v>
      </c>
      <c r="G143" s="25" t="s">
        <v>3138</v>
      </c>
      <c r="H143" s="25" t="s">
        <v>3138</v>
      </c>
      <c r="I143" s="26" t="s">
        <v>9528</v>
      </c>
      <c r="J143" s="26" t="s">
        <v>9281</v>
      </c>
      <c r="K143" s="64" t="s">
        <v>3213</v>
      </c>
      <c r="L143" s="25" t="s">
        <v>73</v>
      </c>
      <c r="M143" s="25" t="s">
        <v>11429</v>
      </c>
      <c r="N143" s="49" t="s">
        <v>11430</v>
      </c>
      <c r="O143" s="27" t="s">
        <v>11431</v>
      </c>
      <c r="P143" s="28"/>
      <c r="Q143" s="29">
        <v>4</v>
      </c>
      <c r="R143" s="29">
        <v>16</v>
      </c>
      <c r="S143" s="29">
        <v>266.12</v>
      </c>
      <c r="T143" s="30" t="s">
        <v>88</v>
      </c>
      <c r="U143" s="30" t="s">
        <v>78</v>
      </c>
      <c r="V143" s="30" t="s">
        <v>89</v>
      </c>
      <c r="W143" s="38" t="s">
        <v>10271</v>
      </c>
      <c r="X143" s="26" t="s">
        <v>10411</v>
      </c>
      <c r="Y143" s="26" t="s">
        <v>91</v>
      </c>
      <c r="Z143" s="26" t="s">
        <v>91</v>
      </c>
      <c r="AA143" s="26" t="s">
        <v>172</v>
      </c>
      <c r="AB143" s="31"/>
      <c r="AC143" s="30" t="s">
        <v>172</v>
      </c>
      <c r="AD143" s="25" t="s">
        <v>172</v>
      </c>
      <c r="AE143" s="25" t="s">
        <v>174</v>
      </c>
      <c r="AF143" s="26" t="s">
        <v>175</v>
      </c>
      <c r="AG143" s="32">
        <f t="shared" si="8"/>
        <v>0</v>
      </c>
      <c r="AH143" s="32"/>
      <c r="AI143" s="32"/>
      <c r="AJ143" s="32"/>
      <c r="AK143" s="30"/>
      <c r="AL143" s="32"/>
      <c r="AM143" s="30"/>
      <c r="AN143" s="32"/>
      <c r="AO143" s="32"/>
      <c r="AP143" s="32"/>
      <c r="AQ143" s="32"/>
      <c r="AR143" s="32"/>
      <c r="AS143" s="30"/>
      <c r="AT143" s="32"/>
      <c r="AU143" s="30"/>
      <c r="AV143" s="30"/>
      <c r="AW143" s="30"/>
      <c r="AX143" s="30"/>
      <c r="AY143" s="30"/>
      <c r="AZ143" s="30"/>
    </row>
    <row r="144" spans="1:52">
      <c r="A144" s="25" t="s">
        <v>11432</v>
      </c>
      <c r="B144" s="25" t="s">
        <v>4398</v>
      </c>
      <c r="C144" s="25" t="s">
        <v>68</v>
      </c>
      <c r="D144" s="25" t="s">
        <v>11424</v>
      </c>
      <c r="E144" s="258" t="s">
        <v>11433</v>
      </c>
      <c r="F144" s="25" t="s">
        <v>11434</v>
      </c>
      <c r="G144" s="25" t="s">
        <v>3138</v>
      </c>
      <c r="H144" s="25" t="s">
        <v>3138</v>
      </c>
      <c r="I144" s="26" t="s">
        <v>9528</v>
      </c>
      <c r="J144" s="26" t="s">
        <v>9281</v>
      </c>
      <c r="K144" s="62" t="s">
        <v>10407</v>
      </c>
      <c r="L144" s="25" t="s">
        <v>73</v>
      </c>
      <c r="M144" s="25" t="s">
        <v>11416</v>
      </c>
      <c r="N144" s="49" t="s">
        <v>11435</v>
      </c>
      <c r="O144" s="27" t="s">
        <v>11436</v>
      </c>
      <c r="P144" s="28"/>
      <c r="Q144" s="29">
        <v>4</v>
      </c>
      <c r="R144" s="29">
        <v>16</v>
      </c>
      <c r="S144" s="29">
        <v>267.68</v>
      </c>
      <c r="T144" s="30" t="s">
        <v>88</v>
      </c>
      <c r="U144" s="30" t="s">
        <v>78</v>
      </c>
      <c r="V144" s="30" t="s">
        <v>89</v>
      </c>
      <c r="W144" s="38" t="s">
        <v>10271</v>
      </c>
      <c r="X144" s="26" t="s">
        <v>10411</v>
      </c>
      <c r="Y144" s="26" t="s">
        <v>91</v>
      </c>
      <c r="Z144" s="26" t="s">
        <v>91</v>
      </c>
      <c r="AA144" s="26" t="s">
        <v>172</v>
      </c>
      <c r="AB144" s="31" t="s">
        <v>21</v>
      </c>
      <c r="AC144" s="30" t="s">
        <v>172</v>
      </c>
      <c r="AD144" s="25" t="s">
        <v>172</v>
      </c>
      <c r="AE144" s="25" t="s">
        <v>174</v>
      </c>
      <c r="AF144" s="26" t="s">
        <v>175</v>
      </c>
      <c r="AG144" s="32">
        <f t="shared" si="8"/>
        <v>1</v>
      </c>
      <c r="AH144" s="32">
        <v>1</v>
      </c>
      <c r="AI144" s="32">
        <v>1</v>
      </c>
      <c r="AJ144" s="32">
        <v>1</v>
      </c>
      <c r="AK144" s="30"/>
      <c r="AL144" s="32">
        <f t="shared" ref="AL144:AL153" si="9">IF(COUNTIF(AX:AX,"*"&amp;M144&amp;"*")&gt;0,1,0)</f>
        <v>1</v>
      </c>
      <c r="AM144" s="30"/>
      <c r="AN144" s="32"/>
      <c r="AO144" s="32">
        <v>1</v>
      </c>
      <c r="AP144" s="32">
        <v>1</v>
      </c>
      <c r="AQ144" s="32">
        <v>1</v>
      </c>
      <c r="AR144" s="32">
        <v>1</v>
      </c>
      <c r="AS144" s="32"/>
      <c r="AT144" s="32">
        <v>1</v>
      </c>
      <c r="AU144" s="30"/>
      <c r="AV144" s="30"/>
      <c r="AW144" s="30"/>
      <c r="AX144" s="30" t="s">
        <v>11201</v>
      </c>
      <c r="AY144" s="30"/>
      <c r="AZ144" s="30" t="s">
        <v>11381</v>
      </c>
    </row>
    <row r="145" spans="1:52">
      <c r="A145" s="25" t="s">
        <v>11437</v>
      </c>
      <c r="B145" s="25" t="s">
        <v>4398</v>
      </c>
      <c r="C145" s="25" t="s">
        <v>68</v>
      </c>
      <c r="D145" s="25" t="s">
        <v>11438</v>
      </c>
      <c r="E145" s="258" t="s">
        <v>11439</v>
      </c>
      <c r="F145" s="25" t="s">
        <v>11440</v>
      </c>
      <c r="G145" s="25" t="s">
        <v>3138</v>
      </c>
      <c r="H145" s="25" t="s">
        <v>3138</v>
      </c>
      <c r="I145" s="26" t="s">
        <v>9838</v>
      </c>
      <c r="J145" s="26" t="s">
        <v>9281</v>
      </c>
      <c r="K145" s="62" t="s">
        <v>10407</v>
      </c>
      <c r="L145" s="25" t="s">
        <v>73</v>
      </c>
      <c r="M145" s="25" t="s">
        <v>11226</v>
      </c>
      <c r="N145" s="49" t="s">
        <v>11441</v>
      </c>
      <c r="O145" s="27" t="s">
        <v>11442</v>
      </c>
      <c r="P145" s="28"/>
      <c r="Q145" s="29">
        <v>4</v>
      </c>
      <c r="R145" s="29">
        <v>16</v>
      </c>
      <c r="S145" s="29">
        <v>266.14999999999998</v>
      </c>
      <c r="T145" s="30" t="s">
        <v>88</v>
      </c>
      <c r="U145" s="30" t="s">
        <v>78</v>
      </c>
      <c r="V145" s="30" t="s">
        <v>89</v>
      </c>
      <c r="W145" s="38" t="s">
        <v>10271</v>
      </c>
      <c r="X145" s="26" t="s">
        <v>10411</v>
      </c>
      <c r="Y145" s="26" t="s">
        <v>91</v>
      </c>
      <c r="Z145" s="26" t="s">
        <v>91</v>
      </c>
      <c r="AA145" s="26" t="s">
        <v>172</v>
      </c>
      <c r="AB145" s="31" t="s">
        <v>21</v>
      </c>
      <c r="AC145" s="30" t="s">
        <v>172</v>
      </c>
      <c r="AD145" s="25" t="s">
        <v>172</v>
      </c>
      <c r="AE145" s="25" t="s">
        <v>174</v>
      </c>
      <c r="AF145" s="26" t="s">
        <v>175</v>
      </c>
      <c r="AG145" s="32">
        <f t="shared" si="8"/>
        <v>1</v>
      </c>
      <c r="AH145" s="32">
        <v>1</v>
      </c>
      <c r="AI145" s="32">
        <v>1</v>
      </c>
      <c r="AJ145" s="32">
        <v>1</v>
      </c>
      <c r="AK145" s="30"/>
      <c r="AL145" s="32">
        <f t="shared" si="9"/>
        <v>1</v>
      </c>
      <c r="AM145" s="30"/>
      <c r="AN145" s="32"/>
      <c r="AO145" s="32">
        <v>1</v>
      </c>
      <c r="AP145" s="32">
        <v>1</v>
      </c>
      <c r="AQ145" s="32">
        <v>1</v>
      </c>
      <c r="AR145" s="32">
        <v>1</v>
      </c>
      <c r="AS145" s="32"/>
      <c r="AT145" s="32">
        <v>1</v>
      </c>
      <c r="AU145" s="30"/>
      <c r="AV145" s="30"/>
      <c r="AW145" s="30"/>
      <c r="AX145" s="30" t="s">
        <v>11291</v>
      </c>
      <c r="AY145" s="30"/>
      <c r="AZ145" s="30" t="s">
        <v>11375</v>
      </c>
    </row>
    <row r="146" spans="1:52">
      <c r="A146" s="25" t="s">
        <v>11443</v>
      </c>
      <c r="B146" s="25" t="s">
        <v>4398</v>
      </c>
      <c r="C146" s="25" t="s">
        <v>68</v>
      </c>
      <c r="D146" s="25" t="s">
        <v>11444</v>
      </c>
      <c r="E146" s="258" t="s">
        <v>11445</v>
      </c>
      <c r="F146" s="25" t="s">
        <v>11446</v>
      </c>
      <c r="G146" s="25" t="s">
        <v>3138</v>
      </c>
      <c r="H146" s="25" t="s">
        <v>3138</v>
      </c>
      <c r="I146" s="26" t="s">
        <v>9838</v>
      </c>
      <c r="J146" s="26" t="s">
        <v>9281</v>
      </c>
      <c r="K146" s="62" t="s">
        <v>10407</v>
      </c>
      <c r="L146" s="25" t="s">
        <v>73</v>
      </c>
      <c r="M146" s="25" t="s">
        <v>11447</v>
      </c>
      <c r="N146" s="49" t="s">
        <v>11448</v>
      </c>
      <c r="O146" s="27" t="s">
        <v>11449</v>
      </c>
      <c r="P146" s="28"/>
      <c r="Q146" s="29">
        <v>8</v>
      </c>
      <c r="R146" s="29">
        <v>32</v>
      </c>
      <c r="S146" s="29">
        <v>282.18</v>
      </c>
      <c r="T146" s="30" t="s">
        <v>88</v>
      </c>
      <c r="U146" s="30" t="s">
        <v>78</v>
      </c>
      <c r="V146" s="30" t="s">
        <v>89</v>
      </c>
      <c r="W146" s="38" t="s">
        <v>10271</v>
      </c>
      <c r="X146" s="26" t="s">
        <v>10411</v>
      </c>
      <c r="Y146" s="26" t="s">
        <v>91</v>
      </c>
      <c r="Z146" s="26" t="s">
        <v>91</v>
      </c>
      <c r="AA146" s="26" t="s">
        <v>172</v>
      </c>
      <c r="AB146" s="31" t="s">
        <v>21</v>
      </c>
      <c r="AC146" s="30" t="s">
        <v>172</v>
      </c>
      <c r="AD146" s="25" t="s">
        <v>172</v>
      </c>
      <c r="AE146" s="25" t="s">
        <v>174</v>
      </c>
      <c r="AF146" s="26" t="s">
        <v>175</v>
      </c>
      <c r="AG146" s="32">
        <f t="shared" si="8"/>
        <v>1</v>
      </c>
      <c r="AH146" s="32">
        <v>1</v>
      </c>
      <c r="AI146" s="32">
        <v>1</v>
      </c>
      <c r="AJ146" s="32">
        <v>1</v>
      </c>
      <c r="AK146" s="30"/>
      <c r="AL146" s="32">
        <f t="shared" si="9"/>
        <v>1</v>
      </c>
      <c r="AM146" s="30"/>
      <c r="AN146" s="32"/>
      <c r="AO146" s="32">
        <v>1</v>
      </c>
      <c r="AP146" s="32">
        <v>1</v>
      </c>
      <c r="AQ146" s="32">
        <v>1</v>
      </c>
      <c r="AR146" s="32">
        <v>1</v>
      </c>
      <c r="AS146" s="32"/>
      <c r="AT146" s="32">
        <v>1</v>
      </c>
      <c r="AU146" s="30"/>
      <c r="AV146" s="30"/>
      <c r="AW146" s="30"/>
      <c r="AX146" s="30" t="s">
        <v>11276</v>
      </c>
      <c r="AY146" s="30"/>
      <c r="AZ146" s="30" t="s">
        <v>10367</v>
      </c>
    </row>
    <row r="147" spans="1:52">
      <c r="A147" s="25" t="s">
        <v>11450</v>
      </c>
      <c r="B147" s="25" t="s">
        <v>4398</v>
      </c>
      <c r="C147" s="25" t="s">
        <v>68</v>
      </c>
      <c r="D147" s="25" t="s">
        <v>11451</v>
      </c>
      <c r="E147" s="258" t="s">
        <v>11452</v>
      </c>
      <c r="F147" s="25" t="s">
        <v>11453</v>
      </c>
      <c r="G147" s="25" t="s">
        <v>3138</v>
      </c>
      <c r="H147" s="25" t="s">
        <v>3138</v>
      </c>
      <c r="I147" s="26" t="s">
        <v>9838</v>
      </c>
      <c r="J147" s="26" t="s">
        <v>9281</v>
      </c>
      <c r="K147" s="62" t="s">
        <v>10407</v>
      </c>
      <c r="L147" s="25" t="s">
        <v>73</v>
      </c>
      <c r="M147" s="25" t="s">
        <v>11454</v>
      </c>
      <c r="N147" s="49" t="s">
        <v>11455</v>
      </c>
      <c r="O147" s="27" t="s">
        <v>11456</v>
      </c>
      <c r="P147" s="28"/>
      <c r="Q147" s="29">
        <v>4</v>
      </c>
      <c r="R147" s="29">
        <v>16</v>
      </c>
      <c r="S147" s="29">
        <v>266.12</v>
      </c>
      <c r="T147" s="30" t="s">
        <v>88</v>
      </c>
      <c r="U147" s="30" t="s">
        <v>78</v>
      </c>
      <c r="V147" s="30" t="s">
        <v>89</v>
      </c>
      <c r="W147" s="38" t="s">
        <v>10271</v>
      </c>
      <c r="X147" s="26" t="s">
        <v>10411</v>
      </c>
      <c r="Y147" s="26" t="s">
        <v>91</v>
      </c>
      <c r="Z147" s="26" t="s">
        <v>91</v>
      </c>
      <c r="AA147" s="26" t="s">
        <v>172</v>
      </c>
      <c r="AB147" s="31" t="s">
        <v>21</v>
      </c>
      <c r="AC147" s="30" t="s">
        <v>172</v>
      </c>
      <c r="AD147" s="25" t="s">
        <v>172</v>
      </c>
      <c r="AE147" s="25" t="s">
        <v>174</v>
      </c>
      <c r="AF147" s="26" t="s">
        <v>175</v>
      </c>
      <c r="AG147" s="32">
        <f t="shared" si="8"/>
        <v>1</v>
      </c>
      <c r="AH147" s="32">
        <v>1</v>
      </c>
      <c r="AI147" s="32">
        <v>1</v>
      </c>
      <c r="AJ147" s="32">
        <v>1</v>
      </c>
      <c r="AK147" s="30"/>
      <c r="AL147" s="32">
        <f t="shared" si="9"/>
        <v>1</v>
      </c>
      <c r="AM147" s="30"/>
      <c r="AN147" s="32"/>
      <c r="AO147" s="32">
        <v>1</v>
      </c>
      <c r="AP147" s="32">
        <v>1</v>
      </c>
      <c r="AQ147" s="32">
        <v>1</v>
      </c>
      <c r="AR147" s="32">
        <v>1</v>
      </c>
      <c r="AS147" s="32"/>
      <c r="AT147" s="32">
        <v>1</v>
      </c>
      <c r="AU147" s="30"/>
      <c r="AV147" s="30"/>
      <c r="AW147" s="30"/>
      <c r="AX147" s="30" t="s">
        <v>11421</v>
      </c>
      <c r="AY147" s="30"/>
      <c r="AZ147" s="30" t="s">
        <v>11369</v>
      </c>
    </row>
    <row r="148" spans="1:52">
      <c r="A148" s="25" t="s">
        <v>11457</v>
      </c>
      <c r="B148" s="25" t="s">
        <v>4398</v>
      </c>
      <c r="C148" s="25" t="s">
        <v>68</v>
      </c>
      <c r="D148" s="25" t="s">
        <v>11458</v>
      </c>
      <c r="E148" s="258" t="s">
        <v>11459</v>
      </c>
      <c r="F148" s="25" t="s">
        <v>11460</v>
      </c>
      <c r="G148" s="25" t="s">
        <v>3138</v>
      </c>
      <c r="H148" s="25" t="s">
        <v>3138</v>
      </c>
      <c r="I148" s="26" t="s">
        <v>9838</v>
      </c>
      <c r="J148" s="26" t="s">
        <v>9281</v>
      </c>
      <c r="K148" s="62" t="s">
        <v>10407</v>
      </c>
      <c r="L148" s="25" t="s">
        <v>73</v>
      </c>
      <c r="M148" s="25" t="s">
        <v>11387</v>
      </c>
      <c r="N148" s="49" t="s">
        <v>11461</v>
      </c>
      <c r="O148" s="27" t="s">
        <v>11462</v>
      </c>
      <c r="P148" s="28"/>
      <c r="Q148" s="29">
        <v>4</v>
      </c>
      <c r="R148" s="29">
        <v>16</v>
      </c>
      <c r="S148" s="29">
        <v>266.12</v>
      </c>
      <c r="T148" s="30" t="s">
        <v>88</v>
      </c>
      <c r="U148" s="30" t="s">
        <v>78</v>
      </c>
      <c r="V148" s="30" t="s">
        <v>89</v>
      </c>
      <c r="W148" s="38" t="s">
        <v>10271</v>
      </c>
      <c r="X148" s="26" t="s">
        <v>10411</v>
      </c>
      <c r="Y148" s="26" t="s">
        <v>91</v>
      </c>
      <c r="Z148" s="26" t="s">
        <v>91</v>
      </c>
      <c r="AA148" s="26" t="s">
        <v>172</v>
      </c>
      <c r="AB148" s="31" t="s">
        <v>21</v>
      </c>
      <c r="AC148" s="30" t="s">
        <v>172</v>
      </c>
      <c r="AD148" s="25" t="s">
        <v>172</v>
      </c>
      <c r="AE148" s="25" t="s">
        <v>174</v>
      </c>
      <c r="AF148" s="26" t="s">
        <v>175</v>
      </c>
      <c r="AG148" s="32">
        <f t="shared" si="8"/>
        <v>1</v>
      </c>
      <c r="AH148" s="32">
        <v>1</v>
      </c>
      <c r="AI148" s="32">
        <v>1</v>
      </c>
      <c r="AJ148" s="32">
        <v>1</v>
      </c>
      <c r="AK148" s="30"/>
      <c r="AL148" s="32">
        <f t="shared" si="9"/>
        <v>1</v>
      </c>
      <c r="AM148" s="30"/>
      <c r="AN148" s="32"/>
      <c r="AO148" s="32">
        <v>1</v>
      </c>
      <c r="AP148" s="32">
        <v>1</v>
      </c>
      <c r="AQ148" s="32">
        <v>1</v>
      </c>
      <c r="AR148" s="32">
        <v>1</v>
      </c>
      <c r="AS148" s="32"/>
      <c r="AT148" s="32">
        <v>1</v>
      </c>
      <c r="AU148" s="30"/>
      <c r="AV148" s="30"/>
      <c r="AW148" s="30"/>
      <c r="AX148" s="30" t="s">
        <v>11336</v>
      </c>
      <c r="AY148" s="30"/>
      <c r="AZ148" s="30" t="s">
        <v>11418</v>
      </c>
    </row>
    <row r="149" spans="1:52">
      <c r="A149" s="25" t="s">
        <v>11463</v>
      </c>
      <c r="B149" s="25" t="s">
        <v>4398</v>
      </c>
      <c r="C149" s="25" t="s">
        <v>73</v>
      </c>
      <c r="D149" s="25" t="s">
        <v>11464</v>
      </c>
      <c r="E149" s="258" t="s">
        <v>11465</v>
      </c>
      <c r="F149" s="25" t="s">
        <v>11466</v>
      </c>
      <c r="G149" s="25" t="s">
        <v>3138</v>
      </c>
      <c r="H149" s="25" t="s">
        <v>3138</v>
      </c>
      <c r="I149" s="26" t="s">
        <v>9838</v>
      </c>
      <c r="J149" s="26" t="s">
        <v>9281</v>
      </c>
      <c r="K149" s="62" t="s">
        <v>10407</v>
      </c>
      <c r="L149" s="25" t="s">
        <v>73</v>
      </c>
      <c r="M149" s="25" t="s">
        <v>11467</v>
      </c>
      <c r="N149" s="49" t="s">
        <v>11468</v>
      </c>
      <c r="O149" s="27" t="s">
        <v>11469</v>
      </c>
      <c r="P149" s="28"/>
      <c r="Q149" s="77">
        <v>4</v>
      </c>
      <c r="R149" s="77" t="s">
        <v>4409</v>
      </c>
      <c r="S149" s="77" t="s">
        <v>8070</v>
      </c>
      <c r="T149" s="30" t="s">
        <v>88</v>
      </c>
      <c r="U149" s="30" t="s">
        <v>78</v>
      </c>
      <c r="V149" s="30" t="s">
        <v>89</v>
      </c>
      <c r="W149" s="38" t="s">
        <v>10271</v>
      </c>
      <c r="X149" s="26" t="s">
        <v>10411</v>
      </c>
      <c r="Y149" s="26" t="s">
        <v>91</v>
      </c>
      <c r="Z149" s="26" t="s">
        <v>91</v>
      </c>
      <c r="AA149" s="26" t="s">
        <v>172</v>
      </c>
      <c r="AB149" s="31" t="s">
        <v>21</v>
      </c>
      <c r="AC149" s="30" t="s">
        <v>172</v>
      </c>
      <c r="AD149" s="25" t="s">
        <v>4423</v>
      </c>
      <c r="AE149" s="25" t="s">
        <v>172</v>
      </c>
      <c r="AF149" s="26" t="s">
        <v>175</v>
      </c>
      <c r="AG149" s="32">
        <f t="shared" si="8"/>
        <v>1</v>
      </c>
      <c r="AH149" s="32">
        <v>1</v>
      </c>
      <c r="AI149" s="32">
        <v>1</v>
      </c>
      <c r="AJ149" s="32">
        <v>1</v>
      </c>
      <c r="AK149" s="30"/>
      <c r="AL149" s="32">
        <f t="shared" si="9"/>
        <v>1</v>
      </c>
      <c r="AM149" s="30"/>
      <c r="AN149" s="32"/>
      <c r="AO149" s="32">
        <v>1</v>
      </c>
      <c r="AP149" s="32">
        <v>1</v>
      </c>
      <c r="AQ149" s="32">
        <v>1</v>
      </c>
      <c r="AR149" s="32">
        <v>1</v>
      </c>
      <c r="AS149" s="32"/>
      <c r="AT149" s="32">
        <v>1</v>
      </c>
      <c r="AU149" s="30"/>
      <c r="AV149" s="30"/>
      <c r="AW149" s="30"/>
      <c r="AX149" s="30" t="s">
        <v>11447</v>
      </c>
      <c r="AY149" s="30"/>
      <c r="AZ149" s="30" t="s">
        <v>11362</v>
      </c>
    </row>
    <row r="150" spans="1:52">
      <c r="A150" s="25" t="s">
        <v>11470</v>
      </c>
      <c r="B150" s="25" t="s">
        <v>4398</v>
      </c>
      <c r="C150" s="25" t="s">
        <v>68</v>
      </c>
      <c r="D150" s="25" t="s">
        <v>11471</v>
      </c>
      <c r="E150" s="258" t="s">
        <v>11472</v>
      </c>
      <c r="F150" s="25" t="s">
        <v>11473</v>
      </c>
      <c r="G150" s="25" t="s">
        <v>3138</v>
      </c>
      <c r="H150" s="25" t="s">
        <v>3138</v>
      </c>
      <c r="I150" s="26" t="s">
        <v>9838</v>
      </c>
      <c r="J150" s="26" t="s">
        <v>9281</v>
      </c>
      <c r="K150" s="62" t="s">
        <v>10407</v>
      </c>
      <c r="L150" s="25" t="s">
        <v>73</v>
      </c>
      <c r="M150" s="25" t="s">
        <v>11339</v>
      </c>
      <c r="N150" s="49" t="s">
        <v>11474</v>
      </c>
      <c r="O150" s="27" t="s">
        <v>11475</v>
      </c>
      <c r="P150" s="28"/>
      <c r="Q150" s="29">
        <v>8</v>
      </c>
      <c r="R150" s="29">
        <v>32</v>
      </c>
      <c r="S150" s="29">
        <v>302.2</v>
      </c>
      <c r="T150" s="30" t="s">
        <v>88</v>
      </c>
      <c r="U150" s="30" t="s">
        <v>78</v>
      </c>
      <c r="V150" s="30" t="s">
        <v>89</v>
      </c>
      <c r="W150" s="38" t="s">
        <v>10271</v>
      </c>
      <c r="X150" s="26" t="s">
        <v>10411</v>
      </c>
      <c r="Y150" s="26" t="s">
        <v>91</v>
      </c>
      <c r="Z150" s="26" t="s">
        <v>91</v>
      </c>
      <c r="AA150" s="26" t="s">
        <v>172</v>
      </c>
      <c r="AB150" s="31" t="s">
        <v>21</v>
      </c>
      <c r="AC150" s="30" t="s">
        <v>172</v>
      </c>
      <c r="AD150" s="25" t="s">
        <v>172</v>
      </c>
      <c r="AE150" s="25" t="s">
        <v>174</v>
      </c>
      <c r="AF150" s="26" t="s">
        <v>175</v>
      </c>
      <c r="AG150" s="32">
        <f t="shared" si="8"/>
        <v>1</v>
      </c>
      <c r="AH150" s="32">
        <v>1</v>
      </c>
      <c r="AI150" s="32">
        <v>1</v>
      </c>
      <c r="AJ150" s="32">
        <v>1</v>
      </c>
      <c r="AK150" s="30"/>
      <c r="AL150" s="32">
        <f t="shared" si="9"/>
        <v>1</v>
      </c>
      <c r="AM150" s="30"/>
      <c r="AN150" s="32"/>
      <c r="AO150" s="32">
        <v>1</v>
      </c>
      <c r="AP150" s="32">
        <v>1</v>
      </c>
      <c r="AQ150" s="32">
        <v>1</v>
      </c>
      <c r="AR150" s="32">
        <v>1</v>
      </c>
      <c r="AS150" s="32"/>
      <c r="AT150" s="32">
        <v>1</v>
      </c>
      <c r="AU150" s="30"/>
      <c r="AV150" s="30"/>
      <c r="AW150" s="30"/>
      <c r="AX150" s="30" t="s">
        <v>11245</v>
      </c>
      <c r="AY150" s="30"/>
      <c r="AZ150" s="30" t="s">
        <v>11354</v>
      </c>
    </row>
    <row r="151" spans="1:52">
      <c r="A151" s="25" t="s">
        <v>11476</v>
      </c>
      <c r="B151" s="25" t="s">
        <v>4398</v>
      </c>
      <c r="C151" s="25" t="s">
        <v>68</v>
      </c>
      <c r="D151" s="25" t="s">
        <v>11410</v>
      </c>
      <c r="E151" s="258" t="s">
        <v>11477</v>
      </c>
      <c r="F151" s="25" t="s">
        <v>11478</v>
      </c>
      <c r="G151" s="25" t="s">
        <v>3138</v>
      </c>
      <c r="H151" s="25" t="s">
        <v>3138</v>
      </c>
      <c r="I151" s="26" t="s">
        <v>9838</v>
      </c>
      <c r="J151" s="26" t="s">
        <v>9281</v>
      </c>
      <c r="K151" s="62" t="s">
        <v>10407</v>
      </c>
      <c r="L151" s="25" t="s">
        <v>73</v>
      </c>
      <c r="M151" s="25" t="s">
        <v>11352</v>
      </c>
      <c r="N151" s="49" t="s">
        <v>11479</v>
      </c>
      <c r="O151" s="27" t="s">
        <v>11480</v>
      </c>
      <c r="P151" s="28"/>
      <c r="Q151" s="29">
        <v>4</v>
      </c>
      <c r="R151" s="29">
        <v>16</v>
      </c>
      <c r="S151" s="29">
        <v>266.69</v>
      </c>
      <c r="T151" s="30" t="s">
        <v>88</v>
      </c>
      <c r="U151" s="30" t="s">
        <v>78</v>
      </c>
      <c r="V151" s="30" t="s">
        <v>89</v>
      </c>
      <c r="W151" s="38" t="s">
        <v>10271</v>
      </c>
      <c r="X151" s="26" t="s">
        <v>10411</v>
      </c>
      <c r="Y151" s="26" t="s">
        <v>91</v>
      </c>
      <c r="Z151" s="26" t="s">
        <v>91</v>
      </c>
      <c r="AA151" s="26" t="s">
        <v>172</v>
      </c>
      <c r="AB151" s="31" t="s">
        <v>21</v>
      </c>
      <c r="AC151" s="30" t="s">
        <v>172</v>
      </c>
      <c r="AD151" s="25" t="s">
        <v>172</v>
      </c>
      <c r="AE151" s="25" t="s">
        <v>174</v>
      </c>
      <c r="AF151" s="26" t="s">
        <v>175</v>
      </c>
      <c r="AG151" s="32">
        <f t="shared" si="8"/>
        <v>1</v>
      </c>
      <c r="AH151" s="32">
        <v>1</v>
      </c>
      <c r="AI151" s="32">
        <v>1</v>
      </c>
      <c r="AJ151" s="32">
        <v>1</v>
      </c>
      <c r="AK151" s="30"/>
      <c r="AL151" s="32">
        <f t="shared" si="9"/>
        <v>1</v>
      </c>
      <c r="AM151" s="30"/>
      <c r="AN151" s="32"/>
      <c r="AO151" s="32">
        <v>1</v>
      </c>
      <c r="AP151" s="32">
        <v>1</v>
      </c>
      <c r="AQ151" s="32">
        <v>1</v>
      </c>
      <c r="AR151" s="32">
        <v>1</v>
      </c>
      <c r="AS151" s="32"/>
      <c r="AT151" s="32">
        <v>1</v>
      </c>
      <c r="AU151" s="30"/>
      <c r="AV151" s="30"/>
      <c r="AW151" s="30"/>
      <c r="AX151" s="30" t="s">
        <v>11454</v>
      </c>
      <c r="AY151" s="30"/>
      <c r="AZ151" s="30" t="s">
        <v>11347</v>
      </c>
    </row>
    <row r="152" spans="1:52" ht="29">
      <c r="A152" s="78" t="s">
        <v>124</v>
      </c>
      <c r="B152" s="72" t="s">
        <v>125</v>
      </c>
      <c r="C152" s="25" t="s">
        <v>68</v>
      </c>
      <c r="D152" s="30" t="s">
        <v>83</v>
      </c>
      <c r="E152" s="48" t="s">
        <v>70</v>
      </c>
      <c r="F152" s="48" t="s">
        <v>70</v>
      </c>
      <c r="G152" s="30"/>
      <c r="H152" s="30"/>
      <c r="I152" s="30"/>
      <c r="J152" s="26" t="s">
        <v>9281</v>
      </c>
      <c r="K152" s="62" t="s">
        <v>10407</v>
      </c>
      <c r="L152" s="25" t="s">
        <v>73</v>
      </c>
      <c r="M152" s="49" t="s">
        <v>10455</v>
      </c>
      <c r="N152" s="26" t="s">
        <v>11481</v>
      </c>
      <c r="O152" s="27" t="s">
        <v>127</v>
      </c>
      <c r="S152" s="32"/>
      <c r="T152" s="30" t="s">
        <v>88</v>
      </c>
      <c r="U152" s="30" t="s">
        <v>78</v>
      </c>
      <c r="V152" s="30" t="s">
        <v>89</v>
      </c>
      <c r="W152" s="38" t="s">
        <v>10271</v>
      </c>
      <c r="X152" s="26" t="s">
        <v>10411</v>
      </c>
      <c r="Y152" s="26" t="s">
        <v>91</v>
      </c>
      <c r="Z152" s="26" t="s">
        <v>91</v>
      </c>
      <c r="AA152" s="26" t="s">
        <v>172</v>
      </c>
      <c r="AB152" s="31" t="s">
        <v>7</v>
      </c>
      <c r="AC152" s="30" t="s">
        <v>172</v>
      </c>
      <c r="AD152" s="25" t="s">
        <v>172</v>
      </c>
      <c r="AE152" s="25" t="s">
        <v>174</v>
      </c>
      <c r="AF152" s="26" t="s">
        <v>175</v>
      </c>
      <c r="AG152" s="32">
        <f t="shared" si="8"/>
        <v>1</v>
      </c>
      <c r="AH152" s="32">
        <v>1</v>
      </c>
      <c r="AI152" s="32">
        <v>1</v>
      </c>
      <c r="AJ152" s="32">
        <v>1</v>
      </c>
      <c r="AK152" s="30"/>
      <c r="AL152" s="32">
        <f t="shared" si="9"/>
        <v>1</v>
      </c>
      <c r="AM152" s="30"/>
      <c r="AN152" s="32"/>
      <c r="AO152" s="32">
        <v>1</v>
      </c>
      <c r="AP152" s="32">
        <v>1</v>
      </c>
      <c r="AQ152" s="32">
        <v>1</v>
      </c>
      <c r="AR152" s="32">
        <v>1</v>
      </c>
      <c r="AS152" s="32"/>
      <c r="AT152" s="32">
        <v>1</v>
      </c>
      <c r="AU152" s="30" t="s">
        <v>11482</v>
      </c>
      <c r="AV152" s="30"/>
      <c r="AW152" s="30"/>
      <c r="AX152" s="30" t="s">
        <v>11033</v>
      </c>
      <c r="AY152" s="30"/>
      <c r="AZ152" s="30" t="s">
        <v>11333</v>
      </c>
    </row>
    <row r="153" spans="1:52" ht="29">
      <c r="A153" s="79" t="s">
        <v>133</v>
      </c>
      <c r="B153" s="72" t="s">
        <v>125</v>
      </c>
      <c r="C153" s="25" t="s">
        <v>73</v>
      </c>
      <c r="D153" s="78" t="s">
        <v>117</v>
      </c>
      <c r="E153" s="48" t="s">
        <v>134</v>
      </c>
      <c r="F153" s="48" t="s">
        <v>134</v>
      </c>
      <c r="G153" s="30"/>
      <c r="H153" s="30"/>
      <c r="I153" s="30"/>
      <c r="J153" s="26" t="s">
        <v>9281</v>
      </c>
      <c r="K153" s="62" t="s">
        <v>10407</v>
      </c>
      <c r="L153" s="25" t="s">
        <v>73</v>
      </c>
      <c r="M153" s="49" t="s">
        <v>10445</v>
      </c>
      <c r="N153" s="26" t="s">
        <v>11483</v>
      </c>
      <c r="O153" s="27" t="s">
        <v>136</v>
      </c>
      <c r="Q153" s="77">
        <v>4</v>
      </c>
      <c r="R153" s="77" t="s">
        <v>4409</v>
      </c>
      <c r="S153" s="77" t="s">
        <v>7673</v>
      </c>
      <c r="T153" s="30" t="s">
        <v>88</v>
      </c>
      <c r="U153" s="30" t="s">
        <v>78</v>
      </c>
      <c r="V153" s="30" t="s">
        <v>89</v>
      </c>
      <c r="W153" s="38" t="s">
        <v>10271</v>
      </c>
      <c r="X153" s="26" t="s">
        <v>10411</v>
      </c>
      <c r="Y153" s="26" t="s">
        <v>91</v>
      </c>
      <c r="Z153" s="26" t="s">
        <v>91</v>
      </c>
      <c r="AA153" s="26" t="s">
        <v>172</v>
      </c>
      <c r="AB153" s="31" t="s">
        <v>7</v>
      </c>
      <c r="AC153" s="30" t="s">
        <v>172</v>
      </c>
      <c r="AD153" s="25" t="s">
        <v>4423</v>
      </c>
      <c r="AE153" s="25" t="s">
        <v>172</v>
      </c>
      <c r="AF153" s="26" t="s">
        <v>175</v>
      </c>
      <c r="AG153" s="32">
        <f t="shared" si="8"/>
        <v>1</v>
      </c>
      <c r="AH153" s="32">
        <v>1</v>
      </c>
      <c r="AI153" s="32">
        <v>1</v>
      </c>
      <c r="AJ153" s="32">
        <v>1</v>
      </c>
      <c r="AK153" s="30"/>
      <c r="AL153" s="32">
        <f t="shared" si="9"/>
        <v>1</v>
      </c>
      <c r="AM153" s="30"/>
      <c r="AN153" s="32"/>
      <c r="AO153" s="32">
        <v>1</v>
      </c>
      <c r="AP153" s="32">
        <v>1</v>
      </c>
      <c r="AQ153" s="32">
        <v>1</v>
      </c>
      <c r="AR153" s="32">
        <v>1</v>
      </c>
      <c r="AS153" s="32"/>
      <c r="AT153" s="32">
        <v>1</v>
      </c>
      <c r="AU153" s="30" t="s">
        <v>11484</v>
      </c>
      <c r="AV153" s="30"/>
      <c r="AW153" s="30"/>
      <c r="AX153" s="30" t="s">
        <v>11467</v>
      </c>
      <c r="AY153" s="30"/>
      <c r="AZ153" s="30" t="s">
        <v>11471</v>
      </c>
    </row>
    <row r="154" spans="1:52">
      <c r="AZ154" s="2" t="s">
        <v>11444</v>
      </c>
    </row>
    <row r="155" spans="1:52">
      <c r="AZ155" s="2" t="s">
        <v>11458</v>
      </c>
    </row>
    <row r="156" spans="1:52">
      <c r="AZ156" s="2" t="s">
        <v>11451</v>
      </c>
    </row>
    <row r="157" spans="1:52">
      <c r="AZ157" s="2" t="s">
        <v>11438</v>
      </c>
    </row>
    <row r="158" spans="1:52">
      <c r="AZ158" s="2" t="s">
        <v>11464</v>
      </c>
    </row>
    <row r="159" spans="1:52">
      <c r="AZ159" s="25" t="s">
        <v>10705</v>
      </c>
    </row>
    <row r="160" spans="1:52">
      <c r="AZ160" s="2" t="s">
        <v>11018</v>
      </c>
    </row>
    <row r="161" spans="52:52">
      <c r="AZ161" s="25" t="s">
        <v>11341</v>
      </c>
    </row>
  </sheetData>
  <sheetProtection sheet="1" formatCells="0" formatColumns="0" formatRows="0" insertColumns="0" insertRows="0" insertHyperlinks="0" deleteColumns="0" deleteRows="0" sort="0" autoFilter="0" pivotTables="0"/>
  <protectedRanges>
    <protectedRange sqref="A1:P1048576" name="Range1"/>
    <protectedRange sqref="A1:O1048576" name="Range2"/>
  </protectedRanges>
  <autoFilter ref="A1:AV153" xr:uid="{00000000-0009-0000-0000-00000B000000}"/>
  <phoneticPr fontId="67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Y149"/>
  <sheetViews>
    <sheetView workbookViewId="0">
      <pane xSplit="6" ySplit="1" topLeftCell="G154" activePane="bottomRight" state="frozen"/>
      <selection pane="topRight"/>
      <selection pane="bottomLeft"/>
      <selection pane="bottomRight" activeCell="F154" sqref="A1:XFD1048576"/>
    </sheetView>
  </sheetViews>
  <sheetFormatPr defaultColWidth="9" defaultRowHeight="14.5"/>
  <cols>
    <col min="1" max="1" width="10.453125" style="4" customWidth="1"/>
    <col min="2" max="2" width="11.453125" style="4" customWidth="1"/>
    <col min="3" max="3" width="4.6328125" style="4" customWidth="1"/>
    <col min="4" max="4" width="13.90625" style="4" customWidth="1"/>
    <col min="5" max="5" width="12.6328125" style="4" customWidth="1"/>
    <col min="6" max="6" width="10.54296875" style="4" customWidth="1"/>
    <col min="7" max="7" width="17.08984375" style="4" customWidth="1"/>
    <col min="8" max="8" width="10.54296875" style="4" customWidth="1"/>
    <col min="9" max="9" width="5.90625" style="4" customWidth="1"/>
    <col min="10" max="10" width="9.81640625" style="4" customWidth="1"/>
    <col min="11" max="11" width="7.81640625" style="4" customWidth="1"/>
    <col min="12" max="12" width="4.6328125" style="4" customWidth="1"/>
    <col min="13" max="13" width="16" style="4" customWidth="1"/>
    <col min="14" max="14" width="12.453125" style="4" customWidth="1"/>
    <col min="15" max="15" width="17.90625" style="60" customWidth="1"/>
    <col min="16" max="16" width="8.54296875" style="2" customWidth="1"/>
    <col min="17" max="17" width="7" style="4" customWidth="1"/>
    <col min="18" max="18" width="9" style="4" customWidth="1"/>
    <col min="19" max="19" width="11" style="4" customWidth="1"/>
    <col min="20" max="21" width="12.7265625" style="2" customWidth="1"/>
    <col min="22" max="22" width="17" style="2" customWidth="1"/>
    <col min="23" max="23" width="19.6328125" style="2" customWidth="1"/>
    <col min="24" max="24" width="9.90625" style="2" customWidth="1"/>
    <col min="25" max="26" width="19.7265625" style="2" customWidth="1"/>
    <col min="27" max="27" width="8.7265625" style="2" customWidth="1"/>
    <col min="28" max="28" width="17.26953125" style="4" customWidth="1"/>
    <col min="29" max="29" width="9" style="2" customWidth="1"/>
    <col min="30" max="31" width="9" style="4" customWidth="1"/>
    <col min="32" max="32" width="9" style="2" customWidth="1"/>
    <col min="33" max="35" width="9" style="4" customWidth="1"/>
    <col min="36" max="36" width="9" style="4"/>
    <col min="37" max="37" width="7.90625" style="2" customWidth="1"/>
    <col min="38" max="38" width="9" style="4"/>
    <col min="39" max="39" width="9" style="2"/>
    <col min="40" max="40" width="11.90625" style="4" customWidth="1"/>
    <col min="41" max="44" width="9" style="4"/>
    <col min="45" max="45" width="11.90625" style="4" customWidth="1"/>
    <col min="46" max="46" width="10.453125" style="4" customWidth="1"/>
    <col min="47" max="47" width="23.7265625" style="2" customWidth="1"/>
    <col min="48" max="49" width="9" style="2"/>
    <col min="50" max="50" width="15.90625" style="2" customWidth="1"/>
    <col min="51" max="16384" width="9" style="2"/>
  </cols>
  <sheetData>
    <row r="1" spans="1:51" s="1" customFormat="1" ht="65.5" customHeight="1">
      <c r="A1" s="5" t="s">
        <v>25</v>
      </c>
      <c r="B1" s="5" t="s">
        <v>26</v>
      </c>
      <c r="C1" s="5" t="s">
        <v>27</v>
      </c>
      <c r="D1" s="5" t="s">
        <v>28</v>
      </c>
      <c r="E1" s="5" t="s">
        <v>29</v>
      </c>
      <c r="F1" s="5" t="s">
        <v>30</v>
      </c>
      <c r="G1" s="5" t="s">
        <v>31</v>
      </c>
      <c r="H1" s="5" t="s">
        <v>4389</v>
      </c>
      <c r="I1" s="5" t="s">
        <v>4390</v>
      </c>
      <c r="J1" s="5" t="s">
        <v>32</v>
      </c>
      <c r="K1" s="7" t="s">
        <v>33</v>
      </c>
      <c r="L1" s="5" t="s">
        <v>34</v>
      </c>
      <c r="M1" s="5" t="s">
        <v>35</v>
      </c>
      <c r="N1" s="5" t="s">
        <v>36</v>
      </c>
      <c r="O1" s="61" t="s">
        <v>37</v>
      </c>
      <c r="P1" s="9" t="s">
        <v>38</v>
      </c>
      <c r="Q1" s="10" t="s">
        <v>4392</v>
      </c>
      <c r="R1" s="10" t="s">
        <v>5290</v>
      </c>
      <c r="S1" s="10" t="s">
        <v>5291</v>
      </c>
      <c r="T1" s="11" t="s">
        <v>39</v>
      </c>
      <c r="U1" s="11" t="s">
        <v>40</v>
      </c>
      <c r="V1" s="11" t="s">
        <v>41</v>
      </c>
      <c r="W1" s="11" t="s">
        <v>42</v>
      </c>
      <c r="X1" s="11" t="s">
        <v>43</v>
      </c>
      <c r="Y1" s="11" t="s">
        <v>44</v>
      </c>
      <c r="Z1" s="11" t="s">
        <v>45</v>
      </c>
      <c r="AA1" s="12" t="s">
        <v>6888</v>
      </c>
      <c r="AB1" s="13" t="s">
        <v>46</v>
      </c>
      <c r="AC1" s="14" t="s">
        <v>47</v>
      </c>
      <c r="AD1" s="15" t="s">
        <v>48</v>
      </c>
      <c r="AE1" s="15" t="s">
        <v>49</v>
      </c>
      <c r="AF1" s="15" t="s">
        <v>50</v>
      </c>
      <c r="AG1" s="16" t="s">
        <v>51</v>
      </c>
      <c r="AH1" s="16" t="s">
        <v>52</v>
      </c>
      <c r="AI1" s="16" t="s">
        <v>4395</v>
      </c>
      <c r="AJ1" s="17" t="s">
        <v>54</v>
      </c>
      <c r="AK1" s="16" t="s">
        <v>4396</v>
      </c>
      <c r="AL1" s="18" t="s">
        <v>57</v>
      </c>
      <c r="AM1" s="19" t="s">
        <v>58</v>
      </c>
      <c r="AN1" s="19" t="s">
        <v>59</v>
      </c>
      <c r="AO1" s="20" t="s">
        <v>60</v>
      </c>
      <c r="AP1" s="20" t="s">
        <v>61</v>
      </c>
      <c r="AQ1" s="17" t="s">
        <v>62</v>
      </c>
      <c r="AR1" s="17" t="s">
        <v>63</v>
      </c>
      <c r="AS1" s="17" t="s">
        <v>155</v>
      </c>
      <c r="AT1" s="17" t="s">
        <v>65</v>
      </c>
      <c r="AU1" s="21" t="s">
        <v>6889</v>
      </c>
      <c r="AV1" s="17" t="s">
        <v>66</v>
      </c>
      <c r="AW1" s="22"/>
      <c r="AX1" s="23" t="s">
        <v>1680</v>
      </c>
      <c r="AY1" s="24" t="s">
        <v>3133</v>
      </c>
    </row>
    <row r="2" spans="1:51">
      <c r="A2" s="25" t="s">
        <v>11485</v>
      </c>
      <c r="B2" s="25" t="s">
        <v>4398</v>
      </c>
      <c r="C2" s="25" t="s">
        <v>68</v>
      </c>
      <c r="D2" s="25" t="s">
        <v>11486</v>
      </c>
      <c r="E2" s="258" t="s">
        <v>11487</v>
      </c>
      <c r="F2" s="25" t="s">
        <v>11488</v>
      </c>
      <c r="G2" s="25" t="s">
        <v>5516</v>
      </c>
      <c r="H2" s="25" t="s">
        <v>11489</v>
      </c>
      <c r="I2" s="25" t="s">
        <v>4402</v>
      </c>
      <c r="J2" s="25" t="s">
        <v>11490</v>
      </c>
      <c r="K2" s="62" t="s">
        <v>11491</v>
      </c>
      <c r="L2" s="25" t="s">
        <v>73</v>
      </c>
      <c r="M2" s="25" t="s">
        <v>11492</v>
      </c>
      <c r="N2" s="25" t="s">
        <v>11493</v>
      </c>
      <c r="O2" s="63" t="s">
        <v>11494</v>
      </c>
      <c r="P2" s="28"/>
      <c r="Q2" s="53">
        <v>4</v>
      </c>
      <c r="R2" s="53">
        <v>16</v>
      </c>
      <c r="S2" s="53">
        <v>266.16000000000003</v>
      </c>
      <c r="T2" s="26" t="s">
        <v>138</v>
      </c>
      <c r="U2" s="30" t="s">
        <v>78</v>
      </c>
      <c r="V2" s="26" t="s">
        <v>139</v>
      </c>
      <c r="W2" s="26" t="s">
        <v>263</v>
      </c>
      <c r="X2" s="26" t="s">
        <v>131</v>
      </c>
      <c r="Y2" s="38" t="s">
        <v>141</v>
      </c>
      <c r="Z2" s="26" t="s">
        <v>141</v>
      </c>
      <c r="AA2" s="26"/>
      <c r="AB2" s="31" t="s">
        <v>7</v>
      </c>
      <c r="AC2" s="30" t="s">
        <v>172</v>
      </c>
      <c r="AD2" s="25" t="s">
        <v>173</v>
      </c>
      <c r="AE2" s="25" t="s">
        <v>174</v>
      </c>
      <c r="AF2" s="26" t="s">
        <v>175</v>
      </c>
      <c r="AG2" s="32">
        <v>1</v>
      </c>
      <c r="AH2" s="32">
        <v>1</v>
      </c>
      <c r="AI2" s="32"/>
      <c r="AJ2" s="32"/>
      <c r="AK2" s="30"/>
      <c r="AL2" s="32">
        <f>IF(COUNTIF(AX:AX,"*"&amp;M2&amp;"*")&gt;0,1,0)</f>
        <v>1</v>
      </c>
      <c r="AM2" s="30"/>
      <c r="AN2" s="32"/>
      <c r="AO2" s="32"/>
      <c r="AP2" s="32">
        <v>1</v>
      </c>
      <c r="AQ2" s="32">
        <v>1</v>
      </c>
      <c r="AR2" s="32">
        <v>1</v>
      </c>
      <c r="AS2" s="32"/>
      <c r="AT2" s="32">
        <v>1</v>
      </c>
      <c r="AU2" s="30"/>
      <c r="AV2" s="30"/>
      <c r="AW2" s="30"/>
      <c r="AX2" s="30" t="s">
        <v>11495</v>
      </c>
      <c r="AY2" s="30"/>
    </row>
    <row r="3" spans="1:51">
      <c r="A3" s="25" t="s">
        <v>11496</v>
      </c>
      <c r="B3" s="25" t="s">
        <v>4398</v>
      </c>
      <c r="C3" s="25" t="s">
        <v>68</v>
      </c>
      <c r="D3" s="25" t="s">
        <v>11497</v>
      </c>
      <c r="E3" s="258" t="s">
        <v>11498</v>
      </c>
      <c r="F3" s="25" t="s">
        <v>11499</v>
      </c>
      <c r="G3" s="25" t="s">
        <v>5516</v>
      </c>
      <c r="H3" s="25" t="s">
        <v>11489</v>
      </c>
      <c r="I3" s="25" t="s">
        <v>4402</v>
      </c>
      <c r="J3" s="25" t="s">
        <v>11490</v>
      </c>
      <c r="K3" s="64" t="s">
        <v>11500</v>
      </c>
      <c r="L3" s="25" t="s">
        <v>73</v>
      </c>
      <c r="M3" s="25" t="s">
        <v>11501</v>
      </c>
      <c r="N3" s="25" t="s">
        <v>11502</v>
      </c>
      <c r="O3" s="63" t="s">
        <v>11503</v>
      </c>
      <c r="P3" s="28"/>
      <c r="Q3" s="53">
        <v>4</v>
      </c>
      <c r="R3" s="53">
        <v>16</v>
      </c>
      <c r="S3" s="53">
        <v>266.10000000000002</v>
      </c>
      <c r="T3" s="26"/>
      <c r="U3" s="30" t="s">
        <v>78</v>
      </c>
      <c r="V3" s="30"/>
      <c r="W3" s="26" t="s">
        <v>263</v>
      </c>
      <c r="X3" s="26" t="s">
        <v>131</v>
      </c>
      <c r="Y3" s="38"/>
      <c r="Z3" s="26"/>
      <c r="AA3" s="26"/>
      <c r="AB3" s="31" t="s">
        <v>7</v>
      </c>
      <c r="AC3" s="30" t="s">
        <v>172</v>
      </c>
      <c r="AD3" s="25" t="s">
        <v>173</v>
      </c>
      <c r="AE3" s="25" t="s">
        <v>174</v>
      </c>
      <c r="AF3" s="26" t="s">
        <v>175</v>
      </c>
      <c r="AG3" s="32">
        <v>1</v>
      </c>
      <c r="AH3" s="32"/>
      <c r="AI3" s="32"/>
      <c r="AJ3" s="32"/>
      <c r="AK3" s="30"/>
      <c r="AL3" s="32"/>
      <c r="AM3" s="30"/>
      <c r="AN3" s="65"/>
      <c r="AO3" s="32"/>
      <c r="AP3" s="32"/>
      <c r="AQ3" s="65"/>
      <c r="AR3" s="32"/>
      <c r="AS3" s="32"/>
      <c r="AT3" s="34"/>
      <c r="AU3" s="39"/>
      <c r="AV3" s="30"/>
      <c r="AW3" s="30"/>
      <c r="AX3" s="30"/>
      <c r="AY3" s="30"/>
    </row>
    <row r="4" spans="1:51">
      <c r="A4" s="25" t="s">
        <v>11504</v>
      </c>
      <c r="B4" s="25" t="s">
        <v>4398</v>
      </c>
      <c r="C4" s="25" t="s">
        <v>68</v>
      </c>
      <c r="D4" s="25" t="s">
        <v>11505</v>
      </c>
      <c r="E4" s="258" t="s">
        <v>11506</v>
      </c>
      <c r="F4" s="25" t="s">
        <v>11507</v>
      </c>
      <c r="G4" s="25" t="s">
        <v>5516</v>
      </c>
      <c r="H4" s="25" t="s">
        <v>11489</v>
      </c>
      <c r="I4" s="25" t="s">
        <v>4402</v>
      </c>
      <c r="J4" s="25" t="s">
        <v>11490</v>
      </c>
      <c r="K4" s="62" t="s">
        <v>11491</v>
      </c>
      <c r="L4" s="25" t="s">
        <v>73</v>
      </c>
      <c r="M4" s="25" t="s">
        <v>11508</v>
      </c>
      <c r="N4" s="25" t="s">
        <v>11509</v>
      </c>
      <c r="O4" s="63" t="s">
        <v>11510</v>
      </c>
      <c r="P4" s="28"/>
      <c r="Q4" s="53">
        <v>4</v>
      </c>
      <c r="R4" s="53">
        <v>16</v>
      </c>
      <c r="S4" s="53">
        <v>266.17</v>
      </c>
      <c r="T4" s="26" t="s">
        <v>138</v>
      </c>
      <c r="U4" s="30" t="s">
        <v>78</v>
      </c>
      <c r="V4" s="26" t="s">
        <v>139</v>
      </c>
      <c r="W4" s="26" t="s">
        <v>263</v>
      </c>
      <c r="X4" s="26" t="s">
        <v>131</v>
      </c>
      <c r="Y4" s="38" t="s">
        <v>141</v>
      </c>
      <c r="Z4" s="26" t="s">
        <v>141</v>
      </c>
      <c r="AA4" s="26"/>
      <c r="AB4" s="31" t="s">
        <v>7</v>
      </c>
      <c r="AC4" s="30" t="s">
        <v>172</v>
      </c>
      <c r="AD4" s="25" t="s">
        <v>173</v>
      </c>
      <c r="AE4" s="25" t="s">
        <v>174</v>
      </c>
      <c r="AF4" s="26" t="s">
        <v>175</v>
      </c>
      <c r="AG4" s="32">
        <v>1</v>
      </c>
      <c r="AH4" s="32">
        <v>1</v>
      </c>
      <c r="AI4" s="32"/>
      <c r="AJ4" s="32"/>
      <c r="AK4" s="30"/>
      <c r="AL4" s="32">
        <f t="shared" ref="AL4:AL21" si="0">IF(COUNTIF(AX:AX,"*"&amp;M4&amp;"*")&gt;0,1,0)</f>
        <v>1</v>
      </c>
      <c r="AM4" s="30"/>
      <c r="AN4" s="32"/>
      <c r="AO4" s="32"/>
      <c r="AP4" s="32">
        <v>1</v>
      </c>
      <c r="AQ4" s="32">
        <v>1</v>
      </c>
      <c r="AR4" s="32">
        <v>1</v>
      </c>
      <c r="AS4" s="32"/>
      <c r="AT4" s="32">
        <v>1</v>
      </c>
      <c r="AU4" s="30"/>
      <c r="AV4" s="30"/>
      <c r="AW4" s="30"/>
      <c r="AX4" s="30" t="s">
        <v>11511</v>
      </c>
      <c r="AY4" s="30"/>
    </row>
    <row r="5" spans="1:51">
      <c r="A5" s="25" t="s">
        <v>11512</v>
      </c>
      <c r="B5" s="25" t="s">
        <v>4398</v>
      </c>
      <c r="C5" s="25" t="s">
        <v>68</v>
      </c>
      <c r="D5" s="25" t="s">
        <v>11513</v>
      </c>
      <c r="E5" s="259" t="s">
        <v>11514</v>
      </c>
      <c r="F5" s="48" t="s">
        <v>11515</v>
      </c>
      <c r="G5" s="25" t="s">
        <v>5516</v>
      </c>
      <c r="H5" s="25" t="s">
        <v>11489</v>
      </c>
      <c r="I5" s="25" t="s">
        <v>4402</v>
      </c>
      <c r="J5" s="25" t="s">
        <v>11490</v>
      </c>
      <c r="K5" s="62" t="s">
        <v>11491</v>
      </c>
      <c r="L5" s="25" t="s">
        <v>73</v>
      </c>
      <c r="M5" s="25" t="s">
        <v>11516</v>
      </c>
      <c r="N5" s="25" t="s">
        <v>11517</v>
      </c>
      <c r="O5" s="63" t="s">
        <v>11518</v>
      </c>
      <c r="P5" s="28"/>
      <c r="Q5" s="53">
        <v>4</v>
      </c>
      <c r="R5" s="53">
        <v>16</v>
      </c>
      <c r="S5" s="53">
        <v>266.57</v>
      </c>
      <c r="T5" s="26" t="s">
        <v>138</v>
      </c>
      <c r="U5" s="30" t="s">
        <v>78</v>
      </c>
      <c r="V5" s="26" t="s">
        <v>139</v>
      </c>
      <c r="W5" s="26" t="s">
        <v>263</v>
      </c>
      <c r="X5" s="26" t="s">
        <v>131</v>
      </c>
      <c r="Y5" s="38" t="s">
        <v>141</v>
      </c>
      <c r="Z5" s="26" t="s">
        <v>141</v>
      </c>
      <c r="AA5" s="26"/>
      <c r="AB5" s="31" t="s">
        <v>7</v>
      </c>
      <c r="AC5" s="30" t="s">
        <v>172</v>
      </c>
      <c r="AD5" s="25" t="s">
        <v>173</v>
      </c>
      <c r="AE5" s="25" t="s">
        <v>174</v>
      </c>
      <c r="AF5" s="26" t="s">
        <v>175</v>
      </c>
      <c r="AG5" s="32">
        <v>1</v>
      </c>
      <c r="AH5" s="32">
        <v>1</v>
      </c>
      <c r="AI5" s="32"/>
      <c r="AJ5" s="32"/>
      <c r="AK5" s="30"/>
      <c r="AL5" s="32">
        <f t="shared" si="0"/>
        <v>1</v>
      </c>
      <c r="AM5" s="30"/>
      <c r="AN5" s="32"/>
      <c r="AO5" s="32"/>
      <c r="AP5" s="32">
        <v>1</v>
      </c>
      <c r="AQ5" s="32">
        <v>1</v>
      </c>
      <c r="AR5" s="32">
        <v>1</v>
      </c>
      <c r="AS5" s="32"/>
      <c r="AT5" s="32">
        <v>1</v>
      </c>
      <c r="AU5" s="30"/>
      <c r="AV5" s="30"/>
      <c r="AW5" s="30"/>
      <c r="AX5" s="30" t="s">
        <v>11519</v>
      </c>
      <c r="AY5" s="30"/>
    </row>
    <row r="6" spans="1:51">
      <c r="A6" s="25" t="s">
        <v>11520</v>
      </c>
      <c r="B6" s="25" t="s">
        <v>4398</v>
      </c>
      <c r="C6" s="25" t="s">
        <v>68</v>
      </c>
      <c r="D6" s="25" t="s">
        <v>11521</v>
      </c>
      <c r="E6" s="258" t="s">
        <v>11522</v>
      </c>
      <c r="F6" s="25" t="s">
        <v>11523</v>
      </c>
      <c r="G6" s="25" t="s">
        <v>5516</v>
      </c>
      <c r="H6" s="25" t="s">
        <v>11489</v>
      </c>
      <c r="I6" s="25" t="s">
        <v>4402</v>
      </c>
      <c r="J6" s="25" t="s">
        <v>11490</v>
      </c>
      <c r="K6" s="62" t="s">
        <v>11491</v>
      </c>
      <c r="L6" s="25" t="s">
        <v>73</v>
      </c>
      <c r="M6" s="25" t="s">
        <v>11524</v>
      </c>
      <c r="N6" s="25" t="s">
        <v>11525</v>
      </c>
      <c r="O6" s="63" t="s">
        <v>11526</v>
      </c>
      <c r="P6" s="28"/>
      <c r="Q6" s="53">
        <v>4</v>
      </c>
      <c r="R6" s="53">
        <v>16</v>
      </c>
      <c r="S6" s="53">
        <v>266.63</v>
      </c>
      <c r="T6" s="26" t="s">
        <v>138</v>
      </c>
      <c r="U6" s="30" t="s">
        <v>78</v>
      </c>
      <c r="V6" s="26" t="s">
        <v>139</v>
      </c>
      <c r="W6" s="26" t="s">
        <v>263</v>
      </c>
      <c r="X6" s="26" t="s">
        <v>131</v>
      </c>
      <c r="Y6" s="38" t="s">
        <v>141</v>
      </c>
      <c r="Z6" s="26" t="s">
        <v>141</v>
      </c>
      <c r="AA6" s="26"/>
      <c r="AB6" s="31" t="s">
        <v>7</v>
      </c>
      <c r="AC6" s="30" t="s">
        <v>172</v>
      </c>
      <c r="AD6" s="25" t="s">
        <v>173</v>
      </c>
      <c r="AE6" s="25" t="s">
        <v>174</v>
      </c>
      <c r="AF6" s="26" t="s">
        <v>175</v>
      </c>
      <c r="AG6" s="32">
        <v>1</v>
      </c>
      <c r="AH6" s="32">
        <v>1</v>
      </c>
      <c r="AI6" s="32"/>
      <c r="AJ6" s="32"/>
      <c r="AK6" s="30"/>
      <c r="AL6" s="32">
        <f t="shared" si="0"/>
        <v>1</v>
      </c>
      <c r="AM6" s="30"/>
      <c r="AN6" s="32"/>
      <c r="AO6" s="32"/>
      <c r="AP6" s="32">
        <v>1</v>
      </c>
      <c r="AQ6" s="32">
        <v>1</v>
      </c>
      <c r="AR6" s="32">
        <v>1</v>
      </c>
      <c r="AS6" s="32"/>
      <c r="AT6" s="32">
        <v>1</v>
      </c>
      <c r="AU6" s="30"/>
      <c r="AV6" s="30"/>
      <c r="AW6" s="30"/>
      <c r="AX6" s="30" t="s">
        <v>11527</v>
      </c>
      <c r="AY6" s="30"/>
    </row>
    <row r="7" spans="1:51">
      <c r="A7" s="25" t="s">
        <v>11528</v>
      </c>
      <c r="B7" s="25" t="s">
        <v>4398</v>
      </c>
      <c r="C7" s="25" t="s">
        <v>68</v>
      </c>
      <c r="D7" s="25" t="s">
        <v>11529</v>
      </c>
      <c r="E7" s="258" t="s">
        <v>11530</v>
      </c>
      <c r="F7" s="25" t="s">
        <v>11531</v>
      </c>
      <c r="G7" s="25" t="s">
        <v>5516</v>
      </c>
      <c r="H7" s="25" t="s">
        <v>11489</v>
      </c>
      <c r="I7" s="25" t="s">
        <v>4402</v>
      </c>
      <c r="J7" s="25" t="s">
        <v>11490</v>
      </c>
      <c r="K7" s="62" t="s">
        <v>11491</v>
      </c>
      <c r="L7" s="25" t="s">
        <v>73</v>
      </c>
      <c r="M7" s="25" t="s">
        <v>11532</v>
      </c>
      <c r="N7" s="25" t="s">
        <v>11533</v>
      </c>
      <c r="O7" s="63" t="s">
        <v>11534</v>
      </c>
      <c r="P7" s="28"/>
      <c r="Q7" s="53">
        <v>4</v>
      </c>
      <c r="R7" s="53">
        <v>16</v>
      </c>
      <c r="S7" s="53">
        <v>266.56</v>
      </c>
      <c r="T7" s="26" t="s">
        <v>138</v>
      </c>
      <c r="U7" s="30" t="s">
        <v>78</v>
      </c>
      <c r="V7" s="26" t="s">
        <v>139</v>
      </c>
      <c r="W7" s="26" t="s">
        <v>263</v>
      </c>
      <c r="X7" s="26" t="s">
        <v>131</v>
      </c>
      <c r="Y7" s="38" t="s">
        <v>141</v>
      </c>
      <c r="Z7" s="26" t="s">
        <v>141</v>
      </c>
      <c r="AA7" s="26"/>
      <c r="AB7" s="31" t="s">
        <v>7</v>
      </c>
      <c r="AC7" s="30" t="s">
        <v>172</v>
      </c>
      <c r="AD7" s="25" t="s">
        <v>173</v>
      </c>
      <c r="AE7" s="25" t="s">
        <v>174</v>
      </c>
      <c r="AF7" s="26" t="s">
        <v>175</v>
      </c>
      <c r="AG7" s="32">
        <v>1</v>
      </c>
      <c r="AH7" s="32">
        <v>1</v>
      </c>
      <c r="AI7" s="32"/>
      <c r="AJ7" s="32"/>
      <c r="AK7" s="30"/>
      <c r="AL7" s="32">
        <f t="shared" si="0"/>
        <v>1</v>
      </c>
      <c r="AM7" s="30"/>
      <c r="AN7" s="32"/>
      <c r="AO7" s="32"/>
      <c r="AP7" s="32">
        <v>1</v>
      </c>
      <c r="AQ7" s="32">
        <v>1</v>
      </c>
      <c r="AR7" s="32">
        <v>1</v>
      </c>
      <c r="AS7" s="32"/>
      <c r="AT7" s="32">
        <v>1</v>
      </c>
      <c r="AU7" s="30"/>
      <c r="AV7" s="30"/>
      <c r="AW7" s="30"/>
      <c r="AX7" s="30" t="s">
        <v>11492</v>
      </c>
      <c r="AY7" s="30"/>
    </row>
    <row r="8" spans="1:51">
      <c r="A8" s="25" t="s">
        <v>11535</v>
      </c>
      <c r="B8" s="25" t="s">
        <v>4398</v>
      </c>
      <c r="C8" s="25" t="s">
        <v>68</v>
      </c>
      <c r="D8" s="25" t="s">
        <v>11536</v>
      </c>
      <c r="E8" s="258" t="s">
        <v>11537</v>
      </c>
      <c r="F8" s="25" t="s">
        <v>11538</v>
      </c>
      <c r="G8" s="25" t="s">
        <v>5516</v>
      </c>
      <c r="H8" s="25" t="s">
        <v>11489</v>
      </c>
      <c r="I8" s="25" t="s">
        <v>4402</v>
      </c>
      <c r="J8" s="25" t="s">
        <v>11490</v>
      </c>
      <c r="K8" s="62" t="s">
        <v>11491</v>
      </c>
      <c r="L8" s="25" t="s">
        <v>73</v>
      </c>
      <c r="M8" s="25" t="s">
        <v>11539</v>
      </c>
      <c r="N8" s="25" t="s">
        <v>11540</v>
      </c>
      <c r="O8" s="63" t="s">
        <v>11541</v>
      </c>
      <c r="P8" s="28"/>
      <c r="Q8" s="53">
        <v>4</v>
      </c>
      <c r="R8" s="53">
        <v>16</v>
      </c>
      <c r="S8" s="53">
        <v>266.56</v>
      </c>
      <c r="T8" s="26" t="s">
        <v>138</v>
      </c>
      <c r="U8" s="30" t="s">
        <v>78</v>
      </c>
      <c r="V8" s="26" t="s">
        <v>139</v>
      </c>
      <c r="W8" s="26" t="s">
        <v>263</v>
      </c>
      <c r="X8" s="26" t="s">
        <v>131</v>
      </c>
      <c r="Y8" s="38" t="s">
        <v>141</v>
      </c>
      <c r="Z8" s="26" t="s">
        <v>141</v>
      </c>
      <c r="AA8" s="26"/>
      <c r="AB8" s="31" t="s">
        <v>7</v>
      </c>
      <c r="AC8" s="30" t="s">
        <v>172</v>
      </c>
      <c r="AD8" s="25" t="s">
        <v>173</v>
      </c>
      <c r="AE8" s="25" t="s">
        <v>174</v>
      </c>
      <c r="AF8" s="26" t="s">
        <v>175</v>
      </c>
      <c r="AG8" s="32">
        <v>1</v>
      </c>
      <c r="AH8" s="32">
        <v>1</v>
      </c>
      <c r="AI8" s="32"/>
      <c r="AJ8" s="32"/>
      <c r="AK8" s="30"/>
      <c r="AL8" s="32">
        <f t="shared" si="0"/>
        <v>1</v>
      </c>
      <c r="AM8" s="30"/>
      <c r="AN8" s="32"/>
      <c r="AO8" s="32"/>
      <c r="AP8" s="32">
        <v>1</v>
      </c>
      <c r="AQ8" s="32">
        <v>1</v>
      </c>
      <c r="AR8" s="32">
        <v>1</v>
      </c>
      <c r="AS8" s="32"/>
      <c r="AT8" s="32">
        <v>1</v>
      </c>
      <c r="AU8" s="30"/>
      <c r="AV8" s="30"/>
      <c r="AW8" s="30"/>
      <c r="AX8" s="30" t="s">
        <v>11508</v>
      </c>
      <c r="AY8" s="30"/>
    </row>
    <row r="9" spans="1:51">
      <c r="A9" s="25" t="s">
        <v>11542</v>
      </c>
      <c r="B9" s="25" t="s">
        <v>4398</v>
      </c>
      <c r="C9" s="25" t="s">
        <v>68</v>
      </c>
      <c r="D9" s="25" t="s">
        <v>11543</v>
      </c>
      <c r="E9" s="258" t="s">
        <v>11544</v>
      </c>
      <c r="F9" s="25" t="s">
        <v>11545</v>
      </c>
      <c r="G9" s="25" t="s">
        <v>5516</v>
      </c>
      <c r="H9" s="25" t="s">
        <v>11489</v>
      </c>
      <c r="I9" s="25" t="s">
        <v>4402</v>
      </c>
      <c r="J9" s="25" t="s">
        <v>11490</v>
      </c>
      <c r="K9" s="62" t="s">
        <v>11491</v>
      </c>
      <c r="L9" s="25" t="s">
        <v>73</v>
      </c>
      <c r="M9" s="25" t="s">
        <v>11546</v>
      </c>
      <c r="N9" s="25" t="s">
        <v>11547</v>
      </c>
      <c r="O9" s="63" t="s">
        <v>11548</v>
      </c>
      <c r="P9" s="28"/>
      <c r="Q9" s="53">
        <v>4</v>
      </c>
      <c r="R9" s="53">
        <v>16</v>
      </c>
      <c r="S9" s="53">
        <v>266.60000000000002</v>
      </c>
      <c r="T9" s="26" t="s">
        <v>138</v>
      </c>
      <c r="U9" s="30" t="s">
        <v>78</v>
      </c>
      <c r="V9" s="26" t="s">
        <v>139</v>
      </c>
      <c r="W9" s="26" t="s">
        <v>263</v>
      </c>
      <c r="X9" s="26" t="s">
        <v>131</v>
      </c>
      <c r="Y9" s="38" t="s">
        <v>141</v>
      </c>
      <c r="Z9" s="26" t="s">
        <v>141</v>
      </c>
      <c r="AA9" s="26"/>
      <c r="AB9" s="31" t="s">
        <v>7</v>
      </c>
      <c r="AC9" s="30" t="s">
        <v>172</v>
      </c>
      <c r="AD9" s="25" t="s">
        <v>173</v>
      </c>
      <c r="AE9" s="25" t="s">
        <v>174</v>
      </c>
      <c r="AF9" s="26" t="s">
        <v>175</v>
      </c>
      <c r="AG9" s="32">
        <v>1</v>
      </c>
      <c r="AH9" s="32">
        <v>1</v>
      </c>
      <c r="AI9" s="32"/>
      <c r="AJ9" s="32"/>
      <c r="AK9" s="30"/>
      <c r="AL9" s="32">
        <f t="shared" si="0"/>
        <v>1</v>
      </c>
      <c r="AM9" s="30"/>
      <c r="AN9" s="32"/>
      <c r="AO9" s="32"/>
      <c r="AP9" s="32">
        <v>1</v>
      </c>
      <c r="AQ9" s="32">
        <v>1</v>
      </c>
      <c r="AR9" s="32">
        <v>1</v>
      </c>
      <c r="AS9" s="32"/>
      <c r="AT9" s="32">
        <v>1</v>
      </c>
      <c r="AU9" s="30"/>
      <c r="AV9" s="30"/>
      <c r="AW9" s="30"/>
      <c r="AX9" s="30" t="s">
        <v>11516</v>
      </c>
      <c r="AY9" s="30"/>
    </row>
    <row r="10" spans="1:51">
      <c r="A10" s="25" t="s">
        <v>11549</v>
      </c>
      <c r="B10" s="25" t="s">
        <v>4398</v>
      </c>
      <c r="C10" s="25" t="s">
        <v>68</v>
      </c>
      <c r="D10" s="25" t="s">
        <v>11550</v>
      </c>
      <c r="E10" s="258" t="s">
        <v>11551</v>
      </c>
      <c r="F10" s="25" t="s">
        <v>11552</v>
      </c>
      <c r="G10" s="25" t="s">
        <v>5516</v>
      </c>
      <c r="H10" s="25" t="s">
        <v>11489</v>
      </c>
      <c r="I10" s="25" t="s">
        <v>4402</v>
      </c>
      <c r="J10" s="25" t="s">
        <v>11490</v>
      </c>
      <c r="K10" s="62" t="s">
        <v>11491</v>
      </c>
      <c r="L10" s="25" t="s">
        <v>73</v>
      </c>
      <c r="M10" s="25" t="s">
        <v>11553</v>
      </c>
      <c r="N10" s="25" t="s">
        <v>11554</v>
      </c>
      <c r="O10" s="63" t="s">
        <v>11555</v>
      </c>
      <c r="P10" s="28"/>
      <c r="Q10" s="53">
        <v>4</v>
      </c>
      <c r="R10" s="53">
        <v>16</v>
      </c>
      <c r="S10" s="53">
        <v>266.64</v>
      </c>
      <c r="T10" s="26" t="s">
        <v>138</v>
      </c>
      <c r="U10" s="30" t="s">
        <v>78</v>
      </c>
      <c r="V10" s="26" t="s">
        <v>139</v>
      </c>
      <c r="W10" s="26" t="s">
        <v>263</v>
      </c>
      <c r="X10" s="26" t="s">
        <v>131</v>
      </c>
      <c r="Y10" s="38" t="s">
        <v>141</v>
      </c>
      <c r="Z10" s="26" t="s">
        <v>141</v>
      </c>
      <c r="AA10" s="26"/>
      <c r="AB10" s="31" t="s">
        <v>7</v>
      </c>
      <c r="AC10" s="30" t="s">
        <v>172</v>
      </c>
      <c r="AD10" s="25" t="s">
        <v>173</v>
      </c>
      <c r="AE10" s="25" t="s">
        <v>174</v>
      </c>
      <c r="AF10" s="26" t="s">
        <v>175</v>
      </c>
      <c r="AG10" s="32">
        <v>1</v>
      </c>
      <c r="AH10" s="32">
        <v>1</v>
      </c>
      <c r="AI10" s="32"/>
      <c r="AJ10" s="32"/>
      <c r="AK10" s="30"/>
      <c r="AL10" s="32">
        <f t="shared" si="0"/>
        <v>1</v>
      </c>
      <c r="AM10" s="30"/>
      <c r="AN10" s="32"/>
      <c r="AO10" s="32"/>
      <c r="AP10" s="32">
        <v>1</v>
      </c>
      <c r="AQ10" s="32">
        <v>1</v>
      </c>
      <c r="AR10" s="32">
        <v>1</v>
      </c>
      <c r="AS10" s="32"/>
      <c r="AT10" s="32">
        <v>1</v>
      </c>
      <c r="AU10" s="30"/>
      <c r="AV10" s="30"/>
      <c r="AW10" s="30"/>
      <c r="AX10" s="30" t="s">
        <v>11524</v>
      </c>
      <c r="AY10" s="30"/>
    </row>
    <row r="11" spans="1:51">
      <c r="A11" s="25" t="s">
        <v>11556</v>
      </c>
      <c r="B11" s="25" t="s">
        <v>4398</v>
      </c>
      <c r="C11" s="25" t="s">
        <v>68</v>
      </c>
      <c r="D11" s="25" t="s">
        <v>11557</v>
      </c>
      <c r="E11" s="259" t="s">
        <v>11558</v>
      </c>
      <c r="F11" s="48" t="s">
        <v>11559</v>
      </c>
      <c r="G11" s="25" t="s">
        <v>5516</v>
      </c>
      <c r="H11" s="25" t="s">
        <v>11489</v>
      </c>
      <c r="I11" s="25" t="s">
        <v>4402</v>
      </c>
      <c r="J11" s="25" t="s">
        <v>11490</v>
      </c>
      <c r="K11" s="62" t="s">
        <v>11491</v>
      </c>
      <c r="L11" s="25" t="s">
        <v>73</v>
      </c>
      <c r="M11" s="25" t="s">
        <v>11560</v>
      </c>
      <c r="N11" s="25" t="s">
        <v>11561</v>
      </c>
      <c r="O11" s="63" t="s">
        <v>11562</v>
      </c>
      <c r="P11" s="28"/>
      <c r="Q11" s="53">
        <v>4</v>
      </c>
      <c r="R11" s="53">
        <v>16</v>
      </c>
      <c r="S11" s="53">
        <v>266.64</v>
      </c>
      <c r="T11" s="26" t="s">
        <v>138</v>
      </c>
      <c r="U11" s="30" t="s">
        <v>78</v>
      </c>
      <c r="V11" s="26" t="s">
        <v>139</v>
      </c>
      <c r="W11" s="26" t="s">
        <v>263</v>
      </c>
      <c r="X11" s="26" t="s">
        <v>131</v>
      </c>
      <c r="Y11" s="38" t="s">
        <v>141</v>
      </c>
      <c r="Z11" s="26" t="s">
        <v>141</v>
      </c>
      <c r="AA11" s="26"/>
      <c r="AB11" s="31" t="s">
        <v>7</v>
      </c>
      <c r="AC11" s="30" t="s">
        <v>172</v>
      </c>
      <c r="AD11" s="25" t="s">
        <v>173</v>
      </c>
      <c r="AE11" s="25" t="s">
        <v>174</v>
      </c>
      <c r="AF11" s="26" t="s">
        <v>175</v>
      </c>
      <c r="AG11" s="32">
        <v>1</v>
      </c>
      <c r="AH11" s="32">
        <v>1</v>
      </c>
      <c r="AI11" s="32"/>
      <c r="AJ11" s="32"/>
      <c r="AK11" s="30"/>
      <c r="AL11" s="32">
        <f t="shared" si="0"/>
        <v>1</v>
      </c>
      <c r="AM11" s="30"/>
      <c r="AN11" s="32"/>
      <c r="AO11" s="32"/>
      <c r="AP11" s="32">
        <v>1</v>
      </c>
      <c r="AQ11" s="32">
        <v>1</v>
      </c>
      <c r="AR11" s="32">
        <v>1</v>
      </c>
      <c r="AS11" s="32"/>
      <c r="AT11" s="32">
        <v>1</v>
      </c>
      <c r="AU11" s="30"/>
      <c r="AV11" s="30"/>
      <c r="AW11" s="30"/>
      <c r="AX11" s="30" t="s">
        <v>11532</v>
      </c>
      <c r="AY11" s="30"/>
    </row>
    <row r="12" spans="1:51">
      <c r="A12" s="25" t="s">
        <v>11563</v>
      </c>
      <c r="B12" s="25" t="s">
        <v>4398</v>
      </c>
      <c r="C12" s="25" t="s">
        <v>68</v>
      </c>
      <c r="D12" s="25" t="s">
        <v>11564</v>
      </c>
      <c r="E12" s="258" t="s">
        <v>11565</v>
      </c>
      <c r="F12" s="25" t="s">
        <v>11566</v>
      </c>
      <c r="G12" s="25" t="s">
        <v>5516</v>
      </c>
      <c r="H12" s="25" t="s">
        <v>11489</v>
      </c>
      <c r="I12" s="25" t="s">
        <v>4402</v>
      </c>
      <c r="J12" s="25" t="s">
        <v>11490</v>
      </c>
      <c r="K12" s="62" t="s">
        <v>11491</v>
      </c>
      <c r="L12" s="25" t="s">
        <v>73</v>
      </c>
      <c r="M12" s="25" t="s">
        <v>11567</v>
      </c>
      <c r="N12" s="25" t="s">
        <v>11568</v>
      </c>
      <c r="O12" s="63" t="s">
        <v>11569</v>
      </c>
      <c r="P12" s="28"/>
      <c r="Q12" s="53">
        <v>4</v>
      </c>
      <c r="R12" s="53">
        <v>16</v>
      </c>
      <c r="S12" s="53">
        <v>267.2</v>
      </c>
      <c r="T12" s="26" t="s">
        <v>138</v>
      </c>
      <c r="U12" s="30" t="s">
        <v>78</v>
      </c>
      <c r="V12" s="26" t="s">
        <v>139</v>
      </c>
      <c r="W12" s="26" t="s">
        <v>263</v>
      </c>
      <c r="X12" s="26" t="s">
        <v>131</v>
      </c>
      <c r="Y12" s="38" t="s">
        <v>141</v>
      </c>
      <c r="Z12" s="26" t="s">
        <v>141</v>
      </c>
      <c r="AA12" s="26"/>
      <c r="AB12" s="31" t="s">
        <v>7</v>
      </c>
      <c r="AC12" s="30" t="s">
        <v>172</v>
      </c>
      <c r="AD12" s="25" t="s">
        <v>173</v>
      </c>
      <c r="AE12" s="25" t="s">
        <v>174</v>
      </c>
      <c r="AF12" s="26" t="s">
        <v>175</v>
      </c>
      <c r="AG12" s="32">
        <v>1</v>
      </c>
      <c r="AH12" s="32">
        <v>1</v>
      </c>
      <c r="AI12" s="32"/>
      <c r="AJ12" s="32"/>
      <c r="AK12" s="30"/>
      <c r="AL12" s="32">
        <f t="shared" si="0"/>
        <v>1</v>
      </c>
      <c r="AM12" s="30"/>
      <c r="AN12" s="32"/>
      <c r="AO12" s="32"/>
      <c r="AP12" s="32">
        <v>1</v>
      </c>
      <c r="AQ12" s="32">
        <v>1</v>
      </c>
      <c r="AR12" s="32">
        <v>1</v>
      </c>
      <c r="AS12" s="32"/>
      <c r="AT12" s="32">
        <v>1</v>
      </c>
      <c r="AU12" s="30"/>
      <c r="AV12" s="30"/>
      <c r="AW12" s="30"/>
      <c r="AX12" s="30" t="s">
        <v>11539</v>
      </c>
      <c r="AY12" s="30"/>
    </row>
    <row r="13" spans="1:51">
      <c r="A13" s="25" t="s">
        <v>11570</v>
      </c>
      <c r="B13" s="25" t="s">
        <v>4398</v>
      </c>
      <c r="C13" s="25" t="s">
        <v>68</v>
      </c>
      <c r="D13" s="25" t="s">
        <v>11571</v>
      </c>
      <c r="E13" s="258" t="s">
        <v>11572</v>
      </c>
      <c r="F13" s="25" t="s">
        <v>11573</v>
      </c>
      <c r="G13" s="25" t="s">
        <v>5516</v>
      </c>
      <c r="H13" s="25" t="s">
        <v>11489</v>
      </c>
      <c r="I13" s="25" t="s">
        <v>4402</v>
      </c>
      <c r="J13" s="25" t="s">
        <v>11490</v>
      </c>
      <c r="K13" s="62" t="s">
        <v>11491</v>
      </c>
      <c r="L13" s="25" t="s">
        <v>73</v>
      </c>
      <c r="M13" s="25" t="s">
        <v>11574</v>
      </c>
      <c r="N13" s="25" t="s">
        <v>11575</v>
      </c>
      <c r="O13" s="63" t="s">
        <v>11576</v>
      </c>
      <c r="P13" s="28"/>
      <c r="Q13" s="53">
        <v>4</v>
      </c>
      <c r="R13" s="53">
        <v>16</v>
      </c>
      <c r="S13" s="53">
        <v>266.57</v>
      </c>
      <c r="T13" s="26" t="s">
        <v>138</v>
      </c>
      <c r="U13" s="30" t="s">
        <v>78</v>
      </c>
      <c r="V13" s="26" t="s">
        <v>139</v>
      </c>
      <c r="W13" s="26" t="s">
        <v>263</v>
      </c>
      <c r="X13" s="26" t="s">
        <v>131</v>
      </c>
      <c r="Y13" s="38" t="s">
        <v>141</v>
      </c>
      <c r="Z13" s="26" t="s">
        <v>141</v>
      </c>
      <c r="AA13" s="26"/>
      <c r="AB13" s="31" t="s">
        <v>7</v>
      </c>
      <c r="AC13" s="30" t="s">
        <v>172</v>
      </c>
      <c r="AD13" s="25" t="s">
        <v>173</v>
      </c>
      <c r="AE13" s="25" t="s">
        <v>174</v>
      </c>
      <c r="AF13" s="26" t="s">
        <v>175</v>
      </c>
      <c r="AG13" s="32">
        <v>1</v>
      </c>
      <c r="AH13" s="32">
        <v>1</v>
      </c>
      <c r="AI13" s="32"/>
      <c r="AJ13" s="32"/>
      <c r="AK13" s="30"/>
      <c r="AL13" s="32">
        <f t="shared" si="0"/>
        <v>1</v>
      </c>
      <c r="AM13" s="30"/>
      <c r="AN13" s="32"/>
      <c r="AO13" s="32"/>
      <c r="AP13" s="32">
        <v>1</v>
      </c>
      <c r="AQ13" s="32">
        <v>1</v>
      </c>
      <c r="AR13" s="32">
        <v>1</v>
      </c>
      <c r="AS13" s="32"/>
      <c r="AT13" s="32">
        <v>1</v>
      </c>
      <c r="AU13" s="30"/>
      <c r="AV13" s="30"/>
      <c r="AW13" s="30"/>
      <c r="AX13" s="30" t="s">
        <v>11546</v>
      </c>
      <c r="AY13" s="30"/>
    </row>
    <row r="14" spans="1:51">
      <c r="A14" s="25" t="s">
        <v>11577</v>
      </c>
      <c r="B14" s="25" t="s">
        <v>4398</v>
      </c>
      <c r="C14" s="25" t="s">
        <v>68</v>
      </c>
      <c r="D14" s="25" t="s">
        <v>11578</v>
      </c>
      <c r="E14" s="259" t="s">
        <v>11579</v>
      </c>
      <c r="F14" s="48" t="s">
        <v>11580</v>
      </c>
      <c r="G14" s="25" t="s">
        <v>5516</v>
      </c>
      <c r="H14" s="25" t="s">
        <v>11489</v>
      </c>
      <c r="I14" s="25" t="s">
        <v>4402</v>
      </c>
      <c r="J14" s="25" t="s">
        <v>11490</v>
      </c>
      <c r="K14" s="62" t="s">
        <v>11491</v>
      </c>
      <c r="L14" s="25" t="s">
        <v>73</v>
      </c>
      <c r="M14" s="25" t="s">
        <v>11581</v>
      </c>
      <c r="N14" s="25" t="s">
        <v>11582</v>
      </c>
      <c r="O14" s="63" t="s">
        <v>11583</v>
      </c>
      <c r="P14" s="28"/>
      <c r="Q14" s="53">
        <v>4</v>
      </c>
      <c r="R14" s="53">
        <v>16</v>
      </c>
      <c r="S14" s="53">
        <v>266.35000000000002</v>
      </c>
      <c r="T14" s="26" t="s">
        <v>138</v>
      </c>
      <c r="U14" s="30" t="s">
        <v>78</v>
      </c>
      <c r="V14" s="26" t="s">
        <v>139</v>
      </c>
      <c r="W14" s="26" t="s">
        <v>263</v>
      </c>
      <c r="X14" s="26" t="s">
        <v>131</v>
      </c>
      <c r="Y14" s="38" t="s">
        <v>141</v>
      </c>
      <c r="Z14" s="26" t="s">
        <v>141</v>
      </c>
      <c r="AA14" s="26"/>
      <c r="AB14" s="31" t="s">
        <v>7</v>
      </c>
      <c r="AC14" s="30" t="s">
        <v>172</v>
      </c>
      <c r="AD14" s="25" t="s">
        <v>173</v>
      </c>
      <c r="AE14" s="25" t="s">
        <v>174</v>
      </c>
      <c r="AF14" s="26" t="s">
        <v>175</v>
      </c>
      <c r="AG14" s="32">
        <v>1</v>
      </c>
      <c r="AH14" s="32">
        <v>1</v>
      </c>
      <c r="AI14" s="32"/>
      <c r="AJ14" s="32"/>
      <c r="AK14" s="30"/>
      <c r="AL14" s="32">
        <f t="shared" si="0"/>
        <v>1</v>
      </c>
      <c r="AM14" s="30"/>
      <c r="AN14" s="32"/>
      <c r="AO14" s="32"/>
      <c r="AP14" s="32">
        <v>1</v>
      </c>
      <c r="AQ14" s="32">
        <v>1</v>
      </c>
      <c r="AR14" s="32">
        <v>1</v>
      </c>
      <c r="AS14" s="34"/>
      <c r="AT14" s="32">
        <v>1</v>
      </c>
      <c r="AU14" s="30"/>
      <c r="AV14" s="30"/>
      <c r="AW14" s="30"/>
      <c r="AX14" s="30" t="s">
        <v>11553</v>
      </c>
      <c r="AY14" s="30"/>
    </row>
    <row r="15" spans="1:51">
      <c r="A15" s="25" t="s">
        <v>11584</v>
      </c>
      <c r="B15" s="25" t="s">
        <v>4398</v>
      </c>
      <c r="C15" s="25" t="s">
        <v>68</v>
      </c>
      <c r="D15" s="25" t="s">
        <v>11585</v>
      </c>
      <c r="E15" s="258" t="s">
        <v>11586</v>
      </c>
      <c r="F15" s="25" t="s">
        <v>11587</v>
      </c>
      <c r="G15" s="25" t="s">
        <v>5516</v>
      </c>
      <c r="H15" s="25" t="s">
        <v>11489</v>
      </c>
      <c r="I15" s="25" t="s">
        <v>4402</v>
      </c>
      <c r="J15" s="25" t="s">
        <v>11490</v>
      </c>
      <c r="K15" s="62" t="s">
        <v>11491</v>
      </c>
      <c r="L15" s="25" t="s">
        <v>73</v>
      </c>
      <c r="M15" s="25" t="s">
        <v>11588</v>
      </c>
      <c r="N15" s="25" t="s">
        <v>11589</v>
      </c>
      <c r="O15" s="63" t="s">
        <v>11590</v>
      </c>
      <c r="P15" s="28"/>
      <c r="Q15" s="53">
        <v>4</v>
      </c>
      <c r="R15" s="53">
        <v>16</v>
      </c>
      <c r="S15" s="53">
        <v>267.76</v>
      </c>
      <c r="T15" s="26" t="s">
        <v>138</v>
      </c>
      <c r="U15" s="30" t="s">
        <v>78</v>
      </c>
      <c r="V15" s="26" t="s">
        <v>139</v>
      </c>
      <c r="W15" s="26" t="s">
        <v>263</v>
      </c>
      <c r="X15" s="26" t="s">
        <v>131</v>
      </c>
      <c r="Y15" s="38" t="s">
        <v>141</v>
      </c>
      <c r="Z15" s="26" t="s">
        <v>141</v>
      </c>
      <c r="AA15" s="26"/>
      <c r="AB15" s="31" t="s">
        <v>7</v>
      </c>
      <c r="AC15" s="30" t="s">
        <v>172</v>
      </c>
      <c r="AD15" s="25" t="s">
        <v>173</v>
      </c>
      <c r="AE15" s="25" t="s">
        <v>174</v>
      </c>
      <c r="AF15" s="26" t="s">
        <v>175</v>
      </c>
      <c r="AG15" s="32">
        <v>1</v>
      </c>
      <c r="AH15" s="32">
        <v>1</v>
      </c>
      <c r="AI15" s="32"/>
      <c r="AJ15" s="32"/>
      <c r="AK15" s="30"/>
      <c r="AL15" s="32">
        <f t="shared" si="0"/>
        <v>1</v>
      </c>
      <c r="AM15" s="30"/>
      <c r="AN15" s="32"/>
      <c r="AO15" s="32"/>
      <c r="AP15" s="32">
        <v>1</v>
      </c>
      <c r="AQ15" s="32">
        <v>1</v>
      </c>
      <c r="AR15" s="32">
        <v>1</v>
      </c>
      <c r="AS15" s="32"/>
      <c r="AT15" s="32">
        <v>1</v>
      </c>
      <c r="AU15" s="30"/>
      <c r="AV15" s="30"/>
      <c r="AW15" s="30"/>
      <c r="AX15" s="30" t="s">
        <v>11567</v>
      </c>
      <c r="AY15" s="30"/>
    </row>
    <row r="16" spans="1:51">
      <c r="A16" s="25" t="s">
        <v>11591</v>
      </c>
      <c r="B16" s="25" t="s">
        <v>4398</v>
      </c>
      <c r="C16" s="25" t="s">
        <v>68</v>
      </c>
      <c r="D16" s="25" t="s">
        <v>11592</v>
      </c>
      <c r="E16" s="258" t="s">
        <v>11593</v>
      </c>
      <c r="F16" s="25" t="s">
        <v>11594</v>
      </c>
      <c r="G16" s="25" t="s">
        <v>5516</v>
      </c>
      <c r="H16" s="25" t="s">
        <v>11489</v>
      </c>
      <c r="I16" s="25" t="s">
        <v>4402</v>
      </c>
      <c r="J16" s="25" t="s">
        <v>11490</v>
      </c>
      <c r="K16" s="62" t="s">
        <v>11491</v>
      </c>
      <c r="L16" s="25" t="s">
        <v>73</v>
      </c>
      <c r="M16" s="25" t="s">
        <v>11595</v>
      </c>
      <c r="N16" s="25" t="s">
        <v>11596</v>
      </c>
      <c r="O16" s="63" t="s">
        <v>11597</v>
      </c>
      <c r="P16" s="28"/>
      <c r="Q16" s="53">
        <v>4</v>
      </c>
      <c r="R16" s="53">
        <v>16</v>
      </c>
      <c r="S16" s="53">
        <v>266.12</v>
      </c>
      <c r="T16" s="26" t="s">
        <v>138</v>
      </c>
      <c r="U16" s="30" t="s">
        <v>78</v>
      </c>
      <c r="V16" s="26" t="s">
        <v>139</v>
      </c>
      <c r="W16" s="26" t="s">
        <v>263</v>
      </c>
      <c r="X16" s="26" t="s">
        <v>131</v>
      </c>
      <c r="Y16" s="38" t="s">
        <v>141</v>
      </c>
      <c r="Z16" s="26" t="s">
        <v>141</v>
      </c>
      <c r="AA16" s="26"/>
      <c r="AB16" s="31" t="s">
        <v>7</v>
      </c>
      <c r="AC16" s="30" t="s">
        <v>172</v>
      </c>
      <c r="AD16" s="25" t="s">
        <v>173</v>
      </c>
      <c r="AE16" s="25" t="s">
        <v>174</v>
      </c>
      <c r="AF16" s="26" t="s">
        <v>175</v>
      </c>
      <c r="AG16" s="32">
        <v>1</v>
      </c>
      <c r="AH16" s="32">
        <v>1</v>
      </c>
      <c r="AI16" s="32"/>
      <c r="AJ16" s="32"/>
      <c r="AK16" s="30"/>
      <c r="AL16" s="32">
        <f t="shared" si="0"/>
        <v>1</v>
      </c>
      <c r="AM16" s="30"/>
      <c r="AN16" s="32"/>
      <c r="AO16" s="32"/>
      <c r="AP16" s="32">
        <v>1</v>
      </c>
      <c r="AQ16" s="32">
        <v>1</v>
      </c>
      <c r="AR16" s="32">
        <v>1</v>
      </c>
      <c r="AS16" s="32"/>
      <c r="AT16" s="32">
        <v>1</v>
      </c>
      <c r="AU16" s="30"/>
      <c r="AV16" s="30"/>
      <c r="AW16" s="30"/>
      <c r="AX16" s="30" t="s">
        <v>11574</v>
      </c>
      <c r="AY16" s="30"/>
    </row>
    <row r="17" spans="1:51">
      <c r="A17" s="25" t="s">
        <v>11598</v>
      </c>
      <c r="B17" s="25" t="s">
        <v>4398</v>
      </c>
      <c r="C17" s="25" t="s">
        <v>68</v>
      </c>
      <c r="D17" s="25" t="s">
        <v>11599</v>
      </c>
      <c r="E17" s="258" t="s">
        <v>11600</v>
      </c>
      <c r="F17" s="25" t="s">
        <v>11601</v>
      </c>
      <c r="G17" s="25" t="s">
        <v>5516</v>
      </c>
      <c r="H17" s="25" t="s">
        <v>11489</v>
      </c>
      <c r="I17" s="25" t="s">
        <v>4402</v>
      </c>
      <c r="J17" s="25" t="s">
        <v>11490</v>
      </c>
      <c r="K17" s="62" t="s">
        <v>11491</v>
      </c>
      <c r="L17" s="25" t="s">
        <v>73</v>
      </c>
      <c r="M17" s="25" t="s">
        <v>11602</v>
      </c>
      <c r="N17" s="25" t="s">
        <v>11603</v>
      </c>
      <c r="O17" s="63" t="s">
        <v>11604</v>
      </c>
      <c r="P17" s="28"/>
      <c r="Q17" s="53">
        <v>4</v>
      </c>
      <c r="R17" s="53">
        <v>16</v>
      </c>
      <c r="S17" s="53">
        <v>266.13</v>
      </c>
      <c r="T17" s="26" t="s">
        <v>138</v>
      </c>
      <c r="U17" s="30" t="s">
        <v>78</v>
      </c>
      <c r="V17" s="26" t="s">
        <v>139</v>
      </c>
      <c r="W17" s="26" t="s">
        <v>263</v>
      </c>
      <c r="X17" s="26" t="s">
        <v>131</v>
      </c>
      <c r="Y17" s="38" t="s">
        <v>141</v>
      </c>
      <c r="Z17" s="26" t="s">
        <v>141</v>
      </c>
      <c r="AA17" s="26"/>
      <c r="AB17" s="31" t="s">
        <v>7</v>
      </c>
      <c r="AC17" s="30" t="s">
        <v>172</v>
      </c>
      <c r="AD17" s="25" t="s">
        <v>173</v>
      </c>
      <c r="AE17" s="25" t="s">
        <v>174</v>
      </c>
      <c r="AF17" s="26" t="s">
        <v>175</v>
      </c>
      <c r="AG17" s="32">
        <v>1</v>
      </c>
      <c r="AH17" s="32">
        <v>1</v>
      </c>
      <c r="AI17" s="32"/>
      <c r="AJ17" s="32"/>
      <c r="AK17" s="30"/>
      <c r="AL17" s="32">
        <f t="shared" si="0"/>
        <v>1</v>
      </c>
      <c r="AM17" s="30"/>
      <c r="AN17" s="32"/>
      <c r="AO17" s="32"/>
      <c r="AP17" s="32">
        <v>1</v>
      </c>
      <c r="AQ17" s="32">
        <v>1</v>
      </c>
      <c r="AR17" s="32">
        <v>1</v>
      </c>
      <c r="AS17" s="32"/>
      <c r="AT17" s="32">
        <v>1</v>
      </c>
      <c r="AU17" s="30"/>
      <c r="AV17" s="30"/>
      <c r="AW17" s="30"/>
      <c r="AX17" s="30" t="s">
        <v>11588</v>
      </c>
      <c r="AY17" s="30"/>
    </row>
    <row r="18" spans="1:51" ht="29">
      <c r="A18" s="48" t="s">
        <v>11605</v>
      </c>
      <c r="B18" s="48" t="s">
        <v>4398</v>
      </c>
      <c r="C18" s="48" t="s">
        <v>68</v>
      </c>
      <c r="D18" s="66" t="s">
        <v>11606</v>
      </c>
      <c r="E18" s="259" t="s">
        <v>11607</v>
      </c>
      <c r="F18" s="25" t="s">
        <v>11608</v>
      </c>
      <c r="G18" s="25" t="s">
        <v>5516</v>
      </c>
      <c r="H18" s="25" t="s">
        <v>11489</v>
      </c>
      <c r="I18" s="25" t="s">
        <v>4402</v>
      </c>
      <c r="J18" s="25" t="s">
        <v>11490</v>
      </c>
      <c r="K18" s="62" t="s">
        <v>11491</v>
      </c>
      <c r="L18" s="25" t="s">
        <v>73</v>
      </c>
      <c r="M18" s="25" t="s">
        <v>11609</v>
      </c>
      <c r="N18" s="25" t="s">
        <v>11610</v>
      </c>
      <c r="O18" s="63" t="s">
        <v>11611</v>
      </c>
      <c r="P18" s="28"/>
      <c r="Q18" s="53">
        <v>4</v>
      </c>
      <c r="R18" s="53">
        <v>16</v>
      </c>
      <c r="S18" s="53">
        <v>266.33999999999997</v>
      </c>
      <c r="T18" s="26" t="s">
        <v>138</v>
      </c>
      <c r="U18" s="30" t="s">
        <v>78</v>
      </c>
      <c r="V18" s="26" t="s">
        <v>139</v>
      </c>
      <c r="W18" s="26" t="s">
        <v>263</v>
      </c>
      <c r="X18" s="26" t="s">
        <v>131</v>
      </c>
      <c r="Y18" s="38" t="s">
        <v>141</v>
      </c>
      <c r="Z18" s="26" t="s">
        <v>141</v>
      </c>
      <c r="AA18" s="26"/>
      <c r="AB18" s="31" t="s">
        <v>7</v>
      </c>
      <c r="AC18" s="30" t="s">
        <v>172</v>
      </c>
      <c r="AD18" s="25" t="s">
        <v>173</v>
      </c>
      <c r="AE18" s="25" t="s">
        <v>174</v>
      </c>
      <c r="AF18" s="26" t="s">
        <v>175</v>
      </c>
      <c r="AG18" s="32">
        <v>1</v>
      </c>
      <c r="AH18" s="32">
        <v>1</v>
      </c>
      <c r="AI18" s="32"/>
      <c r="AJ18" s="32"/>
      <c r="AK18" s="30"/>
      <c r="AL18" s="32">
        <f t="shared" si="0"/>
        <v>1</v>
      </c>
      <c r="AM18" s="30"/>
      <c r="AN18" s="65" t="s">
        <v>11612</v>
      </c>
      <c r="AO18" s="32"/>
      <c r="AP18" s="32">
        <v>0</v>
      </c>
      <c r="AQ18" s="65"/>
      <c r="AR18" s="32"/>
      <c r="AS18" s="32"/>
      <c r="AT18" s="36" t="s">
        <v>1211</v>
      </c>
      <c r="AU18" s="30"/>
      <c r="AV18" s="30">
        <v>1</v>
      </c>
      <c r="AW18" s="30"/>
      <c r="AX18" s="30" t="s">
        <v>11609</v>
      </c>
      <c r="AY18" s="30"/>
    </row>
    <row r="19" spans="1:51">
      <c r="A19" s="25" t="s">
        <v>11613</v>
      </c>
      <c r="B19" s="25" t="s">
        <v>4398</v>
      </c>
      <c r="C19" s="25" t="s">
        <v>68</v>
      </c>
      <c r="D19" s="25" t="s">
        <v>11614</v>
      </c>
      <c r="E19" s="258" t="s">
        <v>11615</v>
      </c>
      <c r="F19" s="25" t="s">
        <v>11616</v>
      </c>
      <c r="G19" s="25" t="s">
        <v>5516</v>
      </c>
      <c r="H19" s="25" t="s">
        <v>11489</v>
      </c>
      <c r="I19" s="25" t="s">
        <v>4402</v>
      </c>
      <c r="J19" s="25" t="s">
        <v>11490</v>
      </c>
      <c r="K19" s="62" t="s">
        <v>11491</v>
      </c>
      <c r="L19" s="25" t="s">
        <v>73</v>
      </c>
      <c r="M19" s="25" t="s">
        <v>11617</v>
      </c>
      <c r="N19" s="25" t="s">
        <v>11618</v>
      </c>
      <c r="O19" s="63" t="s">
        <v>11619</v>
      </c>
      <c r="P19" s="28"/>
      <c r="Q19" s="53">
        <v>4</v>
      </c>
      <c r="R19" s="53">
        <v>16</v>
      </c>
      <c r="S19" s="53">
        <v>286.14</v>
      </c>
      <c r="T19" s="26" t="s">
        <v>138</v>
      </c>
      <c r="U19" s="30" t="s">
        <v>78</v>
      </c>
      <c r="V19" s="26" t="s">
        <v>139</v>
      </c>
      <c r="W19" s="26" t="s">
        <v>263</v>
      </c>
      <c r="X19" s="26" t="s">
        <v>131</v>
      </c>
      <c r="Y19" s="38" t="s">
        <v>141</v>
      </c>
      <c r="Z19" s="26" t="s">
        <v>141</v>
      </c>
      <c r="AA19" s="26"/>
      <c r="AB19" s="31" t="s">
        <v>7</v>
      </c>
      <c r="AC19" s="30" t="s">
        <v>172</v>
      </c>
      <c r="AD19" s="25" t="s">
        <v>173</v>
      </c>
      <c r="AE19" s="25" t="s">
        <v>174</v>
      </c>
      <c r="AF19" s="26" t="s">
        <v>175</v>
      </c>
      <c r="AG19" s="32">
        <v>1</v>
      </c>
      <c r="AH19" s="32">
        <v>1</v>
      </c>
      <c r="AI19" s="32"/>
      <c r="AJ19" s="32"/>
      <c r="AK19" s="30"/>
      <c r="AL19" s="32">
        <f t="shared" si="0"/>
        <v>1</v>
      </c>
      <c r="AM19" s="30"/>
      <c r="AN19" s="32"/>
      <c r="AO19" s="32"/>
      <c r="AP19" s="32">
        <v>1</v>
      </c>
      <c r="AQ19" s="32">
        <v>1</v>
      </c>
      <c r="AR19" s="32">
        <v>1</v>
      </c>
      <c r="AS19" s="32"/>
      <c r="AT19" s="32">
        <v>1</v>
      </c>
      <c r="AU19" s="30"/>
      <c r="AV19" s="30"/>
      <c r="AW19" s="30"/>
      <c r="AX19" s="30" t="s">
        <v>11617</v>
      </c>
      <c r="AY19" s="30"/>
    </row>
    <row r="20" spans="1:51">
      <c r="A20" s="25" t="s">
        <v>11620</v>
      </c>
      <c r="B20" s="25" t="s">
        <v>4398</v>
      </c>
      <c r="C20" s="25" t="s">
        <v>68</v>
      </c>
      <c r="D20" s="25" t="s">
        <v>11621</v>
      </c>
      <c r="E20" s="258" t="s">
        <v>11622</v>
      </c>
      <c r="F20" s="25" t="s">
        <v>11623</v>
      </c>
      <c r="G20" s="25" t="s">
        <v>5516</v>
      </c>
      <c r="H20" s="25" t="s">
        <v>11489</v>
      </c>
      <c r="I20" s="25" t="s">
        <v>4402</v>
      </c>
      <c r="J20" s="25" t="s">
        <v>11490</v>
      </c>
      <c r="K20" s="62" t="s">
        <v>11491</v>
      </c>
      <c r="L20" s="25" t="s">
        <v>73</v>
      </c>
      <c r="M20" s="25" t="s">
        <v>11624</v>
      </c>
      <c r="N20" s="25" t="s">
        <v>11625</v>
      </c>
      <c r="O20" s="63" t="s">
        <v>11626</v>
      </c>
      <c r="P20" s="28"/>
      <c r="Q20" s="53">
        <v>4</v>
      </c>
      <c r="R20" s="53">
        <v>16</v>
      </c>
      <c r="S20" s="53">
        <v>266.33</v>
      </c>
      <c r="T20" s="26" t="s">
        <v>138</v>
      </c>
      <c r="U20" s="30" t="s">
        <v>78</v>
      </c>
      <c r="V20" s="26" t="s">
        <v>139</v>
      </c>
      <c r="W20" s="38" t="s">
        <v>439</v>
      </c>
      <c r="X20" s="26" t="s">
        <v>131</v>
      </c>
      <c r="Y20" s="38" t="s">
        <v>141</v>
      </c>
      <c r="Z20" s="26" t="s">
        <v>141</v>
      </c>
      <c r="AA20" s="26"/>
      <c r="AB20" s="31" t="s">
        <v>9</v>
      </c>
      <c r="AC20" s="30" t="s">
        <v>172</v>
      </c>
      <c r="AD20" s="25" t="s">
        <v>173</v>
      </c>
      <c r="AE20" s="25" t="s">
        <v>174</v>
      </c>
      <c r="AF20" s="26" t="s">
        <v>175</v>
      </c>
      <c r="AG20" s="32">
        <v>1</v>
      </c>
      <c r="AH20" s="32">
        <v>1</v>
      </c>
      <c r="AI20" s="32"/>
      <c r="AJ20" s="32"/>
      <c r="AK20" s="30"/>
      <c r="AL20" s="32">
        <f t="shared" si="0"/>
        <v>1</v>
      </c>
      <c r="AM20" s="30"/>
      <c r="AN20" s="32"/>
      <c r="AO20" s="32"/>
      <c r="AP20" s="32">
        <v>1</v>
      </c>
      <c r="AQ20" s="32">
        <v>1</v>
      </c>
      <c r="AR20" s="32">
        <v>1</v>
      </c>
      <c r="AS20" s="32"/>
      <c r="AT20" s="32">
        <v>1</v>
      </c>
      <c r="AU20" s="30"/>
      <c r="AV20" s="30"/>
      <c r="AW20" s="30"/>
      <c r="AX20" s="26" t="s">
        <v>11627</v>
      </c>
      <c r="AY20" s="30"/>
    </row>
    <row r="21" spans="1:51">
      <c r="A21" s="25" t="s">
        <v>11628</v>
      </c>
      <c r="B21" s="25" t="s">
        <v>4398</v>
      </c>
      <c r="C21" s="25" t="s">
        <v>68</v>
      </c>
      <c r="D21" s="25" t="s">
        <v>11629</v>
      </c>
      <c r="E21" s="258" t="s">
        <v>11630</v>
      </c>
      <c r="F21" s="25" t="s">
        <v>11631</v>
      </c>
      <c r="G21" s="25" t="s">
        <v>5516</v>
      </c>
      <c r="H21" s="25" t="s">
        <v>11489</v>
      </c>
      <c r="I21" s="25" t="s">
        <v>4402</v>
      </c>
      <c r="J21" s="25" t="s">
        <v>11490</v>
      </c>
      <c r="K21" s="62" t="s">
        <v>11491</v>
      </c>
      <c r="L21" s="25" t="s">
        <v>73</v>
      </c>
      <c r="M21" s="25" t="s">
        <v>11632</v>
      </c>
      <c r="N21" s="25" t="s">
        <v>11633</v>
      </c>
      <c r="O21" s="63" t="s">
        <v>11634</v>
      </c>
      <c r="P21" s="28"/>
      <c r="Q21" s="53">
        <v>4</v>
      </c>
      <c r="R21" s="53">
        <v>16</v>
      </c>
      <c r="S21" s="53">
        <v>266.33999999999997</v>
      </c>
      <c r="T21" s="26" t="s">
        <v>138</v>
      </c>
      <c r="U21" s="30" t="s">
        <v>78</v>
      </c>
      <c r="V21" s="26" t="s">
        <v>139</v>
      </c>
      <c r="W21" s="38" t="s">
        <v>439</v>
      </c>
      <c r="X21" s="26" t="s">
        <v>131</v>
      </c>
      <c r="Y21" s="38" t="s">
        <v>141</v>
      </c>
      <c r="Z21" s="26" t="s">
        <v>141</v>
      </c>
      <c r="AA21" s="26"/>
      <c r="AB21" s="31" t="s">
        <v>9</v>
      </c>
      <c r="AC21" s="30" t="s">
        <v>172</v>
      </c>
      <c r="AD21" s="25" t="s">
        <v>173</v>
      </c>
      <c r="AE21" s="25" t="s">
        <v>174</v>
      </c>
      <c r="AF21" s="26" t="s">
        <v>175</v>
      </c>
      <c r="AG21" s="32">
        <v>1</v>
      </c>
      <c r="AH21" s="32">
        <v>1</v>
      </c>
      <c r="AI21" s="32"/>
      <c r="AJ21" s="32"/>
      <c r="AK21" s="30"/>
      <c r="AL21" s="32">
        <f t="shared" si="0"/>
        <v>1</v>
      </c>
      <c r="AM21" s="30"/>
      <c r="AN21" s="32"/>
      <c r="AO21" s="32"/>
      <c r="AP21" s="32">
        <v>1</v>
      </c>
      <c r="AQ21" s="32">
        <v>1</v>
      </c>
      <c r="AR21" s="32">
        <v>1</v>
      </c>
      <c r="AS21" s="32"/>
      <c r="AT21" s="32">
        <v>1</v>
      </c>
      <c r="AU21" s="30"/>
      <c r="AV21" s="30"/>
      <c r="AW21" s="30"/>
      <c r="AX21" s="26" t="s">
        <v>11635</v>
      </c>
      <c r="AY21" s="30"/>
    </row>
    <row r="22" spans="1:51">
      <c r="A22" s="25" t="s">
        <v>11636</v>
      </c>
      <c r="B22" s="25" t="s">
        <v>4398</v>
      </c>
      <c r="C22" s="25" t="s">
        <v>68</v>
      </c>
      <c r="D22" s="25" t="s">
        <v>11637</v>
      </c>
      <c r="E22" s="258" t="s">
        <v>11638</v>
      </c>
      <c r="F22" s="25" t="s">
        <v>11639</v>
      </c>
      <c r="G22" s="25" t="s">
        <v>5516</v>
      </c>
      <c r="H22" s="25" t="s">
        <v>11489</v>
      </c>
      <c r="I22" s="25" t="s">
        <v>4402</v>
      </c>
      <c r="J22" s="25" t="s">
        <v>11490</v>
      </c>
      <c r="K22" s="64" t="s">
        <v>11500</v>
      </c>
      <c r="L22" s="25" t="s">
        <v>73</v>
      </c>
      <c r="M22" s="25" t="s">
        <v>11640</v>
      </c>
      <c r="N22" s="25" t="s">
        <v>11641</v>
      </c>
      <c r="O22" s="63" t="s">
        <v>11642</v>
      </c>
      <c r="P22" s="28"/>
      <c r="Q22" s="53">
        <v>8</v>
      </c>
      <c r="R22" s="53">
        <v>32</v>
      </c>
      <c r="S22" s="53">
        <v>282.70999999999998</v>
      </c>
      <c r="T22" s="26"/>
      <c r="U22" s="30" t="s">
        <v>78</v>
      </c>
      <c r="V22" s="30"/>
      <c r="W22" s="38" t="s">
        <v>439</v>
      </c>
      <c r="X22" s="26" t="s">
        <v>131</v>
      </c>
      <c r="Y22" s="38"/>
      <c r="Z22" s="26"/>
      <c r="AA22" s="26"/>
      <c r="AB22" s="31" t="s">
        <v>9</v>
      </c>
      <c r="AC22" s="30" t="s">
        <v>172</v>
      </c>
      <c r="AD22" s="25" t="s">
        <v>173</v>
      </c>
      <c r="AE22" s="25" t="s">
        <v>174</v>
      </c>
      <c r="AF22" s="26" t="s">
        <v>175</v>
      </c>
      <c r="AG22" s="32">
        <v>1</v>
      </c>
      <c r="AH22" s="32"/>
      <c r="AI22" s="32"/>
      <c r="AJ22" s="32"/>
      <c r="AK22" s="30"/>
      <c r="AL22" s="32"/>
      <c r="AM22" s="30"/>
      <c r="AN22" s="32"/>
      <c r="AO22" s="32"/>
      <c r="AP22" s="32"/>
      <c r="AQ22" s="32"/>
      <c r="AR22" s="32"/>
      <c r="AS22" s="32"/>
      <c r="AT22" s="32"/>
      <c r="AU22" s="30"/>
      <c r="AV22" s="30"/>
      <c r="AW22" s="30"/>
      <c r="AX22" s="30"/>
      <c r="AY22" s="30"/>
    </row>
    <row r="23" spans="1:51">
      <c r="A23" s="25" t="s">
        <v>11643</v>
      </c>
      <c r="B23" s="25" t="s">
        <v>4398</v>
      </c>
      <c r="C23" s="25" t="s">
        <v>68</v>
      </c>
      <c r="D23" s="25" t="s">
        <v>11644</v>
      </c>
      <c r="E23" s="258" t="s">
        <v>11645</v>
      </c>
      <c r="F23" s="25" t="s">
        <v>11646</v>
      </c>
      <c r="G23" s="25" t="s">
        <v>5516</v>
      </c>
      <c r="H23" s="25" t="s">
        <v>11489</v>
      </c>
      <c r="I23" s="25" t="s">
        <v>4402</v>
      </c>
      <c r="J23" s="25" t="s">
        <v>11490</v>
      </c>
      <c r="K23" s="62" t="s">
        <v>11491</v>
      </c>
      <c r="L23" s="25" t="s">
        <v>73</v>
      </c>
      <c r="M23" s="25" t="s">
        <v>11647</v>
      </c>
      <c r="N23" s="25" t="s">
        <v>11648</v>
      </c>
      <c r="O23" s="63" t="s">
        <v>11649</v>
      </c>
      <c r="P23" s="28"/>
      <c r="Q23" s="53">
        <v>4</v>
      </c>
      <c r="R23" s="53">
        <v>16</v>
      </c>
      <c r="S23" s="53">
        <v>266.73</v>
      </c>
      <c r="T23" s="26" t="s">
        <v>138</v>
      </c>
      <c r="U23" s="30" t="s">
        <v>78</v>
      </c>
      <c r="V23" s="26" t="s">
        <v>139</v>
      </c>
      <c r="W23" s="38" t="s">
        <v>439</v>
      </c>
      <c r="X23" s="26" t="s">
        <v>131</v>
      </c>
      <c r="Y23" s="38" t="s">
        <v>141</v>
      </c>
      <c r="Z23" s="26" t="s">
        <v>141</v>
      </c>
      <c r="AA23" s="26"/>
      <c r="AB23" s="31" t="s">
        <v>9</v>
      </c>
      <c r="AC23" s="30" t="s">
        <v>172</v>
      </c>
      <c r="AD23" s="25" t="s">
        <v>173</v>
      </c>
      <c r="AE23" s="25" t="s">
        <v>174</v>
      </c>
      <c r="AF23" s="26" t="s">
        <v>175</v>
      </c>
      <c r="AG23" s="32">
        <v>1</v>
      </c>
      <c r="AH23" s="32">
        <v>1</v>
      </c>
      <c r="AI23" s="32"/>
      <c r="AJ23" s="32"/>
      <c r="AK23" s="30"/>
      <c r="AL23" s="32">
        <f>IF(COUNTIF(AX:AX,"*"&amp;M23&amp;"*")&gt;0,1,0)</f>
        <v>1</v>
      </c>
      <c r="AM23" s="30"/>
      <c r="AN23" s="32"/>
      <c r="AO23" s="32"/>
      <c r="AP23" s="32">
        <v>1</v>
      </c>
      <c r="AQ23" s="32">
        <v>1</v>
      </c>
      <c r="AR23" s="32">
        <v>1</v>
      </c>
      <c r="AS23" s="32"/>
      <c r="AT23" s="32">
        <v>1</v>
      </c>
      <c r="AU23" s="30"/>
      <c r="AV23" s="30"/>
      <c r="AW23" s="30"/>
      <c r="AX23" s="30" t="s">
        <v>11560</v>
      </c>
      <c r="AY23" s="30"/>
    </row>
    <row r="24" spans="1:51">
      <c r="A24" s="25" t="s">
        <v>11650</v>
      </c>
      <c r="B24" s="25" t="s">
        <v>4398</v>
      </c>
      <c r="C24" s="25" t="s">
        <v>68</v>
      </c>
      <c r="D24" s="25" t="s">
        <v>11651</v>
      </c>
      <c r="E24" s="258" t="s">
        <v>11652</v>
      </c>
      <c r="F24" s="25" t="s">
        <v>11653</v>
      </c>
      <c r="G24" s="25" t="s">
        <v>5516</v>
      </c>
      <c r="H24" s="25" t="s">
        <v>11489</v>
      </c>
      <c r="I24" s="25" t="s">
        <v>4402</v>
      </c>
      <c r="J24" s="25" t="s">
        <v>11490</v>
      </c>
      <c r="K24" s="64" t="s">
        <v>11500</v>
      </c>
      <c r="L24" s="25" t="s">
        <v>73</v>
      </c>
      <c r="M24" s="25" t="s">
        <v>11654</v>
      </c>
      <c r="N24" s="25" t="s">
        <v>11655</v>
      </c>
      <c r="O24" s="63" t="s">
        <v>11656</v>
      </c>
      <c r="P24" s="28"/>
      <c r="Q24" s="53">
        <v>4</v>
      </c>
      <c r="R24" s="53">
        <v>16</v>
      </c>
      <c r="S24" s="53">
        <v>287.45</v>
      </c>
      <c r="T24" s="26"/>
      <c r="U24" s="30" t="s">
        <v>78</v>
      </c>
      <c r="V24" s="30"/>
      <c r="W24" s="38" t="s">
        <v>439</v>
      </c>
      <c r="X24" s="26" t="s">
        <v>131</v>
      </c>
      <c r="Y24" s="38"/>
      <c r="Z24" s="26"/>
      <c r="AA24" s="26"/>
      <c r="AB24" s="31" t="s">
        <v>9</v>
      </c>
      <c r="AC24" s="30" t="s">
        <v>172</v>
      </c>
      <c r="AD24" s="25" t="s">
        <v>173</v>
      </c>
      <c r="AE24" s="25" t="s">
        <v>174</v>
      </c>
      <c r="AF24" s="26" t="s">
        <v>175</v>
      </c>
      <c r="AG24" s="32">
        <v>1</v>
      </c>
      <c r="AH24" s="32"/>
      <c r="AI24" s="32"/>
      <c r="AJ24" s="32"/>
      <c r="AK24" s="30"/>
      <c r="AL24" s="32"/>
      <c r="AM24" s="30"/>
      <c r="AN24" s="32"/>
      <c r="AO24" s="32"/>
      <c r="AP24" s="32"/>
      <c r="AQ24" s="32"/>
      <c r="AR24" s="32"/>
      <c r="AS24" s="32"/>
      <c r="AT24" s="32"/>
      <c r="AU24" s="30"/>
      <c r="AV24" s="30"/>
      <c r="AW24" s="30"/>
      <c r="AX24" s="30"/>
      <c r="AY24" s="30"/>
    </row>
    <row r="25" spans="1:51">
      <c r="A25" s="25" t="s">
        <v>11657</v>
      </c>
      <c r="B25" s="25" t="s">
        <v>4398</v>
      </c>
      <c r="C25" s="25" t="s">
        <v>68</v>
      </c>
      <c r="D25" s="25" t="s">
        <v>11658</v>
      </c>
      <c r="E25" s="258" t="s">
        <v>11659</v>
      </c>
      <c r="F25" s="25" t="s">
        <v>11660</v>
      </c>
      <c r="G25" s="25" t="s">
        <v>5516</v>
      </c>
      <c r="H25" s="25" t="s">
        <v>11489</v>
      </c>
      <c r="I25" s="25" t="s">
        <v>4402</v>
      </c>
      <c r="J25" s="25" t="s">
        <v>11490</v>
      </c>
      <c r="K25" s="64" t="s">
        <v>3213</v>
      </c>
      <c r="L25" s="25" t="s">
        <v>73</v>
      </c>
      <c r="M25" s="25" t="s">
        <v>11661</v>
      </c>
      <c r="N25" s="25" t="s">
        <v>11662</v>
      </c>
      <c r="O25" s="63" t="s">
        <v>11663</v>
      </c>
      <c r="P25" s="28"/>
      <c r="Q25" s="53">
        <v>8</v>
      </c>
      <c r="R25" s="53">
        <v>32</v>
      </c>
      <c r="S25" s="53">
        <v>282.79000000000002</v>
      </c>
      <c r="T25" s="26" t="s">
        <v>138</v>
      </c>
      <c r="U25" s="30" t="s">
        <v>78</v>
      </c>
      <c r="V25" s="26" t="s">
        <v>139</v>
      </c>
      <c r="W25" s="38" t="s">
        <v>439</v>
      </c>
      <c r="X25" s="26" t="s">
        <v>131</v>
      </c>
      <c r="Y25" s="38" t="s">
        <v>141</v>
      </c>
      <c r="Z25" s="26" t="s">
        <v>141</v>
      </c>
      <c r="AA25" s="26"/>
      <c r="AB25" s="31" t="s">
        <v>9</v>
      </c>
      <c r="AC25" s="30" t="s">
        <v>172</v>
      </c>
      <c r="AD25" s="25" t="s">
        <v>173</v>
      </c>
      <c r="AE25" s="25" t="s">
        <v>174</v>
      </c>
      <c r="AF25" s="26" t="s">
        <v>175</v>
      </c>
      <c r="AG25" s="32">
        <v>1</v>
      </c>
      <c r="AH25" s="32">
        <v>1</v>
      </c>
      <c r="AI25" s="32"/>
      <c r="AJ25" s="32"/>
      <c r="AK25" s="30"/>
      <c r="AL25" s="32"/>
      <c r="AM25" s="30"/>
      <c r="AN25" s="32"/>
      <c r="AO25" s="32"/>
      <c r="AP25" s="32"/>
      <c r="AQ25" s="32"/>
      <c r="AR25" s="32"/>
      <c r="AS25" s="32"/>
      <c r="AT25" s="32"/>
      <c r="AU25" s="30"/>
      <c r="AV25" s="30"/>
      <c r="AW25" s="30"/>
      <c r="AX25" s="30"/>
      <c r="AY25" s="30"/>
    </row>
    <row r="26" spans="1:51">
      <c r="A26" s="25" t="s">
        <v>11664</v>
      </c>
      <c r="B26" s="25" t="s">
        <v>4398</v>
      </c>
      <c r="C26" s="25" t="s">
        <v>68</v>
      </c>
      <c r="D26" s="25" t="s">
        <v>11665</v>
      </c>
      <c r="E26" s="258" t="s">
        <v>11666</v>
      </c>
      <c r="F26" s="25" t="s">
        <v>11667</v>
      </c>
      <c r="G26" s="25" t="s">
        <v>5516</v>
      </c>
      <c r="H26" s="25" t="s">
        <v>11489</v>
      </c>
      <c r="I26" s="25" t="s">
        <v>4402</v>
      </c>
      <c r="J26" s="25" t="s">
        <v>11490</v>
      </c>
      <c r="K26" s="62" t="s">
        <v>11491</v>
      </c>
      <c r="L26" s="25" t="s">
        <v>73</v>
      </c>
      <c r="M26" s="25" t="s">
        <v>11668</v>
      </c>
      <c r="N26" s="25" t="s">
        <v>11669</v>
      </c>
      <c r="O26" s="63" t="s">
        <v>11670</v>
      </c>
      <c r="P26" s="28"/>
      <c r="Q26" s="53">
        <v>4</v>
      </c>
      <c r="R26" s="53">
        <v>16</v>
      </c>
      <c r="S26" s="53">
        <v>266.55</v>
      </c>
      <c r="T26" s="26" t="s">
        <v>138</v>
      </c>
      <c r="U26" s="30" t="s">
        <v>78</v>
      </c>
      <c r="V26" s="26" t="s">
        <v>139</v>
      </c>
      <c r="W26" s="38" t="s">
        <v>439</v>
      </c>
      <c r="X26" s="26" t="s">
        <v>131</v>
      </c>
      <c r="Y26" s="38" t="s">
        <v>141</v>
      </c>
      <c r="Z26" s="26" t="s">
        <v>141</v>
      </c>
      <c r="AA26" s="26"/>
      <c r="AB26" s="31" t="s">
        <v>9</v>
      </c>
      <c r="AC26" s="30" t="s">
        <v>172</v>
      </c>
      <c r="AD26" s="25" t="s">
        <v>173</v>
      </c>
      <c r="AE26" s="25" t="s">
        <v>174</v>
      </c>
      <c r="AF26" s="26" t="s">
        <v>175</v>
      </c>
      <c r="AG26" s="32">
        <v>1</v>
      </c>
      <c r="AH26" s="32">
        <v>1</v>
      </c>
      <c r="AI26" s="32"/>
      <c r="AJ26" s="32"/>
      <c r="AK26" s="30"/>
      <c r="AL26" s="32">
        <f>IF(COUNTIF(AX:AX,"*"&amp;M26&amp;"*")&gt;0,1,0)</f>
        <v>1</v>
      </c>
      <c r="AM26" s="30"/>
      <c r="AN26" s="32"/>
      <c r="AO26" s="32"/>
      <c r="AP26" s="32">
        <v>1</v>
      </c>
      <c r="AQ26" s="32">
        <v>1</v>
      </c>
      <c r="AR26" s="32">
        <v>1</v>
      </c>
      <c r="AS26" s="32"/>
      <c r="AT26" s="32">
        <v>1</v>
      </c>
      <c r="AU26" s="30"/>
      <c r="AV26" s="30"/>
      <c r="AW26" s="30"/>
      <c r="AX26" s="30" t="s">
        <v>11581</v>
      </c>
      <c r="AY26" s="30"/>
    </row>
    <row r="27" spans="1:51">
      <c r="A27" s="25" t="s">
        <v>11671</v>
      </c>
      <c r="B27" s="25" t="s">
        <v>4398</v>
      </c>
      <c r="C27" s="25" t="s">
        <v>68</v>
      </c>
      <c r="D27" s="25" t="s">
        <v>11672</v>
      </c>
      <c r="E27" s="258" t="s">
        <v>11673</v>
      </c>
      <c r="F27" s="25" t="s">
        <v>11674</v>
      </c>
      <c r="G27" s="25" t="s">
        <v>5516</v>
      </c>
      <c r="H27" s="25" t="s">
        <v>11489</v>
      </c>
      <c r="I27" s="25" t="s">
        <v>4402</v>
      </c>
      <c r="J27" s="25" t="s">
        <v>11490</v>
      </c>
      <c r="K27" s="62" t="s">
        <v>11491</v>
      </c>
      <c r="L27" s="25" t="s">
        <v>73</v>
      </c>
      <c r="M27" s="25" t="s">
        <v>11675</v>
      </c>
      <c r="N27" s="25" t="s">
        <v>11676</v>
      </c>
      <c r="O27" s="63" t="s">
        <v>11677</v>
      </c>
      <c r="P27" s="28"/>
      <c r="Q27" s="53">
        <v>4</v>
      </c>
      <c r="R27" s="53">
        <v>16</v>
      </c>
      <c r="S27" s="53">
        <v>437.26</v>
      </c>
      <c r="T27" s="26" t="s">
        <v>138</v>
      </c>
      <c r="U27" s="30" t="s">
        <v>78</v>
      </c>
      <c r="V27" s="26" t="s">
        <v>139</v>
      </c>
      <c r="W27" s="38" t="s">
        <v>439</v>
      </c>
      <c r="X27" s="26" t="s">
        <v>131</v>
      </c>
      <c r="Y27" s="38" t="s">
        <v>141</v>
      </c>
      <c r="Z27" s="26" t="s">
        <v>141</v>
      </c>
      <c r="AA27" s="26"/>
      <c r="AB27" s="31" t="s">
        <v>9</v>
      </c>
      <c r="AC27" s="30" t="s">
        <v>172</v>
      </c>
      <c r="AD27" s="25" t="s">
        <v>173</v>
      </c>
      <c r="AE27" s="25" t="s">
        <v>174</v>
      </c>
      <c r="AF27" s="26" t="s">
        <v>175</v>
      </c>
      <c r="AG27" s="32">
        <v>1</v>
      </c>
      <c r="AH27" s="32">
        <v>1</v>
      </c>
      <c r="AI27" s="32"/>
      <c r="AJ27" s="32"/>
      <c r="AK27" s="30"/>
      <c r="AL27" s="32">
        <f>IF(COUNTIF(AX:AX,"*"&amp;M27&amp;"*")&gt;0,1,0)</f>
        <v>1</v>
      </c>
      <c r="AM27" s="30"/>
      <c r="AN27" s="32"/>
      <c r="AO27" s="32"/>
      <c r="AP27" s="32">
        <v>1</v>
      </c>
      <c r="AQ27" s="32">
        <v>1</v>
      </c>
      <c r="AR27" s="32">
        <v>1</v>
      </c>
      <c r="AS27" s="32"/>
      <c r="AT27" s="32">
        <v>1</v>
      </c>
      <c r="AU27" s="30"/>
      <c r="AV27" s="30"/>
      <c r="AW27" s="30"/>
      <c r="AX27" s="30" t="s">
        <v>11595</v>
      </c>
      <c r="AY27" s="30"/>
    </row>
    <row r="28" spans="1:51">
      <c r="A28" s="25" t="s">
        <v>11678</v>
      </c>
      <c r="B28" s="25" t="s">
        <v>4398</v>
      </c>
      <c r="C28" s="25" t="s">
        <v>68</v>
      </c>
      <c r="D28" s="25" t="s">
        <v>11679</v>
      </c>
      <c r="E28" s="258" t="s">
        <v>11680</v>
      </c>
      <c r="F28" s="25" t="s">
        <v>11681</v>
      </c>
      <c r="G28" s="25" t="s">
        <v>5516</v>
      </c>
      <c r="H28" s="25" t="s">
        <v>11489</v>
      </c>
      <c r="I28" s="25" t="s">
        <v>4402</v>
      </c>
      <c r="J28" s="25" t="s">
        <v>11490</v>
      </c>
      <c r="K28" s="62" t="s">
        <v>11491</v>
      </c>
      <c r="L28" s="25" t="s">
        <v>73</v>
      </c>
      <c r="M28" s="25" t="s">
        <v>11682</v>
      </c>
      <c r="N28" s="25" t="s">
        <v>11683</v>
      </c>
      <c r="O28" s="63" t="s">
        <v>11684</v>
      </c>
      <c r="P28" s="28"/>
      <c r="Q28" s="53">
        <v>4</v>
      </c>
      <c r="R28" s="53">
        <v>16</v>
      </c>
      <c r="S28" s="53">
        <v>267.26</v>
      </c>
      <c r="T28" s="26" t="s">
        <v>138</v>
      </c>
      <c r="U28" s="30" t="s">
        <v>78</v>
      </c>
      <c r="V28" s="26" t="s">
        <v>139</v>
      </c>
      <c r="W28" s="38" t="s">
        <v>439</v>
      </c>
      <c r="X28" s="26" t="s">
        <v>131</v>
      </c>
      <c r="Y28" s="38" t="s">
        <v>141</v>
      </c>
      <c r="Z28" s="26" t="s">
        <v>141</v>
      </c>
      <c r="AA28" s="26"/>
      <c r="AB28" s="31" t="s">
        <v>9</v>
      </c>
      <c r="AC28" s="30" t="s">
        <v>172</v>
      </c>
      <c r="AD28" s="25" t="s">
        <v>173</v>
      </c>
      <c r="AE28" s="25" t="s">
        <v>174</v>
      </c>
      <c r="AF28" s="26" t="s">
        <v>175</v>
      </c>
      <c r="AG28" s="32">
        <v>1</v>
      </c>
      <c r="AH28" s="32">
        <v>1</v>
      </c>
      <c r="AI28" s="32"/>
      <c r="AJ28" s="32"/>
      <c r="AK28" s="30"/>
      <c r="AL28" s="32">
        <f>IF(COUNTIF(AX:AX,"*"&amp;M28&amp;"*")&gt;0,1,0)</f>
        <v>1</v>
      </c>
      <c r="AM28" s="30"/>
      <c r="AN28" s="32"/>
      <c r="AO28" s="32"/>
      <c r="AP28" s="32">
        <v>1</v>
      </c>
      <c r="AQ28" s="32">
        <v>1</v>
      </c>
      <c r="AR28" s="32">
        <v>1</v>
      </c>
      <c r="AS28" s="32"/>
      <c r="AT28" s="32">
        <v>1</v>
      </c>
      <c r="AU28" s="30"/>
      <c r="AV28" s="30"/>
      <c r="AW28" s="30"/>
      <c r="AX28" s="30" t="s">
        <v>11602</v>
      </c>
      <c r="AY28" s="30"/>
    </row>
    <row r="29" spans="1:51">
      <c r="A29" s="25" t="s">
        <v>11685</v>
      </c>
      <c r="B29" s="25" t="s">
        <v>4398</v>
      </c>
      <c r="C29" s="25" t="s">
        <v>68</v>
      </c>
      <c r="D29" s="25" t="s">
        <v>11686</v>
      </c>
      <c r="E29" s="258" t="s">
        <v>11687</v>
      </c>
      <c r="F29" s="25" t="s">
        <v>11688</v>
      </c>
      <c r="G29" s="25" t="s">
        <v>5516</v>
      </c>
      <c r="H29" s="25" t="s">
        <v>11489</v>
      </c>
      <c r="I29" s="25" t="s">
        <v>4402</v>
      </c>
      <c r="J29" s="25" t="s">
        <v>11490</v>
      </c>
      <c r="K29" s="64" t="s">
        <v>11500</v>
      </c>
      <c r="L29" s="25" t="s">
        <v>73</v>
      </c>
      <c r="M29" s="25" t="s">
        <v>11689</v>
      </c>
      <c r="N29" s="25" t="s">
        <v>11690</v>
      </c>
      <c r="O29" s="63" t="s">
        <v>11691</v>
      </c>
      <c r="P29" s="28"/>
      <c r="Q29" s="53">
        <v>4</v>
      </c>
      <c r="R29" s="53">
        <v>16</v>
      </c>
      <c r="S29" s="53">
        <v>266.45999999999998</v>
      </c>
      <c r="T29" s="26"/>
      <c r="U29" s="30" t="s">
        <v>78</v>
      </c>
      <c r="V29" s="30"/>
      <c r="W29" s="38" t="s">
        <v>263</v>
      </c>
      <c r="X29" s="26" t="s">
        <v>131</v>
      </c>
      <c r="Y29" s="38"/>
      <c r="Z29" s="26"/>
      <c r="AA29" s="26"/>
      <c r="AB29" s="36" t="s">
        <v>7</v>
      </c>
      <c r="AC29" s="30" t="s">
        <v>172</v>
      </c>
      <c r="AD29" s="25" t="s">
        <v>173</v>
      </c>
      <c r="AE29" s="25" t="s">
        <v>174</v>
      </c>
      <c r="AF29" s="26" t="s">
        <v>175</v>
      </c>
      <c r="AG29" s="32">
        <v>1</v>
      </c>
      <c r="AH29" s="32"/>
      <c r="AI29" s="32"/>
      <c r="AJ29" s="32"/>
      <c r="AK29" s="30"/>
      <c r="AL29" s="32"/>
      <c r="AM29" s="30"/>
      <c r="AN29" s="32"/>
      <c r="AO29" s="32"/>
      <c r="AP29" s="32"/>
      <c r="AQ29" s="32"/>
      <c r="AR29" s="32"/>
      <c r="AS29" s="32"/>
      <c r="AT29" s="32"/>
      <c r="AU29" s="30"/>
      <c r="AV29" s="30"/>
      <c r="AW29" s="30"/>
      <c r="AX29" s="30"/>
      <c r="AY29" s="30"/>
    </row>
    <row r="30" spans="1:51">
      <c r="A30" s="25" t="s">
        <v>11692</v>
      </c>
      <c r="B30" s="25" t="s">
        <v>4398</v>
      </c>
      <c r="C30" s="25" t="s">
        <v>68</v>
      </c>
      <c r="D30" s="25" t="s">
        <v>11693</v>
      </c>
      <c r="E30" s="258" t="s">
        <v>11694</v>
      </c>
      <c r="F30" s="25" t="s">
        <v>11695</v>
      </c>
      <c r="G30" s="25" t="s">
        <v>5516</v>
      </c>
      <c r="H30" s="25" t="s">
        <v>11489</v>
      </c>
      <c r="I30" s="25" t="s">
        <v>4402</v>
      </c>
      <c r="J30" s="25" t="s">
        <v>11490</v>
      </c>
      <c r="K30" s="64" t="s">
        <v>11500</v>
      </c>
      <c r="L30" s="25" t="s">
        <v>73</v>
      </c>
      <c r="M30" s="25" t="s">
        <v>11696</v>
      </c>
      <c r="N30" s="25" t="s">
        <v>11697</v>
      </c>
      <c r="O30" s="63" t="s">
        <v>11698</v>
      </c>
      <c r="P30" s="28"/>
      <c r="Q30" s="53">
        <v>4</v>
      </c>
      <c r="R30" s="53">
        <v>16</v>
      </c>
      <c r="S30" s="53">
        <v>266.95</v>
      </c>
      <c r="T30" s="26"/>
      <c r="U30" s="30" t="s">
        <v>78</v>
      </c>
      <c r="V30" s="30"/>
      <c r="W30" s="38"/>
      <c r="X30" s="26" t="s">
        <v>131</v>
      </c>
      <c r="Y30" s="38"/>
      <c r="Z30" s="26"/>
      <c r="AA30" s="26"/>
      <c r="AB30" s="31" t="s">
        <v>9</v>
      </c>
      <c r="AC30" s="30" t="s">
        <v>172</v>
      </c>
      <c r="AD30" s="25" t="s">
        <v>173</v>
      </c>
      <c r="AE30" s="25" t="s">
        <v>174</v>
      </c>
      <c r="AF30" s="26" t="s">
        <v>175</v>
      </c>
      <c r="AG30" s="32">
        <v>1</v>
      </c>
      <c r="AH30" s="32"/>
      <c r="AI30" s="32"/>
      <c r="AJ30" s="32"/>
      <c r="AK30" s="30"/>
      <c r="AL30" s="32"/>
      <c r="AM30" s="30"/>
      <c r="AN30" s="32"/>
      <c r="AO30" s="32"/>
      <c r="AP30" s="32"/>
      <c r="AQ30" s="32"/>
      <c r="AR30" s="32"/>
      <c r="AS30" s="32"/>
      <c r="AT30" s="32"/>
      <c r="AU30" s="30"/>
      <c r="AV30" s="30"/>
      <c r="AW30" s="30"/>
      <c r="AX30" s="30"/>
      <c r="AY30" s="30"/>
    </row>
    <row r="31" spans="1:51">
      <c r="A31" s="25" t="s">
        <v>11699</v>
      </c>
      <c r="B31" s="25" t="s">
        <v>4398</v>
      </c>
      <c r="C31" s="25" t="s">
        <v>68</v>
      </c>
      <c r="D31" s="25" t="s">
        <v>11700</v>
      </c>
      <c r="E31" s="258" t="s">
        <v>11701</v>
      </c>
      <c r="F31" s="25" t="s">
        <v>11702</v>
      </c>
      <c r="G31" s="25" t="s">
        <v>5516</v>
      </c>
      <c r="H31" s="25" t="s">
        <v>11489</v>
      </c>
      <c r="I31" s="25" t="s">
        <v>4402</v>
      </c>
      <c r="J31" s="25" t="s">
        <v>11490</v>
      </c>
      <c r="K31" s="62" t="s">
        <v>11491</v>
      </c>
      <c r="L31" s="25" t="s">
        <v>73</v>
      </c>
      <c r="M31" s="25" t="s">
        <v>11703</v>
      </c>
      <c r="N31" s="25" t="s">
        <v>11704</v>
      </c>
      <c r="O31" s="63" t="s">
        <v>11705</v>
      </c>
      <c r="P31" s="28"/>
      <c r="Q31" s="53">
        <v>4</v>
      </c>
      <c r="R31" s="53">
        <v>16</v>
      </c>
      <c r="S31" s="53">
        <v>267.2</v>
      </c>
      <c r="T31" s="26" t="s">
        <v>138</v>
      </c>
      <c r="U31" s="30" t="s">
        <v>78</v>
      </c>
      <c r="V31" s="26" t="s">
        <v>139</v>
      </c>
      <c r="W31" s="38" t="s">
        <v>439</v>
      </c>
      <c r="X31" s="26" t="s">
        <v>131</v>
      </c>
      <c r="Y31" s="38" t="s">
        <v>141</v>
      </c>
      <c r="Z31" s="26" t="s">
        <v>141</v>
      </c>
      <c r="AA31" s="26"/>
      <c r="AB31" s="31" t="s">
        <v>9</v>
      </c>
      <c r="AC31" s="30" t="s">
        <v>172</v>
      </c>
      <c r="AD31" s="25" t="s">
        <v>173</v>
      </c>
      <c r="AE31" s="25" t="s">
        <v>174</v>
      </c>
      <c r="AF31" s="26" t="s">
        <v>175</v>
      </c>
      <c r="AG31" s="32">
        <v>1</v>
      </c>
      <c r="AH31" s="32">
        <v>1</v>
      </c>
      <c r="AI31" s="32"/>
      <c r="AJ31" s="32"/>
      <c r="AK31" s="30"/>
      <c r="AL31" s="32">
        <f>IF(COUNTIF(AX:AX,"*"&amp;M31&amp;"*")&gt;0,1,0)</f>
        <v>1</v>
      </c>
      <c r="AM31" s="30"/>
      <c r="AN31" s="32"/>
      <c r="AO31" s="32"/>
      <c r="AP31" s="32">
        <v>1</v>
      </c>
      <c r="AQ31" s="32">
        <v>1</v>
      </c>
      <c r="AR31" s="32">
        <v>1</v>
      </c>
      <c r="AS31" s="32"/>
      <c r="AT31" s="32">
        <v>1</v>
      </c>
      <c r="AU31" s="30"/>
      <c r="AV31" s="30"/>
      <c r="AW31" s="30"/>
      <c r="AX31" s="30" t="s">
        <v>11624</v>
      </c>
      <c r="AY31" s="30"/>
    </row>
    <row r="32" spans="1:51">
      <c r="A32" s="25" t="s">
        <v>11706</v>
      </c>
      <c r="B32" s="25" t="s">
        <v>4398</v>
      </c>
      <c r="C32" s="25" t="s">
        <v>68</v>
      </c>
      <c r="D32" s="25" t="s">
        <v>11707</v>
      </c>
      <c r="E32" s="258" t="s">
        <v>11708</v>
      </c>
      <c r="F32" s="25" t="s">
        <v>11709</v>
      </c>
      <c r="G32" s="25" t="s">
        <v>5516</v>
      </c>
      <c r="H32" s="25" t="s">
        <v>11489</v>
      </c>
      <c r="I32" s="25" t="s">
        <v>4402</v>
      </c>
      <c r="J32" s="25" t="s">
        <v>11490</v>
      </c>
      <c r="K32" s="62" t="s">
        <v>11491</v>
      </c>
      <c r="L32" s="25" t="s">
        <v>73</v>
      </c>
      <c r="M32" s="25" t="s">
        <v>11710</v>
      </c>
      <c r="N32" s="25" t="s">
        <v>11711</v>
      </c>
      <c r="O32" s="63" t="s">
        <v>11712</v>
      </c>
      <c r="P32" s="28"/>
      <c r="Q32" s="53">
        <v>4</v>
      </c>
      <c r="R32" s="53">
        <v>16</v>
      </c>
      <c r="S32" s="53">
        <v>286.57</v>
      </c>
      <c r="T32" s="26" t="s">
        <v>138</v>
      </c>
      <c r="U32" s="30" t="s">
        <v>78</v>
      </c>
      <c r="V32" s="26" t="s">
        <v>139</v>
      </c>
      <c r="W32" s="38" t="s">
        <v>439</v>
      </c>
      <c r="X32" s="26" t="s">
        <v>131</v>
      </c>
      <c r="Y32" s="38" t="s">
        <v>141</v>
      </c>
      <c r="Z32" s="26" t="s">
        <v>141</v>
      </c>
      <c r="AA32" s="26"/>
      <c r="AB32" s="31" t="s">
        <v>9</v>
      </c>
      <c r="AC32" s="30" t="s">
        <v>172</v>
      </c>
      <c r="AD32" s="25" t="s">
        <v>173</v>
      </c>
      <c r="AE32" s="25" t="s">
        <v>174</v>
      </c>
      <c r="AF32" s="26" t="s">
        <v>175</v>
      </c>
      <c r="AG32" s="32">
        <v>1</v>
      </c>
      <c r="AH32" s="32">
        <v>1</v>
      </c>
      <c r="AI32" s="32"/>
      <c r="AJ32" s="32"/>
      <c r="AK32" s="30"/>
      <c r="AL32" s="32">
        <f>IF(COUNTIF(AX:AX,"*"&amp;M32&amp;"*")&gt;0,1,0)</f>
        <v>1</v>
      </c>
      <c r="AM32" s="30"/>
      <c r="AN32" s="32"/>
      <c r="AO32" s="32"/>
      <c r="AP32" s="32">
        <v>1</v>
      </c>
      <c r="AQ32" s="32">
        <v>1</v>
      </c>
      <c r="AR32" s="32">
        <v>1</v>
      </c>
      <c r="AS32" s="32"/>
      <c r="AT32" s="32">
        <v>1</v>
      </c>
      <c r="AU32" s="30"/>
      <c r="AV32" s="30"/>
      <c r="AW32" s="30"/>
      <c r="AX32" s="30" t="s">
        <v>11713</v>
      </c>
      <c r="AY32" s="30"/>
    </row>
    <row r="33" spans="1:51" s="59" customFormat="1">
      <c r="A33" s="25" t="s">
        <v>11714</v>
      </c>
      <c r="B33" s="25" t="s">
        <v>4398</v>
      </c>
      <c r="C33" s="25" t="s">
        <v>68</v>
      </c>
      <c r="D33" s="25" t="s">
        <v>11715</v>
      </c>
      <c r="E33" s="258" t="s">
        <v>11716</v>
      </c>
      <c r="F33" s="25" t="s">
        <v>11717</v>
      </c>
      <c r="G33" s="25" t="s">
        <v>5516</v>
      </c>
      <c r="H33" s="25" t="s">
        <v>11489</v>
      </c>
      <c r="I33" s="25" t="s">
        <v>4402</v>
      </c>
      <c r="J33" s="25" t="s">
        <v>11490</v>
      </c>
      <c r="K33" s="64" t="s">
        <v>11500</v>
      </c>
      <c r="L33" s="25" t="s">
        <v>73</v>
      </c>
      <c r="M33" s="25" t="s">
        <v>11718</v>
      </c>
      <c r="N33" s="25" t="s">
        <v>11719</v>
      </c>
      <c r="O33" s="63" t="s">
        <v>11720</v>
      </c>
      <c r="P33" s="55"/>
      <c r="Q33" s="53">
        <v>4</v>
      </c>
      <c r="R33" s="53">
        <v>16</v>
      </c>
      <c r="S33" s="53">
        <v>266.20999999999998</v>
      </c>
      <c r="T33" s="26"/>
      <c r="U33" s="30" t="s">
        <v>78</v>
      </c>
      <c r="V33" s="30"/>
      <c r="W33" s="38"/>
      <c r="X33" s="26" t="s">
        <v>131</v>
      </c>
      <c r="Y33" s="38"/>
      <c r="Z33" s="26"/>
      <c r="AA33" s="26"/>
      <c r="AB33" s="31" t="s">
        <v>9</v>
      </c>
      <c r="AC33" s="30" t="s">
        <v>172</v>
      </c>
      <c r="AD33" s="25" t="s">
        <v>173</v>
      </c>
      <c r="AE33" s="25" t="s">
        <v>174</v>
      </c>
      <c r="AF33" s="26" t="s">
        <v>175</v>
      </c>
      <c r="AG33" s="32">
        <v>1</v>
      </c>
      <c r="AH33" s="32"/>
      <c r="AI33" s="32"/>
      <c r="AJ33" s="32"/>
      <c r="AK33" s="26"/>
      <c r="AL33" s="32"/>
      <c r="AM33" s="26"/>
      <c r="AN33" s="25"/>
      <c r="AO33" s="25"/>
      <c r="AP33" s="25"/>
      <c r="AQ33" s="32"/>
      <c r="AR33" s="67"/>
      <c r="AS33" s="25"/>
      <c r="AT33" s="25"/>
      <c r="AU33" s="26"/>
      <c r="AV33" s="26"/>
      <c r="AW33" s="37"/>
      <c r="AX33" s="26"/>
      <c r="AY33" s="26"/>
    </row>
    <row r="34" spans="1:51">
      <c r="A34" s="25" t="s">
        <v>11721</v>
      </c>
      <c r="B34" s="25" t="s">
        <v>4398</v>
      </c>
      <c r="C34" s="25" t="s">
        <v>68</v>
      </c>
      <c r="D34" s="25" t="s">
        <v>11722</v>
      </c>
      <c r="E34" s="258" t="s">
        <v>11723</v>
      </c>
      <c r="F34" s="25" t="s">
        <v>11724</v>
      </c>
      <c r="G34" s="25" t="s">
        <v>5516</v>
      </c>
      <c r="H34" s="25" t="s">
        <v>11489</v>
      </c>
      <c r="I34" s="25" t="s">
        <v>4402</v>
      </c>
      <c r="J34" s="25" t="s">
        <v>11490</v>
      </c>
      <c r="K34" s="62" t="s">
        <v>11491</v>
      </c>
      <c r="L34" s="25" t="s">
        <v>73</v>
      </c>
      <c r="M34" s="25" t="s">
        <v>11725</v>
      </c>
      <c r="N34" s="25" t="s">
        <v>11726</v>
      </c>
      <c r="O34" s="63" t="s">
        <v>11727</v>
      </c>
      <c r="P34" s="28"/>
      <c r="Q34" s="53">
        <v>4</v>
      </c>
      <c r="R34" s="53">
        <v>16</v>
      </c>
      <c r="S34" s="53">
        <v>266.77</v>
      </c>
      <c r="T34" s="26" t="s">
        <v>138</v>
      </c>
      <c r="U34" s="30" t="s">
        <v>78</v>
      </c>
      <c r="V34" s="26" t="s">
        <v>139</v>
      </c>
      <c r="W34" s="38" t="s">
        <v>439</v>
      </c>
      <c r="X34" s="26" t="s">
        <v>131</v>
      </c>
      <c r="Y34" s="38" t="s">
        <v>141</v>
      </c>
      <c r="Z34" s="26" t="s">
        <v>141</v>
      </c>
      <c r="AA34" s="26"/>
      <c r="AB34" s="31" t="s">
        <v>9</v>
      </c>
      <c r="AC34" s="30" t="s">
        <v>172</v>
      </c>
      <c r="AD34" s="25" t="s">
        <v>173</v>
      </c>
      <c r="AE34" s="25" t="s">
        <v>174</v>
      </c>
      <c r="AF34" s="26" t="s">
        <v>175</v>
      </c>
      <c r="AG34" s="32">
        <v>1</v>
      </c>
      <c r="AH34" s="32">
        <v>1</v>
      </c>
      <c r="AI34" s="32"/>
      <c r="AJ34" s="32"/>
      <c r="AK34" s="30"/>
      <c r="AL34" s="32">
        <f>IF(COUNTIF(AX:AX,"*"&amp;M34&amp;"*")&gt;0,1,0)</f>
        <v>1</v>
      </c>
      <c r="AM34" s="30"/>
      <c r="AN34" s="32"/>
      <c r="AO34" s="32"/>
      <c r="AP34" s="32">
        <v>1</v>
      </c>
      <c r="AQ34" s="32">
        <v>1</v>
      </c>
      <c r="AR34" s="32">
        <v>1</v>
      </c>
      <c r="AS34" s="32"/>
      <c r="AT34" s="32">
        <v>1</v>
      </c>
      <c r="AU34" s="30"/>
      <c r="AV34" s="30"/>
      <c r="AW34" s="30"/>
      <c r="AX34" s="30" t="s">
        <v>11728</v>
      </c>
      <c r="AY34" s="30"/>
    </row>
    <row r="35" spans="1:51">
      <c r="A35" s="25" t="s">
        <v>11729</v>
      </c>
      <c r="B35" s="25" t="s">
        <v>4398</v>
      </c>
      <c r="C35" s="25" t="s">
        <v>73</v>
      </c>
      <c r="D35" s="25" t="s">
        <v>11730</v>
      </c>
      <c r="E35" s="258" t="s">
        <v>11731</v>
      </c>
      <c r="F35" s="25" t="s">
        <v>11732</v>
      </c>
      <c r="G35" s="25" t="s">
        <v>5516</v>
      </c>
      <c r="H35" s="25" t="s">
        <v>11489</v>
      </c>
      <c r="I35" s="25" t="s">
        <v>4402</v>
      </c>
      <c r="J35" s="25" t="s">
        <v>11490</v>
      </c>
      <c r="K35" s="64" t="s">
        <v>11500</v>
      </c>
      <c r="L35" s="25" t="s">
        <v>73</v>
      </c>
      <c r="M35" s="25" t="s">
        <v>11733</v>
      </c>
      <c r="N35" s="25" t="s">
        <v>11734</v>
      </c>
      <c r="O35" s="63" t="s">
        <v>11735</v>
      </c>
      <c r="P35" s="30"/>
      <c r="Q35" s="32">
        <v>4</v>
      </c>
      <c r="R35" s="32" t="s">
        <v>4409</v>
      </c>
      <c r="S35" s="32" t="s">
        <v>11736</v>
      </c>
      <c r="T35" s="26"/>
      <c r="U35" s="30" t="s">
        <v>78</v>
      </c>
      <c r="V35" s="30"/>
      <c r="W35" s="38"/>
      <c r="X35" s="26" t="s">
        <v>131</v>
      </c>
      <c r="Y35" s="38"/>
      <c r="Z35" s="26"/>
      <c r="AA35" s="26"/>
      <c r="AB35" s="31" t="s">
        <v>9</v>
      </c>
      <c r="AC35" s="30" t="s">
        <v>172</v>
      </c>
      <c r="AD35" s="25" t="s">
        <v>4423</v>
      </c>
      <c r="AE35" s="25" t="s">
        <v>172</v>
      </c>
      <c r="AF35" s="26"/>
      <c r="AG35" s="32">
        <v>1</v>
      </c>
      <c r="AH35" s="32"/>
      <c r="AI35" s="32"/>
      <c r="AJ35" s="32"/>
      <c r="AK35" s="30"/>
      <c r="AL35" s="32"/>
      <c r="AM35" s="30"/>
      <c r="AN35" s="25"/>
      <c r="AO35" s="32"/>
      <c r="AP35" s="37"/>
      <c r="AQ35" s="32"/>
      <c r="AR35" s="32"/>
      <c r="AS35" s="34"/>
      <c r="AT35" s="32"/>
      <c r="AU35" s="30"/>
      <c r="AV35" s="30"/>
      <c r="AW35" s="30"/>
      <c r="AX35" s="30"/>
      <c r="AY35" s="30"/>
    </row>
    <row r="36" spans="1:51">
      <c r="A36" s="25" t="s">
        <v>11737</v>
      </c>
      <c r="B36" s="25" t="s">
        <v>4398</v>
      </c>
      <c r="C36" s="25" t="s">
        <v>73</v>
      </c>
      <c r="D36" s="25" t="s">
        <v>11738</v>
      </c>
      <c r="E36" s="258" t="s">
        <v>11739</v>
      </c>
      <c r="F36" s="25" t="s">
        <v>11740</v>
      </c>
      <c r="G36" s="25" t="s">
        <v>5516</v>
      </c>
      <c r="H36" s="25" t="s">
        <v>11489</v>
      </c>
      <c r="I36" s="25" t="s">
        <v>4402</v>
      </c>
      <c r="J36" s="25" t="s">
        <v>11490</v>
      </c>
      <c r="K36" s="62" t="s">
        <v>11491</v>
      </c>
      <c r="L36" s="25" t="s">
        <v>73</v>
      </c>
      <c r="M36" s="25" t="s">
        <v>11713</v>
      </c>
      <c r="N36" s="25" t="s">
        <v>11741</v>
      </c>
      <c r="O36" s="63" t="s">
        <v>11742</v>
      </c>
      <c r="P36" s="30"/>
      <c r="Q36" s="32">
        <v>4</v>
      </c>
      <c r="R36" s="32" t="s">
        <v>4409</v>
      </c>
      <c r="S36" s="32" t="s">
        <v>7999</v>
      </c>
      <c r="T36" s="26" t="s">
        <v>138</v>
      </c>
      <c r="U36" s="30" t="s">
        <v>78</v>
      </c>
      <c r="V36" s="26" t="s">
        <v>139</v>
      </c>
      <c r="W36" s="38" t="s">
        <v>439</v>
      </c>
      <c r="X36" s="26" t="s">
        <v>131</v>
      </c>
      <c r="Y36" s="38" t="s">
        <v>141</v>
      </c>
      <c r="Z36" s="26" t="s">
        <v>141</v>
      </c>
      <c r="AA36" s="26"/>
      <c r="AB36" s="31" t="s">
        <v>9</v>
      </c>
      <c r="AC36" s="30" t="s">
        <v>172</v>
      </c>
      <c r="AD36" s="25" t="s">
        <v>4423</v>
      </c>
      <c r="AE36" s="25" t="s">
        <v>172</v>
      </c>
      <c r="AF36" s="26"/>
      <c r="AG36" s="32">
        <v>1</v>
      </c>
      <c r="AH36" s="32">
        <v>1</v>
      </c>
      <c r="AI36" s="32"/>
      <c r="AJ36" s="32"/>
      <c r="AK36" s="30"/>
      <c r="AL36" s="32">
        <f t="shared" ref="AL36:AL69" si="1">IF(COUNTIF(AX:AX,"*"&amp;M36&amp;"*")&gt;0,1,0)</f>
        <v>1</v>
      </c>
      <c r="AM36" s="30"/>
      <c r="AN36" s="32"/>
      <c r="AO36" s="32"/>
      <c r="AP36" s="32">
        <v>1</v>
      </c>
      <c r="AQ36" s="32">
        <v>1</v>
      </c>
      <c r="AR36" s="32">
        <v>1</v>
      </c>
      <c r="AS36" s="32"/>
      <c r="AT36" s="32">
        <v>1</v>
      </c>
      <c r="AU36" s="30"/>
      <c r="AV36" s="30"/>
      <c r="AW36" s="30"/>
      <c r="AX36" s="30" t="s">
        <v>11743</v>
      </c>
      <c r="AY36" s="30"/>
    </row>
    <row r="37" spans="1:51">
      <c r="A37" s="25" t="s">
        <v>11744</v>
      </c>
      <c r="B37" s="25" t="s">
        <v>4398</v>
      </c>
      <c r="C37" s="25" t="s">
        <v>73</v>
      </c>
      <c r="D37" s="25" t="s">
        <v>11745</v>
      </c>
      <c r="E37" s="258" t="s">
        <v>11746</v>
      </c>
      <c r="F37" s="25" t="s">
        <v>11747</v>
      </c>
      <c r="G37" s="25" t="s">
        <v>5516</v>
      </c>
      <c r="H37" s="25" t="s">
        <v>11489</v>
      </c>
      <c r="I37" s="25" t="s">
        <v>4402</v>
      </c>
      <c r="J37" s="25" t="s">
        <v>11490</v>
      </c>
      <c r="K37" s="62" t="s">
        <v>11491</v>
      </c>
      <c r="L37" s="25" t="s">
        <v>73</v>
      </c>
      <c r="M37" s="25" t="s">
        <v>11748</v>
      </c>
      <c r="N37" s="25" t="s">
        <v>11749</v>
      </c>
      <c r="O37" s="63" t="s">
        <v>11750</v>
      </c>
      <c r="P37" s="28"/>
      <c r="Q37" s="32">
        <v>4</v>
      </c>
      <c r="R37" s="32" t="s">
        <v>4409</v>
      </c>
      <c r="S37" s="32" t="s">
        <v>4861</v>
      </c>
      <c r="T37" s="26" t="s">
        <v>138</v>
      </c>
      <c r="U37" s="30" t="s">
        <v>78</v>
      </c>
      <c r="V37" s="26" t="s">
        <v>139</v>
      </c>
      <c r="W37" s="38" t="s">
        <v>439</v>
      </c>
      <c r="X37" s="26" t="s">
        <v>131</v>
      </c>
      <c r="Y37" s="38" t="s">
        <v>141</v>
      </c>
      <c r="Z37" s="26" t="s">
        <v>141</v>
      </c>
      <c r="AA37" s="26"/>
      <c r="AB37" s="31" t="s">
        <v>9</v>
      </c>
      <c r="AC37" s="30" t="s">
        <v>172</v>
      </c>
      <c r="AD37" s="25" t="s">
        <v>4423</v>
      </c>
      <c r="AE37" s="25" t="s">
        <v>172</v>
      </c>
      <c r="AF37" s="26"/>
      <c r="AG37" s="32">
        <v>1</v>
      </c>
      <c r="AH37" s="32">
        <v>1</v>
      </c>
      <c r="AI37" s="32"/>
      <c r="AJ37" s="32"/>
      <c r="AK37" s="30"/>
      <c r="AL37" s="32">
        <f t="shared" si="1"/>
        <v>1</v>
      </c>
      <c r="AM37" s="30"/>
      <c r="AN37" s="32"/>
      <c r="AO37" s="32"/>
      <c r="AP37" s="32">
        <v>1</v>
      </c>
      <c r="AQ37" s="32">
        <v>1</v>
      </c>
      <c r="AR37" s="32">
        <v>1</v>
      </c>
      <c r="AS37" s="32"/>
      <c r="AT37" s="32">
        <v>1</v>
      </c>
      <c r="AU37" s="30"/>
      <c r="AV37" s="30"/>
      <c r="AW37" s="30"/>
      <c r="AX37" s="30" t="s">
        <v>11751</v>
      </c>
      <c r="AY37" s="30"/>
    </row>
    <row r="38" spans="1:51">
      <c r="A38" s="25" t="s">
        <v>11752</v>
      </c>
      <c r="B38" s="25" t="s">
        <v>4398</v>
      </c>
      <c r="C38" s="25" t="s">
        <v>73</v>
      </c>
      <c r="D38" s="25" t="s">
        <v>11753</v>
      </c>
      <c r="E38" s="258" t="s">
        <v>11754</v>
      </c>
      <c r="F38" s="25" t="s">
        <v>11755</v>
      </c>
      <c r="G38" s="25" t="s">
        <v>5516</v>
      </c>
      <c r="H38" s="25" t="s">
        <v>11489</v>
      </c>
      <c r="I38" s="25" t="s">
        <v>4402</v>
      </c>
      <c r="J38" s="25" t="s">
        <v>11490</v>
      </c>
      <c r="K38" s="62" t="s">
        <v>11491</v>
      </c>
      <c r="L38" s="25" t="s">
        <v>73</v>
      </c>
      <c r="M38" s="25" t="s">
        <v>11728</v>
      </c>
      <c r="N38" s="25" t="s">
        <v>11756</v>
      </c>
      <c r="O38" s="63" t="s">
        <v>11757</v>
      </c>
      <c r="P38" s="28"/>
      <c r="Q38" s="32">
        <v>4</v>
      </c>
      <c r="R38" s="32" t="s">
        <v>4409</v>
      </c>
      <c r="S38" s="32" t="s">
        <v>11758</v>
      </c>
      <c r="T38" s="26" t="s">
        <v>138</v>
      </c>
      <c r="U38" s="30" t="s">
        <v>78</v>
      </c>
      <c r="V38" s="26" t="s">
        <v>139</v>
      </c>
      <c r="W38" s="38" t="s">
        <v>584</v>
      </c>
      <c r="X38" s="26" t="s">
        <v>131</v>
      </c>
      <c r="Y38" s="38" t="s">
        <v>141</v>
      </c>
      <c r="Z38" s="26" t="s">
        <v>141</v>
      </c>
      <c r="AA38" s="26"/>
      <c r="AB38" s="31" t="s">
        <v>11</v>
      </c>
      <c r="AC38" s="30" t="s">
        <v>172</v>
      </c>
      <c r="AD38" s="25" t="s">
        <v>4423</v>
      </c>
      <c r="AE38" s="25" t="s">
        <v>172</v>
      </c>
      <c r="AF38" s="26"/>
      <c r="AG38" s="32">
        <v>1</v>
      </c>
      <c r="AH38" s="32">
        <v>1</v>
      </c>
      <c r="AI38" s="32"/>
      <c r="AJ38" s="32"/>
      <c r="AK38" s="30"/>
      <c r="AL38" s="32">
        <f t="shared" si="1"/>
        <v>1</v>
      </c>
      <c r="AM38" s="30"/>
      <c r="AN38" s="32">
        <v>1</v>
      </c>
      <c r="AO38" s="32">
        <v>1</v>
      </c>
      <c r="AP38" s="32">
        <v>1</v>
      </c>
      <c r="AQ38" s="32">
        <v>1</v>
      </c>
      <c r="AR38" s="32">
        <v>1</v>
      </c>
      <c r="AS38" s="32"/>
      <c r="AT38" s="32">
        <v>1</v>
      </c>
      <c r="AU38" s="30"/>
      <c r="AV38" s="30"/>
      <c r="AW38" s="30"/>
      <c r="AX38" s="30" t="s">
        <v>11759</v>
      </c>
      <c r="AY38" s="30"/>
    </row>
    <row r="39" spans="1:51">
      <c r="A39" s="25" t="s">
        <v>11760</v>
      </c>
      <c r="B39" s="25" t="s">
        <v>4398</v>
      </c>
      <c r="C39" s="25" t="s">
        <v>68</v>
      </c>
      <c r="D39" s="25" t="s">
        <v>11761</v>
      </c>
      <c r="E39" s="258" t="s">
        <v>11762</v>
      </c>
      <c r="F39" s="25" t="s">
        <v>11763</v>
      </c>
      <c r="G39" s="25" t="s">
        <v>11764</v>
      </c>
      <c r="H39" s="25" t="s">
        <v>11764</v>
      </c>
      <c r="I39" s="25" t="s">
        <v>4402</v>
      </c>
      <c r="J39" s="25" t="s">
        <v>11490</v>
      </c>
      <c r="K39" s="62" t="s">
        <v>11491</v>
      </c>
      <c r="L39" s="25" t="s">
        <v>73</v>
      </c>
      <c r="M39" s="25" t="s">
        <v>11765</v>
      </c>
      <c r="N39" s="25" t="s">
        <v>11766</v>
      </c>
      <c r="O39" s="63" t="s">
        <v>11767</v>
      </c>
      <c r="P39" s="28"/>
      <c r="Q39" s="32">
        <v>4</v>
      </c>
      <c r="R39" s="32">
        <v>16</v>
      </c>
      <c r="S39" s="32">
        <v>267.14</v>
      </c>
      <c r="T39" s="26" t="s">
        <v>138</v>
      </c>
      <c r="U39" s="30" t="s">
        <v>78</v>
      </c>
      <c r="V39" s="26" t="s">
        <v>139</v>
      </c>
      <c r="W39" s="38" t="s">
        <v>584</v>
      </c>
      <c r="X39" s="38" t="s">
        <v>11768</v>
      </c>
      <c r="Y39" s="38" t="s">
        <v>141</v>
      </c>
      <c r="Z39" s="26" t="s">
        <v>141</v>
      </c>
      <c r="AA39" s="26"/>
      <c r="AB39" s="31" t="s">
        <v>11</v>
      </c>
      <c r="AC39" s="30" t="s">
        <v>172</v>
      </c>
      <c r="AD39" s="25" t="s">
        <v>173</v>
      </c>
      <c r="AE39" s="25" t="s">
        <v>174</v>
      </c>
      <c r="AF39" s="26" t="s">
        <v>175</v>
      </c>
      <c r="AG39" s="32">
        <v>1</v>
      </c>
      <c r="AH39" s="32">
        <v>1</v>
      </c>
      <c r="AI39" s="32"/>
      <c r="AJ39" s="32"/>
      <c r="AK39" s="30"/>
      <c r="AL39" s="32">
        <f t="shared" si="1"/>
        <v>1</v>
      </c>
      <c r="AM39" s="30"/>
      <c r="AN39" s="32">
        <v>1</v>
      </c>
      <c r="AO39" s="65">
        <v>1</v>
      </c>
      <c r="AP39" s="32">
        <v>1</v>
      </c>
      <c r="AQ39" s="32">
        <v>1</v>
      </c>
      <c r="AR39" s="32">
        <v>1</v>
      </c>
      <c r="AS39" s="32"/>
      <c r="AT39" s="32">
        <v>1</v>
      </c>
      <c r="AU39" s="30"/>
      <c r="AV39" s="30"/>
      <c r="AW39" s="30"/>
      <c r="AX39" s="30" t="s">
        <v>11769</v>
      </c>
      <c r="AY39" s="30"/>
    </row>
    <row r="40" spans="1:51">
      <c r="A40" s="25" t="s">
        <v>11770</v>
      </c>
      <c r="B40" s="25" t="s">
        <v>4398</v>
      </c>
      <c r="C40" s="25" t="s">
        <v>68</v>
      </c>
      <c r="D40" s="25" t="s">
        <v>11771</v>
      </c>
      <c r="E40" s="258" t="s">
        <v>11772</v>
      </c>
      <c r="F40" s="25" t="s">
        <v>11773</v>
      </c>
      <c r="G40" s="25" t="s">
        <v>11764</v>
      </c>
      <c r="H40" s="25" t="s">
        <v>11764</v>
      </c>
      <c r="I40" s="25" t="s">
        <v>4402</v>
      </c>
      <c r="J40" s="25" t="s">
        <v>11490</v>
      </c>
      <c r="K40" s="62" t="s">
        <v>11491</v>
      </c>
      <c r="L40" s="25" t="s">
        <v>73</v>
      </c>
      <c r="M40" s="25" t="s">
        <v>11774</v>
      </c>
      <c r="N40" s="25" t="s">
        <v>11775</v>
      </c>
      <c r="O40" s="63" t="s">
        <v>11776</v>
      </c>
      <c r="P40" s="28"/>
      <c r="Q40" s="32">
        <v>8</v>
      </c>
      <c r="R40" s="32">
        <v>32</v>
      </c>
      <c r="S40" s="32">
        <v>483.41</v>
      </c>
      <c r="T40" s="26" t="s">
        <v>138</v>
      </c>
      <c r="U40" s="30" t="s">
        <v>78</v>
      </c>
      <c r="V40" s="26" t="s">
        <v>139</v>
      </c>
      <c r="W40" s="38" t="s">
        <v>584</v>
      </c>
      <c r="X40" s="38" t="s">
        <v>11768</v>
      </c>
      <c r="Y40" s="38" t="s">
        <v>141</v>
      </c>
      <c r="Z40" s="26" t="s">
        <v>141</v>
      </c>
      <c r="AA40" s="26"/>
      <c r="AB40" s="31" t="s">
        <v>11</v>
      </c>
      <c r="AC40" s="30" t="s">
        <v>172</v>
      </c>
      <c r="AD40" s="25" t="s">
        <v>173</v>
      </c>
      <c r="AE40" s="25" t="s">
        <v>174</v>
      </c>
      <c r="AF40" s="26" t="s">
        <v>175</v>
      </c>
      <c r="AG40" s="32">
        <v>1</v>
      </c>
      <c r="AH40" s="32">
        <v>1</v>
      </c>
      <c r="AI40" s="32"/>
      <c r="AJ40" s="32"/>
      <c r="AK40" s="30"/>
      <c r="AL40" s="32">
        <f t="shared" si="1"/>
        <v>1</v>
      </c>
      <c r="AM40" s="30"/>
      <c r="AN40" s="32">
        <v>1</v>
      </c>
      <c r="AO40" s="32">
        <v>1</v>
      </c>
      <c r="AP40" s="32">
        <v>1</v>
      </c>
      <c r="AQ40" s="32">
        <v>1</v>
      </c>
      <c r="AR40" s="32">
        <v>1</v>
      </c>
      <c r="AS40" s="32"/>
      <c r="AT40" s="34">
        <v>1</v>
      </c>
      <c r="AU40" s="30"/>
      <c r="AV40" s="26"/>
      <c r="AW40" s="30"/>
      <c r="AX40" s="30" t="s">
        <v>11777</v>
      </c>
      <c r="AY40" s="30"/>
    </row>
    <row r="41" spans="1:51">
      <c r="A41" s="25" t="s">
        <v>11778</v>
      </c>
      <c r="B41" s="25" t="s">
        <v>4398</v>
      </c>
      <c r="C41" s="25" t="s">
        <v>68</v>
      </c>
      <c r="D41" s="25" t="s">
        <v>11779</v>
      </c>
      <c r="E41" s="258" t="s">
        <v>11780</v>
      </c>
      <c r="F41" s="25" t="s">
        <v>1216</v>
      </c>
      <c r="G41" s="25" t="s">
        <v>11764</v>
      </c>
      <c r="H41" s="25" t="s">
        <v>11764</v>
      </c>
      <c r="I41" s="25" t="s">
        <v>4402</v>
      </c>
      <c r="J41" s="25" t="s">
        <v>11490</v>
      </c>
      <c r="K41" s="62" t="s">
        <v>11491</v>
      </c>
      <c r="L41" s="25" t="s">
        <v>73</v>
      </c>
      <c r="M41" s="25" t="s">
        <v>11781</v>
      </c>
      <c r="N41" s="25" t="s">
        <v>11782</v>
      </c>
      <c r="O41" s="63" t="s">
        <v>11783</v>
      </c>
      <c r="P41" s="28"/>
      <c r="Q41" s="32">
        <v>4</v>
      </c>
      <c r="R41" s="32">
        <v>16</v>
      </c>
      <c r="S41" s="32">
        <v>336.15</v>
      </c>
      <c r="T41" s="26" t="s">
        <v>138</v>
      </c>
      <c r="U41" s="30" t="s">
        <v>78</v>
      </c>
      <c r="V41" s="26" t="s">
        <v>139</v>
      </c>
      <c r="W41" s="38" t="s">
        <v>584</v>
      </c>
      <c r="X41" s="38" t="s">
        <v>11768</v>
      </c>
      <c r="Y41" s="38" t="s">
        <v>141</v>
      </c>
      <c r="Z41" s="26" t="s">
        <v>141</v>
      </c>
      <c r="AA41" s="26"/>
      <c r="AB41" s="31" t="s">
        <v>11</v>
      </c>
      <c r="AC41" s="30" t="s">
        <v>172</v>
      </c>
      <c r="AD41" s="25" t="s">
        <v>173</v>
      </c>
      <c r="AE41" s="25" t="s">
        <v>174</v>
      </c>
      <c r="AF41" s="26" t="s">
        <v>175</v>
      </c>
      <c r="AG41" s="32">
        <v>1</v>
      </c>
      <c r="AH41" s="32">
        <v>1</v>
      </c>
      <c r="AI41" s="32"/>
      <c r="AJ41" s="32"/>
      <c r="AK41" s="30"/>
      <c r="AL41" s="32">
        <f t="shared" si="1"/>
        <v>1</v>
      </c>
      <c r="AM41" s="30"/>
      <c r="AN41" s="32">
        <v>1</v>
      </c>
      <c r="AO41" s="32">
        <v>1</v>
      </c>
      <c r="AP41" s="32">
        <v>1</v>
      </c>
      <c r="AQ41" s="32">
        <v>1</v>
      </c>
      <c r="AR41" s="32">
        <v>1</v>
      </c>
      <c r="AS41" s="32"/>
      <c r="AT41" s="32">
        <v>1</v>
      </c>
      <c r="AU41" s="30"/>
      <c r="AV41" s="30"/>
      <c r="AW41" s="30"/>
      <c r="AX41" s="30" t="s">
        <v>11784</v>
      </c>
      <c r="AY41" s="30"/>
    </row>
    <row r="42" spans="1:51">
      <c r="A42" s="25" t="s">
        <v>11785</v>
      </c>
      <c r="B42" s="25" t="s">
        <v>4398</v>
      </c>
      <c r="C42" s="25" t="s">
        <v>68</v>
      </c>
      <c r="D42" s="25" t="s">
        <v>11786</v>
      </c>
      <c r="E42" s="258" t="s">
        <v>11787</v>
      </c>
      <c r="F42" s="25" t="s">
        <v>11788</v>
      </c>
      <c r="G42" s="25" t="s">
        <v>11764</v>
      </c>
      <c r="H42" s="25" t="s">
        <v>11764</v>
      </c>
      <c r="I42" s="25" t="s">
        <v>4402</v>
      </c>
      <c r="J42" s="25" t="s">
        <v>11490</v>
      </c>
      <c r="K42" s="62" t="s">
        <v>11491</v>
      </c>
      <c r="L42" s="25" t="s">
        <v>73</v>
      </c>
      <c r="M42" s="25" t="s">
        <v>11789</v>
      </c>
      <c r="N42" s="25" t="s">
        <v>11790</v>
      </c>
      <c r="O42" s="63" t="s">
        <v>11791</v>
      </c>
      <c r="P42" s="28"/>
      <c r="Q42" s="32">
        <v>4</v>
      </c>
      <c r="R42" s="32">
        <v>16</v>
      </c>
      <c r="S42" s="32">
        <v>356.12</v>
      </c>
      <c r="T42" s="26" t="s">
        <v>138</v>
      </c>
      <c r="U42" s="30" t="s">
        <v>78</v>
      </c>
      <c r="V42" s="26" t="s">
        <v>139</v>
      </c>
      <c r="W42" s="38" t="s">
        <v>584</v>
      </c>
      <c r="X42" s="38" t="s">
        <v>11768</v>
      </c>
      <c r="Y42" s="38" t="s">
        <v>141</v>
      </c>
      <c r="Z42" s="26" t="s">
        <v>141</v>
      </c>
      <c r="AA42" s="26"/>
      <c r="AB42" s="31" t="s">
        <v>11</v>
      </c>
      <c r="AC42" s="30" t="s">
        <v>172</v>
      </c>
      <c r="AD42" s="25" t="s">
        <v>173</v>
      </c>
      <c r="AE42" s="25" t="s">
        <v>174</v>
      </c>
      <c r="AF42" s="26" t="s">
        <v>175</v>
      </c>
      <c r="AG42" s="32">
        <v>1</v>
      </c>
      <c r="AH42" s="32">
        <v>1</v>
      </c>
      <c r="AI42" s="32"/>
      <c r="AJ42" s="32"/>
      <c r="AK42" s="30"/>
      <c r="AL42" s="32">
        <f t="shared" si="1"/>
        <v>1</v>
      </c>
      <c r="AM42" s="30"/>
      <c r="AN42" s="32">
        <v>1</v>
      </c>
      <c r="AO42" s="32">
        <v>1</v>
      </c>
      <c r="AP42" s="32">
        <v>1</v>
      </c>
      <c r="AQ42" s="32">
        <v>1</v>
      </c>
      <c r="AR42" s="32">
        <v>1</v>
      </c>
      <c r="AS42" s="32"/>
      <c r="AT42" s="32">
        <v>1</v>
      </c>
      <c r="AU42" s="30"/>
      <c r="AV42" s="30"/>
      <c r="AW42" s="30"/>
      <c r="AX42" s="30" t="s">
        <v>11792</v>
      </c>
      <c r="AY42" s="30"/>
    </row>
    <row r="43" spans="1:51">
      <c r="A43" s="25" t="s">
        <v>11793</v>
      </c>
      <c r="B43" s="25" t="s">
        <v>4398</v>
      </c>
      <c r="C43" s="25" t="s">
        <v>68</v>
      </c>
      <c r="D43" s="25" t="s">
        <v>11794</v>
      </c>
      <c r="E43" s="258" t="s">
        <v>11795</v>
      </c>
      <c r="F43" s="25" t="s">
        <v>11796</v>
      </c>
      <c r="G43" s="25" t="s">
        <v>11764</v>
      </c>
      <c r="H43" s="25" t="s">
        <v>11764</v>
      </c>
      <c r="I43" s="25" t="s">
        <v>4402</v>
      </c>
      <c r="J43" s="25" t="s">
        <v>11490</v>
      </c>
      <c r="K43" s="62" t="s">
        <v>11491</v>
      </c>
      <c r="L43" s="25" t="s">
        <v>73</v>
      </c>
      <c r="M43" s="25" t="s">
        <v>11797</v>
      </c>
      <c r="N43" s="25" t="s">
        <v>11798</v>
      </c>
      <c r="O43" s="63" t="s">
        <v>11799</v>
      </c>
      <c r="P43" s="28"/>
      <c r="Q43" s="32">
        <v>4</v>
      </c>
      <c r="R43" s="32">
        <v>16</v>
      </c>
      <c r="S43" s="32">
        <v>346.36</v>
      </c>
      <c r="T43" s="26" t="s">
        <v>138</v>
      </c>
      <c r="U43" s="30" t="s">
        <v>78</v>
      </c>
      <c r="V43" s="26" t="s">
        <v>139</v>
      </c>
      <c r="W43" s="38" t="s">
        <v>584</v>
      </c>
      <c r="X43" s="38" t="s">
        <v>11768</v>
      </c>
      <c r="Y43" s="38" t="s">
        <v>141</v>
      </c>
      <c r="Z43" s="26" t="s">
        <v>141</v>
      </c>
      <c r="AA43" s="26"/>
      <c r="AB43" s="31" t="s">
        <v>11</v>
      </c>
      <c r="AC43" s="30" t="s">
        <v>172</v>
      </c>
      <c r="AD43" s="25" t="s">
        <v>173</v>
      </c>
      <c r="AE43" s="25" t="s">
        <v>174</v>
      </c>
      <c r="AF43" s="26" t="s">
        <v>175</v>
      </c>
      <c r="AG43" s="32">
        <v>1</v>
      </c>
      <c r="AH43" s="32">
        <v>1</v>
      </c>
      <c r="AI43" s="32"/>
      <c r="AJ43" s="32"/>
      <c r="AK43" s="30"/>
      <c r="AL43" s="32">
        <f t="shared" si="1"/>
        <v>1</v>
      </c>
      <c r="AM43" s="30"/>
      <c r="AN43" s="32">
        <v>1</v>
      </c>
      <c r="AO43" s="32">
        <v>1</v>
      </c>
      <c r="AP43" s="32">
        <v>1</v>
      </c>
      <c r="AQ43" s="32">
        <v>1</v>
      </c>
      <c r="AR43" s="32">
        <v>1</v>
      </c>
      <c r="AS43" s="32"/>
      <c r="AT43" s="32">
        <v>1</v>
      </c>
      <c r="AU43" s="30"/>
      <c r="AV43" s="30"/>
      <c r="AW43" s="30"/>
      <c r="AX43" s="30" t="s">
        <v>11800</v>
      </c>
      <c r="AY43" s="30"/>
    </row>
    <row r="44" spans="1:51">
      <c r="A44" s="25" t="s">
        <v>11801</v>
      </c>
      <c r="B44" s="25" t="s">
        <v>4398</v>
      </c>
      <c r="C44" s="25" t="s">
        <v>68</v>
      </c>
      <c r="D44" s="25" t="s">
        <v>11802</v>
      </c>
      <c r="E44" s="258" t="s">
        <v>11803</v>
      </c>
      <c r="F44" s="25" t="s">
        <v>11804</v>
      </c>
      <c r="G44" s="25" t="s">
        <v>11764</v>
      </c>
      <c r="H44" s="25" t="s">
        <v>11764</v>
      </c>
      <c r="I44" s="25" t="s">
        <v>4402</v>
      </c>
      <c r="J44" s="25" t="s">
        <v>11490</v>
      </c>
      <c r="K44" s="62" t="s">
        <v>11491</v>
      </c>
      <c r="L44" s="25" t="s">
        <v>73</v>
      </c>
      <c r="M44" s="25" t="s">
        <v>11805</v>
      </c>
      <c r="N44" s="25" t="s">
        <v>11806</v>
      </c>
      <c r="O44" s="63" t="s">
        <v>11807</v>
      </c>
      <c r="P44" s="28"/>
      <c r="Q44" s="32">
        <v>4</v>
      </c>
      <c r="R44" s="32">
        <v>16</v>
      </c>
      <c r="S44" s="32">
        <v>266.12</v>
      </c>
      <c r="T44" s="26" t="s">
        <v>138</v>
      </c>
      <c r="U44" s="30" t="s">
        <v>78</v>
      </c>
      <c r="V44" s="26" t="s">
        <v>139</v>
      </c>
      <c r="W44" s="38" t="s">
        <v>584</v>
      </c>
      <c r="X44" s="38" t="s">
        <v>11768</v>
      </c>
      <c r="Y44" s="38" t="s">
        <v>141</v>
      </c>
      <c r="Z44" s="26" t="s">
        <v>141</v>
      </c>
      <c r="AA44" s="26"/>
      <c r="AB44" s="31" t="s">
        <v>11</v>
      </c>
      <c r="AC44" s="30" t="s">
        <v>172</v>
      </c>
      <c r="AD44" s="25" t="s">
        <v>173</v>
      </c>
      <c r="AE44" s="25" t="s">
        <v>174</v>
      </c>
      <c r="AF44" s="26" t="s">
        <v>175</v>
      </c>
      <c r="AG44" s="32">
        <v>1</v>
      </c>
      <c r="AH44" s="32">
        <v>1</v>
      </c>
      <c r="AI44" s="32"/>
      <c r="AJ44" s="32"/>
      <c r="AK44" s="30"/>
      <c r="AL44" s="32">
        <f t="shared" si="1"/>
        <v>1</v>
      </c>
      <c r="AM44" s="30"/>
      <c r="AN44" s="32">
        <v>1</v>
      </c>
      <c r="AO44" s="32">
        <v>1</v>
      </c>
      <c r="AP44" s="32">
        <v>1</v>
      </c>
      <c r="AQ44" s="32">
        <v>1</v>
      </c>
      <c r="AR44" s="32">
        <v>1</v>
      </c>
      <c r="AS44" s="32"/>
      <c r="AT44" s="32">
        <v>1</v>
      </c>
      <c r="AU44" s="30"/>
      <c r="AV44" s="30"/>
      <c r="AW44" s="30"/>
      <c r="AX44" s="30" t="s">
        <v>11808</v>
      </c>
      <c r="AY44" s="30"/>
    </row>
    <row r="45" spans="1:51">
      <c r="A45" s="25" t="s">
        <v>11809</v>
      </c>
      <c r="B45" s="25" t="s">
        <v>4398</v>
      </c>
      <c r="C45" s="25" t="s">
        <v>68</v>
      </c>
      <c r="D45" s="25" t="s">
        <v>11810</v>
      </c>
      <c r="E45" s="258" t="s">
        <v>11811</v>
      </c>
      <c r="F45" s="25" t="s">
        <v>11812</v>
      </c>
      <c r="G45" s="25" t="s">
        <v>11764</v>
      </c>
      <c r="H45" s="25" t="s">
        <v>11764</v>
      </c>
      <c r="I45" s="25" t="s">
        <v>4402</v>
      </c>
      <c r="J45" s="25" t="s">
        <v>11490</v>
      </c>
      <c r="K45" s="62" t="s">
        <v>11491</v>
      </c>
      <c r="L45" s="25" t="s">
        <v>73</v>
      </c>
      <c r="M45" s="25" t="s">
        <v>11813</v>
      </c>
      <c r="N45" s="25" t="s">
        <v>11814</v>
      </c>
      <c r="O45" s="63" t="s">
        <v>11815</v>
      </c>
      <c r="P45" s="28"/>
      <c r="Q45" s="32">
        <v>4</v>
      </c>
      <c r="R45" s="32">
        <v>16</v>
      </c>
      <c r="S45" s="32">
        <v>286.12</v>
      </c>
      <c r="T45" s="26" t="s">
        <v>138</v>
      </c>
      <c r="U45" s="30" t="s">
        <v>78</v>
      </c>
      <c r="V45" s="26" t="s">
        <v>139</v>
      </c>
      <c r="W45" s="38" t="s">
        <v>584</v>
      </c>
      <c r="X45" s="38" t="s">
        <v>11768</v>
      </c>
      <c r="Y45" s="38" t="s">
        <v>141</v>
      </c>
      <c r="Z45" s="26" t="s">
        <v>141</v>
      </c>
      <c r="AA45" s="26"/>
      <c r="AB45" s="31" t="s">
        <v>11</v>
      </c>
      <c r="AC45" s="30" t="s">
        <v>172</v>
      </c>
      <c r="AD45" s="25" t="s">
        <v>173</v>
      </c>
      <c r="AE45" s="25" t="s">
        <v>174</v>
      </c>
      <c r="AF45" s="26" t="s">
        <v>175</v>
      </c>
      <c r="AG45" s="32">
        <v>1</v>
      </c>
      <c r="AH45" s="32">
        <v>1</v>
      </c>
      <c r="AI45" s="32"/>
      <c r="AJ45" s="32"/>
      <c r="AK45" s="30"/>
      <c r="AL45" s="32">
        <f t="shared" si="1"/>
        <v>1</v>
      </c>
      <c r="AM45" s="30"/>
      <c r="AN45" s="32">
        <v>1</v>
      </c>
      <c r="AO45" s="32">
        <v>1</v>
      </c>
      <c r="AP45" s="32">
        <v>1</v>
      </c>
      <c r="AQ45" s="32">
        <v>1</v>
      </c>
      <c r="AR45" s="32">
        <v>1</v>
      </c>
      <c r="AS45" s="30"/>
      <c r="AT45" s="25">
        <v>1</v>
      </c>
      <c r="AU45" s="30"/>
      <c r="AV45" s="30"/>
      <c r="AW45" s="30"/>
      <c r="AX45" s="30" t="s">
        <v>11816</v>
      </c>
      <c r="AY45" s="30"/>
    </row>
    <row r="46" spans="1:51">
      <c r="A46" s="25" t="s">
        <v>11817</v>
      </c>
      <c r="B46" s="25" t="s">
        <v>4398</v>
      </c>
      <c r="C46" s="25" t="s">
        <v>68</v>
      </c>
      <c r="D46" s="25" t="s">
        <v>11818</v>
      </c>
      <c r="E46" s="258" t="s">
        <v>11819</v>
      </c>
      <c r="F46" s="25" t="s">
        <v>11820</v>
      </c>
      <c r="G46" s="25" t="s">
        <v>11764</v>
      </c>
      <c r="H46" s="25" t="s">
        <v>11764</v>
      </c>
      <c r="I46" s="25" t="s">
        <v>4402</v>
      </c>
      <c r="J46" s="25" t="s">
        <v>11490</v>
      </c>
      <c r="K46" s="62" t="s">
        <v>11491</v>
      </c>
      <c r="L46" s="25" t="s">
        <v>73</v>
      </c>
      <c r="M46" s="25" t="s">
        <v>11821</v>
      </c>
      <c r="N46" s="25" t="s">
        <v>11822</v>
      </c>
      <c r="O46" s="63" t="s">
        <v>11823</v>
      </c>
      <c r="P46" s="28"/>
      <c r="Q46" s="32">
        <v>4</v>
      </c>
      <c r="R46" s="32">
        <v>16</v>
      </c>
      <c r="S46" s="32">
        <v>266.12</v>
      </c>
      <c r="T46" s="26" t="s">
        <v>138</v>
      </c>
      <c r="U46" s="30" t="s">
        <v>78</v>
      </c>
      <c r="V46" s="26" t="s">
        <v>139</v>
      </c>
      <c r="W46" s="38" t="s">
        <v>584</v>
      </c>
      <c r="X46" s="38" t="s">
        <v>11768</v>
      </c>
      <c r="Y46" s="38" t="s">
        <v>141</v>
      </c>
      <c r="Z46" s="26" t="s">
        <v>141</v>
      </c>
      <c r="AA46" s="26"/>
      <c r="AB46" s="31" t="s">
        <v>11</v>
      </c>
      <c r="AC46" s="30" t="s">
        <v>172</v>
      </c>
      <c r="AD46" s="25" t="s">
        <v>173</v>
      </c>
      <c r="AE46" s="25" t="s">
        <v>174</v>
      </c>
      <c r="AF46" s="26" t="s">
        <v>175</v>
      </c>
      <c r="AG46" s="32">
        <v>1</v>
      </c>
      <c r="AH46" s="32">
        <v>1</v>
      </c>
      <c r="AI46" s="32"/>
      <c r="AJ46" s="32"/>
      <c r="AK46" s="30"/>
      <c r="AL46" s="32">
        <f t="shared" si="1"/>
        <v>1</v>
      </c>
      <c r="AM46" s="30"/>
      <c r="AN46" s="32">
        <v>1</v>
      </c>
      <c r="AO46" s="32">
        <v>1</v>
      </c>
      <c r="AP46" s="32">
        <v>1</v>
      </c>
      <c r="AQ46" s="32">
        <v>1</v>
      </c>
      <c r="AR46" s="32">
        <v>1</v>
      </c>
      <c r="AS46" s="32"/>
      <c r="AT46" s="32">
        <v>1</v>
      </c>
      <c r="AU46" s="30"/>
      <c r="AV46" s="30"/>
      <c r="AW46" s="30"/>
      <c r="AX46" s="30" t="s">
        <v>11824</v>
      </c>
      <c r="AY46" s="30"/>
    </row>
    <row r="47" spans="1:51">
      <c r="A47" s="25" t="s">
        <v>11825</v>
      </c>
      <c r="B47" s="25" t="s">
        <v>4398</v>
      </c>
      <c r="C47" s="25" t="s">
        <v>68</v>
      </c>
      <c r="D47" s="25" t="s">
        <v>11826</v>
      </c>
      <c r="E47" s="258" t="s">
        <v>11827</v>
      </c>
      <c r="F47" s="25" t="s">
        <v>11828</v>
      </c>
      <c r="G47" s="25" t="s">
        <v>11764</v>
      </c>
      <c r="H47" s="25" t="s">
        <v>11764</v>
      </c>
      <c r="I47" s="25" t="s">
        <v>4402</v>
      </c>
      <c r="J47" s="25" t="s">
        <v>11490</v>
      </c>
      <c r="K47" s="62" t="s">
        <v>11491</v>
      </c>
      <c r="L47" s="25" t="s">
        <v>73</v>
      </c>
      <c r="M47" s="25" t="s">
        <v>11829</v>
      </c>
      <c r="N47" s="25" t="s">
        <v>11830</v>
      </c>
      <c r="O47" s="63" t="s">
        <v>11831</v>
      </c>
      <c r="P47" s="28"/>
      <c r="Q47" s="32">
        <v>4</v>
      </c>
      <c r="R47" s="32">
        <v>16</v>
      </c>
      <c r="S47" s="32">
        <v>267.20999999999998</v>
      </c>
      <c r="T47" s="26" t="s">
        <v>138</v>
      </c>
      <c r="U47" s="30" t="s">
        <v>78</v>
      </c>
      <c r="V47" s="26" t="s">
        <v>139</v>
      </c>
      <c r="W47" s="38" t="s">
        <v>584</v>
      </c>
      <c r="X47" s="38" t="s">
        <v>11768</v>
      </c>
      <c r="Y47" s="38" t="s">
        <v>141</v>
      </c>
      <c r="Z47" s="26" t="s">
        <v>141</v>
      </c>
      <c r="AA47" s="26"/>
      <c r="AB47" s="31" t="s">
        <v>11</v>
      </c>
      <c r="AC47" s="30" t="s">
        <v>172</v>
      </c>
      <c r="AD47" s="25" t="s">
        <v>173</v>
      </c>
      <c r="AE47" s="25" t="s">
        <v>174</v>
      </c>
      <c r="AF47" s="26" t="s">
        <v>175</v>
      </c>
      <c r="AG47" s="32">
        <v>1</v>
      </c>
      <c r="AH47" s="32">
        <v>1</v>
      </c>
      <c r="AI47" s="32"/>
      <c r="AJ47" s="32"/>
      <c r="AK47" s="30"/>
      <c r="AL47" s="32">
        <f t="shared" si="1"/>
        <v>1</v>
      </c>
      <c r="AM47" s="30"/>
      <c r="AN47" s="32">
        <v>1</v>
      </c>
      <c r="AO47" s="32">
        <v>1</v>
      </c>
      <c r="AP47" s="32">
        <v>1</v>
      </c>
      <c r="AQ47" s="32">
        <v>1</v>
      </c>
      <c r="AR47" s="32">
        <v>1</v>
      </c>
      <c r="AS47" s="32"/>
      <c r="AT47" s="32">
        <v>1</v>
      </c>
      <c r="AU47" s="30"/>
      <c r="AV47" s="30"/>
      <c r="AW47" s="30"/>
      <c r="AX47" s="30" t="s">
        <v>11832</v>
      </c>
      <c r="AY47" s="30"/>
    </row>
    <row r="48" spans="1:51">
      <c r="A48" s="25" t="s">
        <v>11833</v>
      </c>
      <c r="B48" s="25" t="s">
        <v>4398</v>
      </c>
      <c r="C48" s="25" t="s">
        <v>68</v>
      </c>
      <c r="D48" s="25" t="s">
        <v>11834</v>
      </c>
      <c r="E48" s="258" t="s">
        <v>11835</v>
      </c>
      <c r="F48" s="25" t="s">
        <v>11836</v>
      </c>
      <c r="G48" s="25" t="s">
        <v>11764</v>
      </c>
      <c r="H48" s="25" t="s">
        <v>11764</v>
      </c>
      <c r="I48" s="25" t="s">
        <v>4402</v>
      </c>
      <c r="J48" s="25" t="s">
        <v>11490</v>
      </c>
      <c r="K48" s="62" t="s">
        <v>11491</v>
      </c>
      <c r="L48" s="25" t="s">
        <v>73</v>
      </c>
      <c r="M48" s="25" t="s">
        <v>11837</v>
      </c>
      <c r="N48" s="25" t="s">
        <v>11838</v>
      </c>
      <c r="O48" s="63" t="s">
        <v>11839</v>
      </c>
      <c r="P48" s="28"/>
      <c r="Q48" s="32">
        <v>4</v>
      </c>
      <c r="R48" s="32">
        <v>16</v>
      </c>
      <c r="S48" s="32">
        <v>266.10000000000002</v>
      </c>
      <c r="T48" s="26" t="s">
        <v>138</v>
      </c>
      <c r="U48" s="30" t="s">
        <v>78</v>
      </c>
      <c r="V48" s="26" t="s">
        <v>139</v>
      </c>
      <c r="W48" s="38" t="s">
        <v>584</v>
      </c>
      <c r="X48" s="38" t="s">
        <v>11768</v>
      </c>
      <c r="Y48" s="38" t="s">
        <v>141</v>
      </c>
      <c r="Z48" s="26" t="s">
        <v>141</v>
      </c>
      <c r="AA48" s="26"/>
      <c r="AB48" s="31" t="s">
        <v>11</v>
      </c>
      <c r="AC48" s="30" t="s">
        <v>172</v>
      </c>
      <c r="AD48" s="25" t="s">
        <v>173</v>
      </c>
      <c r="AE48" s="25" t="s">
        <v>174</v>
      </c>
      <c r="AF48" s="26" t="s">
        <v>175</v>
      </c>
      <c r="AG48" s="32">
        <v>1</v>
      </c>
      <c r="AH48" s="32">
        <v>1</v>
      </c>
      <c r="AI48" s="32"/>
      <c r="AJ48" s="32"/>
      <c r="AK48" s="30"/>
      <c r="AL48" s="32">
        <f t="shared" si="1"/>
        <v>1</v>
      </c>
      <c r="AM48" s="30"/>
      <c r="AN48" s="32">
        <v>1</v>
      </c>
      <c r="AO48" s="32">
        <v>1</v>
      </c>
      <c r="AP48" s="32">
        <v>1</v>
      </c>
      <c r="AQ48" s="32">
        <v>1</v>
      </c>
      <c r="AR48" s="32">
        <v>1</v>
      </c>
      <c r="AS48" s="32"/>
      <c r="AT48" s="32">
        <v>1</v>
      </c>
      <c r="AU48" s="30"/>
      <c r="AV48" s="30"/>
      <c r="AW48" s="30"/>
      <c r="AX48" s="30" t="s">
        <v>11840</v>
      </c>
      <c r="AY48" s="30"/>
    </row>
    <row r="49" spans="1:51">
      <c r="A49" s="25" t="s">
        <v>11841</v>
      </c>
      <c r="B49" s="25" t="s">
        <v>4880</v>
      </c>
      <c r="C49" s="25" t="s">
        <v>73</v>
      </c>
      <c r="D49" s="25" t="s">
        <v>11842</v>
      </c>
      <c r="E49" s="25" t="s">
        <v>11843</v>
      </c>
      <c r="F49" s="25" t="s">
        <v>11844</v>
      </c>
      <c r="G49" s="25" t="s">
        <v>11764</v>
      </c>
      <c r="H49" s="25" t="s">
        <v>11764</v>
      </c>
      <c r="I49" s="25" t="s">
        <v>11845</v>
      </c>
      <c r="J49" s="25" t="s">
        <v>11490</v>
      </c>
      <c r="K49" s="62" t="s">
        <v>11491</v>
      </c>
      <c r="L49" s="25" t="s">
        <v>73</v>
      </c>
      <c r="M49" s="25" t="s">
        <v>11846</v>
      </c>
      <c r="N49" s="25" t="s">
        <v>11847</v>
      </c>
      <c r="O49" s="63" t="s">
        <v>11848</v>
      </c>
      <c r="P49" s="28"/>
      <c r="Q49" s="32">
        <v>4</v>
      </c>
      <c r="R49" s="32" t="s">
        <v>4409</v>
      </c>
      <c r="S49" s="32" t="s">
        <v>11849</v>
      </c>
      <c r="T49" s="26" t="s">
        <v>138</v>
      </c>
      <c r="U49" s="30" t="s">
        <v>78</v>
      </c>
      <c r="V49" s="26" t="s">
        <v>139</v>
      </c>
      <c r="W49" s="38" t="s">
        <v>584</v>
      </c>
      <c r="X49" s="38" t="s">
        <v>11768</v>
      </c>
      <c r="Y49" s="38" t="s">
        <v>141</v>
      </c>
      <c r="Z49" s="26" t="s">
        <v>141</v>
      </c>
      <c r="AA49" s="26"/>
      <c r="AB49" s="31" t="s">
        <v>11</v>
      </c>
      <c r="AC49" s="30" t="s">
        <v>172</v>
      </c>
      <c r="AD49" s="25" t="s">
        <v>4423</v>
      </c>
      <c r="AE49" s="25" t="s">
        <v>172</v>
      </c>
      <c r="AF49" s="26"/>
      <c r="AG49" s="32">
        <v>1</v>
      </c>
      <c r="AH49" s="32">
        <v>1</v>
      </c>
      <c r="AI49" s="32"/>
      <c r="AJ49" s="32"/>
      <c r="AK49" s="30"/>
      <c r="AL49" s="32">
        <f t="shared" si="1"/>
        <v>1</v>
      </c>
      <c r="AM49" s="30"/>
      <c r="AN49" s="32">
        <v>1</v>
      </c>
      <c r="AO49" s="32">
        <v>1</v>
      </c>
      <c r="AP49" s="32">
        <v>1</v>
      </c>
      <c r="AQ49" s="32">
        <v>1</v>
      </c>
      <c r="AR49" s="32">
        <v>1</v>
      </c>
      <c r="AS49" s="32"/>
      <c r="AT49" s="32">
        <v>1</v>
      </c>
      <c r="AU49" s="30"/>
      <c r="AV49" s="30"/>
      <c r="AW49" s="30"/>
      <c r="AX49" s="30" t="s">
        <v>11850</v>
      </c>
      <c r="AY49" s="30"/>
    </row>
    <row r="50" spans="1:51">
      <c r="A50" s="25" t="s">
        <v>11851</v>
      </c>
      <c r="B50" s="25" t="s">
        <v>4880</v>
      </c>
      <c r="C50" s="25" t="s">
        <v>73</v>
      </c>
      <c r="D50" s="25" t="s">
        <v>11852</v>
      </c>
      <c r="E50" s="25" t="s">
        <v>11853</v>
      </c>
      <c r="F50" s="25" t="s">
        <v>11854</v>
      </c>
      <c r="G50" s="25" t="s">
        <v>11764</v>
      </c>
      <c r="H50" s="25" t="s">
        <v>11764</v>
      </c>
      <c r="I50" s="25" t="s">
        <v>11845</v>
      </c>
      <c r="J50" s="25" t="s">
        <v>11490</v>
      </c>
      <c r="K50" s="62" t="s">
        <v>11491</v>
      </c>
      <c r="L50" s="25" t="s">
        <v>73</v>
      </c>
      <c r="M50" s="25" t="s">
        <v>11855</v>
      </c>
      <c r="N50" s="25" t="s">
        <v>11856</v>
      </c>
      <c r="O50" s="63" t="s">
        <v>11857</v>
      </c>
      <c r="P50" s="28"/>
      <c r="Q50" s="32">
        <v>4</v>
      </c>
      <c r="R50" s="32" t="s">
        <v>4409</v>
      </c>
      <c r="S50" s="32" t="s">
        <v>8956</v>
      </c>
      <c r="T50" s="26" t="s">
        <v>138</v>
      </c>
      <c r="U50" s="30" t="s">
        <v>78</v>
      </c>
      <c r="V50" s="26" t="s">
        <v>139</v>
      </c>
      <c r="W50" s="38" t="s">
        <v>584</v>
      </c>
      <c r="X50" s="38" t="s">
        <v>11768</v>
      </c>
      <c r="Y50" s="38" t="s">
        <v>141</v>
      </c>
      <c r="Z50" s="26" t="s">
        <v>141</v>
      </c>
      <c r="AA50" s="26"/>
      <c r="AB50" s="31" t="s">
        <v>11</v>
      </c>
      <c r="AC50" s="30" t="s">
        <v>172</v>
      </c>
      <c r="AD50" s="25" t="s">
        <v>4423</v>
      </c>
      <c r="AE50" s="25" t="s">
        <v>172</v>
      </c>
      <c r="AF50" s="26"/>
      <c r="AG50" s="32">
        <v>1</v>
      </c>
      <c r="AH50" s="32">
        <v>1</v>
      </c>
      <c r="AI50" s="32"/>
      <c r="AJ50" s="32"/>
      <c r="AK50" s="30"/>
      <c r="AL50" s="32">
        <f t="shared" si="1"/>
        <v>1</v>
      </c>
      <c r="AM50" s="30"/>
      <c r="AN50" s="32">
        <v>1</v>
      </c>
      <c r="AO50" s="32">
        <v>1</v>
      </c>
      <c r="AP50" s="32">
        <v>1</v>
      </c>
      <c r="AQ50" s="32">
        <v>1</v>
      </c>
      <c r="AR50" s="32">
        <v>1</v>
      </c>
      <c r="AS50" s="32"/>
      <c r="AT50" s="32">
        <v>1</v>
      </c>
      <c r="AU50" s="30"/>
      <c r="AV50" s="30"/>
      <c r="AW50" s="30"/>
      <c r="AX50" s="30" t="s">
        <v>11858</v>
      </c>
      <c r="AY50" s="30"/>
    </row>
    <row r="51" spans="1:51">
      <c r="A51" s="25" t="s">
        <v>11859</v>
      </c>
      <c r="B51" s="25" t="s">
        <v>4880</v>
      </c>
      <c r="C51" s="25" t="s">
        <v>73</v>
      </c>
      <c r="D51" s="25" t="s">
        <v>11860</v>
      </c>
      <c r="E51" s="25" t="s">
        <v>11861</v>
      </c>
      <c r="F51" s="25" t="s">
        <v>11862</v>
      </c>
      <c r="G51" s="25" t="s">
        <v>11764</v>
      </c>
      <c r="H51" s="25" t="s">
        <v>11764</v>
      </c>
      <c r="I51" s="25" t="s">
        <v>4402</v>
      </c>
      <c r="J51" s="25" t="s">
        <v>11490</v>
      </c>
      <c r="K51" s="62" t="s">
        <v>11491</v>
      </c>
      <c r="L51" s="25" t="s">
        <v>73</v>
      </c>
      <c r="M51" s="25" t="s">
        <v>11863</v>
      </c>
      <c r="N51" s="25" t="s">
        <v>11864</v>
      </c>
      <c r="O51" s="63" t="s">
        <v>11865</v>
      </c>
      <c r="P51" s="28"/>
      <c r="Q51" s="32">
        <v>4</v>
      </c>
      <c r="R51" s="32" t="s">
        <v>4409</v>
      </c>
      <c r="S51" s="32" t="s">
        <v>8956</v>
      </c>
      <c r="T51" s="26" t="s">
        <v>138</v>
      </c>
      <c r="U51" s="30" t="s">
        <v>78</v>
      </c>
      <c r="V51" s="26" t="s">
        <v>139</v>
      </c>
      <c r="W51" s="38" t="s">
        <v>584</v>
      </c>
      <c r="X51" s="38" t="s">
        <v>11768</v>
      </c>
      <c r="Y51" s="38" t="s">
        <v>141</v>
      </c>
      <c r="Z51" s="26" t="s">
        <v>141</v>
      </c>
      <c r="AA51" s="26"/>
      <c r="AB51" s="31" t="s">
        <v>11</v>
      </c>
      <c r="AC51" s="30" t="s">
        <v>172</v>
      </c>
      <c r="AD51" s="25" t="s">
        <v>4423</v>
      </c>
      <c r="AE51" s="25" t="s">
        <v>172</v>
      </c>
      <c r="AF51" s="26"/>
      <c r="AG51" s="32">
        <v>1</v>
      </c>
      <c r="AH51" s="32">
        <v>1</v>
      </c>
      <c r="AI51" s="32"/>
      <c r="AJ51" s="32"/>
      <c r="AK51" s="30"/>
      <c r="AL51" s="32">
        <f t="shared" si="1"/>
        <v>1</v>
      </c>
      <c r="AM51" s="30"/>
      <c r="AN51" s="32">
        <v>1</v>
      </c>
      <c r="AO51" s="32">
        <v>1</v>
      </c>
      <c r="AP51" s="32">
        <v>1</v>
      </c>
      <c r="AQ51" s="32">
        <v>1</v>
      </c>
      <c r="AR51" s="32">
        <v>1</v>
      </c>
      <c r="AS51" s="32"/>
      <c r="AT51" s="32">
        <v>1</v>
      </c>
      <c r="AU51" s="30"/>
      <c r="AV51" s="30"/>
      <c r="AW51" s="30"/>
      <c r="AX51" s="30" t="s">
        <v>11866</v>
      </c>
      <c r="AY51" s="30"/>
    </row>
    <row r="52" spans="1:51">
      <c r="A52" s="25" t="s">
        <v>11867</v>
      </c>
      <c r="B52" s="25" t="s">
        <v>4880</v>
      </c>
      <c r="C52" s="25" t="s">
        <v>73</v>
      </c>
      <c r="D52" s="25" t="s">
        <v>11868</v>
      </c>
      <c r="E52" s="25" t="s">
        <v>11869</v>
      </c>
      <c r="F52" s="25" t="s">
        <v>11862</v>
      </c>
      <c r="G52" s="25" t="s">
        <v>11764</v>
      </c>
      <c r="H52" s="25" t="s">
        <v>11764</v>
      </c>
      <c r="I52" s="25" t="s">
        <v>4402</v>
      </c>
      <c r="J52" s="25" t="s">
        <v>11490</v>
      </c>
      <c r="K52" s="62" t="s">
        <v>11491</v>
      </c>
      <c r="L52" s="25" t="s">
        <v>73</v>
      </c>
      <c r="M52" s="25" t="s">
        <v>11759</v>
      </c>
      <c r="N52" s="25" t="s">
        <v>11870</v>
      </c>
      <c r="O52" s="63" t="s">
        <v>11871</v>
      </c>
      <c r="P52" s="28"/>
      <c r="Q52" s="32">
        <v>4</v>
      </c>
      <c r="R52" s="32" t="s">
        <v>4409</v>
      </c>
      <c r="S52" s="32" t="s">
        <v>11872</v>
      </c>
      <c r="T52" s="26" t="s">
        <v>138</v>
      </c>
      <c r="U52" s="30" t="s">
        <v>78</v>
      </c>
      <c r="V52" s="26" t="s">
        <v>139</v>
      </c>
      <c r="W52" s="38" t="s">
        <v>584</v>
      </c>
      <c r="X52" s="38" t="s">
        <v>11768</v>
      </c>
      <c r="Y52" s="38" t="s">
        <v>141</v>
      </c>
      <c r="Z52" s="26" t="s">
        <v>141</v>
      </c>
      <c r="AA52" s="26"/>
      <c r="AB52" s="31" t="s">
        <v>11</v>
      </c>
      <c r="AC52" s="30" t="s">
        <v>172</v>
      </c>
      <c r="AD52" s="25" t="s">
        <v>4423</v>
      </c>
      <c r="AE52" s="25" t="s">
        <v>172</v>
      </c>
      <c r="AF52" s="26"/>
      <c r="AG52" s="32">
        <v>1</v>
      </c>
      <c r="AH52" s="32">
        <v>1</v>
      </c>
      <c r="AI52" s="32"/>
      <c r="AJ52" s="32"/>
      <c r="AK52" s="30"/>
      <c r="AL52" s="32">
        <f t="shared" si="1"/>
        <v>1</v>
      </c>
      <c r="AM52" s="30"/>
      <c r="AN52" s="32">
        <v>1</v>
      </c>
      <c r="AO52" s="32">
        <v>1</v>
      </c>
      <c r="AP52" s="32">
        <v>1</v>
      </c>
      <c r="AQ52" s="32">
        <v>1</v>
      </c>
      <c r="AR52" s="32">
        <v>1</v>
      </c>
      <c r="AS52" s="32"/>
      <c r="AT52" s="32">
        <v>1</v>
      </c>
      <c r="AU52" s="30"/>
      <c r="AV52" s="30"/>
      <c r="AW52" s="30"/>
      <c r="AX52" s="30" t="s">
        <v>11873</v>
      </c>
      <c r="AY52" s="30"/>
    </row>
    <row r="53" spans="1:51">
      <c r="A53" s="25" t="s">
        <v>11874</v>
      </c>
      <c r="B53" s="25" t="s">
        <v>4880</v>
      </c>
      <c r="C53" s="25" t="s">
        <v>73</v>
      </c>
      <c r="D53" s="25" t="s">
        <v>11875</v>
      </c>
      <c r="E53" s="25" t="s">
        <v>11876</v>
      </c>
      <c r="F53" s="25" t="s">
        <v>11862</v>
      </c>
      <c r="G53" s="25" t="s">
        <v>11764</v>
      </c>
      <c r="H53" s="25" t="s">
        <v>11764</v>
      </c>
      <c r="I53" s="25" t="s">
        <v>4402</v>
      </c>
      <c r="J53" s="25" t="s">
        <v>11490</v>
      </c>
      <c r="K53" s="62" t="s">
        <v>11491</v>
      </c>
      <c r="L53" s="25" t="s">
        <v>73</v>
      </c>
      <c r="M53" s="25" t="s">
        <v>11877</v>
      </c>
      <c r="N53" s="25" t="s">
        <v>11878</v>
      </c>
      <c r="O53" s="63" t="s">
        <v>11879</v>
      </c>
      <c r="P53" s="28"/>
      <c r="Q53" s="32">
        <v>4</v>
      </c>
      <c r="R53" s="32" t="s">
        <v>4409</v>
      </c>
      <c r="S53" s="32" t="s">
        <v>9259</v>
      </c>
      <c r="T53" s="26" t="s">
        <v>138</v>
      </c>
      <c r="U53" s="30" t="s">
        <v>78</v>
      </c>
      <c r="V53" s="26" t="s">
        <v>139</v>
      </c>
      <c r="W53" s="38" t="s">
        <v>584</v>
      </c>
      <c r="X53" s="38" t="s">
        <v>11768</v>
      </c>
      <c r="Y53" s="38" t="s">
        <v>141</v>
      </c>
      <c r="Z53" s="26" t="s">
        <v>141</v>
      </c>
      <c r="AA53" s="26"/>
      <c r="AB53" s="31" t="s">
        <v>11</v>
      </c>
      <c r="AC53" s="30" t="s">
        <v>172</v>
      </c>
      <c r="AD53" s="25" t="s">
        <v>4423</v>
      </c>
      <c r="AE53" s="25" t="s">
        <v>172</v>
      </c>
      <c r="AF53" s="26"/>
      <c r="AG53" s="32">
        <v>1</v>
      </c>
      <c r="AH53" s="32">
        <v>1</v>
      </c>
      <c r="AI53" s="32"/>
      <c r="AJ53" s="32"/>
      <c r="AK53" s="30"/>
      <c r="AL53" s="32">
        <f t="shared" si="1"/>
        <v>1</v>
      </c>
      <c r="AM53" s="30"/>
      <c r="AN53" s="32">
        <v>1</v>
      </c>
      <c r="AO53" s="32">
        <v>1</v>
      </c>
      <c r="AP53" s="32">
        <v>1</v>
      </c>
      <c r="AQ53" s="32">
        <v>1</v>
      </c>
      <c r="AR53" s="32">
        <v>1</v>
      </c>
      <c r="AS53" s="32"/>
      <c r="AT53" s="32">
        <v>1</v>
      </c>
      <c r="AU53" s="30"/>
      <c r="AV53" s="30"/>
      <c r="AW53" s="30"/>
      <c r="AX53" s="30" t="s">
        <v>11880</v>
      </c>
      <c r="AY53" s="30"/>
    </row>
    <row r="54" spans="1:51">
      <c r="A54" s="25" t="s">
        <v>11881</v>
      </c>
      <c r="B54" s="25" t="s">
        <v>4880</v>
      </c>
      <c r="C54" s="25" t="s">
        <v>73</v>
      </c>
      <c r="D54" s="25" t="s">
        <v>11882</v>
      </c>
      <c r="E54" s="25" t="s">
        <v>11883</v>
      </c>
      <c r="F54" s="25" t="s">
        <v>11862</v>
      </c>
      <c r="G54" s="25" t="s">
        <v>11764</v>
      </c>
      <c r="H54" s="25" t="s">
        <v>11764</v>
      </c>
      <c r="I54" s="25" t="s">
        <v>4402</v>
      </c>
      <c r="J54" s="25" t="s">
        <v>11490</v>
      </c>
      <c r="K54" s="62" t="s">
        <v>11491</v>
      </c>
      <c r="L54" s="25" t="s">
        <v>73</v>
      </c>
      <c r="M54" s="25" t="s">
        <v>11884</v>
      </c>
      <c r="N54" s="25" t="s">
        <v>11885</v>
      </c>
      <c r="O54" s="63" t="s">
        <v>11886</v>
      </c>
      <c r="P54" s="28"/>
      <c r="Q54" s="32">
        <v>4</v>
      </c>
      <c r="R54" s="32" t="s">
        <v>4409</v>
      </c>
      <c r="S54" s="32" t="s">
        <v>4448</v>
      </c>
      <c r="T54" s="26" t="s">
        <v>138</v>
      </c>
      <c r="U54" s="30" t="s">
        <v>78</v>
      </c>
      <c r="V54" s="26" t="s">
        <v>139</v>
      </c>
      <c r="W54" s="38" t="s">
        <v>584</v>
      </c>
      <c r="X54" s="38" t="s">
        <v>11768</v>
      </c>
      <c r="Y54" s="38" t="s">
        <v>141</v>
      </c>
      <c r="Z54" s="26" t="s">
        <v>141</v>
      </c>
      <c r="AA54" s="26"/>
      <c r="AB54" s="36" t="s">
        <v>11</v>
      </c>
      <c r="AC54" s="30" t="s">
        <v>172</v>
      </c>
      <c r="AD54" s="25" t="s">
        <v>4423</v>
      </c>
      <c r="AE54" s="25" t="s">
        <v>172</v>
      </c>
      <c r="AF54" s="26"/>
      <c r="AG54" s="32">
        <v>1</v>
      </c>
      <c r="AH54" s="32">
        <v>1</v>
      </c>
      <c r="AI54" s="32"/>
      <c r="AJ54" s="32"/>
      <c r="AK54" s="30"/>
      <c r="AL54" s="32">
        <f t="shared" si="1"/>
        <v>1</v>
      </c>
      <c r="AM54" s="30"/>
      <c r="AN54" s="32">
        <v>1</v>
      </c>
      <c r="AO54" s="32">
        <v>1</v>
      </c>
      <c r="AP54" s="32">
        <v>1</v>
      </c>
      <c r="AQ54" s="32">
        <v>1</v>
      </c>
      <c r="AR54" s="32">
        <v>1</v>
      </c>
      <c r="AS54" s="32"/>
      <c r="AT54" s="32">
        <v>1</v>
      </c>
      <c r="AU54" s="30"/>
      <c r="AV54" s="30"/>
      <c r="AW54" s="30"/>
      <c r="AX54" s="30" t="s">
        <v>11887</v>
      </c>
      <c r="AY54" s="30"/>
    </row>
    <row r="55" spans="1:51">
      <c r="A55" s="25" t="s">
        <v>11888</v>
      </c>
      <c r="B55" s="25" t="s">
        <v>4880</v>
      </c>
      <c r="C55" s="25" t="s">
        <v>73</v>
      </c>
      <c r="D55" s="25" t="s">
        <v>11889</v>
      </c>
      <c r="E55" s="25" t="s">
        <v>11890</v>
      </c>
      <c r="F55" s="25" t="s">
        <v>11862</v>
      </c>
      <c r="G55" s="25" t="s">
        <v>11764</v>
      </c>
      <c r="H55" s="25" t="s">
        <v>11764</v>
      </c>
      <c r="I55" s="25" t="s">
        <v>4402</v>
      </c>
      <c r="J55" s="25" t="s">
        <v>11490</v>
      </c>
      <c r="K55" s="62" t="s">
        <v>11491</v>
      </c>
      <c r="L55" s="25" t="s">
        <v>73</v>
      </c>
      <c r="M55" s="25" t="s">
        <v>11891</v>
      </c>
      <c r="N55" s="25" t="s">
        <v>11892</v>
      </c>
      <c r="O55" s="63" t="s">
        <v>11893</v>
      </c>
      <c r="P55" s="28"/>
      <c r="Q55" s="32">
        <v>4</v>
      </c>
      <c r="R55" s="32" t="s">
        <v>4409</v>
      </c>
      <c r="S55" s="32" t="s">
        <v>4905</v>
      </c>
      <c r="T55" s="26" t="s">
        <v>138</v>
      </c>
      <c r="U55" s="30" t="s">
        <v>78</v>
      </c>
      <c r="V55" s="26" t="s">
        <v>139</v>
      </c>
      <c r="W55" s="38" t="s">
        <v>584</v>
      </c>
      <c r="X55" s="38" t="s">
        <v>11768</v>
      </c>
      <c r="Y55" s="38" t="s">
        <v>141</v>
      </c>
      <c r="Z55" s="26" t="s">
        <v>141</v>
      </c>
      <c r="AA55" s="26"/>
      <c r="AB55" s="31" t="s">
        <v>11</v>
      </c>
      <c r="AC55" s="30" t="s">
        <v>172</v>
      </c>
      <c r="AD55" s="25" t="s">
        <v>4423</v>
      </c>
      <c r="AE55" s="25" t="s">
        <v>172</v>
      </c>
      <c r="AF55" s="26"/>
      <c r="AG55" s="32">
        <v>1</v>
      </c>
      <c r="AH55" s="32">
        <v>1</v>
      </c>
      <c r="AI55" s="32"/>
      <c r="AJ55" s="32"/>
      <c r="AK55" s="30"/>
      <c r="AL55" s="32">
        <f t="shared" si="1"/>
        <v>1</v>
      </c>
      <c r="AM55" s="30"/>
      <c r="AN55" s="32">
        <v>1</v>
      </c>
      <c r="AO55" s="32">
        <v>1</v>
      </c>
      <c r="AP55" s="32">
        <v>1</v>
      </c>
      <c r="AQ55" s="32">
        <v>1</v>
      </c>
      <c r="AR55" s="32">
        <v>1</v>
      </c>
      <c r="AS55" s="32"/>
      <c r="AT55" s="32">
        <v>1</v>
      </c>
      <c r="AU55" s="30"/>
      <c r="AV55" s="30"/>
      <c r="AW55" s="30"/>
      <c r="AX55" s="30" t="s">
        <v>11894</v>
      </c>
      <c r="AY55" s="30"/>
    </row>
    <row r="56" spans="1:51">
      <c r="A56" s="25" t="s">
        <v>11895</v>
      </c>
      <c r="B56" s="25" t="s">
        <v>4880</v>
      </c>
      <c r="C56" s="25" t="s">
        <v>73</v>
      </c>
      <c r="D56" s="25" t="s">
        <v>11896</v>
      </c>
      <c r="E56" s="25" t="s">
        <v>11897</v>
      </c>
      <c r="F56" s="25" t="s">
        <v>11862</v>
      </c>
      <c r="G56" s="25" t="s">
        <v>11764</v>
      </c>
      <c r="H56" s="25" t="s">
        <v>11764</v>
      </c>
      <c r="I56" s="25" t="s">
        <v>4402</v>
      </c>
      <c r="J56" s="25" t="s">
        <v>11490</v>
      </c>
      <c r="K56" s="62" t="s">
        <v>11491</v>
      </c>
      <c r="L56" s="25" t="s">
        <v>73</v>
      </c>
      <c r="M56" s="25" t="s">
        <v>11898</v>
      </c>
      <c r="N56" s="25" t="s">
        <v>11899</v>
      </c>
      <c r="O56" s="63" t="s">
        <v>11900</v>
      </c>
      <c r="P56" s="28"/>
      <c r="Q56" s="32">
        <v>4</v>
      </c>
      <c r="R56" s="32" t="s">
        <v>4409</v>
      </c>
      <c r="S56" s="32" t="s">
        <v>7768</v>
      </c>
      <c r="T56" s="26" t="s">
        <v>138</v>
      </c>
      <c r="U56" s="30" t="s">
        <v>78</v>
      </c>
      <c r="V56" s="26" t="s">
        <v>139</v>
      </c>
      <c r="W56" s="38" t="s">
        <v>753</v>
      </c>
      <c r="X56" s="38" t="s">
        <v>11768</v>
      </c>
      <c r="Y56" s="38" t="s">
        <v>141</v>
      </c>
      <c r="Z56" s="26" t="s">
        <v>141</v>
      </c>
      <c r="AA56" s="26"/>
      <c r="AB56" s="31" t="s">
        <v>13</v>
      </c>
      <c r="AC56" s="30" t="s">
        <v>172</v>
      </c>
      <c r="AD56" s="25" t="s">
        <v>4423</v>
      </c>
      <c r="AE56" s="25" t="s">
        <v>172</v>
      </c>
      <c r="AF56" s="26"/>
      <c r="AG56" s="32">
        <v>1</v>
      </c>
      <c r="AH56" s="32">
        <v>1</v>
      </c>
      <c r="AI56" s="32"/>
      <c r="AJ56" s="32"/>
      <c r="AK56" s="30"/>
      <c r="AL56" s="32">
        <f t="shared" si="1"/>
        <v>1</v>
      </c>
      <c r="AM56" s="30"/>
      <c r="AN56" s="32"/>
      <c r="AO56" s="32"/>
      <c r="AP56" s="32">
        <v>1</v>
      </c>
      <c r="AQ56" s="32">
        <v>1</v>
      </c>
      <c r="AR56" s="32">
        <v>1</v>
      </c>
      <c r="AS56" s="32"/>
      <c r="AT56" s="32">
        <v>1</v>
      </c>
      <c r="AU56" s="30"/>
      <c r="AV56" s="30"/>
      <c r="AW56" s="30"/>
      <c r="AX56" s="30" t="s">
        <v>11901</v>
      </c>
      <c r="AY56" s="30"/>
    </row>
    <row r="57" spans="1:51">
      <c r="A57" s="25" t="s">
        <v>11902</v>
      </c>
      <c r="B57" s="25" t="s">
        <v>4880</v>
      </c>
      <c r="C57" s="25" t="s">
        <v>73</v>
      </c>
      <c r="D57" s="25" t="s">
        <v>11903</v>
      </c>
      <c r="E57" s="25" t="s">
        <v>11904</v>
      </c>
      <c r="F57" s="25" t="s">
        <v>11862</v>
      </c>
      <c r="G57" s="25" t="s">
        <v>11764</v>
      </c>
      <c r="H57" s="25" t="s">
        <v>11764</v>
      </c>
      <c r="I57" s="25" t="s">
        <v>4402</v>
      </c>
      <c r="J57" s="25" t="s">
        <v>11490</v>
      </c>
      <c r="K57" s="62" t="s">
        <v>11491</v>
      </c>
      <c r="L57" s="25" t="s">
        <v>73</v>
      </c>
      <c r="M57" s="25" t="s">
        <v>11905</v>
      </c>
      <c r="N57" s="25" t="s">
        <v>11906</v>
      </c>
      <c r="O57" s="63" t="s">
        <v>11907</v>
      </c>
      <c r="P57" s="28"/>
      <c r="Q57" s="32">
        <v>4</v>
      </c>
      <c r="R57" s="32" t="s">
        <v>4409</v>
      </c>
      <c r="S57" s="32" t="s">
        <v>11908</v>
      </c>
      <c r="T57" s="26" t="s">
        <v>138</v>
      </c>
      <c r="U57" s="30" t="s">
        <v>78</v>
      </c>
      <c r="V57" s="26" t="s">
        <v>139</v>
      </c>
      <c r="W57" s="38" t="s">
        <v>753</v>
      </c>
      <c r="X57" s="38" t="s">
        <v>11768</v>
      </c>
      <c r="Y57" s="38" t="s">
        <v>141</v>
      </c>
      <c r="Z57" s="26" t="s">
        <v>141</v>
      </c>
      <c r="AA57" s="26"/>
      <c r="AB57" s="31" t="s">
        <v>13</v>
      </c>
      <c r="AC57" s="30" t="s">
        <v>172</v>
      </c>
      <c r="AD57" s="25" t="s">
        <v>4423</v>
      </c>
      <c r="AE57" s="25" t="s">
        <v>172</v>
      </c>
      <c r="AF57" s="26"/>
      <c r="AG57" s="32">
        <v>1</v>
      </c>
      <c r="AH57" s="32">
        <v>1</v>
      </c>
      <c r="AI57" s="32"/>
      <c r="AJ57" s="32"/>
      <c r="AK57" s="30"/>
      <c r="AL57" s="32">
        <f t="shared" si="1"/>
        <v>1</v>
      </c>
      <c r="AM57" s="30"/>
      <c r="AN57" s="32"/>
      <c r="AO57" s="32"/>
      <c r="AP57" s="32">
        <v>1</v>
      </c>
      <c r="AQ57" s="32">
        <v>1</v>
      </c>
      <c r="AR57" s="32">
        <v>1</v>
      </c>
      <c r="AS57" s="32"/>
      <c r="AT57" s="32">
        <v>1</v>
      </c>
      <c r="AU57" s="30"/>
      <c r="AV57" s="30"/>
      <c r="AW57" s="30"/>
      <c r="AX57" s="30" t="s">
        <v>11909</v>
      </c>
      <c r="AY57" s="30"/>
    </row>
    <row r="58" spans="1:51">
      <c r="A58" s="25" t="s">
        <v>11910</v>
      </c>
      <c r="B58" s="25" t="s">
        <v>4880</v>
      </c>
      <c r="C58" s="25" t="s">
        <v>73</v>
      </c>
      <c r="D58" s="25" t="s">
        <v>11911</v>
      </c>
      <c r="E58" s="25" t="s">
        <v>11912</v>
      </c>
      <c r="F58" s="25" t="s">
        <v>11862</v>
      </c>
      <c r="G58" s="25" t="s">
        <v>11764</v>
      </c>
      <c r="H58" s="25" t="s">
        <v>11764</v>
      </c>
      <c r="I58" s="25" t="s">
        <v>4402</v>
      </c>
      <c r="J58" s="25" t="s">
        <v>11490</v>
      </c>
      <c r="K58" s="62" t="s">
        <v>11491</v>
      </c>
      <c r="L58" s="25" t="s">
        <v>73</v>
      </c>
      <c r="M58" s="25" t="s">
        <v>11913</v>
      </c>
      <c r="N58" s="25" t="s">
        <v>11914</v>
      </c>
      <c r="O58" s="63" t="s">
        <v>11915</v>
      </c>
      <c r="P58" s="28"/>
      <c r="Q58" s="32">
        <v>4</v>
      </c>
      <c r="R58" s="32" t="s">
        <v>4409</v>
      </c>
      <c r="S58" s="32" t="s">
        <v>4410</v>
      </c>
      <c r="T58" s="26" t="s">
        <v>138</v>
      </c>
      <c r="U58" s="30" t="s">
        <v>78</v>
      </c>
      <c r="V58" s="26" t="s">
        <v>139</v>
      </c>
      <c r="W58" s="38" t="s">
        <v>753</v>
      </c>
      <c r="X58" s="38" t="s">
        <v>11768</v>
      </c>
      <c r="Y58" s="38" t="s">
        <v>141</v>
      </c>
      <c r="Z58" s="26" t="s">
        <v>141</v>
      </c>
      <c r="AA58" s="26"/>
      <c r="AB58" s="31" t="s">
        <v>13</v>
      </c>
      <c r="AC58" s="30" t="s">
        <v>172</v>
      </c>
      <c r="AD58" s="25" t="s">
        <v>4423</v>
      </c>
      <c r="AE58" s="25" t="s">
        <v>172</v>
      </c>
      <c r="AF58" s="26"/>
      <c r="AG58" s="32">
        <v>1</v>
      </c>
      <c r="AH58" s="32">
        <v>1</v>
      </c>
      <c r="AI58" s="32"/>
      <c r="AJ58" s="32"/>
      <c r="AK58" s="30"/>
      <c r="AL58" s="32">
        <f t="shared" si="1"/>
        <v>1</v>
      </c>
      <c r="AM58" s="30"/>
      <c r="AN58" s="25" t="s">
        <v>11916</v>
      </c>
      <c r="AO58" s="32"/>
      <c r="AP58" s="32">
        <v>1</v>
      </c>
      <c r="AQ58" s="32">
        <v>1</v>
      </c>
      <c r="AR58" s="32">
        <v>1</v>
      </c>
      <c r="AS58" s="35"/>
      <c r="AT58" s="32">
        <v>1</v>
      </c>
      <c r="AU58" s="30"/>
      <c r="AV58" s="30"/>
      <c r="AW58" s="30"/>
      <c r="AX58" s="30" t="s">
        <v>11917</v>
      </c>
      <c r="AY58" s="30"/>
    </row>
    <row r="59" spans="1:51">
      <c r="A59" s="25" t="s">
        <v>11918</v>
      </c>
      <c r="B59" s="25" t="s">
        <v>4880</v>
      </c>
      <c r="C59" s="25" t="s">
        <v>73</v>
      </c>
      <c r="D59" s="25" t="s">
        <v>11919</v>
      </c>
      <c r="E59" s="25" t="s">
        <v>11920</v>
      </c>
      <c r="F59" s="25" t="s">
        <v>11862</v>
      </c>
      <c r="G59" s="25" t="s">
        <v>11764</v>
      </c>
      <c r="H59" s="25" t="s">
        <v>11764</v>
      </c>
      <c r="I59" s="25" t="s">
        <v>4402</v>
      </c>
      <c r="J59" s="25" t="s">
        <v>11490</v>
      </c>
      <c r="K59" s="62" t="s">
        <v>11491</v>
      </c>
      <c r="L59" s="25" t="s">
        <v>73</v>
      </c>
      <c r="M59" s="25" t="s">
        <v>11921</v>
      </c>
      <c r="N59" s="25" t="s">
        <v>11922</v>
      </c>
      <c r="O59" s="63" t="s">
        <v>11923</v>
      </c>
      <c r="P59" s="28"/>
      <c r="Q59" s="32">
        <v>4</v>
      </c>
      <c r="R59" s="32" t="s">
        <v>4409</v>
      </c>
      <c r="S59" s="32" t="s">
        <v>10612</v>
      </c>
      <c r="T59" s="26" t="s">
        <v>138</v>
      </c>
      <c r="U59" s="30" t="s">
        <v>78</v>
      </c>
      <c r="V59" s="26" t="s">
        <v>139</v>
      </c>
      <c r="W59" s="38" t="s">
        <v>753</v>
      </c>
      <c r="X59" s="38" t="s">
        <v>11768</v>
      </c>
      <c r="Y59" s="38" t="s">
        <v>141</v>
      </c>
      <c r="Z59" s="26" t="s">
        <v>141</v>
      </c>
      <c r="AA59" s="26"/>
      <c r="AB59" s="31" t="s">
        <v>13</v>
      </c>
      <c r="AC59" s="30" t="s">
        <v>172</v>
      </c>
      <c r="AD59" s="25" t="s">
        <v>4423</v>
      </c>
      <c r="AE59" s="25" t="s">
        <v>172</v>
      </c>
      <c r="AF59" s="26"/>
      <c r="AG59" s="32">
        <v>1</v>
      </c>
      <c r="AH59" s="32">
        <v>1</v>
      </c>
      <c r="AI59" s="32"/>
      <c r="AJ59" s="32"/>
      <c r="AK59" s="30"/>
      <c r="AL59" s="32">
        <f t="shared" si="1"/>
        <v>1</v>
      </c>
      <c r="AM59" s="30"/>
      <c r="AN59" s="32"/>
      <c r="AO59" s="32"/>
      <c r="AP59" s="32">
        <v>1</v>
      </c>
      <c r="AQ59" s="32">
        <v>1</v>
      </c>
      <c r="AR59" s="32">
        <v>1</v>
      </c>
      <c r="AS59" s="32"/>
      <c r="AT59" s="32">
        <v>1</v>
      </c>
      <c r="AU59" s="30"/>
      <c r="AV59" s="30"/>
      <c r="AW59" s="30"/>
      <c r="AX59" s="30" t="s">
        <v>11924</v>
      </c>
      <c r="AY59" s="30"/>
    </row>
    <row r="60" spans="1:51">
      <c r="A60" s="25" t="s">
        <v>11925</v>
      </c>
      <c r="B60" s="25" t="s">
        <v>4880</v>
      </c>
      <c r="C60" s="25" t="s">
        <v>73</v>
      </c>
      <c r="D60" s="25" t="s">
        <v>11926</v>
      </c>
      <c r="E60" s="25" t="s">
        <v>11927</v>
      </c>
      <c r="F60" s="25" t="s">
        <v>11862</v>
      </c>
      <c r="G60" s="25" t="s">
        <v>11764</v>
      </c>
      <c r="H60" s="25" t="s">
        <v>11764</v>
      </c>
      <c r="I60" s="25" t="s">
        <v>4402</v>
      </c>
      <c r="J60" s="25" t="s">
        <v>11490</v>
      </c>
      <c r="K60" s="62" t="s">
        <v>11491</v>
      </c>
      <c r="L60" s="25" t="s">
        <v>73</v>
      </c>
      <c r="M60" s="25" t="s">
        <v>11928</v>
      </c>
      <c r="N60" s="25" t="s">
        <v>11929</v>
      </c>
      <c r="O60" s="63" t="s">
        <v>11930</v>
      </c>
      <c r="P60" s="28"/>
      <c r="Q60" s="32">
        <v>4</v>
      </c>
      <c r="R60" s="32" t="s">
        <v>4409</v>
      </c>
      <c r="S60" s="32" t="s">
        <v>11931</v>
      </c>
      <c r="T60" s="26" t="s">
        <v>138</v>
      </c>
      <c r="U60" s="30" t="s">
        <v>78</v>
      </c>
      <c r="V60" s="26" t="s">
        <v>139</v>
      </c>
      <c r="W60" s="38" t="s">
        <v>753</v>
      </c>
      <c r="X60" s="38" t="s">
        <v>11768</v>
      </c>
      <c r="Y60" s="38" t="s">
        <v>141</v>
      </c>
      <c r="Z60" s="26" t="s">
        <v>141</v>
      </c>
      <c r="AA60" s="26"/>
      <c r="AB60" s="31" t="s">
        <v>13</v>
      </c>
      <c r="AC60" s="30" t="s">
        <v>172</v>
      </c>
      <c r="AD60" s="25" t="s">
        <v>4423</v>
      </c>
      <c r="AE60" s="25" t="s">
        <v>172</v>
      </c>
      <c r="AF60" s="26"/>
      <c r="AG60" s="32">
        <v>1</v>
      </c>
      <c r="AH60" s="32">
        <v>1</v>
      </c>
      <c r="AI60" s="32"/>
      <c r="AJ60" s="32"/>
      <c r="AK60" s="30"/>
      <c r="AL60" s="32">
        <f t="shared" si="1"/>
        <v>1</v>
      </c>
      <c r="AM60" s="30"/>
      <c r="AN60" s="32"/>
      <c r="AO60" s="32"/>
      <c r="AP60" s="32">
        <v>1</v>
      </c>
      <c r="AQ60" s="32">
        <v>1</v>
      </c>
      <c r="AR60" s="32">
        <v>1</v>
      </c>
      <c r="AS60" s="32"/>
      <c r="AT60" s="32">
        <v>1</v>
      </c>
      <c r="AU60" s="30"/>
      <c r="AV60" s="30"/>
      <c r="AW60" s="30"/>
      <c r="AX60" s="30" t="s">
        <v>11932</v>
      </c>
      <c r="AY60" s="30"/>
    </row>
    <row r="61" spans="1:51">
      <c r="A61" s="25" t="s">
        <v>11933</v>
      </c>
      <c r="B61" s="25" t="s">
        <v>4880</v>
      </c>
      <c r="C61" s="25" t="s">
        <v>68</v>
      </c>
      <c r="D61" s="25" t="s">
        <v>11934</v>
      </c>
      <c r="E61" s="25" t="s">
        <v>11935</v>
      </c>
      <c r="F61" s="25" t="s">
        <v>11936</v>
      </c>
      <c r="G61" s="25" t="s">
        <v>11764</v>
      </c>
      <c r="H61" s="25" t="s">
        <v>11764</v>
      </c>
      <c r="I61" s="25" t="s">
        <v>4402</v>
      </c>
      <c r="J61" s="25" t="s">
        <v>11490</v>
      </c>
      <c r="K61" s="62" t="s">
        <v>11491</v>
      </c>
      <c r="L61" s="25" t="s">
        <v>73</v>
      </c>
      <c r="M61" s="25" t="s">
        <v>11937</v>
      </c>
      <c r="N61" s="25" t="s">
        <v>11938</v>
      </c>
      <c r="O61" s="63" t="s">
        <v>11939</v>
      </c>
      <c r="P61" s="28"/>
      <c r="Q61" s="32">
        <v>4</v>
      </c>
      <c r="R61" s="32">
        <v>16</v>
      </c>
      <c r="S61" s="32">
        <v>266.11</v>
      </c>
      <c r="T61" s="26" t="s">
        <v>138</v>
      </c>
      <c r="U61" s="30" t="s">
        <v>78</v>
      </c>
      <c r="V61" s="26" t="s">
        <v>139</v>
      </c>
      <c r="W61" s="38" t="s">
        <v>753</v>
      </c>
      <c r="X61" s="38" t="s">
        <v>11768</v>
      </c>
      <c r="Y61" s="38" t="s">
        <v>141</v>
      </c>
      <c r="Z61" s="26" t="s">
        <v>141</v>
      </c>
      <c r="AA61" s="26"/>
      <c r="AB61" s="31" t="s">
        <v>13</v>
      </c>
      <c r="AC61" s="30" t="s">
        <v>172</v>
      </c>
      <c r="AD61" s="25" t="s">
        <v>173</v>
      </c>
      <c r="AE61" s="25" t="s">
        <v>174</v>
      </c>
      <c r="AF61" s="26" t="s">
        <v>175</v>
      </c>
      <c r="AG61" s="32">
        <v>1</v>
      </c>
      <c r="AH61" s="32">
        <v>1</v>
      </c>
      <c r="AI61" s="32"/>
      <c r="AJ61" s="32"/>
      <c r="AK61" s="30"/>
      <c r="AL61" s="32">
        <f t="shared" si="1"/>
        <v>1</v>
      </c>
      <c r="AM61" s="30"/>
      <c r="AN61" s="32"/>
      <c r="AO61" s="32"/>
      <c r="AP61" s="32">
        <v>1</v>
      </c>
      <c r="AQ61" s="32">
        <v>1</v>
      </c>
      <c r="AR61" s="32">
        <v>1</v>
      </c>
      <c r="AS61" s="32"/>
      <c r="AT61" s="32">
        <v>1</v>
      </c>
      <c r="AU61" s="30"/>
      <c r="AV61" s="30"/>
      <c r="AW61" s="30"/>
      <c r="AX61" s="30" t="s">
        <v>11940</v>
      </c>
      <c r="AY61" s="30"/>
    </row>
    <row r="62" spans="1:51">
      <c r="A62" s="25" t="s">
        <v>11941</v>
      </c>
      <c r="B62" s="25" t="s">
        <v>4880</v>
      </c>
      <c r="C62" s="25" t="s">
        <v>68</v>
      </c>
      <c r="D62" s="25" t="s">
        <v>11942</v>
      </c>
      <c r="E62" s="25" t="s">
        <v>11943</v>
      </c>
      <c r="F62" s="25" t="s">
        <v>11936</v>
      </c>
      <c r="G62" s="25" t="s">
        <v>11764</v>
      </c>
      <c r="H62" s="25" t="s">
        <v>11764</v>
      </c>
      <c r="I62" s="25" t="s">
        <v>4402</v>
      </c>
      <c r="J62" s="25" t="s">
        <v>11490</v>
      </c>
      <c r="K62" s="62" t="s">
        <v>11491</v>
      </c>
      <c r="L62" s="25" t="s">
        <v>73</v>
      </c>
      <c r="M62" s="25" t="s">
        <v>11944</v>
      </c>
      <c r="N62" s="25" t="s">
        <v>11945</v>
      </c>
      <c r="O62" s="63" t="s">
        <v>11946</v>
      </c>
      <c r="P62" s="28"/>
      <c r="Q62" s="32">
        <v>4</v>
      </c>
      <c r="R62" s="32">
        <v>16</v>
      </c>
      <c r="S62" s="32">
        <v>266.12</v>
      </c>
      <c r="T62" s="26" t="s">
        <v>138</v>
      </c>
      <c r="U62" s="30" t="s">
        <v>78</v>
      </c>
      <c r="V62" s="26" t="s">
        <v>139</v>
      </c>
      <c r="W62" s="38" t="s">
        <v>753</v>
      </c>
      <c r="X62" s="38" t="s">
        <v>11768</v>
      </c>
      <c r="Y62" s="38" t="s">
        <v>141</v>
      </c>
      <c r="Z62" s="26" t="s">
        <v>141</v>
      </c>
      <c r="AA62" s="26"/>
      <c r="AB62" s="31" t="s">
        <v>13</v>
      </c>
      <c r="AC62" s="30" t="s">
        <v>172</v>
      </c>
      <c r="AD62" s="25" t="s">
        <v>173</v>
      </c>
      <c r="AE62" s="25" t="s">
        <v>174</v>
      </c>
      <c r="AF62" s="26" t="s">
        <v>175</v>
      </c>
      <c r="AG62" s="32">
        <v>1</v>
      </c>
      <c r="AH62" s="32">
        <v>1</v>
      </c>
      <c r="AI62" s="32"/>
      <c r="AJ62" s="32"/>
      <c r="AK62" s="30"/>
      <c r="AL62" s="32">
        <f t="shared" si="1"/>
        <v>1</v>
      </c>
      <c r="AM62" s="30"/>
      <c r="AN62" s="32"/>
      <c r="AO62" s="32"/>
      <c r="AP62" s="32">
        <v>1</v>
      </c>
      <c r="AQ62" s="32">
        <v>1</v>
      </c>
      <c r="AR62" s="32">
        <v>1</v>
      </c>
      <c r="AS62" s="32"/>
      <c r="AT62" s="32">
        <v>1</v>
      </c>
      <c r="AU62" s="30"/>
      <c r="AV62" s="30"/>
      <c r="AW62" s="30"/>
      <c r="AX62" s="30" t="s">
        <v>11947</v>
      </c>
      <c r="AY62" s="30"/>
    </row>
    <row r="63" spans="1:51">
      <c r="A63" s="25" t="s">
        <v>11948</v>
      </c>
      <c r="B63" s="25" t="s">
        <v>4880</v>
      </c>
      <c r="C63" s="25" t="s">
        <v>73</v>
      </c>
      <c r="D63" s="25" t="s">
        <v>11949</v>
      </c>
      <c r="E63" s="25" t="s">
        <v>11950</v>
      </c>
      <c r="F63" s="25" t="s">
        <v>11951</v>
      </c>
      <c r="G63" s="25" t="s">
        <v>11764</v>
      </c>
      <c r="H63" s="25" t="s">
        <v>11764</v>
      </c>
      <c r="I63" s="25" t="s">
        <v>11845</v>
      </c>
      <c r="J63" s="25" t="s">
        <v>11490</v>
      </c>
      <c r="K63" s="62" t="s">
        <v>11491</v>
      </c>
      <c r="L63" s="25" t="s">
        <v>73</v>
      </c>
      <c r="M63" s="25" t="s">
        <v>11952</v>
      </c>
      <c r="N63" s="25" t="s">
        <v>11953</v>
      </c>
      <c r="O63" s="63" t="s">
        <v>11954</v>
      </c>
      <c r="P63" s="28"/>
      <c r="Q63" s="32">
        <v>4</v>
      </c>
      <c r="R63" s="32" t="s">
        <v>4409</v>
      </c>
      <c r="S63" s="32" t="s">
        <v>7857</v>
      </c>
      <c r="T63" s="26" t="s">
        <v>138</v>
      </c>
      <c r="U63" s="30" t="s">
        <v>78</v>
      </c>
      <c r="V63" s="26" t="s">
        <v>139</v>
      </c>
      <c r="W63" s="38" t="s">
        <v>753</v>
      </c>
      <c r="X63" s="38" t="s">
        <v>11768</v>
      </c>
      <c r="Y63" s="38" t="s">
        <v>141</v>
      </c>
      <c r="Z63" s="26" t="s">
        <v>141</v>
      </c>
      <c r="AA63" s="26"/>
      <c r="AB63" s="31" t="s">
        <v>13</v>
      </c>
      <c r="AC63" s="30" t="s">
        <v>172</v>
      </c>
      <c r="AD63" s="25" t="s">
        <v>4423</v>
      </c>
      <c r="AE63" s="25" t="s">
        <v>172</v>
      </c>
      <c r="AF63" s="26"/>
      <c r="AG63" s="32">
        <v>1</v>
      </c>
      <c r="AH63" s="32">
        <v>1</v>
      </c>
      <c r="AI63" s="32"/>
      <c r="AJ63" s="32"/>
      <c r="AK63" s="30"/>
      <c r="AL63" s="32">
        <f t="shared" si="1"/>
        <v>1</v>
      </c>
      <c r="AM63" s="30"/>
      <c r="AN63" s="32"/>
      <c r="AO63" s="32"/>
      <c r="AP63" s="32">
        <v>1</v>
      </c>
      <c r="AQ63" s="32">
        <v>1</v>
      </c>
      <c r="AR63" s="32">
        <v>1</v>
      </c>
      <c r="AS63" s="32"/>
      <c r="AT63" s="32">
        <v>1</v>
      </c>
      <c r="AU63" s="30"/>
      <c r="AV63" s="30"/>
      <c r="AW63" s="30"/>
      <c r="AX63" s="30" t="s">
        <v>11955</v>
      </c>
      <c r="AY63" s="30"/>
    </row>
    <row r="64" spans="1:51">
      <c r="A64" s="25" t="s">
        <v>11956</v>
      </c>
      <c r="B64" s="25" t="s">
        <v>4398</v>
      </c>
      <c r="C64" s="25" t="s">
        <v>68</v>
      </c>
      <c r="D64" s="25" t="s">
        <v>11957</v>
      </c>
      <c r="E64" s="25" t="s">
        <v>11958</v>
      </c>
      <c r="F64" s="25" t="s">
        <v>3699</v>
      </c>
      <c r="G64" s="25" t="s">
        <v>11764</v>
      </c>
      <c r="H64" s="25" t="s">
        <v>11764</v>
      </c>
      <c r="I64" s="25" t="s">
        <v>11845</v>
      </c>
      <c r="J64" s="25" t="s">
        <v>11490</v>
      </c>
      <c r="K64" s="62" t="s">
        <v>11491</v>
      </c>
      <c r="L64" s="25" t="s">
        <v>73</v>
      </c>
      <c r="M64" s="25" t="s">
        <v>11959</v>
      </c>
      <c r="N64" s="25" t="s">
        <v>11960</v>
      </c>
      <c r="O64" s="63" t="s">
        <v>11961</v>
      </c>
      <c r="P64" s="28"/>
      <c r="Q64" s="32">
        <v>4</v>
      </c>
      <c r="R64" s="32">
        <v>16</v>
      </c>
      <c r="S64" s="32">
        <v>266.12</v>
      </c>
      <c r="T64" s="26" t="s">
        <v>138</v>
      </c>
      <c r="U64" s="30" t="s">
        <v>78</v>
      </c>
      <c r="V64" s="26" t="s">
        <v>139</v>
      </c>
      <c r="W64" s="38" t="s">
        <v>753</v>
      </c>
      <c r="X64" s="38" t="s">
        <v>11768</v>
      </c>
      <c r="Y64" s="38" t="s">
        <v>141</v>
      </c>
      <c r="Z64" s="26" t="s">
        <v>141</v>
      </c>
      <c r="AA64" s="26"/>
      <c r="AB64" s="31" t="s">
        <v>13</v>
      </c>
      <c r="AC64" s="30" t="s">
        <v>172</v>
      </c>
      <c r="AD64" s="25" t="s">
        <v>173</v>
      </c>
      <c r="AE64" s="25" t="s">
        <v>174</v>
      </c>
      <c r="AF64" s="26" t="s">
        <v>175</v>
      </c>
      <c r="AG64" s="32">
        <v>1</v>
      </c>
      <c r="AH64" s="32">
        <v>1</v>
      </c>
      <c r="AI64" s="32"/>
      <c r="AJ64" s="32"/>
      <c r="AK64" s="30"/>
      <c r="AL64" s="32">
        <f t="shared" si="1"/>
        <v>1</v>
      </c>
      <c r="AM64" s="30"/>
      <c r="AN64" s="32"/>
      <c r="AO64" s="32"/>
      <c r="AP64" s="32">
        <v>1</v>
      </c>
      <c r="AQ64" s="32">
        <v>1</v>
      </c>
      <c r="AR64" s="32">
        <v>1</v>
      </c>
      <c r="AS64" s="32"/>
      <c r="AT64" s="32">
        <v>1</v>
      </c>
      <c r="AU64" s="30"/>
      <c r="AV64" s="30"/>
      <c r="AW64" s="30"/>
      <c r="AX64" s="30" t="s">
        <v>11962</v>
      </c>
      <c r="AY64" s="30"/>
    </row>
    <row r="65" spans="1:51">
      <c r="A65" s="25" t="s">
        <v>11963</v>
      </c>
      <c r="B65" s="25" t="s">
        <v>4880</v>
      </c>
      <c r="C65" s="25" t="s">
        <v>73</v>
      </c>
      <c r="D65" s="25" t="s">
        <v>11964</v>
      </c>
      <c r="E65" s="25" t="s">
        <v>11965</v>
      </c>
      <c r="F65" s="25" t="s">
        <v>11862</v>
      </c>
      <c r="G65" s="25" t="s">
        <v>11764</v>
      </c>
      <c r="H65" s="25" t="s">
        <v>11764</v>
      </c>
      <c r="I65" s="25" t="s">
        <v>4402</v>
      </c>
      <c r="J65" s="25" t="s">
        <v>11490</v>
      </c>
      <c r="K65" s="62" t="s">
        <v>11491</v>
      </c>
      <c r="L65" s="25" t="s">
        <v>73</v>
      </c>
      <c r="M65" s="25" t="s">
        <v>11966</v>
      </c>
      <c r="N65" s="25" t="s">
        <v>11967</v>
      </c>
      <c r="O65" s="63" t="s">
        <v>11968</v>
      </c>
      <c r="P65" s="28"/>
      <c r="Q65" s="32">
        <v>4</v>
      </c>
      <c r="R65" s="32" t="s">
        <v>4409</v>
      </c>
      <c r="S65" s="32" t="s">
        <v>4440</v>
      </c>
      <c r="T65" s="26" t="s">
        <v>138</v>
      </c>
      <c r="U65" s="30" t="s">
        <v>78</v>
      </c>
      <c r="V65" s="26" t="s">
        <v>139</v>
      </c>
      <c r="W65" s="38" t="s">
        <v>753</v>
      </c>
      <c r="X65" s="38" t="s">
        <v>11768</v>
      </c>
      <c r="Y65" s="38" t="s">
        <v>141</v>
      </c>
      <c r="Z65" s="26" t="s">
        <v>141</v>
      </c>
      <c r="AA65" s="26"/>
      <c r="AB65" s="31" t="s">
        <v>13</v>
      </c>
      <c r="AC65" s="30" t="s">
        <v>172</v>
      </c>
      <c r="AD65" s="25" t="s">
        <v>4423</v>
      </c>
      <c r="AE65" s="25" t="s">
        <v>172</v>
      </c>
      <c r="AF65" s="26"/>
      <c r="AG65" s="32">
        <v>1</v>
      </c>
      <c r="AH65" s="32">
        <v>1</v>
      </c>
      <c r="AI65" s="32"/>
      <c r="AJ65" s="32"/>
      <c r="AK65" s="30"/>
      <c r="AL65" s="32">
        <f t="shared" si="1"/>
        <v>1</v>
      </c>
      <c r="AM65" s="30"/>
      <c r="AN65" s="32"/>
      <c r="AO65" s="32"/>
      <c r="AP65" s="32">
        <v>1</v>
      </c>
      <c r="AQ65" s="32">
        <v>1</v>
      </c>
      <c r="AR65" s="32">
        <v>1</v>
      </c>
      <c r="AS65" s="32"/>
      <c r="AT65" s="32">
        <v>1</v>
      </c>
      <c r="AU65" s="30"/>
      <c r="AV65" s="30"/>
      <c r="AW65" s="30"/>
      <c r="AX65" s="30" t="s">
        <v>11969</v>
      </c>
      <c r="AY65" s="30"/>
    </row>
    <row r="66" spans="1:51">
      <c r="A66" s="25" t="s">
        <v>11970</v>
      </c>
      <c r="B66" s="25" t="s">
        <v>4398</v>
      </c>
      <c r="C66" s="25" t="s">
        <v>73</v>
      </c>
      <c r="D66" s="25" t="s">
        <v>11971</v>
      </c>
      <c r="E66" s="258" t="s">
        <v>11972</v>
      </c>
      <c r="F66" s="25" t="s">
        <v>11973</v>
      </c>
      <c r="G66" s="25" t="s">
        <v>11764</v>
      </c>
      <c r="H66" s="25" t="s">
        <v>11764</v>
      </c>
      <c r="I66" s="25" t="s">
        <v>4402</v>
      </c>
      <c r="J66" s="25" t="s">
        <v>11490</v>
      </c>
      <c r="K66" s="62" t="s">
        <v>11491</v>
      </c>
      <c r="L66" s="25" t="s">
        <v>73</v>
      </c>
      <c r="M66" s="25" t="s">
        <v>11974</v>
      </c>
      <c r="N66" s="25" t="s">
        <v>11975</v>
      </c>
      <c r="O66" s="63" t="s">
        <v>11976</v>
      </c>
      <c r="P66" s="28"/>
      <c r="Q66" s="32">
        <v>4</v>
      </c>
      <c r="R66" s="32" t="s">
        <v>4409</v>
      </c>
      <c r="S66" s="32" t="s">
        <v>11977</v>
      </c>
      <c r="T66" s="26" t="s">
        <v>138</v>
      </c>
      <c r="U66" s="30" t="s">
        <v>78</v>
      </c>
      <c r="V66" s="26" t="s">
        <v>139</v>
      </c>
      <c r="W66" s="38" t="s">
        <v>753</v>
      </c>
      <c r="X66" s="38" t="s">
        <v>11768</v>
      </c>
      <c r="Y66" s="38" t="s">
        <v>141</v>
      </c>
      <c r="Z66" s="26" t="s">
        <v>141</v>
      </c>
      <c r="AA66" s="26"/>
      <c r="AB66" s="31" t="s">
        <v>13</v>
      </c>
      <c r="AC66" s="30" t="s">
        <v>172</v>
      </c>
      <c r="AD66" s="25" t="s">
        <v>4423</v>
      </c>
      <c r="AE66" s="25" t="s">
        <v>172</v>
      </c>
      <c r="AF66" s="26"/>
      <c r="AG66" s="32">
        <v>1</v>
      </c>
      <c r="AH66" s="32">
        <v>1</v>
      </c>
      <c r="AI66" s="32"/>
      <c r="AJ66" s="32"/>
      <c r="AK66" s="30"/>
      <c r="AL66" s="32">
        <f t="shared" si="1"/>
        <v>1</v>
      </c>
      <c r="AM66" s="30"/>
      <c r="AN66" s="32"/>
      <c r="AO66" s="32"/>
      <c r="AP66" s="32">
        <v>1</v>
      </c>
      <c r="AQ66" s="32">
        <v>1</v>
      </c>
      <c r="AR66" s="32">
        <v>1</v>
      </c>
      <c r="AS66" s="32"/>
      <c r="AT66" s="32">
        <v>1</v>
      </c>
      <c r="AU66" s="30"/>
      <c r="AV66" s="30"/>
      <c r="AW66" s="30"/>
      <c r="AX66" s="30" t="s">
        <v>11978</v>
      </c>
      <c r="AY66" s="30"/>
    </row>
    <row r="67" spans="1:51">
      <c r="A67" s="25" t="s">
        <v>11979</v>
      </c>
      <c r="B67" s="25" t="s">
        <v>4398</v>
      </c>
      <c r="C67" s="25" t="s">
        <v>73</v>
      </c>
      <c r="D67" s="25" t="s">
        <v>11980</v>
      </c>
      <c r="E67" s="258" t="s">
        <v>11981</v>
      </c>
      <c r="F67" s="25" t="s">
        <v>11982</v>
      </c>
      <c r="G67" s="25" t="s">
        <v>11764</v>
      </c>
      <c r="H67" s="25" t="s">
        <v>11764</v>
      </c>
      <c r="I67" s="25" t="s">
        <v>4402</v>
      </c>
      <c r="J67" s="25" t="s">
        <v>11490</v>
      </c>
      <c r="K67" s="62" t="s">
        <v>11491</v>
      </c>
      <c r="L67" s="25" t="s">
        <v>73</v>
      </c>
      <c r="M67" s="25" t="s">
        <v>11983</v>
      </c>
      <c r="N67" s="25" t="s">
        <v>11984</v>
      </c>
      <c r="O67" s="63" t="s">
        <v>11985</v>
      </c>
      <c r="P67" s="28"/>
      <c r="Q67" s="32">
        <v>4</v>
      </c>
      <c r="R67" s="32" t="s">
        <v>4409</v>
      </c>
      <c r="S67" s="32" t="s">
        <v>11986</v>
      </c>
      <c r="T67" s="26" t="s">
        <v>138</v>
      </c>
      <c r="U67" s="30" t="s">
        <v>78</v>
      </c>
      <c r="V67" s="26" t="s">
        <v>139</v>
      </c>
      <c r="W67" s="38" t="s">
        <v>753</v>
      </c>
      <c r="X67" s="38" t="s">
        <v>11768</v>
      </c>
      <c r="Y67" s="38" t="s">
        <v>141</v>
      </c>
      <c r="Z67" s="26" t="s">
        <v>141</v>
      </c>
      <c r="AA67" s="26"/>
      <c r="AB67" s="31" t="s">
        <v>13</v>
      </c>
      <c r="AC67" s="30" t="s">
        <v>172</v>
      </c>
      <c r="AD67" s="25" t="s">
        <v>4423</v>
      </c>
      <c r="AE67" s="25" t="s">
        <v>172</v>
      </c>
      <c r="AF67" s="26"/>
      <c r="AG67" s="32">
        <v>1</v>
      </c>
      <c r="AH67" s="32">
        <v>1</v>
      </c>
      <c r="AI67" s="32"/>
      <c r="AJ67" s="32"/>
      <c r="AK67" s="30"/>
      <c r="AL67" s="32">
        <f t="shared" si="1"/>
        <v>1</v>
      </c>
      <c r="AM67" s="30"/>
      <c r="AN67" s="32"/>
      <c r="AO67" s="32"/>
      <c r="AP67" s="32">
        <v>1</v>
      </c>
      <c r="AQ67" s="32">
        <v>1</v>
      </c>
      <c r="AR67" s="32">
        <v>1</v>
      </c>
      <c r="AS67" s="34" t="s">
        <v>11987</v>
      </c>
      <c r="AT67" s="32">
        <v>1</v>
      </c>
      <c r="AU67" s="30"/>
      <c r="AV67" s="30"/>
      <c r="AW67" s="30"/>
      <c r="AX67" s="30" t="s">
        <v>11988</v>
      </c>
      <c r="AY67" s="30"/>
    </row>
    <row r="68" spans="1:51">
      <c r="A68" s="25" t="s">
        <v>11989</v>
      </c>
      <c r="B68" s="25" t="s">
        <v>4398</v>
      </c>
      <c r="C68" s="25" t="s">
        <v>73</v>
      </c>
      <c r="D68" s="25" t="s">
        <v>11990</v>
      </c>
      <c r="E68" s="258" t="s">
        <v>11991</v>
      </c>
      <c r="F68" s="25" t="s">
        <v>11992</v>
      </c>
      <c r="G68" s="25" t="s">
        <v>4336</v>
      </c>
      <c r="H68" s="25" t="s">
        <v>4336</v>
      </c>
      <c r="I68" s="25" t="s">
        <v>4402</v>
      </c>
      <c r="J68" s="25" t="s">
        <v>11490</v>
      </c>
      <c r="K68" s="62" t="s">
        <v>11491</v>
      </c>
      <c r="L68" s="25" t="s">
        <v>73</v>
      </c>
      <c r="M68" s="25" t="s">
        <v>11993</v>
      </c>
      <c r="N68" s="25" t="s">
        <v>11994</v>
      </c>
      <c r="O68" s="63" t="s">
        <v>11995</v>
      </c>
      <c r="P68" s="28"/>
      <c r="Q68" s="32">
        <v>8</v>
      </c>
      <c r="R68" s="32" t="s">
        <v>9030</v>
      </c>
      <c r="S68" s="32" t="s">
        <v>11996</v>
      </c>
      <c r="T68" s="26" t="s">
        <v>138</v>
      </c>
      <c r="U68" s="30" t="s">
        <v>78</v>
      </c>
      <c r="V68" s="26" t="s">
        <v>139</v>
      </c>
      <c r="W68" s="38" t="s">
        <v>753</v>
      </c>
      <c r="X68" s="26" t="s">
        <v>11997</v>
      </c>
      <c r="Y68" s="38" t="s">
        <v>141</v>
      </c>
      <c r="Z68" s="26" t="s">
        <v>141</v>
      </c>
      <c r="AA68" s="26"/>
      <c r="AB68" s="31" t="s">
        <v>13</v>
      </c>
      <c r="AC68" s="30" t="s">
        <v>172</v>
      </c>
      <c r="AD68" s="25" t="s">
        <v>4423</v>
      </c>
      <c r="AE68" s="25" t="s">
        <v>172</v>
      </c>
      <c r="AF68" s="26"/>
      <c r="AG68" s="32">
        <v>1</v>
      </c>
      <c r="AH68" s="32">
        <v>1</v>
      </c>
      <c r="AI68" s="32"/>
      <c r="AJ68" s="32"/>
      <c r="AK68" s="30"/>
      <c r="AL68" s="32">
        <f t="shared" si="1"/>
        <v>1</v>
      </c>
      <c r="AM68" s="30"/>
      <c r="AN68" s="32"/>
      <c r="AO68" s="32"/>
      <c r="AP68" s="32">
        <v>1</v>
      </c>
      <c r="AQ68" s="32">
        <v>1</v>
      </c>
      <c r="AR68" s="32">
        <v>1</v>
      </c>
      <c r="AS68" s="32"/>
      <c r="AT68" s="32">
        <v>1</v>
      </c>
      <c r="AU68" s="30"/>
      <c r="AV68" s="30"/>
      <c r="AW68" s="30"/>
      <c r="AX68" s="30" t="s">
        <v>11998</v>
      </c>
      <c r="AY68" s="30"/>
    </row>
    <row r="69" spans="1:51">
      <c r="A69" s="25" t="s">
        <v>11999</v>
      </c>
      <c r="B69" s="25" t="s">
        <v>4398</v>
      </c>
      <c r="C69" s="25" t="s">
        <v>68</v>
      </c>
      <c r="D69" s="25" t="s">
        <v>12000</v>
      </c>
      <c r="E69" s="258" t="s">
        <v>12001</v>
      </c>
      <c r="F69" s="25" t="s">
        <v>12002</v>
      </c>
      <c r="G69" s="25" t="s">
        <v>4336</v>
      </c>
      <c r="H69" s="25" t="s">
        <v>4336</v>
      </c>
      <c r="I69" s="25" t="s">
        <v>4402</v>
      </c>
      <c r="J69" s="25" t="s">
        <v>11490</v>
      </c>
      <c r="K69" s="62" t="s">
        <v>11491</v>
      </c>
      <c r="L69" s="25" t="s">
        <v>73</v>
      </c>
      <c r="M69" s="25" t="s">
        <v>11917</v>
      </c>
      <c r="N69" s="25" t="s">
        <v>12003</v>
      </c>
      <c r="O69" s="63" t="s">
        <v>12004</v>
      </c>
      <c r="P69" s="28"/>
      <c r="Q69" s="32">
        <v>4</v>
      </c>
      <c r="R69" s="32">
        <v>16</v>
      </c>
      <c r="S69" s="32">
        <v>266.54000000000002</v>
      </c>
      <c r="T69" s="26" t="s">
        <v>138</v>
      </c>
      <c r="U69" s="30" t="s">
        <v>78</v>
      </c>
      <c r="V69" s="26" t="s">
        <v>139</v>
      </c>
      <c r="W69" s="38" t="s">
        <v>753</v>
      </c>
      <c r="X69" s="26" t="s">
        <v>11997</v>
      </c>
      <c r="Y69" s="38" t="s">
        <v>141</v>
      </c>
      <c r="Z69" s="26" t="s">
        <v>141</v>
      </c>
      <c r="AA69" s="26"/>
      <c r="AB69" s="31" t="s">
        <v>13</v>
      </c>
      <c r="AC69" s="30" t="s">
        <v>172</v>
      </c>
      <c r="AD69" s="25" t="s">
        <v>173</v>
      </c>
      <c r="AE69" s="25" t="s">
        <v>174</v>
      </c>
      <c r="AF69" s="26" t="s">
        <v>175</v>
      </c>
      <c r="AG69" s="32">
        <v>1</v>
      </c>
      <c r="AH69" s="32">
        <v>1</v>
      </c>
      <c r="AI69" s="32"/>
      <c r="AJ69" s="32"/>
      <c r="AK69" s="30"/>
      <c r="AL69" s="32">
        <f t="shared" si="1"/>
        <v>1</v>
      </c>
      <c r="AM69" s="30"/>
      <c r="AN69" s="32"/>
      <c r="AO69" s="32"/>
      <c r="AP69" s="32">
        <v>1</v>
      </c>
      <c r="AQ69" s="32">
        <v>1</v>
      </c>
      <c r="AR69" s="32">
        <v>1</v>
      </c>
      <c r="AS69" s="32"/>
      <c r="AT69" s="32">
        <v>1</v>
      </c>
      <c r="AU69" s="30"/>
      <c r="AV69" s="30"/>
      <c r="AW69" s="30"/>
      <c r="AX69" s="30" t="s">
        <v>12005</v>
      </c>
      <c r="AY69" s="30"/>
    </row>
    <row r="70" spans="1:51">
      <c r="A70" s="25" t="s">
        <v>12006</v>
      </c>
      <c r="B70" s="25" t="s">
        <v>4398</v>
      </c>
      <c r="C70" s="25" t="s">
        <v>68</v>
      </c>
      <c r="D70" s="25" t="s">
        <v>12007</v>
      </c>
      <c r="E70" s="258" t="s">
        <v>12008</v>
      </c>
      <c r="F70" s="25" t="s">
        <v>12009</v>
      </c>
      <c r="G70" s="25" t="s">
        <v>4336</v>
      </c>
      <c r="H70" s="25" t="s">
        <v>4336</v>
      </c>
      <c r="I70" s="25" t="s">
        <v>4402</v>
      </c>
      <c r="J70" s="25" t="s">
        <v>11490</v>
      </c>
      <c r="K70" s="64" t="s">
        <v>11500</v>
      </c>
      <c r="L70" s="25" t="s">
        <v>73</v>
      </c>
      <c r="M70" s="25" t="s">
        <v>12010</v>
      </c>
      <c r="N70" s="25" t="s">
        <v>12011</v>
      </c>
      <c r="O70" s="63" t="s">
        <v>12012</v>
      </c>
      <c r="P70" s="28"/>
      <c r="Q70" s="32">
        <v>4</v>
      </c>
      <c r="R70" s="32">
        <v>16</v>
      </c>
      <c r="S70" s="32">
        <v>266.17</v>
      </c>
      <c r="T70" s="26"/>
      <c r="U70" s="30" t="s">
        <v>78</v>
      </c>
      <c r="V70" s="30"/>
      <c r="W70" s="38"/>
      <c r="X70" s="26" t="s">
        <v>11997</v>
      </c>
      <c r="Y70" s="38"/>
      <c r="Z70" s="26"/>
      <c r="AA70" s="26"/>
      <c r="AB70" s="31" t="s">
        <v>13</v>
      </c>
      <c r="AC70" s="30" t="s">
        <v>172</v>
      </c>
      <c r="AD70" s="25" t="s">
        <v>173</v>
      </c>
      <c r="AE70" s="25" t="s">
        <v>174</v>
      </c>
      <c r="AF70" s="26" t="s">
        <v>175</v>
      </c>
      <c r="AG70" s="32">
        <v>1</v>
      </c>
      <c r="AH70" s="32"/>
      <c r="AI70" s="32"/>
      <c r="AJ70" s="32"/>
      <c r="AK70" s="30"/>
      <c r="AL70" s="32"/>
      <c r="AM70" s="30"/>
      <c r="AN70" s="32"/>
      <c r="AO70" s="32"/>
      <c r="AP70" s="32"/>
      <c r="AQ70" s="32"/>
      <c r="AR70" s="32"/>
      <c r="AS70" s="32"/>
      <c r="AT70" s="32"/>
      <c r="AU70" s="30"/>
      <c r="AV70" s="30"/>
      <c r="AW70" s="30"/>
      <c r="AX70" s="30"/>
      <c r="AY70" s="30"/>
    </row>
    <row r="71" spans="1:51">
      <c r="A71" s="25" t="s">
        <v>12013</v>
      </c>
      <c r="B71" s="25" t="s">
        <v>4398</v>
      </c>
      <c r="C71" s="25" t="s">
        <v>68</v>
      </c>
      <c r="D71" s="25" t="s">
        <v>12014</v>
      </c>
      <c r="E71" s="258" t="s">
        <v>12015</v>
      </c>
      <c r="F71" s="25" t="s">
        <v>12016</v>
      </c>
      <c r="G71" s="25" t="s">
        <v>4336</v>
      </c>
      <c r="H71" s="25" t="s">
        <v>4336</v>
      </c>
      <c r="I71" s="25" t="s">
        <v>4402</v>
      </c>
      <c r="J71" s="25" t="s">
        <v>11490</v>
      </c>
      <c r="K71" s="62" t="s">
        <v>11491</v>
      </c>
      <c r="L71" s="25" t="s">
        <v>73</v>
      </c>
      <c r="M71" s="25" t="s">
        <v>11924</v>
      </c>
      <c r="N71" s="25" t="s">
        <v>12017</v>
      </c>
      <c r="O71" s="63" t="s">
        <v>12018</v>
      </c>
      <c r="P71" s="28"/>
      <c r="Q71" s="32">
        <v>4</v>
      </c>
      <c r="R71" s="32">
        <v>16</v>
      </c>
      <c r="S71" s="32">
        <v>266.10000000000002</v>
      </c>
      <c r="T71" s="26" t="s">
        <v>138</v>
      </c>
      <c r="U71" s="30" t="s">
        <v>78</v>
      </c>
      <c r="V71" s="26" t="s">
        <v>139</v>
      </c>
      <c r="W71" s="38" t="s">
        <v>753</v>
      </c>
      <c r="X71" s="26" t="s">
        <v>11997</v>
      </c>
      <c r="Y71" s="38" t="s">
        <v>141</v>
      </c>
      <c r="Z71" s="26" t="s">
        <v>141</v>
      </c>
      <c r="AA71" s="26"/>
      <c r="AB71" s="31" t="s">
        <v>13</v>
      </c>
      <c r="AC71" s="30" t="s">
        <v>172</v>
      </c>
      <c r="AD71" s="25" t="s">
        <v>173</v>
      </c>
      <c r="AE71" s="25" t="s">
        <v>174</v>
      </c>
      <c r="AF71" s="26" t="s">
        <v>175</v>
      </c>
      <c r="AG71" s="32">
        <v>1</v>
      </c>
      <c r="AH71" s="32">
        <v>1</v>
      </c>
      <c r="AI71" s="32"/>
      <c r="AJ71" s="32"/>
      <c r="AK71" s="30"/>
      <c r="AL71" s="32">
        <f t="shared" ref="AL71:AL102" si="2">IF(COUNTIF(AX:AX,"*"&amp;M71&amp;"*")&gt;0,1,0)</f>
        <v>1</v>
      </c>
      <c r="AM71" s="30"/>
      <c r="AN71" s="32"/>
      <c r="AO71" s="32"/>
      <c r="AP71" s="32">
        <v>1</v>
      </c>
      <c r="AQ71" s="32">
        <v>1</v>
      </c>
      <c r="AR71" s="32">
        <v>1</v>
      </c>
      <c r="AS71" s="32"/>
      <c r="AT71" s="32">
        <v>1</v>
      </c>
      <c r="AU71" s="68">
        <v>46253.905833333301</v>
      </c>
      <c r="AV71" s="30"/>
      <c r="AW71" s="30"/>
      <c r="AX71" s="30" t="s">
        <v>12019</v>
      </c>
      <c r="AY71" s="30"/>
    </row>
    <row r="72" spans="1:51">
      <c r="A72" s="25" t="s">
        <v>12020</v>
      </c>
      <c r="B72" s="25" t="s">
        <v>4398</v>
      </c>
      <c r="C72" s="25" t="s">
        <v>68</v>
      </c>
      <c r="D72" s="25" t="s">
        <v>12021</v>
      </c>
      <c r="E72" s="258" t="s">
        <v>12022</v>
      </c>
      <c r="F72" s="25" t="s">
        <v>12023</v>
      </c>
      <c r="G72" s="25" t="s">
        <v>4336</v>
      </c>
      <c r="H72" s="25" t="s">
        <v>4336</v>
      </c>
      <c r="I72" s="25" t="s">
        <v>4402</v>
      </c>
      <c r="J72" s="25" t="s">
        <v>11490</v>
      </c>
      <c r="K72" s="62" t="s">
        <v>11491</v>
      </c>
      <c r="L72" s="25" t="s">
        <v>73</v>
      </c>
      <c r="M72" s="25" t="s">
        <v>11932</v>
      </c>
      <c r="N72" s="25" t="s">
        <v>12024</v>
      </c>
      <c r="O72" s="63" t="s">
        <v>12025</v>
      </c>
      <c r="P72" s="28"/>
      <c r="Q72" s="32">
        <v>4</v>
      </c>
      <c r="R72" s="32">
        <v>16</v>
      </c>
      <c r="S72" s="32">
        <v>266.11</v>
      </c>
      <c r="T72" s="26" t="s">
        <v>138</v>
      </c>
      <c r="U72" s="30" t="s">
        <v>78</v>
      </c>
      <c r="V72" s="26" t="s">
        <v>139</v>
      </c>
      <c r="W72" s="38" t="s">
        <v>753</v>
      </c>
      <c r="X72" s="26" t="s">
        <v>11997</v>
      </c>
      <c r="Y72" s="38" t="s">
        <v>141</v>
      </c>
      <c r="Z72" s="26" t="s">
        <v>141</v>
      </c>
      <c r="AA72" s="26"/>
      <c r="AB72" s="31" t="s">
        <v>13</v>
      </c>
      <c r="AC72" s="30" t="s">
        <v>172</v>
      </c>
      <c r="AD72" s="25" t="s">
        <v>173</v>
      </c>
      <c r="AE72" s="25" t="s">
        <v>174</v>
      </c>
      <c r="AF72" s="26" t="s">
        <v>175</v>
      </c>
      <c r="AG72" s="32">
        <v>1</v>
      </c>
      <c r="AH72" s="32">
        <v>1</v>
      </c>
      <c r="AI72" s="32"/>
      <c r="AJ72" s="32"/>
      <c r="AK72" s="30"/>
      <c r="AL72" s="32">
        <f t="shared" si="2"/>
        <v>1</v>
      </c>
      <c r="AM72" s="30"/>
      <c r="AN72" s="32"/>
      <c r="AO72" s="32"/>
      <c r="AP72" s="32">
        <v>1</v>
      </c>
      <c r="AQ72" s="32">
        <v>1</v>
      </c>
      <c r="AR72" s="32">
        <v>1</v>
      </c>
      <c r="AS72" s="32"/>
      <c r="AT72" s="32">
        <v>1</v>
      </c>
      <c r="AU72" s="30"/>
      <c r="AV72" s="30"/>
      <c r="AW72" s="30"/>
      <c r="AX72" s="30" t="s">
        <v>12026</v>
      </c>
      <c r="AY72" s="30"/>
    </row>
    <row r="73" spans="1:51">
      <c r="A73" s="25" t="s">
        <v>12027</v>
      </c>
      <c r="B73" s="25" t="s">
        <v>4398</v>
      </c>
      <c r="C73" s="25" t="s">
        <v>68</v>
      </c>
      <c r="D73" s="25" t="s">
        <v>12028</v>
      </c>
      <c r="E73" s="258" t="s">
        <v>12029</v>
      </c>
      <c r="F73" s="25" t="s">
        <v>12030</v>
      </c>
      <c r="G73" s="25" t="s">
        <v>4336</v>
      </c>
      <c r="H73" s="25" t="s">
        <v>4336</v>
      </c>
      <c r="I73" s="25" t="s">
        <v>4402</v>
      </c>
      <c r="J73" s="25" t="s">
        <v>11490</v>
      </c>
      <c r="K73" s="62" t="s">
        <v>11491</v>
      </c>
      <c r="L73" s="25" t="s">
        <v>73</v>
      </c>
      <c r="M73" s="25" t="s">
        <v>11769</v>
      </c>
      <c r="N73" s="25" t="s">
        <v>12031</v>
      </c>
      <c r="O73" s="63" t="s">
        <v>12032</v>
      </c>
      <c r="P73" s="28"/>
      <c r="Q73" s="32">
        <v>4</v>
      </c>
      <c r="R73" s="32">
        <v>16</v>
      </c>
      <c r="S73" s="32">
        <v>266.14</v>
      </c>
      <c r="T73" s="26" t="s">
        <v>138</v>
      </c>
      <c r="U73" s="30" t="s">
        <v>78</v>
      </c>
      <c r="V73" s="26" t="s">
        <v>139</v>
      </c>
      <c r="W73" s="38" t="s">
        <v>920</v>
      </c>
      <c r="X73" s="26" t="s">
        <v>11997</v>
      </c>
      <c r="Y73" s="38" t="s">
        <v>141</v>
      </c>
      <c r="Z73" s="26" t="s">
        <v>141</v>
      </c>
      <c r="AA73" s="26"/>
      <c r="AB73" s="31" t="s">
        <v>15</v>
      </c>
      <c r="AC73" s="30" t="s">
        <v>172</v>
      </c>
      <c r="AD73" s="25" t="s">
        <v>173</v>
      </c>
      <c r="AE73" s="25" t="s">
        <v>174</v>
      </c>
      <c r="AF73" s="26" t="s">
        <v>175</v>
      </c>
      <c r="AG73" s="32">
        <v>1</v>
      </c>
      <c r="AH73" s="32">
        <v>1</v>
      </c>
      <c r="AI73" s="32"/>
      <c r="AJ73" s="32">
        <v>1</v>
      </c>
      <c r="AK73" s="32">
        <v>1</v>
      </c>
      <c r="AL73" s="32">
        <f t="shared" si="2"/>
        <v>1</v>
      </c>
      <c r="AM73" s="30"/>
      <c r="AN73" s="32"/>
      <c r="AO73" s="32"/>
      <c r="AP73" s="32">
        <v>1</v>
      </c>
      <c r="AQ73" s="32">
        <v>1</v>
      </c>
      <c r="AR73" s="32">
        <v>1</v>
      </c>
      <c r="AS73" s="32"/>
      <c r="AT73" s="32">
        <v>1</v>
      </c>
      <c r="AU73" s="30"/>
      <c r="AV73" s="30"/>
      <c r="AW73" s="30"/>
      <c r="AX73" s="30" t="s">
        <v>12033</v>
      </c>
      <c r="AY73" s="30"/>
    </row>
    <row r="74" spans="1:51">
      <c r="A74" s="25" t="s">
        <v>12034</v>
      </c>
      <c r="B74" s="25" t="s">
        <v>4398</v>
      </c>
      <c r="C74" s="25" t="s">
        <v>68</v>
      </c>
      <c r="D74" s="25" t="s">
        <v>12035</v>
      </c>
      <c r="E74" s="258" t="s">
        <v>12036</v>
      </c>
      <c r="F74" s="25" t="s">
        <v>12037</v>
      </c>
      <c r="G74" s="25" t="s">
        <v>4336</v>
      </c>
      <c r="H74" s="25" t="s">
        <v>4336</v>
      </c>
      <c r="I74" s="25" t="s">
        <v>4402</v>
      </c>
      <c r="J74" s="25" t="s">
        <v>11490</v>
      </c>
      <c r="K74" s="62" t="s">
        <v>11491</v>
      </c>
      <c r="L74" s="25" t="s">
        <v>73</v>
      </c>
      <c r="M74" s="25" t="s">
        <v>11777</v>
      </c>
      <c r="N74" s="25" t="s">
        <v>12038</v>
      </c>
      <c r="O74" s="63" t="s">
        <v>12039</v>
      </c>
      <c r="P74" s="28"/>
      <c r="Q74" s="32">
        <v>4</v>
      </c>
      <c r="R74" s="32">
        <v>16</v>
      </c>
      <c r="S74" s="32">
        <v>266.14</v>
      </c>
      <c r="T74" s="26" t="s">
        <v>138</v>
      </c>
      <c r="U74" s="30" t="s">
        <v>78</v>
      </c>
      <c r="V74" s="26" t="s">
        <v>139</v>
      </c>
      <c r="W74" s="38" t="s">
        <v>920</v>
      </c>
      <c r="X74" s="26" t="s">
        <v>11997</v>
      </c>
      <c r="Y74" s="38" t="s">
        <v>141</v>
      </c>
      <c r="Z74" s="26" t="s">
        <v>141</v>
      </c>
      <c r="AA74" s="26"/>
      <c r="AB74" s="31" t="s">
        <v>15</v>
      </c>
      <c r="AC74" s="30" t="s">
        <v>172</v>
      </c>
      <c r="AD74" s="25" t="s">
        <v>173</v>
      </c>
      <c r="AE74" s="25" t="s">
        <v>174</v>
      </c>
      <c r="AF74" s="26" t="s">
        <v>175</v>
      </c>
      <c r="AG74" s="32">
        <v>1</v>
      </c>
      <c r="AH74" s="32">
        <v>1</v>
      </c>
      <c r="AI74" s="32"/>
      <c r="AJ74" s="32">
        <v>1</v>
      </c>
      <c r="AK74" s="32">
        <v>1</v>
      </c>
      <c r="AL74" s="32">
        <f t="shared" si="2"/>
        <v>1</v>
      </c>
      <c r="AM74" s="30"/>
      <c r="AN74" s="32"/>
      <c r="AO74" s="32"/>
      <c r="AP74" s="32">
        <v>1</v>
      </c>
      <c r="AQ74" s="32">
        <v>1</v>
      </c>
      <c r="AR74" s="32">
        <v>1</v>
      </c>
      <c r="AS74" s="32"/>
      <c r="AT74" s="32">
        <v>1</v>
      </c>
      <c r="AU74" s="30"/>
      <c r="AV74" s="30"/>
      <c r="AW74" s="30"/>
      <c r="AX74" s="30" t="s">
        <v>12040</v>
      </c>
      <c r="AY74" s="30"/>
    </row>
    <row r="75" spans="1:51">
      <c r="A75" s="25" t="s">
        <v>12041</v>
      </c>
      <c r="B75" s="25" t="s">
        <v>4398</v>
      </c>
      <c r="C75" s="25" t="s">
        <v>68</v>
      </c>
      <c r="D75" s="25" t="s">
        <v>12042</v>
      </c>
      <c r="E75" s="258" t="s">
        <v>12043</v>
      </c>
      <c r="F75" s="25" t="s">
        <v>12044</v>
      </c>
      <c r="G75" s="25" t="s">
        <v>4336</v>
      </c>
      <c r="H75" s="25" t="s">
        <v>4336</v>
      </c>
      <c r="I75" s="25" t="s">
        <v>4402</v>
      </c>
      <c r="J75" s="25" t="s">
        <v>11490</v>
      </c>
      <c r="K75" s="62" t="s">
        <v>11491</v>
      </c>
      <c r="L75" s="25" t="s">
        <v>73</v>
      </c>
      <c r="M75" s="25" t="s">
        <v>11784</v>
      </c>
      <c r="N75" s="25" t="s">
        <v>12045</v>
      </c>
      <c r="O75" s="63" t="s">
        <v>12046</v>
      </c>
      <c r="P75" s="28"/>
      <c r="Q75" s="32">
        <v>4</v>
      </c>
      <c r="R75" s="32">
        <v>16</v>
      </c>
      <c r="S75" s="32">
        <v>266.11</v>
      </c>
      <c r="T75" s="26" t="s">
        <v>138</v>
      </c>
      <c r="U75" s="30" t="s">
        <v>78</v>
      </c>
      <c r="V75" s="26" t="s">
        <v>139</v>
      </c>
      <c r="W75" s="38" t="s">
        <v>920</v>
      </c>
      <c r="X75" s="26" t="s">
        <v>11997</v>
      </c>
      <c r="Y75" s="38" t="s">
        <v>141</v>
      </c>
      <c r="Z75" s="26" t="s">
        <v>141</v>
      </c>
      <c r="AA75" s="26"/>
      <c r="AB75" s="31" t="s">
        <v>15</v>
      </c>
      <c r="AC75" s="30" t="s">
        <v>172</v>
      </c>
      <c r="AD75" s="25" t="s">
        <v>173</v>
      </c>
      <c r="AE75" s="25" t="s">
        <v>174</v>
      </c>
      <c r="AF75" s="26" t="s">
        <v>175</v>
      </c>
      <c r="AG75" s="32">
        <v>1</v>
      </c>
      <c r="AH75" s="32">
        <v>1</v>
      </c>
      <c r="AI75" s="32"/>
      <c r="AJ75" s="32">
        <v>1</v>
      </c>
      <c r="AK75" s="32">
        <v>1</v>
      </c>
      <c r="AL75" s="32">
        <f t="shared" si="2"/>
        <v>1</v>
      </c>
      <c r="AM75" s="30"/>
      <c r="AN75" s="32"/>
      <c r="AO75" s="32"/>
      <c r="AP75" s="32">
        <v>1</v>
      </c>
      <c r="AQ75" s="32">
        <v>1</v>
      </c>
      <c r="AR75" s="32">
        <v>1</v>
      </c>
      <c r="AS75" s="32"/>
      <c r="AT75" s="32">
        <v>1</v>
      </c>
      <c r="AU75" s="30"/>
      <c r="AV75" s="30"/>
      <c r="AW75" s="30"/>
      <c r="AX75" s="30" t="s">
        <v>11765</v>
      </c>
      <c r="AY75" s="30"/>
    </row>
    <row r="76" spans="1:51">
      <c r="A76" s="25" t="s">
        <v>12047</v>
      </c>
      <c r="B76" s="25" t="s">
        <v>4398</v>
      </c>
      <c r="C76" s="25" t="s">
        <v>68</v>
      </c>
      <c r="D76" s="25" t="s">
        <v>12048</v>
      </c>
      <c r="E76" s="258" t="s">
        <v>12049</v>
      </c>
      <c r="F76" s="25" t="s">
        <v>12050</v>
      </c>
      <c r="G76" s="25" t="s">
        <v>4336</v>
      </c>
      <c r="H76" s="25" t="s">
        <v>4336</v>
      </c>
      <c r="I76" s="25" t="s">
        <v>4402</v>
      </c>
      <c r="J76" s="25" t="s">
        <v>11490</v>
      </c>
      <c r="K76" s="62" t="s">
        <v>11491</v>
      </c>
      <c r="L76" s="25" t="s">
        <v>73</v>
      </c>
      <c r="M76" s="25" t="s">
        <v>11792</v>
      </c>
      <c r="N76" s="25" t="s">
        <v>12051</v>
      </c>
      <c r="O76" s="63" t="s">
        <v>12052</v>
      </c>
      <c r="P76" s="28"/>
      <c r="Q76" s="32">
        <v>4</v>
      </c>
      <c r="R76" s="32">
        <v>16</v>
      </c>
      <c r="S76" s="32">
        <v>266.7</v>
      </c>
      <c r="T76" s="26" t="s">
        <v>138</v>
      </c>
      <c r="U76" s="30" t="s">
        <v>78</v>
      </c>
      <c r="V76" s="26" t="s">
        <v>139</v>
      </c>
      <c r="W76" s="38" t="s">
        <v>920</v>
      </c>
      <c r="X76" s="26" t="s">
        <v>11997</v>
      </c>
      <c r="Y76" s="38" t="s">
        <v>141</v>
      </c>
      <c r="Z76" s="26" t="s">
        <v>141</v>
      </c>
      <c r="AA76" s="26"/>
      <c r="AB76" s="31" t="s">
        <v>15</v>
      </c>
      <c r="AC76" s="30" t="s">
        <v>172</v>
      </c>
      <c r="AD76" s="25" t="s">
        <v>173</v>
      </c>
      <c r="AE76" s="25" t="s">
        <v>174</v>
      </c>
      <c r="AF76" s="26" t="s">
        <v>175</v>
      </c>
      <c r="AG76" s="32">
        <v>1</v>
      </c>
      <c r="AH76" s="32">
        <v>1</v>
      </c>
      <c r="AI76" s="32"/>
      <c r="AJ76" s="32">
        <v>1</v>
      </c>
      <c r="AK76" s="32">
        <v>1</v>
      </c>
      <c r="AL76" s="32">
        <f t="shared" si="2"/>
        <v>1</v>
      </c>
      <c r="AM76" s="30"/>
      <c r="AN76" s="32"/>
      <c r="AO76" s="32"/>
      <c r="AP76" s="32">
        <v>1</v>
      </c>
      <c r="AQ76" s="32">
        <v>1</v>
      </c>
      <c r="AR76" s="32">
        <v>1</v>
      </c>
      <c r="AS76" s="32"/>
      <c r="AT76" s="32">
        <v>1</v>
      </c>
      <c r="AU76" s="30"/>
      <c r="AV76" s="30"/>
      <c r="AW76" s="30"/>
      <c r="AX76" s="30" t="s">
        <v>11774</v>
      </c>
      <c r="AY76" s="30"/>
    </row>
    <row r="77" spans="1:51">
      <c r="A77" s="25" t="s">
        <v>12053</v>
      </c>
      <c r="B77" s="25" t="s">
        <v>4398</v>
      </c>
      <c r="C77" s="25" t="s">
        <v>68</v>
      </c>
      <c r="D77" s="25" t="s">
        <v>12054</v>
      </c>
      <c r="E77" s="258" t="s">
        <v>12055</v>
      </c>
      <c r="F77" s="25" t="s">
        <v>12056</v>
      </c>
      <c r="G77" s="25" t="s">
        <v>4336</v>
      </c>
      <c r="H77" s="25" t="s">
        <v>4336</v>
      </c>
      <c r="I77" s="25" t="s">
        <v>4402</v>
      </c>
      <c r="J77" s="25" t="s">
        <v>11490</v>
      </c>
      <c r="K77" s="62" t="s">
        <v>11491</v>
      </c>
      <c r="L77" s="25" t="s">
        <v>73</v>
      </c>
      <c r="M77" s="25" t="s">
        <v>11800</v>
      </c>
      <c r="N77" s="25" t="s">
        <v>12057</v>
      </c>
      <c r="O77" s="63" t="s">
        <v>12058</v>
      </c>
      <c r="P77" s="28"/>
      <c r="Q77" s="32">
        <v>4</v>
      </c>
      <c r="R77" s="32">
        <v>16</v>
      </c>
      <c r="S77" s="32">
        <v>266.13</v>
      </c>
      <c r="T77" s="26" t="s">
        <v>138</v>
      </c>
      <c r="U77" s="30" t="s">
        <v>78</v>
      </c>
      <c r="V77" s="26" t="s">
        <v>139</v>
      </c>
      <c r="W77" s="38" t="s">
        <v>920</v>
      </c>
      <c r="X77" s="26" t="s">
        <v>11997</v>
      </c>
      <c r="Y77" s="38" t="s">
        <v>141</v>
      </c>
      <c r="Z77" s="26" t="s">
        <v>141</v>
      </c>
      <c r="AA77" s="26"/>
      <c r="AB77" s="31" t="s">
        <v>15</v>
      </c>
      <c r="AC77" s="30" t="s">
        <v>172</v>
      </c>
      <c r="AD77" s="25" t="s">
        <v>173</v>
      </c>
      <c r="AE77" s="25" t="s">
        <v>174</v>
      </c>
      <c r="AF77" s="26" t="s">
        <v>175</v>
      </c>
      <c r="AG77" s="32">
        <v>1</v>
      </c>
      <c r="AH77" s="32">
        <v>1</v>
      </c>
      <c r="AI77" s="32"/>
      <c r="AJ77" s="32">
        <v>1</v>
      </c>
      <c r="AK77" s="32">
        <v>1</v>
      </c>
      <c r="AL77" s="32">
        <f t="shared" si="2"/>
        <v>1</v>
      </c>
      <c r="AM77" s="30"/>
      <c r="AN77" s="32"/>
      <c r="AO77" s="32"/>
      <c r="AP77" s="32">
        <v>1</v>
      </c>
      <c r="AQ77" s="32">
        <v>1</v>
      </c>
      <c r="AR77" s="32">
        <v>1</v>
      </c>
      <c r="AS77" s="32"/>
      <c r="AT77" s="32">
        <v>1</v>
      </c>
      <c r="AU77" s="30"/>
      <c r="AV77" s="30"/>
      <c r="AW77" s="30"/>
      <c r="AX77" s="30" t="s">
        <v>11781</v>
      </c>
      <c r="AY77" s="30"/>
    </row>
    <row r="78" spans="1:51">
      <c r="A78" s="25" t="s">
        <v>12059</v>
      </c>
      <c r="B78" s="25" t="s">
        <v>4398</v>
      </c>
      <c r="C78" s="25" t="s">
        <v>68</v>
      </c>
      <c r="D78" s="25" t="s">
        <v>12060</v>
      </c>
      <c r="E78" s="258" t="s">
        <v>12061</v>
      </c>
      <c r="F78" s="25" t="s">
        <v>12062</v>
      </c>
      <c r="G78" s="25" t="s">
        <v>4336</v>
      </c>
      <c r="H78" s="25" t="s">
        <v>4336</v>
      </c>
      <c r="I78" s="25" t="s">
        <v>4402</v>
      </c>
      <c r="J78" s="25" t="s">
        <v>11490</v>
      </c>
      <c r="K78" s="62" t="s">
        <v>11491</v>
      </c>
      <c r="L78" s="25" t="s">
        <v>73</v>
      </c>
      <c r="M78" s="25" t="s">
        <v>11808</v>
      </c>
      <c r="N78" s="25" t="s">
        <v>12063</v>
      </c>
      <c r="O78" s="63" t="s">
        <v>12064</v>
      </c>
      <c r="P78" s="28"/>
      <c r="Q78" s="32">
        <v>4</v>
      </c>
      <c r="R78" s="32">
        <v>16</v>
      </c>
      <c r="S78" s="32">
        <v>266.11</v>
      </c>
      <c r="T78" s="26" t="s">
        <v>138</v>
      </c>
      <c r="U78" s="30" t="s">
        <v>78</v>
      </c>
      <c r="V78" s="26" t="s">
        <v>139</v>
      </c>
      <c r="W78" s="38" t="s">
        <v>920</v>
      </c>
      <c r="X78" s="26" t="s">
        <v>11997</v>
      </c>
      <c r="Y78" s="38" t="s">
        <v>141</v>
      </c>
      <c r="Z78" s="26" t="s">
        <v>141</v>
      </c>
      <c r="AA78" s="26"/>
      <c r="AB78" s="31" t="s">
        <v>15</v>
      </c>
      <c r="AC78" s="30" t="s">
        <v>172</v>
      </c>
      <c r="AD78" s="25" t="s">
        <v>173</v>
      </c>
      <c r="AE78" s="25" t="s">
        <v>174</v>
      </c>
      <c r="AF78" s="26" t="s">
        <v>175</v>
      </c>
      <c r="AG78" s="32">
        <v>1</v>
      </c>
      <c r="AH78" s="32">
        <v>1</v>
      </c>
      <c r="AI78" s="32"/>
      <c r="AJ78" s="32">
        <v>1</v>
      </c>
      <c r="AK78" s="32">
        <v>1</v>
      </c>
      <c r="AL78" s="32">
        <f t="shared" si="2"/>
        <v>1</v>
      </c>
      <c r="AM78" s="30"/>
      <c r="AN78" s="32"/>
      <c r="AO78" s="32"/>
      <c r="AP78" s="32">
        <v>1</v>
      </c>
      <c r="AQ78" s="32">
        <v>1</v>
      </c>
      <c r="AR78" s="32">
        <v>1</v>
      </c>
      <c r="AS78" s="32"/>
      <c r="AT78" s="32">
        <v>1</v>
      </c>
      <c r="AU78" s="30"/>
      <c r="AV78" s="30"/>
      <c r="AW78" s="30"/>
      <c r="AX78" s="30" t="s">
        <v>11789</v>
      </c>
      <c r="AY78" s="30"/>
    </row>
    <row r="79" spans="1:51">
      <c r="A79" s="25" t="s">
        <v>12065</v>
      </c>
      <c r="B79" s="25" t="s">
        <v>4398</v>
      </c>
      <c r="C79" s="25" t="s">
        <v>68</v>
      </c>
      <c r="D79" s="25" t="s">
        <v>12066</v>
      </c>
      <c r="E79" s="258" t="s">
        <v>12067</v>
      </c>
      <c r="F79" s="25" t="s">
        <v>12068</v>
      </c>
      <c r="G79" s="25" t="s">
        <v>4336</v>
      </c>
      <c r="H79" s="25" t="s">
        <v>4336</v>
      </c>
      <c r="I79" s="25" t="s">
        <v>4402</v>
      </c>
      <c r="J79" s="25" t="s">
        <v>11490</v>
      </c>
      <c r="K79" s="62" t="s">
        <v>11491</v>
      </c>
      <c r="L79" s="25" t="s">
        <v>73</v>
      </c>
      <c r="M79" s="25" t="s">
        <v>11816</v>
      </c>
      <c r="N79" s="25" t="s">
        <v>12069</v>
      </c>
      <c r="O79" s="63" t="s">
        <v>12070</v>
      </c>
      <c r="P79" s="28"/>
      <c r="Q79" s="32">
        <v>4</v>
      </c>
      <c r="R79" s="32">
        <v>16</v>
      </c>
      <c r="S79" s="32">
        <v>266.13</v>
      </c>
      <c r="T79" s="26" t="s">
        <v>138</v>
      </c>
      <c r="U79" s="30" t="s">
        <v>78</v>
      </c>
      <c r="V79" s="26" t="s">
        <v>139</v>
      </c>
      <c r="W79" s="38" t="s">
        <v>920</v>
      </c>
      <c r="X79" s="26" t="s">
        <v>11997</v>
      </c>
      <c r="Y79" s="38" t="s">
        <v>141</v>
      </c>
      <c r="Z79" s="26" t="s">
        <v>141</v>
      </c>
      <c r="AA79" s="26"/>
      <c r="AB79" s="31" t="s">
        <v>15</v>
      </c>
      <c r="AC79" s="30" t="s">
        <v>172</v>
      </c>
      <c r="AD79" s="25" t="s">
        <v>173</v>
      </c>
      <c r="AE79" s="25" t="s">
        <v>174</v>
      </c>
      <c r="AF79" s="26" t="s">
        <v>175</v>
      </c>
      <c r="AG79" s="32">
        <v>1</v>
      </c>
      <c r="AH79" s="32">
        <v>1</v>
      </c>
      <c r="AI79" s="32"/>
      <c r="AJ79" s="32">
        <v>1</v>
      </c>
      <c r="AK79" s="32">
        <v>1</v>
      </c>
      <c r="AL79" s="32">
        <f t="shared" si="2"/>
        <v>1</v>
      </c>
      <c r="AM79" s="30"/>
      <c r="AN79" s="32"/>
      <c r="AO79" s="32"/>
      <c r="AP79" s="32">
        <v>1</v>
      </c>
      <c r="AQ79" s="32">
        <v>1</v>
      </c>
      <c r="AR79" s="32">
        <v>1</v>
      </c>
      <c r="AS79" s="32"/>
      <c r="AT79" s="32">
        <v>1</v>
      </c>
      <c r="AU79" s="30"/>
      <c r="AV79" s="30"/>
      <c r="AW79" s="30"/>
      <c r="AX79" s="30" t="s">
        <v>11797</v>
      </c>
      <c r="AY79" s="30"/>
    </row>
    <row r="80" spans="1:51">
      <c r="A80" s="25" t="s">
        <v>12071</v>
      </c>
      <c r="B80" s="25" t="s">
        <v>4398</v>
      </c>
      <c r="C80" s="25" t="s">
        <v>68</v>
      </c>
      <c r="D80" s="25" t="s">
        <v>12072</v>
      </c>
      <c r="E80" s="258" t="s">
        <v>12073</v>
      </c>
      <c r="F80" s="25" t="s">
        <v>12074</v>
      </c>
      <c r="G80" s="25" t="s">
        <v>4336</v>
      </c>
      <c r="H80" s="25" t="s">
        <v>4336</v>
      </c>
      <c r="I80" s="25" t="s">
        <v>4402</v>
      </c>
      <c r="J80" s="25" t="s">
        <v>11490</v>
      </c>
      <c r="K80" s="62" t="s">
        <v>11491</v>
      </c>
      <c r="L80" s="25" t="s">
        <v>73</v>
      </c>
      <c r="M80" s="25" t="s">
        <v>11824</v>
      </c>
      <c r="N80" s="25" t="s">
        <v>12075</v>
      </c>
      <c r="O80" s="63" t="s">
        <v>12076</v>
      </c>
      <c r="P80" s="28"/>
      <c r="Q80" s="32">
        <v>4</v>
      </c>
      <c r="R80" s="32">
        <v>16</v>
      </c>
      <c r="S80" s="32">
        <v>266.17</v>
      </c>
      <c r="T80" s="26" t="s">
        <v>138</v>
      </c>
      <c r="U80" s="30" t="s">
        <v>78</v>
      </c>
      <c r="V80" s="26" t="s">
        <v>139</v>
      </c>
      <c r="W80" s="38" t="s">
        <v>920</v>
      </c>
      <c r="X80" s="26" t="s">
        <v>11997</v>
      </c>
      <c r="Y80" s="38" t="s">
        <v>141</v>
      </c>
      <c r="Z80" s="26" t="s">
        <v>141</v>
      </c>
      <c r="AA80" s="26"/>
      <c r="AB80" s="31" t="s">
        <v>15</v>
      </c>
      <c r="AC80" s="30" t="s">
        <v>172</v>
      </c>
      <c r="AD80" s="25" t="s">
        <v>173</v>
      </c>
      <c r="AE80" s="25" t="s">
        <v>174</v>
      </c>
      <c r="AF80" s="26" t="s">
        <v>175</v>
      </c>
      <c r="AG80" s="32">
        <v>1</v>
      </c>
      <c r="AH80" s="32">
        <v>1</v>
      </c>
      <c r="AI80" s="32"/>
      <c r="AJ80" s="32">
        <v>1</v>
      </c>
      <c r="AK80" s="32">
        <v>1</v>
      </c>
      <c r="AL80" s="32">
        <f t="shared" si="2"/>
        <v>1</v>
      </c>
      <c r="AM80" s="30"/>
      <c r="AN80" s="32"/>
      <c r="AO80" s="32"/>
      <c r="AP80" s="32">
        <v>1</v>
      </c>
      <c r="AQ80" s="32">
        <v>1</v>
      </c>
      <c r="AR80" s="32">
        <v>1</v>
      </c>
      <c r="AS80" s="32"/>
      <c r="AT80" s="32">
        <v>1</v>
      </c>
      <c r="AU80" s="30"/>
      <c r="AV80" s="30"/>
      <c r="AW80" s="30"/>
      <c r="AX80" s="30" t="s">
        <v>11805</v>
      </c>
      <c r="AY80" s="30"/>
    </row>
    <row r="81" spans="1:51">
      <c r="A81" s="25" t="s">
        <v>12077</v>
      </c>
      <c r="B81" s="25" t="s">
        <v>4398</v>
      </c>
      <c r="C81" s="25" t="s">
        <v>68</v>
      </c>
      <c r="D81" s="25" t="s">
        <v>12078</v>
      </c>
      <c r="E81" s="258" t="s">
        <v>12079</v>
      </c>
      <c r="F81" s="25" t="s">
        <v>12080</v>
      </c>
      <c r="G81" s="25" t="s">
        <v>4336</v>
      </c>
      <c r="H81" s="25" t="s">
        <v>4336</v>
      </c>
      <c r="I81" s="25" t="s">
        <v>4402</v>
      </c>
      <c r="J81" s="25" t="s">
        <v>11490</v>
      </c>
      <c r="K81" s="62" t="s">
        <v>11491</v>
      </c>
      <c r="L81" s="25" t="s">
        <v>73</v>
      </c>
      <c r="M81" s="25" t="s">
        <v>11832</v>
      </c>
      <c r="N81" s="25" t="s">
        <v>12081</v>
      </c>
      <c r="O81" s="63" t="s">
        <v>12082</v>
      </c>
      <c r="P81" s="28"/>
      <c r="Q81" s="32">
        <v>4</v>
      </c>
      <c r="R81" s="32">
        <v>16</v>
      </c>
      <c r="S81" s="32">
        <v>266.74</v>
      </c>
      <c r="T81" s="26" t="s">
        <v>138</v>
      </c>
      <c r="U81" s="30" t="s">
        <v>78</v>
      </c>
      <c r="V81" s="26" t="s">
        <v>139</v>
      </c>
      <c r="W81" s="38" t="s">
        <v>920</v>
      </c>
      <c r="X81" s="26" t="s">
        <v>11997</v>
      </c>
      <c r="Y81" s="38" t="s">
        <v>141</v>
      </c>
      <c r="Z81" s="26" t="s">
        <v>141</v>
      </c>
      <c r="AA81" s="26"/>
      <c r="AB81" s="31" t="s">
        <v>15</v>
      </c>
      <c r="AC81" s="30" t="s">
        <v>172</v>
      </c>
      <c r="AD81" s="25" t="s">
        <v>173</v>
      </c>
      <c r="AE81" s="25" t="s">
        <v>174</v>
      </c>
      <c r="AF81" s="26" t="s">
        <v>175</v>
      </c>
      <c r="AG81" s="32">
        <v>1</v>
      </c>
      <c r="AH81" s="32">
        <v>1</v>
      </c>
      <c r="AI81" s="32"/>
      <c r="AJ81" s="32">
        <v>1</v>
      </c>
      <c r="AK81" s="32">
        <v>1</v>
      </c>
      <c r="AL81" s="32">
        <f t="shared" si="2"/>
        <v>1</v>
      </c>
      <c r="AM81" s="30"/>
      <c r="AN81" s="32"/>
      <c r="AO81" s="32"/>
      <c r="AP81" s="32">
        <v>1</v>
      </c>
      <c r="AQ81" s="32">
        <v>1</v>
      </c>
      <c r="AR81" s="32">
        <v>1</v>
      </c>
      <c r="AS81" s="32"/>
      <c r="AT81" s="32">
        <v>1</v>
      </c>
      <c r="AU81" s="30"/>
      <c r="AV81" s="30"/>
      <c r="AW81" s="30"/>
      <c r="AX81" s="30" t="s">
        <v>12083</v>
      </c>
      <c r="AY81" s="30"/>
    </row>
    <row r="82" spans="1:51">
      <c r="A82" s="25" t="s">
        <v>12084</v>
      </c>
      <c r="B82" s="25" t="s">
        <v>4398</v>
      </c>
      <c r="C82" s="25" t="s">
        <v>68</v>
      </c>
      <c r="D82" s="25" t="s">
        <v>12085</v>
      </c>
      <c r="E82" s="258" t="s">
        <v>12086</v>
      </c>
      <c r="F82" s="25" t="s">
        <v>12087</v>
      </c>
      <c r="G82" s="25" t="s">
        <v>4336</v>
      </c>
      <c r="H82" s="25" t="s">
        <v>4336</v>
      </c>
      <c r="I82" s="25" t="s">
        <v>4402</v>
      </c>
      <c r="J82" s="25" t="s">
        <v>11490</v>
      </c>
      <c r="K82" s="62" t="s">
        <v>11491</v>
      </c>
      <c r="L82" s="25" t="s">
        <v>73</v>
      </c>
      <c r="M82" s="25" t="s">
        <v>11495</v>
      </c>
      <c r="N82" s="25" t="s">
        <v>12088</v>
      </c>
      <c r="O82" s="63" t="s">
        <v>12089</v>
      </c>
      <c r="P82" s="28"/>
      <c r="Q82" s="32">
        <v>4</v>
      </c>
      <c r="R82" s="32">
        <v>16</v>
      </c>
      <c r="S82" s="32">
        <v>266.11</v>
      </c>
      <c r="T82" s="26" t="s">
        <v>138</v>
      </c>
      <c r="U82" s="30" t="s">
        <v>78</v>
      </c>
      <c r="V82" s="26" t="s">
        <v>139</v>
      </c>
      <c r="W82" s="26" t="s">
        <v>263</v>
      </c>
      <c r="X82" s="26" t="s">
        <v>11997</v>
      </c>
      <c r="Y82" s="38" t="s">
        <v>141</v>
      </c>
      <c r="Z82" s="26" t="s">
        <v>141</v>
      </c>
      <c r="AA82" s="26"/>
      <c r="AB82" s="36" t="s">
        <v>7</v>
      </c>
      <c r="AC82" s="30" t="s">
        <v>172</v>
      </c>
      <c r="AD82" s="25" t="s">
        <v>173</v>
      </c>
      <c r="AE82" s="25" t="s">
        <v>174</v>
      </c>
      <c r="AF82" s="26" t="s">
        <v>175</v>
      </c>
      <c r="AG82" s="32">
        <v>1</v>
      </c>
      <c r="AH82" s="32">
        <v>1</v>
      </c>
      <c r="AI82" s="32"/>
      <c r="AJ82" s="32"/>
      <c r="AK82" s="30"/>
      <c r="AL82" s="32">
        <f t="shared" si="2"/>
        <v>1</v>
      </c>
      <c r="AM82" s="30"/>
      <c r="AN82" s="32"/>
      <c r="AO82" s="32"/>
      <c r="AP82" s="32">
        <v>1</v>
      </c>
      <c r="AQ82" s="32">
        <v>1</v>
      </c>
      <c r="AR82" s="32">
        <v>1</v>
      </c>
      <c r="AS82" s="32"/>
      <c r="AT82" s="32">
        <v>1</v>
      </c>
      <c r="AU82" s="30"/>
      <c r="AV82" s="30"/>
      <c r="AW82" s="30"/>
      <c r="AX82" s="30" t="s">
        <v>11813</v>
      </c>
      <c r="AY82" s="30"/>
    </row>
    <row r="83" spans="1:51">
      <c r="A83" s="25" t="s">
        <v>12090</v>
      </c>
      <c r="B83" s="25" t="s">
        <v>4398</v>
      </c>
      <c r="C83" s="25" t="s">
        <v>68</v>
      </c>
      <c r="D83" s="25" t="s">
        <v>12091</v>
      </c>
      <c r="E83" s="258" t="s">
        <v>12092</v>
      </c>
      <c r="F83" s="25" t="s">
        <v>12093</v>
      </c>
      <c r="G83" s="25" t="s">
        <v>4336</v>
      </c>
      <c r="H83" s="25" t="s">
        <v>4336</v>
      </c>
      <c r="I83" s="25" t="s">
        <v>4402</v>
      </c>
      <c r="J83" s="25" t="s">
        <v>11490</v>
      </c>
      <c r="K83" s="62" t="s">
        <v>11491</v>
      </c>
      <c r="L83" s="25" t="s">
        <v>73</v>
      </c>
      <c r="M83" s="25" t="s">
        <v>11840</v>
      </c>
      <c r="N83" s="25" t="s">
        <v>12094</v>
      </c>
      <c r="O83" s="63" t="s">
        <v>12095</v>
      </c>
      <c r="P83" s="28"/>
      <c r="Q83" s="32">
        <v>4</v>
      </c>
      <c r="R83" s="32">
        <v>16</v>
      </c>
      <c r="S83" s="32">
        <v>266.19</v>
      </c>
      <c r="T83" s="26" t="s">
        <v>138</v>
      </c>
      <c r="U83" s="30" t="s">
        <v>78</v>
      </c>
      <c r="V83" s="26" t="s">
        <v>139</v>
      </c>
      <c r="W83" s="38" t="s">
        <v>920</v>
      </c>
      <c r="X83" s="26" t="s">
        <v>11997</v>
      </c>
      <c r="Y83" s="38" t="s">
        <v>141</v>
      </c>
      <c r="Z83" s="26" t="s">
        <v>141</v>
      </c>
      <c r="AA83" s="26"/>
      <c r="AB83" s="31" t="s">
        <v>15</v>
      </c>
      <c r="AC83" s="30" t="s">
        <v>172</v>
      </c>
      <c r="AD83" s="25" t="s">
        <v>173</v>
      </c>
      <c r="AE83" s="25" t="s">
        <v>174</v>
      </c>
      <c r="AF83" s="26" t="s">
        <v>175</v>
      </c>
      <c r="AG83" s="32">
        <v>1</v>
      </c>
      <c r="AH83" s="32">
        <v>1</v>
      </c>
      <c r="AI83" s="32"/>
      <c r="AJ83" s="32">
        <v>1</v>
      </c>
      <c r="AK83" s="32">
        <v>1</v>
      </c>
      <c r="AL83" s="32">
        <f t="shared" si="2"/>
        <v>1</v>
      </c>
      <c r="AM83" s="30"/>
      <c r="AN83" s="32"/>
      <c r="AO83" s="32"/>
      <c r="AP83" s="32">
        <v>1</v>
      </c>
      <c r="AQ83" s="32">
        <v>1</v>
      </c>
      <c r="AR83" s="32">
        <v>1</v>
      </c>
      <c r="AS83" s="32"/>
      <c r="AT83" s="32">
        <v>1</v>
      </c>
      <c r="AU83" s="30"/>
      <c r="AV83" s="30"/>
      <c r="AW83" s="30"/>
      <c r="AX83" s="30" t="s">
        <v>11632</v>
      </c>
      <c r="AY83" s="30"/>
    </row>
    <row r="84" spans="1:51">
      <c r="A84" s="25" t="s">
        <v>12096</v>
      </c>
      <c r="B84" s="25" t="s">
        <v>4398</v>
      </c>
      <c r="C84" s="25" t="s">
        <v>68</v>
      </c>
      <c r="D84" s="25" t="s">
        <v>12097</v>
      </c>
      <c r="E84" s="258" t="s">
        <v>12098</v>
      </c>
      <c r="F84" s="25" t="s">
        <v>12099</v>
      </c>
      <c r="G84" s="25" t="s">
        <v>4336</v>
      </c>
      <c r="H84" s="25" t="s">
        <v>4336</v>
      </c>
      <c r="I84" s="25" t="s">
        <v>4402</v>
      </c>
      <c r="J84" s="25" t="s">
        <v>11490</v>
      </c>
      <c r="K84" s="62" t="s">
        <v>11491</v>
      </c>
      <c r="L84" s="25" t="s">
        <v>73</v>
      </c>
      <c r="M84" s="25" t="s">
        <v>11850</v>
      </c>
      <c r="N84" s="25" t="s">
        <v>12100</v>
      </c>
      <c r="O84" s="63" t="s">
        <v>12101</v>
      </c>
      <c r="P84" s="28"/>
      <c r="Q84" s="32">
        <v>4</v>
      </c>
      <c r="R84" s="32">
        <v>16</v>
      </c>
      <c r="S84" s="32">
        <v>266.39999999999998</v>
      </c>
      <c r="T84" s="26" t="s">
        <v>138</v>
      </c>
      <c r="U84" s="30" t="s">
        <v>78</v>
      </c>
      <c r="V84" s="26" t="s">
        <v>139</v>
      </c>
      <c r="W84" s="38" t="s">
        <v>920</v>
      </c>
      <c r="X84" s="26" t="s">
        <v>11997</v>
      </c>
      <c r="Y84" s="38" t="s">
        <v>141</v>
      </c>
      <c r="Z84" s="26" t="s">
        <v>141</v>
      </c>
      <c r="AA84" s="26"/>
      <c r="AB84" s="31" t="s">
        <v>15</v>
      </c>
      <c r="AC84" s="30" t="s">
        <v>172</v>
      </c>
      <c r="AD84" s="25" t="s">
        <v>173</v>
      </c>
      <c r="AE84" s="25" t="s">
        <v>174</v>
      </c>
      <c r="AF84" s="26" t="s">
        <v>175</v>
      </c>
      <c r="AG84" s="32">
        <v>1</v>
      </c>
      <c r="AH84" s="32">
        <v>1</v>
      </c>
      <c r="AI84" s="32"/>
      <c r="AJ84" s="32">
        <v>1</v>
      </c>
      <c r="AK84" s="32">
        <v>1</v>
      </c>
      <c r="AL84" s="32">
        <f t="shared" si="2"/>
        <v>1</v>
      </c>
      <c r="AM84" s="30"/>
      <c r="AN84" s="32"/>
      <c r="AO84" s="32"/>
      <c r="AP84" s="32">
        <v>1</v>
      </c>
      <c r="AQ84" s="32">
        <v>1</v>
      </c>
      <c r="AR84" s="32">
        <v>1</v>
      </c>
      <c r="AS84" s="32"/>
      <c r="AT84" s="32">
        <v>1</v>
      </c>
      <c r="AU84" s="30"/>
      <c r="AV84" s="30"/>
      <c r="AW84" s="30"/>
      <c r="AX84" s="30" t="s">
        <v>12102</v>
      </c>
      <c r="AY84" s="30"/>
    </row>
    <row r="85" spans="1:51">
      <c r="A85" s="25" t="s">
        <v>12103</v>
      </c>
      <c r="B85" s="25" t="s">
        <v>4398</v>
      </c>
      <c r="C85" s="25" t="s">
        <v>68</v>
      </c>
      <c r="D85" s="25" t="s">
        <v>12104</v>
      </c>
      <c r="E85" s="258" t="s">
        <v>12105</v>
      </c>
      <c r="F85" s="25" t="s">
        <v>12106</v>
      </c>
      <c r="G85" s="25" t="s">
        <v>4336</v>
      </c>
      <c r="H85" s="25" t="s">
        <v>4336</v>
      </c>
      <c r="I85" s="25" t="s">
        <v>4402</v>
      </c>
      <c r="J85" s="25" t="s">
        <v>11490</v>
      </c>
      <c r="K85" s="62" t="s">
        <v>11491</v>
      </c>
      <c r="L85" s="25" t="s">
        <v>73</v>
      </c>
      <c r="M85" s="25" t="s">
        <v>11858</v>
      </c>
      <c r="N85" s="25" t="s">
        <v>12107</v>
      </c>
      <c r="O85" s="63" t="s">
        <v>12108</v>
      </c>
      <c r="P85" s="28"/>
      <c r="Q85" s="32">
        <v>4</v>
      </c>
      <c r="R85" s="32">
        <v>16</v>
      </c>
      <c r="S85" s="32">
        <v>266.17</v>
      </c>
      <c r="T85" s="26" t="s">
        <v>138</v>
      </c>
      <c r="U85" s="30" t="s">
        <v>78</v>
      </c>
      <c r="V85" s="26" t="s">
        <v>139</v>
      </c>
      <c r="W85" s="38" t="s">
        <v>920</v>
      </c>
      <c r="X85" s="26" t="s">
        <v>11997</v>
      </c>
      <c r="Y85" s="38" t="s">
        <v>141</v>
      </c>
      <c r="Z85" s="26" t="s">
        <v>141</v>
      </c>
      <c r="AA85" s="26"/>
      <c r="AB85" s="31" t="s">
        <v>15</v>
      </c>
      <c r="AC85" s="30" t="s">
        <v>172</v>
      </c>
      <c r="AD85" s="25" t="s">
        <v>173</v>
      </c>
      <c r="AE85" s="25" t="s">
        <v>174</v>
      </c>
      <c r="AF85" s="26" t="s">
        <v>175</v>
      </c>
      <c r="AG85" s="32">
        <v>1</v>
      </c>
      <c r="AH85" s="32">
        <v>1</v>
      </c>
      <c r="AI85" s="32"/>
      <c r="AJ85" s="32">
        <v>1</v>
      </c>
      <c r="AK85" s="32">
        <v>1</v>
      </c>
      <c r="AL85" s="32">
        <f t="shared" si="2"/>
        <v>1</v>
      </c>
      <c r="AM85" s="30"/>
      <c r="AN85" s="25"/>
      <c r="AO85" s="32"/>
      <c r="AP85" s="25">
        <v>1</v>
      </c>
      <c r="AQ85" s="32">
        <v>1</v>
      </c>
      <c r="AR85" s="32">
        <v>1</v>
      </c>
      <c r="AS85" s="32"/>
      <c r="AT85" s="32">
        <v>1</v>
      </c>
      <c r="AU85" s="30"/>
      <c r="AV85" s="30"/>
      <c r="AW85" s="30"/>
      <c r="AX85" s="30" t="s">
        <v>11821</v>
      </c>
      <c r="AY85" s="30"/>
    </row>
    <row r="86" spans="1:51">
      <c r="A86" s="25" t="s">
        <v>12109</v>
      </c>
      <c r="B86" s="25" t="s">
        <v>4398</v>
      </c>
      <c r="C86" s="25" t="s">
        <v>68</v>
      </c>
      <c r="D86" s="25" t="s">
        <v>12110</v>
      </c>
      <c r="E86" s="258" t="s">
        <v>12111</v>
      </c>
      <c r="F86" s="25" t="s">
        <v>12112</v>
      </c>
      <c r="G86" s="25" t="s">
        <v>4336</v>
      </c>
      <c r="H86" s="25" t="s">
        <v>4336</v>
      </c>
      <c r="I86" s="25" t="s">
        <v>4402</v>
      </c>
      <c r="J86" s="25" t="s">
        <v>11490</v>
      </c>
      <c r="K86" s="62" t="s">
        <v>11491</v>
      </c>
      <c r="L86" s="25" t="s">
        <v>73</v>
      </c>
      <c r="M86" s="25" t="s">
        <v>11866</v>
      </c>
      <c r="N86" s="25" t="s">
        <v>12113</v>
      </c>
      <c r="O86" s="63" t="s">
        <v>12114</v>
      </c>
      <c r="P86" s="28"/>
      <c r="Q86" s="32">
        <v>4</v>
      </c>
      <c r="R86" s="32">
        <v>16</v>
      </c>
      <c r="S86" s="32">
        <v>266.10000000000002</v>
      </c>
      <c r="T86" s="26" t="s">
        <v>138</v>
      </c>
      <c r="U86" s="30" t="s">
        <v>78</v>
      </c>
      <c r="V86" s="26" t="s">
        <v>139</v>
      </c>
      <c r="W86" s="38" t="s">
        <v>920</v>
      </c>
      <c r="X86" s="26" t="s">
        <v>11997</v>
      </c>
      <c r="Y86" s="38" t="s">
        <v>141</v>
      </c>
      <c r="Z86" s="26" t="s">
        <v>141</v>
      </c>
      <c r="AA86" s="26"/>
      <c r="AB86" s="31" t="s">
        <v>15</v>
      </c>
      <c r="AC86" s="30" t="s">
        <v>172</v>
      </c>
      <c r="AD86" s="25" t="s">
        <v>173</v>
      </c>
      <c r="AE86" s="25" t="s">
        <v>174</v>
      </c>
      <c r="AF86" s="26" t="s">
        <v>175</v>
      </c>
      <c r="AG86" s="32">
        <v>1</v>
      </c>
      <c r="AH86" s="32">
        <v>1</v>
      </c>
      <c r="AI86" s="32"/>
      <c r="AJ86" s="32">
        <v>1</v>
      </c>
      <c r="AK86" s="32">
        <v>1</v>
      </c>
      <c r="AL86" s="32">
        <f t="shared" si="2"/>
        <v>1</v>
      </c>
      <c r="AM86" s="30"/>
      <c r="AN86" s="32"/>
      <c r="AO86" s="32"/>
      <c r="AP86" s="25">
        <v>1</v>
      </c>
      <c r="AQ86" s="32">
        <v>1</v>
      </c>
      <c r="AR86" s="32">
        <v>1</v>
      </c>
      <c r="AS86" s="32"/>
      <c r="AT86" s="32">
        <v>1</v>
      </c>
      <c r="AU86" s="30"/>
      <c r="AV86" s="30"/>
      <c r="AW86" s="30"/>
      <c r="AX86" s="30" t="s">
        <v>11829</v>
      </c>
      <c r="AY86" s="30"/>
    </row>
    <row r="87" spans="1:51">
      <c r="A87" s="25" t="s">
        <v>12115</v>
      </c>
      <c r="B87" s="25" t="s">
        <v>4398</v>
      </c>
      <c r="C87" s="25" t="s">
        <v>68</v>
      </c>
      <c r="D87" s="25" t="s">
        <v>12116</v>
      </c>
      <c r="E87" s="258" t="s">
        <v>12117</v>
      </c>
      <c r="F87" s="25" t="s">
        <v>12118</v>
      </c>
      <c r="G87" s="25" t="s">
        <v>4336</v>
      </c>
      <c r="H87" s="25" t="s">
        <v>4336</v>
      </c>
      <c r="I87" s="25" t="s">
        <v>4402</v>
      </c>
      <c r="J87" s="25" t="s">
        <v>11490</v>
      </c>
      <c r="K87" s="62" t="s">
        <v>11491</v>
      </c>
      <c r="L87" s="25" t="s">
        <v>73</v>
      </c>
      <c r="M87" s="25" t="s">
        <v>11873</v>
      </c>
      <c r="N87" s="25" t="s">
        <v>12119</v>
      </c>
      <c r="O87" s="63" t="s">
        <v>12120</v>
      </c>
      <c r="P87" s="28"/>
      <c r="Q87" s="32">
        <v>4</v>
      </c>
      <c r="R87" s="32">
        <v>16</v>
      </c>
      <c r="S87" s="32">
        <v>266.10000000000002</v>
      </c>
      <c r="T87" s="26" t="s">
        <v>138</v>
      </c>
      <c r="U87" s="30" t="s">
        <v>78</v>
      </c>
      <c r="V87" s="26" t="s">
        <v>139</v>
      </c>
      <c r="W87" s="38" t="s">
        <v>920</v>
      </c>
      <c r="X87" s="26" t="s">
        <v>11997</v>
      </c>
      <c r="Y87" s="38" t="s">
        <v>141</v>
      </c>
      <c r="Z87" s="26" t="s">
        <v>141</v>
      </c>
      <c r="AA87" s="26"/>
      <c r="AB87" s="31" t="s">
        <v>15</v>
      </c>
      <c r="AC87" s="30" t="s">
        <v>172</v>
      </c>
      <c r="AD87" s="25" t="s">
        <v>173</v>
      </c>
      <c r="AE87" s="25" t="s">
        <v>174</v>
      </c>
      <c r="AF87" s="26" t="s">
        <v>175</v>
      </c>
      <c r="AG87" s="32">
        <v>1</v>
      </c>
      <c r="AH87" s="32">
        <v>1</v>
      </c>
      <c r="AI87" s="32"/>
      <c r="AJ87" s="32">
        <v>1</v>
      </c>
      <c r="AK87" s="32">
        <v>1</v>
      </c>
      <c r="AL87" s="32">
        <f t="shared" si="2"/>
        <v>1</v>
      </c>
      <c r="AM87" s="30"/>
      <c r="AN87" s="32"/>
      <c r="AO87" s="32"/>
      <c r="AP87" s="25">
        <v>1</v>
      </c>
      <c r="AQ87" s="32">
        <v>1</v>
      </c>
      <c r="AR87" s="32">
        <v>1</v>
      </c>
      <c r="AS87" s="32"/>
      <c r="AT87" s="32">
        <v>1</v>
      </c>
      <c r="AU87" s="30"/>
      <c r="AV87" s="30"/>
      <c r="AW87" s="30"/>
      <c r="AX87" s="30" t="s">
        <v>11647</v>
      </c>
      <c r="AY87" s="30"/>
    </row>
    <row r="88" spans="1:51">
      <c r="A88" s="25" t="s">
        <v>12121</v>
      </c>
      <c r="B88" s="25" t="s">
        <v>4398</v>
      </c>
      <c r="C88" s="25" t="s">
        <v>68</v>
      </c>
      <c r="D88" s="25" t="s">
        <v>12122</v>
      </c>
      <c r="E88" s="258" t="s">
        <v>12123</v>
      </c>
      <c r="F88" s="25" t="s">
        <v>190</v>
      </c>
      <c r="G88" s="25" t="s">
        <v>4336</v>
      </c>
      <c r="H88" s="25" t="s">
        <v>4336</v>
      </c>
      <c r="I88" s="25" t="s">
        <v>4402</v>
      </c>
      <c r="J88" s="25" t="s">
        <v>11490</v>
      </c>
      <c r="K88" s="62" t="s">
        <v>11491</v>
      </c>
      <c r="L88" s="25" t="s">
        <v>73</v>
      </c>
      <c r="M88" s="25" t="s">
        <v>11880</v>
      </c>
      <c r="N88" s="25" t="s">
        <v>12124</v>
      </c>
      <c r="O88" s="63" t="s">
        <v>12125</v>
      </c>
      <c r="P88" s="28"/>
      <c r="Q88" s="32">
        <v>4</v>
      </c>
      <c r="R88" s="32">
        <v>16</v>
      </c>
      <c r="S88" s="32">
        <v>266.11</v>
      </c>
      <c r="T88" s="26" t="s">
        <v>138</v>
      </c>
      <c r="U88" s="30" t="s">
        <v>78</v>
      </c>
      <c r="V88" s="26" t="s">
        <v>139</v>
      </c>
      <c r="W88" s="38" t="s">
        <v>920</v>
      </c>
      <c r="X88" s="26" t="s">
        <v>11997</v>
      </c>
      <c r="Y88" s="38" t="s">
        <v>141</v>
      </c>
      <c r="Z88" s="26" t="s">
        <v>141</v>
      </c>
      <c r="AA88" s="26"/>
      <c r="AB88" s="31" t="s">
        <v>15</v>
      </c>
      <c r="AC88" s="30" t="s">
        <v>172</v>
      </c>
      <c r="AD88" s="25" t="s">
        <v>173</v>
      </c>
      <c r="AE88" s="25" t="s">
        <v>174</v>
      </c>
      <c r="AF88" s="26" t="s">
        <v>175</v>
      </c>
      <c r="AG88" s="32">
        <v>1</v>
      </c>
      <c r="AH88" s="32">
        <v>1</v>
      </c>
      <c r="AI88" s="32"/>
      <c r="AJ88" s="32">
        <v>1</v>
      </c>
      <c r="AK88" s="32">
        <v>1</v>
      </c>
      <c r="AL88" s="32">
        <f t="shared" si="2"/>
        <v>1</v>
      </c>
      <c r="AM88" s="30"/>
      <c r="AN88" s="32"/>
      <c r="AO88" s="32"/>
      <c r="AP88" s="25">
        <v>1</v>
      </c>
      <c r="AQ88" s="32">
        <v>1</v>
      </c>
      <c r="AR88" s="32">
        <v>1</v>
      </c>
      <c r="AS88" s="30"/>
      <c r="AT88" s="32">
        <v>1</v>
      </c>
      <c r="AU88" s="30"/>
      <c r="AV88" s="30"/>
      <c r="AW88" s="30"/>
      <c r="AX88" s="30" t="s">
        <v>11668</v>
      </c>
      <c r="AY88" s="30"/>
    </row>
    <row r="89" spans="1:51">
      <c r="A89" s="25" t="s">
        <v>12126</v>
      </c>
      <c r="B89" s="25" t="s">
        <v>4398</v>
      </c>
      <c r="C89" s="25" t="s">
        <v>68</v>
      </c>
      <c r="D89" s="25" t="s">
        <v>12127</v>
      </c>
      <c r="E89" s="258" t="s">
        <v>12128</v>
      </c>
      <c r="F89" s="25" t="s">
        <v>12129</v>
      </c>
      <c r="G89" s="25" t="s">
        <v>4336</v>
      </c>
      <c r="H89" s="25" t="s">
        <v>4336</v>
      </c>
      <c r="I89" s="25" t="s">
        <v>4402</v>
      </c>
      <c r="J89" s="25" t="s">
        <v>11490</v>
      </c>
      <c r="K89" s="62" t="s">
        <v>11491</v>
      </c>
      <c r="L89" s="25" t="s">
        <v>73</v>
      </c>
      <c r="M89" s="25" t="s">
        <v>11887</v>
      </c>
      <c r="N89" s="25" t="s">
        <v>12130</v>
      </c>
      <c r="O89" s="63" t="s">
        <v>12131</v>
      </c>
      <c r="P89" s="28"/>
      <c r="Q89" s="32">
        <v>4</v>
      </c>
      <c r="R89" s="32">
        <v>16</v>
      </c>
      <c r="S89" s="32">
        <v>266.12</v>
      </c>
      <c r="T89" s="26" t="s">
        <v>138</v>
      </c>
      <c r="U89" s="30" t="s">
        <v>78</v>
      </c>
      <c r="V89" s="26" t="s">
        <v>139</v>
      </c>
      <c r="W89" s="38" t="s">
        <v>920</v>
      </c>
      <c r="X89" s="26" t="s">
        <v>11997</v>
      </c>
      <c r="Y89" s="38" t="s">
        <v>141</v>
      </c>
      <c r="Z89" s="26" t="s">
        <v>141</v>
      </c>
      <c r="AA89" s="26"/>
      <c r="AB89" s="31" t="s">
        <v>15</v>
      </c>
      <c r="AC89" s="30" t="s">
        <v>172</v>
      </c>
      <c r="AD89" s="25" t="s">
        <v>173</v>
      </c>
      <c r="AE89" s="25" t="s">
        <v>174</v>
      </c>
      <c r="AF89" s="26" t="s">
        <v>175</v>
      </c>
      <c r="AG89" s="32">
        <v>1</v>
      </c>
      <c r="AH89" s="32">
        <v>1</v>
      </c>
      <c r="AI89" s="32"/>
      <c r="AJ89" s="32">
        <v>1</v>
      </c>
      <c r="AK89" s="32">
        <v>1</v>
      </c>
      <c r="AL89" s="32">
        <f t="shared" si="2"/>
        <v>1</v>
      </c>
      <c r="AM89" s="30"/>
      <c r="AN89" s="32"/>
      <c r="AO89" s="32"/>
      <c r="AP89" s="25">
        <v>1</v>
      </c>
      <c r="AQ89" s="32">
        <v>1</v>
      </c>
      <c r="AR89" s="32">
        <v>1</v>
      </c>
      <c r="AS89" s="32"/>
      <c r="AT89" s="32">
        <v>1</v>
      </c>
      <c r="AU89" s="30"/>
      <c r="AV89" s="30"/>
      <c r="AW89" s="30"/>
      <c r="AX89" s="30" t="s">
        <v>11675</v>
      </c>
      <c r="AY89" s="30"/>
    </row>
    <row r="90" spans="1:51">
      <c r="A90" s="25" t="s">
        <v>12132</v>
      </c>
      <c r="B90" s="25" t="s">
        <v>4398</v>
      </c>
      <c r="C90" s="25" t="s">
        <v>68</v>
      </c>
      <c r="D90" s="25" t="s">
        <v>12133</v>
      </c>
      <c r="E90" s="258" t="s">
        <v>12134</v>
      </c>
      <c r="F90" s="25" t="s">
        <v>12135</v>
      </c>
      <c r="G90" s="25" t="s">
        <v>4336</v>
      </c>
      <c r="H90" s="25" t="s">
        <v>4336</v>
      </c>
      <c r="I90" s="25" t="s">
        <v>4402</v>
      </c>
      <c r="J90" s="25" t="s">
        <v>11490</v>
      </c>
      <c r="K90" s="62" t="s">
        <v>11491</v>
      </c>
      <c r="L90" s="25" t="s">
        <v>73</v>
      </c>
      <c r="M90" s="25" t="s">
        <v>11940</v>
      </c>
      <c r="N90" s="25" t="s">
        <v>12136</v>
      </c>
      <c r="O90" s="63" t="s">
        <v>12137</v>
      </c>
      <c r="P90" s="28"/>
      <c r="Q90" s="32">
        <v>4</v>
      </c>
      <c r="R90" s="32">
        <v>16</v>
      </c>
      <c r="S90" s="32">
        <v>266.11</v>
      </c>
      <c r="T90" s="26" t="s">
        <v>138</v>
      </c>
      <c r="U90" s="30" t="s">
        <v>78</v>
      </c>
      <c r="V90" s="26" t="s">
        <v>139</v>
      </c>
      <c r="W90" s="38" t="s">
        <v>1095</v>
      </c>
      <c r="X90" s="26" t="s">
        <v>11997</v>
      </c>
      <c r="Y90" s="38" t="s">
        <v>141</v>
      </c>
      <c r="Z90" s="26" t="s">
        <v>141</v>
      </c>
      <c r="AA90" s="26"/>
      <c r="AB90" s="31" t="s">
        <v>17</v>
      </c>
      <c r="AC90" s="30" t="s">
        <v>172</v>
      </c>
      <c r="AD90" s="25" t="s">
        <v>173</v>
      </c>
      <c r="AE90" s="25" t="s">
        <v>174</v>
      </c>
      <c r="AF90" s="26" t="s">
        <v>175</v>
      </c>
      <c r="AG90" s="32">
        <v>1</v>
      </c>
      <c r="AH90" s="32">
        <v>1</v>
      </c>
      <c r="AI90" s="32"/>
      <c r="AJ90" s="32">
        <v>1</v>
      </c>
      <c r="AK90" s="32">
        <v>1</v>
      </c>
      <c r="AL90" s="32">
        <f t="shared" si="2"/>
        <v>1</v>
      </c>
      <c r="AM90" s="30"/>
      <c r="AN90" s="32"/>
      <c r="AO90" s="32"/>
      <c r="AP90" s="25">
        <v>1</v>
      </c>
      <c r="AQ90" s="32">
        <v>1</v>
      </c>
      <c r="AR90" s="32">
        <v>1</v>
      </c>
      <c r="AS90" s="32"/>
      <c r="AT90" s="32">
        <v>1</v>
      </c>
      <c r="AU90" s="30"/>
      <c r="AV90" s="30"/>
      <c r="AW90" s="30"/>
      <c r="AX90" s="30" t="s">
        <v>11682</v>
      </c>
      <c r="AY90" s="30"/>
    </row>
    <row r="91" spans="1:51">
      <c r="A91" s="25" t="s">
        <v>12138</v>
      </c>
      <c r="B91" s="25" t="s">
        <v>4398</v>
      </c>
      <c r="C91" s="25" t="s">
        <v>68</v>
      </c>
      <c r="D91" s="25" t="s">
        <v>12139</v>
      </c>
      <c r="E91" s="258" t="s">
        <v>12140</v>
      </c>
      <c r="F91" s="25" t="s">
        <v>12141</v>
      </c>
      <c r="G91" s="25" t="s">
        <v>4336</v>
      </c>
      <c r="H91" s="25" t="s">
        <v>4336</v>
      </c>
      <c r="I91" s="25" t="s">
        <v>4402</v>
      </c>
      <c r="J91" s="25" t="s">
        <v>11490</v>
      </c>
      <c r="K91" s="62" t="s">
        <v>11491</v>
      </c>
      <c r="L91" s="25" t="s">
        <v>73</v>
      </c>
      <c r="M91" s="25" t="s">
        <v>11947</v>
      </c>
      <c r="N91" s="25" t="s">
        <v>12142</v>
      </c>
      <c r="O91" s="63" t="s">
        <v>12143</v>
      </c>
      <c r="P91" s="28"/>
      <c r="Q91" s="32">
        <v>4</v>
      </c>
      <c r="R91" s="32">
        <v>16</v>
      </c>
      <c r="S91" s="32">
        <v>266.11</v>
      </c>
      <c r="T91" s="26" t="s">
        <v>138</v>
      </c>
      <c r="U91" s="30" t="s">
        <v>78</v>
      </c>
      <c r="V91" s="26" t="s">
        <v>139</v>
      </c>
      <c r="W91" s="38" t="s">
        <v>1095</v>
      </c>
      <c r="X91" s="26" t="s">
        <v>11997</v>
      </c>
      <c r="Y91" s="38" t="s">
        <v>141</v>
      </c>
      <c r="Z91" s="26" t="s">
        <v>141</v>
      </c>
      <c r="AA91" s="26"/>
      <c r="AB91" s="31" t="s">
        <v>17</v>
      </c>
      <c r="AC91" s="30" t="s">
        <v>172</v>
      </c>
      <c r="AD91" s="25" t="s">
        <v>173</v>
      </c>
      <c r="AE91" s="25" t="s">
        <v>174</v>
      </c>
      <c r="AF91" s="26" t="s">
        <v>175</v>
      </c>
      <c r="AG91" s="32">
        <v>1</v>
      </c>
      <c r="AH91" s="32">
        <v>1</v>
      </c>
      <c r="AI91" s="32"/>
      <c r="AJ91" s="32">
        <v>1</v>
      </c>
      <c r="AK91" s="32">
        <v>1</v>
      </c>
      <c r="AL91" s="32">
        <f t="shared" si="2"/>
        <v>1</v>
      </c>
      <c r="AM91" s="30"/>
      <c r="AN91" s="32"/>
      <c r="AO91" s="32"/>
      <c r="AP91" s="25">
        <v>1</v>
      </c>
      <c r="AQ91" s="32">
        <v>1</v>
      </c>
      <c r="AR91" s="32">
        <v>1</v>
      </c>
      <c r="AS91" s="32"/>
      <c r="AT91" s="32">
        <v>1</v>
      </c>
      <c r="AU91" s="30"/>
      <c r="AV91" s="30"/>
      <c r="AW91" s="30"/>
      <c r="AX91" s="30" t="s">
        <v>11703</v>
      </c>
      <c r="AY91" s="30"/>
    </row>
    <row r="92" spans="1:51">
      <c r="A92" s="25" t="s">
        <v>12144</v>
      </c>
      <c r="B92" s="25" t="s">
        <v>4398</v>
      </c>
      <c r="C92" s="25" t="s">
        <v>68</v>
      </c>
      <c r="D92" s="25" t="s">
        <v>12145</v>
      </c>
      <c r="E92" s="258" t="s">
        <v>12146</v>
      </c>
      <c r="F92" s="25" t="s">
        <v>12147</v>
      </c>
      <c r="G92" s="25" t="s">
        <v>4336</v>
      </c>
      <c r="H92" s="25" t="s">
        <v>4336</v>
      </c>
      <c r="I92" s="25" t="s">
        <v>4402</v>
      </c>
      <c r="J92" s="25" t="s">
        <v>11490</v>
      </c>
      <c r="K92" s="62" t="s">
        <v>11491</v>
      </c>
      <c r="L92" s="25" t="s">
        <v>73</v>
      </c>
      <c r="M92" s="25" t="s">
        <v>11955</v>
      </c>
      <c r="N92" s="25" t="s">
        <v>12148</v>
      </c>
      <c r="O92" s="63" t="s">
        <v>12149</v>
      </c>
      <c r="P92" s="28"/>
      <c r="Q92" s="32">
        <v>4</v>
      </c>
      <c r="R92" s="32">
        <v>16</v>
      </c>
      <c r="S92" s="32">
        <v>266.13</v>
      </c>
      <c r="T92" s="26" t="s">
        <v>138</v>
      </c>
      <c r="U92" s="30" t="s">
        <v>78</v>
      </c>
      <c r="V92" s="26" t="s">
        <v>139</v>
      </c>
      <c r="W92" s="38" t="s">
        <v>1095</v>
      </c>
      <c r="X92" s="26" t="s">
        <v>11997</v>
      </c>
      <c r="Y92" s="38" t="s">
        <v>141</v>
      </c>
      <c r="Z92" s="26" t="s">
        <v>141</v>
      </c>
      <c r="AA92" s="26"/>
      <c r="AB92" s="31" t="s">
        <v>17</v>
      </c>
      <c r="AC92" s="30" t="s">
        <v>172</v>
      </c>
      <c r="AD92" s="25" t="s">
        <v>173</v>
      </c>
      <c r="AE92" s="25" t="s">
        <v>174</v>
      </c>
      <c r="AF92" s="26" t="s">
        <v>175</v>
      </c>
      <c r="AG92" s="32">
        <v>1</v>
      </c>
      <c r="AH92" s="32">
        <v>1</v>
      </c>
      <c r="AI92" s="32"/>
      <c r="AJ92" s="32">
        <v>1</v>
      </c>
      <c r="AK92" s="32">
        <v>1</v>
      </c>
      <c r="AL92" s="32">
        <f t="shared" si="2"/>
        <v>1</v>
      </c>
      <c r="AM92" s="30"/>
      <c r="AN92" s="32"/>
      <c r="AO92" s="32"/>
      <c r="AP92" s="25">
        <v>1</v>
      </c>
      <c r="AQ92" s="32">
        <v>1</v>
      </c>
      <c r="AR92" s="32">
        <v>1</v>
      </c>
      <c r="AS92" s="32"/>
      <c r="AT92" s="32">
        <v>1</v>
      </c>
      <c r="AU92" s="30"/>
      <c r="AV92" s="30"/>
      <c r="AW92" s="30"/>
      <c r="AX92" s="30" t="s">
        <v>11710</v>
      </c>
      <c r="AY92" s="30"/>
    </row>
    <row r="93" spans="1:51">
      <c r="A93" s="25" t="s">
        <v>12150</v>
      </c>
      <c r="B93" s="25" t="s">
        <v>4398</v>
      </c>
      <c r="C93" s="25" t="s">
        <v>68</v>
      </c>
      <c r="D93" s="25" t="s">
        <v>12151</v>
      </c>
      <c r="E93" s="258" t="s">
        <v>12152</v>
      </c>
      <c r="F93" s="25" t="s">
        <v>12153</v>
      </c>
      <c r="G93" s="25" t="s">
        <v>4336</v>
      </c>
      <c r="H93" s="25" t="s">
        <v>4336</v>
      </c>
      <c r="I93" s="25" t="s">
        <v>4402</v>
      </c>
      <c r="J93" s="25" t="s">
        <v>11490</v>
      </c>
      <c r="K93" s="62" t="s">
        <v>11491</v>
      </c>
      <c r="L93" s="25" t="s">
        <v>73</v>
      </c>
      <c r="M93" s="25" t="s">
        <v>11962</v>
      </c>
      <c r="N93" s="25" t="s">
        <v>12154</v>
      </c>
      <c r="O93" s="63" t="s">
        <v>12155</v>
      </c>
      <c r="P93" s="28"/>
      <c r="Q93" s="32">
        <v>4</v>
      </c>
      <c r="R93" s="32">
        <v>16</v>
      </c>
      <c r="S93" s="32">
        <v>266.10000000000002</v>
      </c>
      <c r="T93" s="26" t="s">
        <v>138</v>
      </c>
      <c r="U93" s="30" t="s">
        <v>78</v>
      </c>
      <c r="V93" s="26" t="s">
        <v>139</v>
      </c>
      <c r="W93" s="38" t="s">
        <v>1095</v>
      </c>
      <c r="X93" s="26" t="s">
        <v>11997</v>
      </c>
      <c r="Y93" s="38" t="s">
        <v>141</v>
      </c>
      <c r="Z93" s="26" t="s">
        <v>141</v>
      </c>
      <c r="AA93" s="26"/>
      <c r="AB93" s="31" t="s">
        <v>17</v>
      </c>
      <c r="AC93" s="30" t="s">
        <v>172</v>
      </c>
      <c r="AD93" s="25" t="s">
        <v>173</v>
      </c>
      <c r="AE93" s="25" t="s">
        <v>174</v>
      </c>
      <c r="AF93" s="26" t="s">
        <v>175</v>
      </c>
      <c r="AG93" s="32">
        <v>1</v>
      </c>
      <c r="AH93" s="32">
        <v>1</v>
      </c>
      <c r="AI93" s="32"/>
      <c r="AJ93" s="32">
        <v>1</v>
      </c>
      <c r="AK93" s="32">
        <v>1</v>
      </c>
      <c r="AL93" s="32">
        <f t="shared" si="2"/>
        <v>1</v>
      </c>
      <c r="AM93" s="30"/>
      <c r="AN93" s="32"/>
      <c r="AO93" s="32"/>
      <c r="AP93" s="25">
        <v>1</v>
      </c>
      <c r="AQ93" s="32">
        <v>1</v>
      </c>
      <c r="AR93" s="32">
        <v>1</v>
      </c>
      <c r="AS93" s="32"/>
      <c r="AT93" s="32">
        <v>1</v>
      </c>
      <c r="AU93" s="30"/>
      <c r="AV93" s="30"/>
      <c r="AW93" s="30"/>
      <c r="AX93" s="30" t="s">
        <v>11725</v>
      </c>
      <c r="AY93" s="30"/>
    </row>
    <row r="94" spans="1:51">
      <c r="A94" s="25" t="s">
        <v>12156</v>
      </c>
      <c r="B94" s="25" t="s">
        <v>4398</v>
      </c>
      <c r="C94" s="25" t="s">
        <v>68</v>
      </c>
      <c r="D94" s="25" t="s">
        <v>12157</v>
      </c>
      <c r="E94" s="258" t="s">
        <v>12158</v>
      </c>
      <c r="F94" s="25" t="s">
        <v>12159</v>
      </c>
      <c r="G94" s="25" t="s">
        <v>4336</v>
      </c>
      <c r="H94" s="25" t="s">
        <v>4336</v>
      </c>
      <c r="I94" s="25" t="s">
        <v>4402</v>
      </c>
      <c r="J94" s="25" t="s">
        <v>11490</v>
      </c>
      <c r="K94" s="62" t="s">
        <v>11491</v>
      </c>
      <c r="L94" s="25" t="s">
        <v>73</v>
      </c>
      <c r="M94" s="25" t="s">
        <v>11969</v>
      </c>
      <c r="N94" s="25" t="s">
        <v>12160</v>
      </c>
      <c r="O94" s="63" t="s">
        <v>12161</v>
      </c>
      <c r="P94" s="28"/>
      <c r="Q94" s="32">
        <v>4</v>
      </c>
      <c r="R94" s="32">
        <v>16</v>
      </c>
      <c r="S94" s="32">
        <v>266.10000000000002</v>
      </c>
      <c r="T94" s="26" t="s">
        <v>138</v>
      </c>
      <c r="U94" s="30" t="s">
        <v>78</v>
      </c>
      <c r="V94" s="26" t="s">
        <v>139</v>
      </c>
      <c r="W94" s="38" t="s">
        <v>1095</v>
      </c>
      <c r="X94" s="26" t="s">
        <v>11997</v>
      </c>
      <c r="Y94" s="38" t="s">
        <v>141</v>
      </c>
      <c r="Z94" s="26" t="s">
        <v>141</v>
      </c>
      <c r="AA94" s="26"/>
      <c r="AB94" s="31" t="s">
        <v>17</v>
      </c>
      <c r="AC94" s="30" t="s">
        <v>172</v>
      </c>
      <c r="AD94" s="25" t="s">
        <v>173</v>
      </c>
      <c r="AE94" s="25" t="s">
        <v>174</v>
      </c>
      <c r="AF94" s="26" t="s">
        <v>175</v>
      </c>
      <c r="AG94" s="32">
        <v>1</v>
      </c>
      <c r="AH94" s="32">
        <v>1</v>
      </c>
      <c r="AI94" s="32"/>
      <c r="AJ94" s="32">
        <v>1</v>
      </c>
      <c r="AK94" s="32">
        <v>1</v>
      </c>
      <c r="AL94" s="32">
        <f t="shared" si="2"/>
        <v>1</v>
      </c>
      <c r="AM94" s="30"/>
      <c r="AN94" s="32"/>
      <c r="AO94" s="32"/>
      <c r="AP94" s="25">
        <v>1</v>
      </c>
      <c r="AQ94" s="32">
        <v>1</v>
      </c>
      <c r="AR94" s="32">
        <v>1</v>
      </c>
      <c r="AS94" s="32"/>
      <c r="AT94" s="32">
        <v>1</v>
      </c>
      <c r="AU94" s="30"/>
      <c r="AV94" s="30"/>
      <c r="AW94" s="30"/>
      <c r="AX94" s="30" t="s">
        <v>12162</v>
      </c>
      <c r="AY94" s="30"/>
    </row>
    <row r="95" spans="1:51">
      <c r="A95" s="25" t="s">
        <v>12163</v>
      </c>
      <c r="B95" s="25" t="s">
        <v>4398</v>
      </c>
      <c r="C95" s="25" t="s">
        <v>68</v>
      </c>
      <c r="D95" s="25" t="s">
        <v>12164</v>
      </c>
      <c r="E95" s="258" t="s">
        <v>12165</v>
      </c>
      <c r="F95" s="25" t="s">
        <v>12166</v>
      </c>
      <c r="G95" s="25" t="s">
        <v>4336</v>
      </c>
      <c r="H95" s="25" t="s">
        <v>4336</v>
      </c>
      <c r="I95" s="25" t="s">
        <v>4402</v>
      </c>
      <c r="J95" s="25" t="s">
        <v>11490</v>
      </c>
      <c r="K95" s="62" t="s">
        <v>11491</v>
      </c>
      <c r="L95" s="25" t="s">
        <v>73</v>
      </c>
      <c r="M95" s="25" t="s">
        <v>11978</v>
      </c>
      <c r="N95" s="25" t="s">
        <v>12167</v>
      </c>
      <c r="O95" s="63" t="s">
        <v>12168</v>
      </c>
      <c r="P95" s="28"/>
      <c r="Q95" s="32">
        <v>4</v>
      </c>
      <c r="R95" s="32">
        <v>16</v>
      </c>
      <c r="S95" s="32">
        <v>266.10000000000002</v>
      </c>
      <c r="T95" s="26" t="s">
        <v>138</v>
      </c>
      <c r="U95" s="30" t="s">
        <v>78</v>
      </c>
      <c r="V95" s="26" t="s">
        <v>139</v>
      </c>
      <c r="W95" s="38" t="s">
        <v>1095</v>
      </c>
      <c r="X95" s="26" t="s">
        <v>11997</v>
      </c>
      <c r="Y95" s="38" t="s">
        <v>141</v>
      </c>
      <c r="Z95" s="26" t="s">
        <v>141</v>
      </c>
      <c r="AA95" s="26"/>
      <c r="AB95" s="31" t="s">
        <v>17</v>
      </c>
      <c r="AC95" s="30" t="s">
        <v>172</v>
      </c>
      <c r="AD95" s="25" t="s">
        <v>173</v>
      </c>
      <c r="AE95" s="25" t="s">
        <v>174</v>
      </c>
      <c r="AF95" s="26" t="s">
        <v>175</v>
      </c>
      <c r="AG95" s="32">
        <v>1</v>
      </c>
      <c r="AH95" s="32">
        <v>1</v>
      </c>
      <c r="AI95" s="32"/>
      <c r="AJ95" s="32">
        <v>1</v>
      </c>
      <c r="AK95" s="32">
        <v>1</v>
      </c>
      <c r="AL95" s="32">
        <f t="shared" si="2"/>
        <v>1</v>
      </c>
      <c r="AM95" s="30"/>
      <c r="AN95" s="32"/>
      <c r="AO95" s="32"/>
      <c r="AP95" s="25">
        <v>1</v>
      </c>
      <c r="AQ95" s="32">
        <v>1</v>
      </c>
      <c r="AR95" s="32">
        <v>1</v>
      </c>
      <c r="AS95" s="32"/>
      <c r="AT95" s="32">
        <v>1</v>
      </c>
      <c r="AU95" s="30"/>
      <c r="AV95" s="30"/>
      <c r="AW95" s="30"/>
      <c r="AX95" s="30" t="s">
        <v>12169</v>
      </c>
      <c r="AY95" s="30"/>
    </row>
    <row r="96" spans="1:51">
      <c r="A96" s="25" t="s">
        <v>12170</v>
      </c>
      <c r="B96" s="25" t="s">
        <v>4398</v>
      </c>
      <c r="C96" s="25" t="s">
        <v>68</v>
      </c>
      <c r="D96" s="25" t="s">
        <v>12171</v>
      </c>
      <c r="E96" s="258" t="s">
        <v>12172</v>
      </c>
      <c r="F96" s="25" t="s">
        <v>12173</v>
      </c>
      <c r="G96" s="25" t="s">
        <v>4336</v>
      </c>
      <c r="H96" s="25" t="s">
        <v>4336</v>
      </c>
      <c r="I96" s="25" t="s">
        <v>4402</v>
      </c>
      <c r="J96" s="25" t="s">
        <v>11490</v>
      </c>
      <c r="K96" s="62" t="s">
        <v>11491</v>
      </c>
      <c r="L96" s="25" t="s">
        <v>73</v>
      </c>
      <c r="M96" s="25" t="s">
        <v>11988</v>
      </c>
      <c r="N96" s="25" t="s">
        <v>12174</v>
      </c>
      <c r="O96" s="63" t="s">
        <v>12175</v>
      </c>
      <c r="P96" s="28"/>
      <c r="Q96" s="32">
        <v>4</v>
      </c>
      <c r="R96" s="32">
        <v>16</v>
      </c>
      <c r="S96" s="32">
        <v>266.17</v>
      </c>
      <c r="T96" s="26" t="s">
        <v>138</v>
      </c>
      <c r="U96" s="30" t="s">
        <v>78</v>
      </c>
      <c r="V96" s="26" t="s">
        <v>139</v>
      </c>
      <c r="W96" s="38" t="s">
        <v>1095</v>
      </c>
      <c r="X96" s="26" t="s">
        <v>11997</v>
      </c>
      <c r="Y96" s="38" t="s">
        <v>141</v>
      </c>
      <c r="Z96" s="26" t="s">
        <v>141</v>
      </c>
      <c r="AA96" s="26"/>
      <c r="AB96" s="31" t="s">
        <v>17</v>
      </c>
      <c r="AC96" s="30" t="s">
        <v>172</v>
      </c>
      <c r="AD96" s="25" t="s">
        <v>173</v>
      </c>
      <c r="AE96" s="25" t="s">
        <v>174</v>
      </c>
      <c r="AF96" s="26" t="s">
        <v>175</v>
      </c>
      <c r="AG96" s="32">
        <v>1</v>
      </c>
      <c r="AH96" s="32">
        <v>1</v>
      </c>
      <c r="AI96" s="32"/>
      <c r="AJ96" s="32">
        <v>1</v>
      </c>
      <c r="AK96" s="32">
        <v>1</v>
      </c>
      <c r="AL96" s="32">
        <f t="shared" si="2"/>
        <v>1</v>
      </c>
      <c r="AM96" s="30"/>
      <c r="AN96" s="32"/>
      <c r="AO96" s="32"/>
      <c r="AP96" s="25">
        <v>1</v>
      </c>
      <c r="AQ96" s="32">
        <v>1</v>
      </c>
      <c r="AR96" s="32">
        <v>1</v>
      </c>
      <c r="AS96" s="32"/>
      <c r="AT96" s="32">
        <v>1</v>
      </c>
      <c r="AU96" s="30"/>
      <c r="AV96" s="30"/>
      <c r="AW96" s="30"/>
      <c r="AX96" s="30" t="s">
        <v>11974</v>
      </c>
      <c r="AY96" s="30"/>
    </row>
    <row r="97" spans="1:51">
      <c r="A97" s="25" t="s">
        <v>12176</v>
      </c>
      <c r="B97" s="25" t="s">
        <v>4398</v>
      </c>
      <c r="C97" s="25" t="s">
        <v>68</v>
      </c>
      <c r="D97" s="25" t="s">
        <v>12177</v>
      </c>
      <c r="E97" s="258" t="s">
        <v>12178</v>
      </c>
      <c r="F97" s="25" t="s">
        <v>12179</v>
      </c>
      <c r="G97" s="25" t="s">
        <v>4336</v>
      </c>
      <c r="H97" s="25" t="s">
        <v>4336</v>
      </c>
      <c r="I97" s="25" t="s">
        <v>4402</v>
      </c>
      <c r="J97" s="25" t="s">
        <v>11490</v>
      </c>
      <c r="K97" s="62" t="s">
        <v>11491</v>
      </c>
      <c r="L97" s="25" t="s">
        <v>73</v>
      </c>
      <c r="M97" s="25" t="s">
        <v>11998</v>
      </c>
      <c r="N97" s="25" t="s">
        <v>12180</v>
      </c>
      <c r="O97" s="63" t="s">
        <v>12181</v>
      </c>
      <c r="P97" s="28"/>
      <c r="Q97" s="32">
        <v>4</v>
      </c>
      <c r="R97" s="32">
        <v>16</v>
      </c>
      <c r="S97" s="32">
        <v>266.22000000000003</v>
      </c>
      <c r="T97" s="26" t="s">
        <v>138</v>
      </c>
      <c r="U97" s="30" t="s">
        <v>78</v>
      </c>
      <c r="V97" s="26" t="s">
        <v>139</v>
      </c>
      <c r="W97" s="38" t="s">
        <v>1095</v>
      </c>
      <c r="X97" s="26" t="s">
        <v>11997</v>
      </c>
      <c r="Y97" s="38" t="s">
        <v>141</v>
      </c>
      <c r="Z97" s="26" t="s">
        <v>141</v>
      </c>
      <c r="AA97" s="26"/>
      <c r="AB97" s="31" t="s">
        <v>17</v>
      </c>
      <c r="AC97" s="30" t="s">
        <v>172</v>
      </c>
      <c r="AD97" s="25" t="s">
        <v>173</v>
      </c>
      <c r="AE97" s="25" t="s">
        <v>174</v>
      </c>
      <c r="AF97" s="26" t="s">
        <v>175</v>
      </c>
      <c r="AG97" s="32">
        <v>1</v>
      </c>
      <c r="AH97" s="32">
        <v>1</v>
      </c>
      <c r="AI97" s="32"/>
      <c r="AJ97" s="32">
        <v>1</v>
      </c>
      <c r="AK97" s="32">
        <v>1</v>
      </c>
      <c r="AL97" s="32">
        <f t="shared" si="2"/>
        <v>1</v>
      </c>
      <c r="AM97" s="30"/>
      <c r="AN97" s="32"/>
      <c r="AO97" s="32"/>
      <c r="AP97" s="25">
        <v>1</v>
      </c>
      <c r="AQ97" s="32">
        <v>1</v>
      </c>
      <c r="AR97" s="32">
        <v>1</v>
      </c>
      <c r="AS97" s="32"/>
      <c r="AT97" s="32">
        <v>1</v>
      </c>
      <c r="AU97" s="30"/>
      <c r="AV97" s="30"/>
      <c r="AW97" s="30"/>
      <c r="AX97" s="30" t="s">
        <v>11748</v>
      </c>
      <c r="AY97" s="30"/>
    </row>
    <row r="98" spans="1:51">
      <c r="A98" s="25" t="s">
        <v>12182</v>
      </c>
      <c r="B98" s="25" t="s">
        <v>4398</v>
      </c>
      <c r="C98" s="25" t="s">
        <v>68</v>
      </c>
      <c r="D98" s="25" t="s">
        <v>12183</v>
      </c>
      <c r="E98" s="258" t="s">
        <v>12184</v>
      </c>
      <c r="F98" s="25" t="s">
        <v>12185</v>
      </c>
      <c r="G98" s="25" t="s">
        <v>4336</v>
      </c>
      <c r="H98" s="25" t="s">
        <v>4336</v>
      </c>
      <c r="I98" s="25" t="s">
        <v>4402</v>
      </c>
      <c r="J98" s="25" t="s">
        <v>11490</v>
      </c>
      <c r="K98" s="62" t="s">
        <v>11491</v>
      </c>
      <c r="L98" s="25" t="s">
        <v>73</v>
      </c>
      <c r="M98" s="25" t="s">
        <v>12005</v>
      </c>
      <c r="N98" s="25" t="s">
        <v>12186</v>
      </c>
      <c r="O98" s="63" t="s">
        <v>12187</v>
      </c>
      <c r="P98" s="28"/>
      <c r="Q98" s="32">
        <v>4</v>
      </c>
      <c r="R98" s="32">
        <v>16</v>
      </c>
      <c r="S98" s="32">
        <v>266.45999999999998</v>
      </c>
      <c r="T98" s="26" t="s">
        <v>138</v>
      </c>
      <c r="U98" s="30" t="s">
        <v>78</v>
      </c>
      <c r="V98" s="26" t="s">
        <v>139</v>
      </c>
      <c r="W98" s="38" t="s">
        <v>1095</v>
      </c>
      <c r="X98" s="26" t="s">
        <v>11997</v>
      </c>
      <c r="Y98" s="38" t="s">
        <v>141</v>
      </c>
      <c r="Z98" s="26" t="s">
        <v>141</v>
      </c>
      <c r="AA98" s="26"/>
      <c r="AB98" s="31" t="s">
        <v>17</v>
      </c>
      <c r="AC98" s="30" t="s">
        <v>172</v>
      </c>
      <c r="AD98" s="25" t="s">
        <v>173</v>
      </c>
      <c r="AE98" s="25" t="s">
        <v>174</v>
      </c>
      <c r="AF98" s="26" t="s">
        <v>175</v>
      </c>
      <c r="AG98" s="32">
        <v>1</v>
      </c>
      <c r="AH98" s="32">
        <v>1</v>
      </c>
      <c r="AI98" s="32"/>
      <c r="AJ98" s="32">
        <v>1</v>
      </c>
      <c r="AK98" s="32">
        <v>1</v>
      </c>
      <c r="AL98" s="32">
        <f t="shared" si="2"/>
        <v>1</v>
      </c>
      <c r="AM98" s="30"/>
      <c r="AN98" s="32"/>
      <c r="AO98" s="32"/>
      <c r="AP98" s="25">
        <v>1</v>
      </c>
      <c r="AQ98" s="32">
        <v>1</v>
      </c>
      <c r="AR98" s="32">
        <v>1</v>
      </c>
      <c r="AS98" s="32"/>
      <c r="AT98" s="32">
        <v>1</v>
      </c>
      <c r="AU98" s="30"/>
      <c r="AV98" s="30"/>
      <c r="AW98" s="30"/>
      <c r="AX98" s="30" t="s">
        <v>12188</v>
      </c>
      <c r="AY98" s="30"/>
    </row>
    <row r="99" spans="1:51">
      <c r="A99" s="25" t="s">
        <v>12189</v>
      </c>
      <c r="B99" s="25" t="s">
        <v>4398</v>
      </c>
      <c r="C99" s="25" t="s">
        <v>68</v>
      </c>
      <c r="D99" s="25" t="s">
        <v>12190</v>
      </c>
      <c r="E99" s="258" t="s">
        <v>12191</v>
      </c>
      <c r="F99" s="25" t="s">
        <v>12192</v>
      </c>
      <c r="G99" s="25" t="s">
        <v>4336</v>
      </c>
      <c r="H99" s="25" t="s">
        <v>4336</v>
      </c>
      <c r="I99" s="25" t="s">
        <v>4402</v>
      </c>
      <c r="J99" s="25" t="s">
        <v>11490</v>
      </c>
      <c r="K99" s="62" t="s">
        <v>11491</v>
      </c>
      <c r="L99" s="25" t="s">
        <v>73</v>
      </c>
      <c r="M99" s="25" t="s">
        <v>12019</v>
      </c>
      <c r="N99" s="25" t="s">
        <v>12193</v>
      </c>
      <c r="O99" s="63" t="s">
        <v>12194</v>
      </c>
      <c r="P99" s="28"/>
      <c r="Q99" s="32">
        <v>4</v>
      </c>
      <c r="R99" s="32">
        <v>16</v>
      </c>
      <c r="S99" s="32">
        <v>266.13</v>
      </c>
      <c r="T99" s="26" t="s">
        <v>138</v>
      </c>
      <c r="U99" s="30" t="s">
        <v>78</v>
      </c>
      <c r="V99" s="26" t="s">
        <v>139</v>
      </c>
      <c r="W99" s="38" t="s">
        <v>1095</v>
      </c>
      <c r="X99" s="26" t="s">
        <v>11997</v>
      </c>
      <c r="Y99" s="38" t="s">
        <v>141</v>
      </c>
      <c r="Z99" s="26" t="s">
        <v>141</v>
      </c>
      <c r="AA99" s="26"/>
      <c r="AB99" s="31" t="s">
        <v>17</v>
      </c>
      <c r="AC99" s="30" t="s">
        <v>172</v>
      </c>
      <c r="AD99" s="25" t="s">
        <v>173</v>
      </c>
      <c r="AE99" s="25" t="s">
        <v>174</v>
      </c>
      <c r="AF99" s="26" t="s">
        <v>175</v>
      </c>
      <c r="AG99" s="32">
        <v>1</v>
      </c>
      <c r="AH99" s="32">
        <v>1</v>
      </c>
      <c r="AI99" s="32"/>
      <c r="AJ99" s="32">
        <v>1</v>
      </c>
      <c r="AK99" s="32">
        <v>1</v>
      </c>
      <c r="AL99" s="32">
        <f t="shared" si="2"/>
        <v>1</v>
      </c>
      <c r="AM99" s="30"/>
      <c r="AN99" s="32"/>
      <c r="AO99" s="32"/>
      <c r="AP99" s="25">
        <v>1</v>
      </c>
      <c r="AQ99" s="32">
        <v>1</v>
      </c>
      <c r="AR99" s="32">
        <v>1</v>
      </c>
      <c r="AS99" s="32"/>
      <c r="AT99" s="32">
        <v>1</v>
      </c>
      <c r="AU99" s="30"/>
      <c r="AV99" s="30"/>
      <c r="AW99" s="30"/>
      <c r="AX99" s="30" t="s">
        <v>12195</v>
      </c>
      <c r="AY99" s="30"/>
    </row>
    <row r="100" spans="1:51">
      <c r="A100" s="25" t="s">
        <v>12196</v>
      </c>
      <c r="B100" s="25" t="s">
        <v>4398</v>
      </c>
      <c r="C100" s="25" t="s">
        <v>68</v>
      </c>
      <c r="D100" s="25" t="s">
        <v>12197</v>
      </c>
      <c r="E100" s="258" t="s">
        <v>12198</v>
      </c>
      <c r="F100" s="25" t="s">
        <v>12199</v>
      </c>
      <c r="G100" s="25" t="s">
        <v>4336</v>
      </c>
      <c r="H100" s="25" t="s">
        <v>4336</v>
      </c>
      <c r="I100" s="25" t="s">
        <v>4402</v>
      </c>
      <c r="J100" s="25" t="s">
        <v>11490</v>
      </c>
      <c r="K100" s="62" t="s">
        <v>11491</v>
      </c>
      <c r="L100" s="25" t="s">
        <v>73</v>
      </c>
      <c r="M100" s="25" t="s">
        <v>11511</v>
      </c>
      <c r="N100" s="25" t="s">
        <v>12200</v>
      </c>
      <c r="O100" s="63" t="s">
        <v>12201</v>
      </c>
      <c r="P100" s="28"/>
      <c r="Q100" s="32">
        <v>4</v>
      </c>
      <c r="R100" s="32">
        <v>16</v>
      </c>
      <c r="S100" s="32">
        <v>266.10000000000002</v>
      </c>
      <c r="T100" s="26" t="s">
        <v>138</v>
      </c>
      <c r="U100" s="30" t="s">
        <v>78</v>
      </c>
      <c r="V100" s="26" t="s">
        <v>139</v>
      </c>
      <c r="W100" s="38" t="s">
        <v>263</v>
      </c>
      <c r="X100" s="26" t="s">
        <v>11997</v>
      </c>
      <c r="Y100" s="38" t="s">
        <v>141</v>
      </c>
      <c r="Z100" s="26" t="s">
        <v>141</v>
      </c>
      <c r="AA100" s="26"/>
      <c r="AB100" s="36" t="s">
        <v>7</v>
      </c>
      <c r="AC100" s="30" t="s">
        <v>172</v>
      </c>
      <c r="AD100" s="25" t="s">
        <v>173</v>
      </c>
      <c r="AE100" s="25" t="s">
        <v>174</v>
      </c>
      <c r="AF100" s="26" t="s">
        <v>175</v>
      </c>
      <c r="AG100" s="32">
        <v>1</v>
      </c>
      <c r="AH100" s="32">
        <v>1</v>
      </c>
      <c r="AI100" s="32"/>
      <c r="AJ100" s="32"/>
      <c r="AK100" s="30"/>
      <c r="AL100" s="32">
        <f t="shared" si="2"/>
        <v>1</v>
      </c>
      <c r="AM100" s="30"/>
      <c r="AN100" s="32"/>
      <c r="AO100" s="32"/>
      <c r="AP100" s="32">
        <v>1</v>
      </c>
      <c r="AQ100" s="32">
        <v>1</v>
      </c>
      <c r="AR100" s="32">
        <v>1</v>
      </c>
      <c r="AS100" s="32"/>
      <c r="AT100" s="32">
        <v>1</v>
      </c>
      <c r="AU100" s="30"/>
      <c r="AV100" s="30"/>
      <c r="AW100" s="30"/>
      <c r="AX100" s="30" t="s">
        <v>12202</v>
      </c>
      <c r="AY100" s="30"/>
    </row>
    <row r="101" spans="1:51">
      <c r="A101" s="25" t="s">
        <v>12203</v>
      </c>
      <c r="B101" s="25" t="s">
        <v>4398</v>
      </c>
      <c r="C101" s="25" t="s">
        <v>68</v>
      </c>
      <c r="D101" s="25" t="s">
        <v>12204</v>
      </c>
      <c r="E101" s="258" t="s">
        <v>12205</v>
      </c>
      <c r="F101" s="25" t="s">
        <v>10431</v>
      </c>
      <c r="G101" s="25" t="s">
        <v>4336</v>
      </c>
      <c r="H101" s="25" t="s">
        <v>4336</v>
      </c>
      <c r="I101" s="25" t="s">
        <v>4402</v>
      </c>
      <c r="J101" s="25" t="s">
        <v>11490</v>
      </c>
      <c r="K101" s="62" t="s">
        <v>11491</v>
      </c>
      <c r="L101" s="25" t="s">
        <v>73</v>
      </c>
      <c r="M101" s="25" t="s">
        <v>12026</v>
      </c>
      <c r="N101" s="25" t="s">
        <v>12206</v>
      </c>
      <c r="O101" s="63" t="s">
        <v>12207</v>
      </c>
      <c r="P101" s="28"/>
      <c r="Q101" s="32">
        <v>4</v>
      </c>
      <c r="R101" s="32">
        <v>16</v>
      </c>
      <c r="S101" s="32">
        <v>266.11</v>
      </c>
      <c r="T101" s="26" t="s">
        <v>138</v>
      </c>
      <c r="U101" s="30" t="s">
        <v>78</v>
      </c>
      <c r="V101" s="26" t="s">
        <v>139</v>
      </c>
      <c r="W101" s="38" t="s">
        <v>1095</v>
      </c>
      <c r="X101" s="26" t="s">
        <v>11997</v>
      </c>
      <c r="Y101" s="38" t="s">
        <v>141</v>
      </c>
      <c r="Z101" s="26" t="s">
        <v>141</v>
      </c>
      <c r="AA101" s="26"/>
      <c r="AB101" s="31" t="s">
        <v>17</v>
      </c>
      <c r="AC101" s="30" t="s">
        <v>172</v>
      </c>
      <c r="AD101" s="25" t="s">
        <v>173</v>
      </c>
      <c r="AE101" s="25" t="s">
        <v>174</v>
      </c>
      <c r="AF101" s="26" t="s">
        <v>175</v>
      </c>
      <c r="AG101" s="32">
        <v>1</v>
      </c>
      <c r="AH101" s="32">
        <v>1</v>
      </c>
      <c r="AI101" s="32"/>
      <c r="AJ101" s="32">
        <v>1</v>
      </c>
      <c r="AK101" s="32">
        <v>1</v>
      </c>
      <c r="AL101" s="32">
        <f t="shared" si="2"/>
        <v>1</v>
      </c>
      <c r="AM101" s="30"/>
      <c r="AN101" s="32"/>
      <c r="AO101" s="32"/>
      <c r="AP101" s="25">
        <v>1</v>
      </c>
      <c r="AQ101" s="32">
        <v>1</v>
      </c>
      <c r="AR101" s="32">
        <v>1</v>
      </c>
      <c r="AS101" s="32"/>
      <c r="AT101" s="32">
        <v>1</v>
      </c>
      <c r="AU101" s="30"/>
      <c r="AV101" s="30"/>
      <c r="AW101" s="30"/>
      <c r="AX101" s="30" t="s">
        <v>12208</v>
      </c>
      <c r="AY101" s="30"/>
    </row>
    <row r="102" spans="1:51">
      <c r="A102" s="25" t="s">
        <v>12209</v>
      </c>
      <c r="B102" s="25" t="s">
        <v>4398</v>
      </c>
      <c r="C102" s="25" t="s">
        <v>68</v>
      </c>
      <c r="D102" s="25" t="s">
        <v>12210</v>
      </c>
      <c r="E102" s="258" t="s">
        <v>12211</v>
      </c>
      <c r="F102" s="25" t="s">
        <v>12212</v>
      </c>
      <c r="G102" s="25" t="s">
        <v>4336</v>
      </c>
      <c r="H102" s="25" t="s">
        <v>4336</v>
      </c>
      <c r="I102" s="25" t="s">
        <v>4402</v>
      </c>
      <c r="J102" s="25" t="s">
        <v>11490</v>
      </c>
      <c r="K102" s="62" t="s">
        <v>11491</v>
      </c>
      <c r="L102" s="25" t="s">
        <v>73</v>
      </c>
      <c r="M102" s="25" t="s">
        <v>12033</v>
      </c>
      <c r="N102" s="25" t="s">
        <v>12213</v>
      </c>
      <c r="O102" s="63" t="s">
        <v>12214</v>
      </c>
      <c r="P102" s="28"/>
      <c r="Q102" s="32">
        <v>4</v>
      </c>
      <c r="R102" s="32">
        <v>16</v>
      </c>
      <c r="S102" s="32">
        <v>266.11</v>
      </c>
      <c r="T102" s="26" t="s">
        <v>138</v>
      </c>
      <c r="U102" s="30" t="s">
        <v>78</v>
      </c>
      <c r="V102" s="26" t="s">
        <v>139</v>
      </c>
      <c r="W102" s="38" t="s">
        <v>1095</v>
      </c>
      <c r="X102" s="26" t="s">
        <v>11997</v>
      </c>
      <c r="Y102" s="38" t="s">
        <v>141</v>
      </c>
      <c r="Z102" s="26" t="s">
        <v>141</v>
      </c>
      <c r="AA102" s="26"/>
      <c r="AB102" s="31" t="s">
        <v>17</v>
      </c>
      <c r="AC102" s="30" t="s">
        <v>172</v>
      </c>
      <c r="AD102" s="25" t="s">
        <v>173</v>
      </c>
      <c r="AE102" s="25" t="s">
        <v>174</v>
      </c>
      <c r="AF102" s="26" t="s">
        <v>175</v>
      </c>
      <c r="AG102" s="32">
        <v>1</v>
      </c>
      <c r="AH102" s="32">
        <v>1</v>
      </c>
      <c r="AI102" s="32"/>
      <c r="AJ102" s="32">
        <v>1</v>
      </c>
      <c r="AK102" s="32">
        <v>1</v>
      </c>
      <c r="AL102" s="32">
        <f t="shared" si="2"/>
        <v>1</v>
      </c>
      <c r="AM102" s="30"/>
      <c r="AN102" s="32"/>
      <c r="AO102" s="32"/>
      <c r="AP102" s="25">
        <v>1</v>
      </c>
      <c r="AQ102" s="32">
        <v>1</v>
      </c>
      <c r="AR102" s="32">
        <v>1</v>
      </c>
      <c r="AS102" s="32"/>
      <c r="AT102" s="32">
        <v>1</v>
      </c>
      <c r="AU102" s="30"/>
      <c r="AV102" s="30"/>
      <c r="AW102" s="30"/>
      <c r="AX102" s="30" t="s">
        <v>11993</v>
      </c>
      <c r="AY102" s="30"/>
    </row>
    <row r="103" spans="1:51">
      <c r="A103" s="25" t="s">
        <v>12215</v>
      </c>
      <c r="B103" s="25" t="s">
        <v>4398</v>
      </c>
      <c r="C103" s="25" t="s">
        <v>68</v>
      </c>
      <c r="D103" s="25" t="s">
        <v>12216</v>
      </c>
      <c r="E103" s="258" t="s">
        <v>12217</v>
      </c>
      <c r="F103" s="25" t="s">
        <v>12218</v>
      </c>
      <c r="G103" s="25" t="s">
        <v>4336</v>
      </c>
      <c r="H103" s="25" t="s">
        <v>4336</v>
      </c>
      <c r="I103" s="25" t="s">
        <v>4402</v>
      </c>
      <c r="J103" s="25" t="s">
        <v>11490</v>
      </c>
      <c r="K103" s="62" t="s">
        <v>11491</v>
      </c>
      <c r="L103" s="25" t="s">
        <v>73</v>
      </c>
      <c r="M103" s="25" t="s">
        <v>12040</v>
      </c>
      <c r="N103" s="25" t="s">
        <v>12219</v>
      </c>
      <c r="O103" s="63" t="s">
        <v>12220</v>
      </c>
      <c r="P103" s="28"/>
      <c r="Q103" s="32">
        <v>4</v>
      </c>
      <c r="R103" s="32">
        <v>16</v>
      </c>
      <c r="S103" s="32">
        <v>266.20999999999998</v>
      </c>
      <c r="T103" s="26" t="s">
        <v>138</v>
      </c>
      <c r="U103" s="30" t="s">
        <v>78</v>
      </c>
      <c r="V103" s="26" t="s">
        <v>139</v>
      </c>
      <c r="W103" s="38" t="s">
        <v>1095</v>
      </c>
      <c r="X103" s="26" t="s">
        <v>11997</v>
      </c>
      <c r="Y103" s="38" t="s">
        <v>141</v>
      </c>
      <c r="Z103" s="26" t="s">
        <v>141</v>
      </c>
      <c r="AA103" s="26"/>
      <c r="AB103" s="31" t="s">
        <v>17</v>
      </c>
      <c r="AC103" s="30" t="s">
        <v>172</v>
      </c>
      <c r="AD103" s="25" t="s">
        <v>173</v>
      </c>
      <c r="AE103" s="25" t="s">
        <v>174</v>
      </c>
      <c r="AF103" s="26" t="s">
        <v>175</v>
      </c>
      <c r="AG103" s="32">
        <v>1</v>
      </c>
      <c r="AH103" s="32">
        <v>1</v>
      </c>
      <c r="AI103" s="32"/>
      <c r="AJ103" s="32">
        <v>1</v>
      </c>
      <c r="AK103" s="32">
        <v>1</v>
      </c>
      <c r="AL103" s="32">
        <f t="shared" ref="AL103:AL128" si="3">IF(COUNTIF(AX:AX,"*"&amp;M103&amp;"*")&gt;0,1,0)</f>
        <v>1</v>
      </c>
      <c r="AM103" s="30"/>
      <c r="AN103" s="32"/>
      <c r="AO103" s="32"/>
      <c r="AP103" s="25">
        <v>1</v>
      </c>
      <c r="AQ103" s="32">
        <v>1</v>
      </c>
      <c r="AR103" s="32">
        <v>1</v>
      </c>
      <c r="AS103" s="32"/>
      <c r="AT103" s="32">
        <v>1</v>
      </c>
      <c r="AU103" s="30"/>
      <c r="AV103" s="30"/>
      <c r="AW103" s="30"/>
      <c r="AX103" s="30" t="s">
        <v>12221</v>
      </c>
      <c r="AY103" s="30"/>
    </row>
    <row r="104" spans="1:51">
      <c r="A104" s="25" t="s">
        <v>12222</v>
      </c>
      <c r="B104" s="25" t="s">
        <v>4398</v>
      </c>
      <c r="C104" s="25" t="s">
        <v>68</v>
      </c>
      <c r="D104" s="25" t="s">
        <v>12223</v>
      </c>
      <c r="E104" s="258" t="s">
        <v>12224</v>
      </c>
      <c r="F104" s="25" t="s">
        <v>12225</v>
      </c>
      <c r="G104" s="25" t="s">
        <v>4336</v>
      </c>
      <c r="H104" s="25" t="s">
        <v>4336</v>
      </c>
      <c r="I104" s="25" t="s">
        <v>4402</v>
      </c>
      <c r="J104" s="25" t="s">
        <v>11490</v>
      </c>
      <c r="K104" s="62" t="s">
        <v>11491</v>
      </c>
      <c r="L104" s="25" t="s">
        <v>73</v>
      </c>
      <c r="M104" s="25" t="s">
        <v>11519</v>
      </c>
      <c r="N104" s="25" t="s">
        <v>12226</v>
      </c>
      <c r="O104" s="63" t="s">
        <v>12227</v>
      </c>
      <c r="P104" s="28"/>
      <c r="Q104" s="32">
        <v>4</v>
      </c>
      <c r="R104" s="32">
        <v>16</v>
      </c>
      <c r="S104" s="32">
        <v>266.12</v>
      </c>
      <c r="T104" s="26" t="s">
        <v>138</v>
      </c>
      <c r="U104" s="30" t="s">
        <v>78</v>
      </c>
      <c r="V104" s="26" t="s">
        <v>139</v>
      </c>
      <c r="W104" s="38" t="s">
        <v>263</v>
      </c>
      <c r="X104" s="26" t="s">
        <v>11997</v>
      </c>
      <c r="Y104" s="38" t="s">
        <v>141</v>
      </c>
      <c r="Z104" s="26" t="s">
        <v>141</v>
      </c>
      <c r="AA104" s="26"/>
      <c r="AB104" s="36" t="s">
        <v>7</v>
      </c>
      <c r="AC104" s="30" t="s">
        <v>172</v>
      </c>
      <c r="AD104" s="25" t="s">
        <v>173</v>
      </c>
      <c r="AE104" s="25" t="s">
        <v>174</v>
      </c>
      <c r="AF104" s="26" t="s">
        <v>175</v>
      </c>
      <c r="AG104" s="32">
        <v>1</v>
      </c>
      <c r="AH104" s="32">
        <v>1</v>
      </c>
      <c r="AI104" s="32"/>
      <c r="AJ104" s="32"/>
      <c r="AK104" s="30"/>
      <c r="AL104" s="32">
        <f t="shared" si="3"/>
        <v>1</v>
      </c>
      <c r="AM104" s="30"/>
      <c r="AN104" s="32"/>
      <c r="AO104" s="32"/>
      <c r="AP104" s="32">
        <v>1</v>
      </c>
      <c r="AQ104" s="32">
        <v>1</v>
      </c>
      <c r="AR104" s="32">
        <v>1</v>
      </c>
      <c r="AS104" s="32"/>
      <c r="AT104" s="32">
        <v>1</v>
      </c>
      <c r="AU104" s="30"/>
      <c r="AV104" s="30"/>
      <c r="AW104" s="30"/>
      <c r="AX104" s="30" t="s">
        <v>11983</v>
      </c>
      <c r="AY104" s="30"/>
    </row>
    <row r="105" spans="1:51">
      <c r="A105" s="25" t="s">
        <v>12228</v>
      </c>
      <c r="B105" s="25" t="s">
        <v>4398</v>
      </c>
      <c r="C105" s="25" t="s">
        <v>68</v>
      </c>
      <c r="D105" s="25" t="s">
        <v>12229</v>
      </c>
      <c r="E105" s="258" t="s">
        <v>12230</v>
      </c>
      <c r="F105" s="25" t="s">
        <v>12231</v>
      </c>
      <c r="G105" s="25" t="s">
        <v>4336</v>
      </c>
      <c r="H105" s="25" t="s">
        <v>4336</v>
      </c>
      <c r="I105" s="25" t="s">
        <v>4402</v>
      </c>
      <c r="J105" s="25" t="s">
        <v>11490</v>
      </c>
      <c r="K105" s="62" t="s">
        <v>11491</v>
      </c>
      <c r="L105" s="25" t="s">
        <v>73</v>
      </c>
      <c r="M105" s="25" t="s">
        <v>11527</v>
      </c>
      <c r="N105" s="25" t="s">
        <v>12232</v>
      </c>
      <c r="O105" s="63" t="s">
        <v>12233</v>
      </c>
      <c r="P105" s="28"/>
      <c r="Q105" s="32">
        <v>4</v>
      </c>
      <c r="R105" s="32">
        <v>16</v>
      </c>
      <c r="S105" s="32">
        <v>266.19</v>
      </c>
      <c r="T105" s="26" t="s">
        <v>138</v>
      </c>
      <c r="U105" s="30" t="s">
        <v>78</v>
      </c>
      <c r="V105" s="26" t="s">
        <v>139</v>
      </c>
      <c r="W105" s="38" t="s">
        <v>263</v>
      </c>
      <c r="X105" s="26" t="s">
        <v>11997</v>
      </c>
      <c r="Y105" s="38" t="s">
        <v>141</v>
      </c>
      <c r="Z105" s="26" t="s">
        <v>141</v>
      </c>
      <c r="AA105" s="26"/>
      <c r="AB105" s="36" t="s">
        <v>7</v>
      </c>
      <c r="AC105" s="30" t="s">
        <v>172</v>
      </c>
      <c r="AD105" s="25" t="s">
        <v>173</v>
      </c>
      <c r="AE105" s="25" t="s">
        <v>174</v>
      </c>
      <c r="AF105" s="26" t="s">
        <v>175</v>
      </c>
      <c r="AG105" s="32">
        <v>1</v>
      </c>
      <c r="AH105" s="32">
        <v>1</v>
      </c>
      <c r="AI105" s="32"/>
      <c r="AJ105" s="32"/>
      <c r="AK105" s="30"/>
      <c r="AL105" s="32">
        <f t="shared" si="3"/>
        <v>1</v>
      </c>
      <c r="AM105" s="30"/>
      <c r="AN105" s="32"/>
      <c r="AO105" s="32"/>
      <c r="AP105" s="32">
        <v>1</v>
      </c>
      <c r="AQ105" s="32">
        <v>1</v>
      </c>
      <c r="AR105" s="32">
        <v>1</v>
      </c>
      <c r="AS105" s="32"/>
      <c r="AT105" s="32">
        <v>1</v>
      </c>
      <c r="AU105" s="30"/>
      <c r="AV105" s="30"/>
      <c r="AW105" s="30"/>
      <c r="AX105" s="30" t="s">
        <v>11846</v>
      </c>
      <c r="AY105" s="30"/>
    </row>
    <row r="106" spans="1:51">
      <c r="A106" s="25" t="s">
        <v>12234</v>
      </c>
      <c r="B106" s="25" t="s">
        <v>4398</v>
      </c>
      <c r="C106" s="25" t="s">
        <v>73</v>
      </c>
      <c r="D106" s="25" t="s">
        <v>12235</v>
      </c>
      <c r="E106" s="258" t="s">
        <v>12236</v>
      </c>
      <c r="F106" s="25" t="s">
        <v>12237</v>
      </c>
      <c r="G106" s="25" t="s">
        <v>2915</v>
      </c>
      <c r="H106" s="25" t="s">
        <v>2915</v>
      </c>
      <c r="I106" s="25" t="s">
        <v>4402</v>
      </c>
      <c r="J106" s="25" t="s">
        <v>11490</v>
      </c>
      <c r="K106" s="62" t="s">
        <v>11491</v>
      </c>
      <c r="L106" s="25" t="s">
        <v>73</v>
      </c>
      <c r="M106" s="25" t="s">
        <v>12083</v>
      </c>
      <c r="N106" s="25" t="s">
        <v>12238</v>
      </c>
      <c r="O106" s="63" t="s">
        <v>12239</v>
      </c>
      <c r="P106" s="28"/>
      <c r="Q106" s="32">
        <v>4</v>
      </c>
      <c r="R106" s="32" t="s">
        <v>4409</v>
      </c>
      <c r="S106" s="32" t="s">
        <v>12240</v>
      </c>
      <c r="T106" s="26" t="s">
        <v>138</v>
      </c>
      <c r="U106" s="30" t="s">
        <v>78</v>
      </c>
      <c r="V106" s="26" t="s">
        <v>139</v>
      </c>
      <c r="W106" s="38" t="s">
        <v>1095</v>
      </c>
      <c r="X106" s="38" t="s">
        <v>12241</v>
      </c>
      <c r="Y106" s="38" t="s">
        <v>141</v>
      </c>
      <c r="Z106" s="26" t="s">
        <v>141</v>
      </c>
      <c r="AA106" s="26"/>
      <c r="AB106" s="31" t="s">
        <v>17</v>
      </c>
      <c r="AC106" s="30" t="s">
        <v>172</v>
      </c>
      <c r="AD106" s="25" t="s">
        <v>4423</v>
      </c>
      <c r="AE106" s="25" t="s">
        <v>172</v>
      </c>
      <c r="AF106" s="26"/>
      <c r="AG106" s="32">
        <v>1</v>
      </c>
      <c r="AH106" s="32">
        <v>1</v>
      </c>
      <c r="AI106" s="32"/>
      <c r="AJ106" s="32">
        <v>1</v>
      </c>
      <c r="AK106" s="32">
        <v>1</v>
      </c>
      <c r="AL106" s="32">
        <f t="shared" si="3"/>
        <v>1</v>
      </c>
      <c r="AM106" s="30"/>
      <c r="AN106" s="32"/>
      <c r="AO106" s="32"/>
      <c r="AP106" s="25">
        <v>1</v>
      </c>
      <c r="AQ106" s="32">
        <v>1</v>
      </c>
      <c r="AR106" s="32">
        <v>1</v>
      </c>
      <c r="AS106" s="32"/>
      <c r="AT106" s="32">
        <v>1</v>
      </c>
      <c r="AU106" s="30"/>
      <c r="AV106" s="30"/>
      <c r="AW106" s="30"/>
      <c r="AX106" s="30" t="s">
        <v>11855</v>
      </c>
      <c r="AY106" s="30"/>
    </row>
    <row r="107" spans="1:51">
      <c r="A107" s="25" t="s">
        <v>12242</v>
      </c>
      <c r="B107" s="25" t="s">
        <v>4398</v>
      </c>
      <c r="C107" s="25" t="s">
        <v>73</v>
      </c>
      <c r="D107" s="25" t="s">
        <v>12243</v>
      </c>
      <c r="E107" s="258" t="s">
        <v>12244</v>
      </c>
      <c r="F107" s="25" t="s">
        <v>12245</v>
      </c>
      <c r="G107" s="25" t="s">
        <v>2915</v>
      </c>
      <c r="H107" s="25" t="s">
        <v>2915</v>
      </c>
      <c r="I107" s="25" t="s">
        <v>4402</v>
      </c>
      <c r="J107" s="25" t="s">
        <v>11490</v>
      </c>
      <c r="K107" s="62" t="s">
        <v>11491</v>
      </c>
      <c r="L107" s="25" t="s">
        <v>73</v>
      </c>
      <c r="M107" s="25" t="s">
        <v>12102</v>
      </c>
      <c r="N107" s="25" t="s">
        <v>12246</v>
      </c>
      <c r="O107" s="63" t="s">
        <v>12247</v>
      </c>
      <c r="P107" s="28"/>
      <c r="Q107" s="32">
        <v>4</v>
      </c>
      <c r="R107" s="32" t="s">
        <v>4409</v>
      </c>
      <c r="S107" s="32" t="s">
        <v>8230</v>
      </c>
      <c r="T107" s="26" t="s">
        <v>138</v>
      </c>
      <c r="U107" s="30" t="s">
        <v>78</v>
      </c>
      <c r="V107" s="26" t="s">
        <v>139</v>
      </c>
      <c r="W107" s="38" t="s">
        <v>1095</v>
      </c>
      <c r="X107" s="38" t="s">
        <v>12241</v>
      </c>
      <c r="Y107" s="38" t="s">
        <v>141</v>
      </c>
      <c r="Z107" s="26" t="s">
        <v>141</v>
      </c>
      <c r="AA107" s="26"/>
      <c r="AB107" s="31" t="s">
        <v>17</v>
      </c>
      <c r="AC107" s="30" t="s">
        <v>172</v>
      </c>
      <c r="AD107" s="25" t="s">
        <v>4423</v>
      </c>
      <c r="AE107" s="25" t="s">
        <v>172</v>
      </c>
      <c r="AF107" s="26"/>
      <c r="AG107" s="32">
        <v>1</v>
      </c>
      <c r="AH107" s="32">
        <v>1</v>
      </c>
      <c r="AI107" s="32"/>
      <c r="AJ107" s="32">
        <v>1</v>
      </c>
      <c r="AK107" s="32">
        <v>1</v>
      </c>
      <c r="AL107" s="32">
        <f t="shared" si="3"/>
        <v>1</v>
      </c>
      <c r="AM107" s="30"/>
      <c r="AN107" s="32"/>
      <c r="AO107" s="32"/>
      <c r="AP107" s="25">
        <v>1</v>
      </c>
      <c r="AQ107" s="32">
        <v>1</v>
      </c>
      <c r="AR107" s="32">
        <v>1</v>
      </c>
      <c r="AS107" s="34" t="s">
        <v>12248</v>
      </c>
      <c r="AT107" s="32">
        <v>1</v>
      </c>
      <c r="AU107" s="30"/>
      <c r="AV107" s="30"/>
      <c r="AW107" s="39"/>
      <c r="AX107" s="30" t="s">
        <v>11863</v>
      </c>
      <c r="AY107" s="30"/>
    </row>
    <row r="108" spans="1:51">
      <c r="A108" s="25" t="s">
        <v>12249</v>
      </c>
      <c r="B108" s="25" t="s">
        <v>4398</v>
      </c>
      <c r="C108" s="25" t="s">
        <v>73</v>
      </c>
      <c r="D108" s="25" t="s">
        <v>12250</v>
      </c>
      <c r="E108" s="258" t="s">
        <v>12251</v>
      </c>
      <c r="F108" s="25" t="s">
        <v>12252</v>
      </c>
      <c r="G108" s="25" t="s">
        <v>2915</v>
      </c>
      <c r="H108" s="25" t="s">
        <v>2915</v>
      </c>
      <c r="I108" s="25" t="s">
        <v>4402</v>
      </c>
      <c r="J108" s="25" t="s">
        <v>11490</v>
      </c>
      <c r="K108" s="62" t="s">
        <v>11491</v>
      </c>
      <c r="L108" s="25" t="s">
        <v>73</v>
      </c>
      <c r="M108" s="25" t="s">
        <v>12162</v>
      </c>
      <c r="N108" s="25" t="s">
        <v>12253</v>
      </c>
      <c r="O108" s="63" t="s">
        <v>12254</v>
      </c>
      <c r="P108" s="28"/>
      <c r="Q108" s="32">
        <v>4</v>
      </c>
      <c r="R108" s="32" t="s">
        <v>4409</v>
      </c>
      <c r="S108" s="32" t="s">
        <v>12255</v>
      </c>
      <c r="T108" s="26" t="s">
        <v>138</v>
      </c>
      <c r="U108" s="30" t="s">
        <v>78</v>
      </c>
      <c r="V108" s="26" t="s">
        <v>139</v>
      </c>
      <c r="W108" s="38" t="s">
        <v>1095</v>
      </c>
      <c r="X108" s="38" t="s">
        <v>12241</v>
      </c>
      <c r="Y108" s="38" t="s">
        <v>141</v>
      </c>
      <c r="Z108" s="26" t="s">
        <v>141</v>
      </c>
      <c r="AA108" s="26"/>
      <c r="AB108" s="31" t="s">
        <v>17</v>
      </c>
      <c r="AC108" s="30" t="s">
        <v>172</v>
      </c>
      <c r="AD108" s="25" t="s">
        <v>4423</v>
      </c>
      <c r="AE108" s="25" t="s">
        <v>172</v>
      </c>
      <c r="AF108" s="26"/>
      <c r="AG108" s="32">
        <v>1</v>
      </c>
      <c r="AH108" s="32">
        <v>1</v>
      </c>
      <c r="AI108" s="32"/>
      <c r="AJ108" s="32">
        <v>1</v>
      </c>
      <c r="AK108" s="32">
        <v>1</v>
      </c>
      <c r="AL108" s="32">
        <f t="shared" si="3"/>
        <v>1</v>
      </c>
      <c r="AM108" s="30"/>
      <c r="AN108" s="32"/>
      <c r="AO108" s="32"/>
      <c r="AP108" s="25">
        <v>1</v>
      </c>
      <c r="AQ108" s="32">
        <v>1</v>
      </c>
      <c r="AR108" s="32">
        <v>1</v>
      </c>
      <c r="AS108" s="32"/>
      <c r="AT108" s="32">
        <v>1</v>
      </c>
      <c r="AU108" s="30"/>
      <c r="AV108" s="30"/>
      <c r="AW108" s="30"/>
      <c r="AX108" s="30" t="s">
        <v>11877</v>
      </c>
      <c r="AY108" s="30"/>
    </row>
    <row r="109" spans="1:51">
      <c r="A109" s="25" t="s">
        <v>12256</v>
      </c>
      <c r="B109" s="25" t="s">
        <v>4398</v>
      </c>
      <c r="C109" s="25" t="s">
        <v>73</v>
      </c>
      <c r="D109" s="25" t="s">
        <v>12257</v>
      </c>
      <c r="E109" s="258" t="s">
        <v>12258</v>
      </c>
      <c r="F109" s="25" t="s">
        <v>12259</v>
      </c>
      <c r="G109" s="25" t="s">
        <v>2915</v>
      </c>
      <c r="H109" s="25" t="s">
        <v>2915</v>
      </c>
      <c r="I109" s="25" t="s">
        <v>4402</v>
      </c>
      <c r="J109" s="25" t="s">
        <v>11490</v>
      </c>
      <c r="K109" s="62" t="s">
        <v>11491</v>
      </c>
      <c r="L109" s="25" t="s">
        <v>73</v>
      </c>
      <c r="M109" s="25" t="s">
        <v>12260</v>
      </c>
      <c r="N109" s="25" t="s">
        <v>12261</v>
      </c>
      <c r="O109" s="63" t="s">
        <v>12262</v>
      </c>
      <c r="P109" s="28"/>
      <c r="Q109" s="32">
        <v>4</v>
      </c>
      <c r="R109" s="32" t="s">
        <v>4409</v>
      </c>
      <c r="S109" s="32" t="s">
        <v>12263</v>
      </c>
      <c r="T109" s="26" t="s">
        <v>138</v>
      </c>
      <c r="U109" s="30" t="s">
        <v>78</v>
      </c>
      <c r="V109" s="26" t="s">
        <v>139</v>
      </c>
      <c r="W109" s="38" t="s">
        <v>1282</v>
      </c>
      <c r="X109" s="38" t="s">
        <v>12241</v>
      </c>
      <c r="Y109" s="38" t="s">
        <v>141</v>
      </c>
      <c r="Z109" s="26" t="s">
        <v>141</v>
      </c>
      <c r="AA109" s="26"/>
      <c r="AB109" s="31" t="s">
        <v>19</v>
      </c>
      <c r="AC109" s="30" t="s">
        <v>172</v>
      </c>
      <c r="AD109" s="25" t="s">
        <v>4423</v>
      </c>
      <c r="AE109" s="25" t="s">
        <v>172</v>
      </c>
      <c r="AF109" s="26"/>
      <c r="AG109" s="32">
        <v>1</v>
      </c>
      <c r="AH109" s="32">
        <v>1</v>
      </c>
      <c r="AI109" s="32"/>
      <c r="AJ109" s="32"/>
      <c r="AK109" s="30"/>
      <c r="AL109" s="32">
        <f t="shared" si="3"/>
        <v>1</v>
      </c>
      <c r="AM109" s="30"/>
      <c r="AN109" s="32"/>
      <c r="AO109" s="32"/>
      <c r="AP109" s="32">
        <v>1</v>
      </c>
      <c r="AQ109" s="32">
        <v>1</v>
      </c>
      <c r="AR109" s="32">
        <v>1</v>
      </c>
      <c r="AS109" s="34" t="s">
        <v>12264</v>
      </c>
      <c r="AT109" s="32">
        <v>1</v>
      </c>
      <c r="AU109" s="30"/>
      <c r="AV109" s="30"/>
      <c r="AW109" s="30"/>
      <c r="AX109" s="30" t="s">
        <v>11884</v>
      </c>
      <c r="AY109" s="30"/>
    </row>
    <row r="110" spans="1:51">
      <c r="A110" s="25" t="s">
        <v>12265</v>
      </c>
      <c r="B110" s="25" t="s">
        <v>4398</v>
      </c>
      <c r="C110" s="25" t="s">
        <v>73</v>
      </c>
      <c r="D110" s="25" t="s">
        <v>12266</v>
      </c>
      <c r="E110" s="258" t="s">
        <v>12267</v>
      </c>
      <c r="F110" s="25" t="s">
        <v>12268</v>
      </c>
      <c r="G110" s="25" t="s">
        <v>2915</v>
      </c>
      <c r="H110" s="25" t="s">
        <v>2915</v>
      </c>
      <c r="I110" s="25" t="s">
        <v>4402</v>
      </c>
      <c r="J110" s="25" t="s">
        <v>11490</v>
      </c>
      <c r="K110" s="62" t="s">
        <v>11491</v>
      </c>
      <c r="L110" s="25" t="s">
        <v>73</v>
      </c>
      <c r="M110" s="25" t="s">
        <v>12169</v>
      </c>
      <c r="N110" s="25" t="s">
        <v>12269</v>
      </c>
      <c r="O110" s="63" t="s">
        <v>12270</v>
      </c>
      <c r="P110" s="28"/>
      <c r="Q110" s="32">
        <v>4</v>
      </c>
      <c r="R110" s="32" t="s">
        <v>4409</v>
      </c>
      <c r="S110" s="32" t="s">
        <v>12271</v>
      </c>
      <c r="T110" s="26" t="s">
        <v>138</v>
      </c>
      <c r="U110" s="30" t="s">
        <v>78</v>
      </c>
      <c r="V110" s="26" t="s">
        <v>139</v>
      </c>
      <c r="W110" s="38" t="s">
        <v>1282</v>
      </c>
      <c r="X110" s="38" t="s">
        <v>12241</v>
      </c>
      <c r="Y110" s="38" t="s">
        <v>141</v>
      </c>
      <c r="Z110" s="26" t="s">
        <v>141</v>
      </c>
      <c r="AA110" s="26"/>
      <c r="AB110" s="31" t="s">
        <v>19</v>
      </c>
      <c r="AC110" s="30" t="s">
        <v>172</v>
      </c>
      <c r="AD110" s="25" t="s">
        <v>4423</v>
      </c>
      <c r="AE110" s="25" t="s">
        <v>172</v>
      </c>
      <c r="AF110" s="26"/>
      <c r="AG110" s="32">
        <v>1</v>
      </c>
      <c r="AH110" s="32">
        <v>1</v>
      </c>
      <c r="AI110" s="32"/>
      <c r="AJ110" s="32"/>
      <c r="AK110" s="30"/>
      <c r="AL110" s="32">
        <f t="shared" si="3"/>
        <v>1</v>
      </c>
      <c r="AM110" s="30"/>
      <c r="AN110" s="32"/>
      <c r="AO110" s="32"/>
      <c r="AP110" s="32">
        <v>1</v>
      </c>
      <c r="AQ110" s="32">
        <v>1</v>
      </c>
      <c r="AR110" s="32">
        <v>1</v>
      </c>
      <c r="AS110" s="34"/>
      <c r="AT110" s="32">
        <v>1</v>
      </c>
      <c r="AU110" s="30"/>
      <c r="AV110" s="30"/>
      <c r="AW110" s="30"/>
      <c r="AX110" s="30" t="s">
        <v>11891</v>
      </c>
      <c r="AY110" s="30"/>
    </row>
    <row r="111" spans="1:51">
      <c r="A111" s="25" t="s">
        <v>12272</v>
      </c>
      <c r="B111" s="25" t="s">
        <v>4398</v>
      </c>
      <c r="C111" s="25" t="s">
        <v>73</v>
      </c>
      <c r="D111" s="25" t="s">
        <v>12273</v>
      </c>
      <c r="E111" s="258" t="s">
        <v>12274</v>
      </c>
      <c r="F111" s="25" t="s">
        <v>12275</v>
      </c>
      <c r="G111" s="25" t="s">
        <v>2915</v>
      </c>
      <c r="H111" s="25" t="s">
        <v>2915</v>
      </c>
      <c r="I111" s="25" t="s">
        <v>4402</v>
      </c>
      <c r="J111" s="25" t="s">
        <v>11490</v>
      </c>
      <c r="K111" s="62" t="s">
        <v>11491</v>
      </c>
      <c r="L111" s="25" t="s">
        <v>73</v>
      </c>
      <c r="M111" s="25" t="s">
        <v>11894</v>
      </c>
      <c r="N111" s="25" t="s">
        <v>12276</v>
      </c>
      <c r="O111" s="63" t="s">
        <v>12277</v>
      </c>
      <c r="P111" s="28"/>
      <c r="Q111" s="32">
        <v>4</v>
      </c>
      <c r="R111" s="32" t="s">
        <v>4409</v>
      </c>
      <c r="S111" s="32" t="s">
        <v>12278</v>
      </c>
      <c r="T111" s="26" t="s">
        <v>138</v>
      </c>
      <c r="U111" s="30" t="s">
        <v>78</v>
      </c>
      <c r="V111" s="26" t="s">
        <v>139</v>
      </c>
      <c r="W111" s="38" t="s">
        <v>1282</v>
      </c>
      <c r="X111" s="38" t="s">
        <v>12241</v>
      </c>
      <c r="Y111" s="38" t="s">
        <v>141</v>
      </c>
      <c r="Z111" s="26" t="s">
        <v>141</v>
      </c>
      <c r="AA111" s="26"/>
      <c r="AB111" s="31" t="s">
        <v>19</v>
      </c>
      <c r="AC111" s="30" t="s">
        <v>172</v>
      </c>
      <c r="AD111" s="25" t="s">
        <v>4423</v>
      </c>
      <c r="AE111" s="25" t="s">
        <v>172</v>
      </c>
      <c r="AF111" s="26"/>
      <c r="AG111" s="32">
        <v>1</v>
      </c>
      <c r="AH111" s="32">
        <v>1</v>
      </c>
      <c r="AI111" s="32"/>
      <c r="AJ111" s="32"/>
      <c r="AK111" s="30"/>
      <c r="AL111" s="32">
        <f t="shared" si="3"/>
        <v>1</v>
      </c>
      <c r="AM111" s="30"/>
      <c r="AN111" s="32"/>
      <c r="AO111" s="32"/>
      <c r="AP111" s="32">
        <v>1</v>
      </c>
      <c r="AQ111" s="32">
        <v>1</v>
      </c>
      <c r="AR111" s="32">
        <v>1</v>
      </c>
      <c r="AS111" s="34"/>
      <c r="AT111" s="32">
        <v>1</v>
      </c>
      <c r="AU111" s="68">
        <v>46253.9241666667</v>
      </c>
      <c r="AV111" s="30"/>
      <c r="AW111" s="30"/>
      <c r="AX111" s="30" t="s">
        <v>11898</v>
      </c>
      <c r="AY111" s="30"/>
    </row>
    <row r="112" spans="1:51">
      <c r="A112" s="25" t="s">
        <v>12279</v>
      </c>
      <c r="B112" s="25" t="s">
        <v>4398</v>
      </c>
      <c r="C112" s="25" t="s">
        <v>73</v>
      </c>
      <c r="D112" s="25" t="s">
        <v>12280</v>
      </c>
      <c r="E112" s="259" t="s">
        <v>12281</v>
      </c>
      <c r="F112" s="48" t="s">
        <v>12282</v>
      </c>
      <c r="G112" s="25" t="s">
        <v>2915</v>
      </c>
      <c r="H112" s="25" t="s">
        <v>2915</v>
      </c>
      <c r="I112" s="25" t="s">
        <v>4402</v>
      </c>
      <c r="J112" s="25" t="s">
        <v>11490</v>
      </c>
      <c r="K112" s="62" t="s">
        <v>11491</v>
      </c>
      <c r="L112" s="25" t="s">
        <v>73</v>
      </c>
      <c r="M112" s="25" t="s">
        <v>11743</v>
      </c>
      <c r="N112" s="25" t="s">
        <v>12283</v>
      </c>
      <c r="O112" s="63" t="s">
        <v>12284</v>
      </c>
      <c r="P112" s="28"/>
      <c r="Q112" s="32">
        <v>4</v>
      </c>
      <c r="R112" s="32" t="s">
        <v>4409</v>
      </c>
      <c r="S112" s="32" t="s">
        <v>12285</v>
      </c>
      <c r="T112" s="26" t="s">
        <v>138</v>
      </c>
      <c r="U112" s="30" t="s">
        <v>78</v>
      </c>
      <c r="V112" s="26" t="s">
        <v>139</v>
      </c>
      <c r="W112" s="38" t="s">
        <v>1282</v>
      </c>
      <c r="X112" s="38" t="s">
        <v>12241</v>
      </c>
      <c r="Y112" s="38" t="s">
        <v>141</v>
      </c>
      <c r="Z112" s="26" t="s">
        <v>141</v>
      </c>
      <c r="AA112" s="26"/>
      <c r="AB112" s="31" t="s">
        <v>19</v>
      </c>
      <c r="AC112" s="30" t="s">
        <v>172</v>
      </c>
      <c r="AD112" s="25" t="s">
        <v>4423</v>
      </c>
      <c r="AE112" s="25" t="s">
        <v>172</v>
      </c>
      <c r="AF112" s="26"/>
      <c r="AG112" s="32">
        <v>1</v>
      </c>
      <c r="AH112" s="32">
        <v>1</v>
      </c>
      <c r="AI112" s="32"/>
      <c r="AJ112" s="32"/>
      <c r="AK112" s="30"/>
      <c r="AL112" s="32">
        <f t="shared" si="3"/>
        <v>1</v>
      </c>
      <c r="AM112" s="30"/>
      <c r="AN112" s="32"/>
      <c r="AO112" s="32"/>
      <c r="AP112" s="32">
        <v>1</v>
      </c>
      <c r="AQ112" s="32">
        <v>1</v>
      </c>
      <c r="AR112" s="32">
        <v>1</v>
      </c>
      <c r="AS112" s="34" t="s">
        <v>12286</v>
      </c>
      <c r="AT112" s="32">
        <v>1</v>
      </c>
      <c r="AU112" s="26" t="s">
        <v>12287</v>
      </c>
      <c r="AV112" s="30"/>
      <c r="AW112" s="30"/>
      <c r="AX112" s="30" t="s">
        <v>11905</v>
      </c>
      <c r="AY112" s="30"/>
    </row>
    <row r="113" spans="1:51">
      <c r="A113" s="25" t="s">
        <v>12288</v>
      </c>
      <c r="B113" s="25" t="s">
        <v>4398</v>
      </c>
      <c r="C113" s="25" t="s">
        <v>73</v>
      </c>
      <c r="D113" s="25" t="s">
        <v>12289</v>
      </c>
      <c r="E113" s="258" t="s">
        <v>12290</v>
      </c>
      <c r="F113" s="25" t="s">
        <v>12291</v>
      </c>
      <c r="G113" s="25" t="s">
        <v>2915</v>
      </c>
      <c r="H113" s="25" t="s">
        <v>2915</v>
      </c>
      <c r="I113" s="25" t="s">
        <v>4402</v>
      </c>
      <c r="J113" s="25" t="s">
        <v>11490</v>
      </c>
      <c r="K113" s="62" t="s">
        <v>11491</v>
      </c>
      <c r="L113" s="25" t="s">
        <v>73</v>
      </c>
      <c r="M113" s="25" t="s">
        <v>12292</v>
      </c>
      <c r="N113" s="25" t="s">
        <v>12293</v>
      </c>
      <c r="O113" s="63" t="s">
        <v>12294</v>
      </c>
      <c r="P113" s="28"/>
      <c r="Q113" s="32">
        <v>4</v>
      </c>
      <c r="R113" s="32" t="s">
        <v>4409</v>
      </c>
      <c r="S113" s="32" t="s">
        <v>12295</v>
      </c>
      <c r="T113" s="26" t="s">
        <v>138</v>
      </c>
      <c r="U113" s="30" t="s">
        <v>78</v>
      </c>
      <c r="V113" s="26" t="s">
        <v>139</v>
      </c>
      <c r="W113" s="38" t="s">
        <v>1282</v>
      </c>
      <c r="X113" s="38" t="s">
        <v>12241</v>
      </c>
      <c r="Y113" s="38" t="s">
        <v>141</v>
      </c>
      <c r="Z113" s="26" t="s">
        <v>141</v>
      </c>
      <c r="AA113" s="26"/>
      <c r="AB113" s="31" t="s">
        <v>19</v>
      </c>
      <c r="AC113" s="30" t="s">
        <v>172</v>
      </c>
      <c r="AD113" s="25" t="s">
        <v>4423</v>
      </c>
      <c r="AE113" s="25" t="s">
        <v>172</v>
      </c>
      <c r="AF113" s="26"/>
      <c r="AG113" s="32">
        <v>1</v>
      </c>
      <c r="AH113" s="32">
        <v>1</v>
      </c>
      <c r="AI113" s="32"/>
      <c r="AJ113" s="32"/>
      <c r="AK113" s="30"/>
      <c r="AL113" s="32">
        <f t="shared" si="3"/>
        <v>1</v>
      </c>
      <c r="AM113" s="30"/>
      <c r="AN113" s="32"/>
      <c r="AO113" s="32"/>
      <c r="AP113" s="32">
        <v>1</v>
      </c>
      <c r="AQ113" s="32">
        <v>1</v>
      </c>
      <c r="AR113" s="32">
        <v>1</v>
      </c>
      <c r="AS113" s="25"/>
      <c r="AT113" s="32">
        <v>1</v>
      </c>
      <c r="AU113" s="30"/>
      <c r="AV113" s="30"/>
      <c r="AW113" s="30"/>
      <c r="AX113" s="30" t="s">
        <v>11913</v>
      </c>
      <c r="AY113" s="30"/>
    </row>
    <row r="114" spans="1:51">
      <c r="A114" s="25" t="s">
        <v>12296</v>
      </c>
      <c r="B114" s="25" t="s">
        <v>4398</v>
      </c>
      <c r="C114" s="25" t="s">
        <v>73</v>
      </c>
      <c r="D114" s="25" t="s">
        <v>12297</v>
      </c>
      <c r="E114" s="258" t="s">
        <v>12298</v>
      </c>
      <c r="F114" s="25" t="s">
        <v>12299</v>
      </c>
      <c r="G114" s="25" t="s">
        <v>2915</v>
      </c>
      <c r="H114" s="25" t="s">
        <v>2915</v>
      </c>
      <c r="I114" s="25" t="s">
        <v>4402</v>
      </c>
      <c r="J114" s="25" t="s">
        <v>11490</v>
      </c>
      <c r="K114" s="62" t="s">
        <v>11491</v>
      </c>
      <c r="L114" s="25" t="s">
        <v>73</v>
      </c>
      <c r="M114" s="25" t="s">
        <v>12300</v>
      </c>
      <c r="N114" s="25" t="s">
        <v>12301</v>
      </c>
      <c r="O114" s="63" t="s">
        <v>12302</v>
      </c>
      <c r="P114" s="30"/>
      <c r="Q114" s="32">
        <v>4</v>
      </c>
      <c r="R114" s="32" t="s">
        <v>4409</v>
      </c>
      <c r="S114" s="32" t="s">
        <v>12303</v>
      </c>
      <c r="T114" s="26" t="s">
        <v>138</v>
      </c>
      <c r="U114" s="30" t="s">
        <v>78</v>
      </c>
      <c r="V114" s="26" t="s">
        <v>139</v>
      </c>
      <c r="W114" s="38" t="s">
        <v>1282</v>
      </c>
      <c r="X114" s="38" t="s">
        <v>12241</v>
      </c>
      <c r="Y114" s="38" t="s">
        <v>141</v>
      </c>
      <c r="Z114" s="26" t="s">
        <v>141</v>
      </c>
      <c r="AA114" s="26"/>
      <c r="AB114" s="31" t="s">
        <v>19</v>
      </c>
      <c r="AC114" s="30" t="s">
        <v>172</v>
      </c>
      <c r="AD114" s="25" t="s">
        <v>4423</v>
      </c>
      <c r="AE114" s="25" t="s">
        <v>172</v>
      </c>
      <c r="AF114" s="26"/>
      <c r="AG114" s="32">
        <v>1</v>
      </c>
      <c r="AH114" s="32">
        <v>1</v>
      </c>
      <c r="AI114" s="32"/>
      <c r="AJ114" s="32"/>
      <c r="AK114" s="30"/>
      <c r="AL114" s="32">
        <f t="shared" si="3"/>
        <v>1</v>
      </c>
      <c r="AM114" s="30"/>
      <c r="AN114" s="32"/>
      <c r="AO114" s="32"/>
      <c r="AP114" s="32">
        <v>1</v>
      </c>
      <c r="AQ114" s="32">
        <v>1</v>
      </c>
      <c r="AR114" s="32">
        <v>1</v>
      </c>
      <c r="AS114" s="32"/>
      <c r="AT114" s="32">
        <v>1</v>
      </c>
      <c r="AU114" s="30"/>
      <c r="AV114" s="30"/>
      <c r="AW114" s="30"/>
      <c r="AX114" s="30" t="s">
        <v>11921</v>
      </c>
      <c r="AY114" s="30"/>
    </row>
    <row r="115" spans="1:51">
      <c r="A115" s="25" t="s">
        <v>12304</v>
      </c>
      <c r="B115" s="25" t="s">
        <v>4398</v>
      </c>
      <c r="C115" s="25" t="s">
        <v>73</v>
      </c>
      <c r="D115" s="25" t="s">
        <v>12305</v>
      </c>
      <c r="E115" s="258" t="s">
        <v>12306</v>
      </c>
      <c r="F115" s="25" t="s">
        <v>12307</v>
      </c>
      <c r="G115" s="25" t="s">
        <v>2915</v>
      </c>
      <c r="H115" s="25" t="s">
        <v>2915</v>
      </c>
      <c r="I115" s="25" t="s">
        <v>4402</v>
      </c>
      <c r="J115" s="25" t="s">
        <v>11490</v>
      </c>
      <c r="K115" s="62" t="s">
        <v>11491</v>
      </c>
      <c r="L115" s="25" t="s">
        <v>73</v>
      </c>
      <c r="M115" s="25" t="s">
        <v>12188</v>
      </c>
      <c r="N115" s="25" t="s">
        <v>12308</v>
      </c>
      <c r="O115" s="63" t="s">
        <v>12309</v>
      </c>
      <c r="P115" s="30"/>
      <c r="Q115" s="32">
        <v>4</v>
      </c>
      <c r="R115" s="32" t="s">
        <v>4409</v>
      </c>
      <c r="S115" s="32" t="s">
        <v>12310</v>
      </c>
      <c r="T115" s="26" t="s">
        <v>138</v>
      </c>
      <c r="U115" s="30" t="s">
        <v>78</v>
      </c>
      <c r="V115" s="26" t="s">
        <v>139</v>
      </c>
      <c r="W115" s="38" t="s">
        <v>1282</v>
      </c>
      <c r="X115" s="38" t="s">
        <v>12241</v>
      </c>
      <c r="Y115" s="38" t="s">
        <v>141</v>
      </c>
      <c r="Z115" s="26" t="s">
        <v>141</v>
      </c>
      <c r="AA115" s="26"/>
      <c r="AB115" s="31" t="s">
        <v>19</v>
      </c>
      <c r="AC115" s="30" t="s">
        <v>172</v>
      </c>
      <c r="AD115" s="25" t="s">
        <v>4423</v>
      </c>
      <c r="AE115" s="25" t="s">
        <v>172</v>
      </c>
      <c r="AF115" s="26"/>
      <c r="AG115" s="32">
        <v>1</v>
      </c>
      <c r="AH115" s="32">
        <v>1</v>
      </c>
      <c r="AI115" s="32"/>
      <c r="AJ115" s="32"/>
      <c r="AK115" s="30"/>
      <c r="AL115" s="32">
        <f t="shared" si="3"/>
        <v>1</v>
      </c>
      <c r="AM115" s="30"/>
      <c r="AN115" s="32"/>
      <c r="AO115" s="32"/>
      <c r="AP115" s="32">
        <v>1</v>
      </c>
      <c r="AQ115" s="32">
        <v>1</v>
      </c>
      <c r="AR115" s="32">
        <v>1</v>
      </c>
      <c r="AS115" s="34" t="s">
        <v>12286</v>
      </c>
      <c r="AT115" s="32">
        <v>1</v>
      </c>
      <c r="AU115" s="30"/>
      <c r="AV115" s="30"/>
      <c r="AW115" s="30"/>
      <c r="AX115" s="30" t="s">
        <v>11928</v>
      </c>
      <c r="AY115" s="30"/>
    </row>
    <row r="116" spans="1:51">
      <c r="A116" s="25" t="s">
        <v>12311</v>
      </c>
      <c r="B116" s="25" t="s">
        <v>4398</v>
      </c>
      <c r="C116" s="25" t="s">
        <v>73</v>
      </c>
      <c r="D116" s="25" t="s">
        <v>12312</v>
      </c>
      <c r="E116" s="258" t="s">
        <v>12313</v>
      </c>
      <c r="F116" s="25" t="s">
        <v>12314</v>
      </c>
      <c r="G116" s="25" t="s">
        <v>2915</v>
      </c>
      <c r="H116" s="25" t="s">
        <v>2915</v>
      </c>
      <c r="I116" s="25" t="s">
        <v>4402</v>
      </c>
      <c r="J116" s="25" t="s">
        <v>11490</v>
      </c>
      <c r="K116" s="62" t="s">
        <v>11491</v>
      </c>
      <c r="L116" s="25" t="s">
        <v>73</v>
      </c>
      <c r="M116" s="25" t="s">
        <v>12195</v>
      </c>
      <c r="N116" s="25" t="s">
        <v>12315</v>
      </c>
      <c r="O116" s="63" t="s">
        <v>12316</v>
      </c>
      <c r="P116" s="30"/>
      <c r="Q116" s="32">
        <v>4</v>
      </c>
      <c r="R116" s="32" t="s">
        <v>4409</v>
      </c>
      <c r="S116" s="32" t="s">
        <v>12317</v>
      </c>
      <c r="T116" s="26" t="s">
        <v>138</v>
      </c>
      <c r="U116" s="30" t="s">
        <v>78</v>
      </c>
      <c r="V116" s="26" t="s">
        <v>139</v>
      </c>
      <c r="W116" s="38" t="s">
        <v>1282</v>
      </c>
      <c r="X116" s="38" t="s">
        <v>12241</v>
      </c>
      <c r="Y116" s="38" t="s">
        <v>141</v>
      </c>
      <c r="Z116" s="26" t="s">
        <v>141</v>
      </c>
      <c r="AA116" s="26"/>
      <c r="AB116" s="31" t="s">
        <v>19</v>
      </c>
      <c r="AC116" s="30" t="s">
        <v>172</v>
      </c>
      <c r="AD116" s="25" t="s">
        <v>4423</v>
      </c>
      <c r="AE116" s="25" t="s">
        <v>172</v>
      </c>
      <c r="AF116" s="26"/>
      <c r="AG116" s="32">
        <v>1</v>
      </c>
      <c r="AH116" s="32">
        <v>1</v>
      </c>
      <c r="AI116" s="32"/>
      <c r="AJ116" s="32"/>
      <c r="AK116" s="30"/>
      <c r="AL116" s="32">
        <f t="shared" si="3"/>
        <v>1</v>
      </c>
      <c r="AM116" s="30"/>
      <c r="AN116" s="32"/>
      <c r="AO116" s="32"/>
      <c r="AP116" s="32">
        <v>1</v>
      </c>
      <c r="AQ116" s="32">
        <v>1</v>
      </c>
      <c r="AR116" s="32">
        <v>1</v>
      </c>
      <c r="AS116" s="32"/>
      <c r="AT116" s="32">
        <v>1</v>
      </c>
      <c r="AU116" s="30"/>
      <c r="AV116" s="30"/>
      <c r="AW116" s="30"/>
      <c r="AX116" s="30" t="s">
        <v>11937</v>
      </c>
      <c r="AY116" s="30"/>
    </row>
    <row r="117" spans="1:51">
      <c r="A117" s="25" t="s">
        <v>12318</v>
      </c>
      <c r="B117" s="25" t="s">
        <v>4398</v>
      </c>
      <c r="C117" s="25" t="s">
        <v>73</v>
      </c>
      <c r="D117" s="25" t="s">
        <v>12319</v>
      </c>
      <c r="E117" s="258" t="s">
        <v>12320</v>
      </c>
      <c r="F117" s="25" t="s">
        <v>12321</v>
      </c>
      <c r="G117" s="25" t="s">
        <v>2915</v>
      </c>
      <c r="H117" s="25" t="s">
        <v>2915</v>
      </c>
      <c r="I117" s="25" t="s">
        <v>4402</v>
      </c>
      <c r="J117" s="25" t="s">
        <v>11490</v>
      </c>
      <c r="K117" s="62" t="s">
        <v>11491</v>
      </c>
      <c r="L117" s="25" t="s">
        <v>73</v>
      </c>
      <c r="M117" s="25" t="s">
        <v>12322</v>
      </c>
      <c r="N117" s="25" t="s">
        <v>12323</v>
      </c>
      <c r="O117" s="63" t="s">
        <v>12324</v>
      </c>
      <c r="P117" s="30"/>
      <c r="Q117" s="32">
        <v>4</v>
      </c>
      <c r="R117" s="32" t="s">
        <v>4409</v>
      </c>
      <c r="S117" s="32" t="s">
        <v>12325</v>
      </c>
      <c r="T117" s="26" t="s">
        <v>138</v>
      </c>
      <c r="U117" s="30" t="s">
        <v>78</v>
      </c>
      <c r="V117" s="26" t="s">
        <v>139</v>
      </c>
      <c r="W117" s="38" t="s">
        <v>1282</v>
      </c>
      <c r="X117" s="38" t="s">
        <v>12241</v>
      </c>
      <c r="Y117" s="38" t="s">
        <v>141</v>
      </c>
      <c r="Z117" s="26" t="s">
        <v>141</v>
      </c>
      <c r="AA117" s="26"/>
      <c r="AB117" s="31" t="s">
        <v>19</v>
      </c>
      <c r="AC117" s="30" t="s">
        <v>172</v>
      </c>
      <c r="AD117" s="25" t="s">
        <v>4423</v>
      </c>
      <c r="AE117" s="25" t="s">
        <v>172</v>
      </c>
      <c r="AF117" s="26"/>
      <c r="AG117" s="32">
        <v>1</v>
      </c>
      <c r="AH117" s="32">
        <v>1</v>
      </c>
      <c r="AI117" s="32"/>
      <c r="AJ117" s="32"/>
      <c r="AK117" s="30"/>
      <c r="AL117" s="32">
        <f t="shared" si="3"/>
        <v>1</v>
      </c>
      <c r="AM117" s="30"/>
      <c r="AN117" s="32"/>
      <c r="AO117" s="32"/>
      <c r="AP117" s="32">
        <v>1</v>
      </c>
      <c r="AQ117" s="32">
        <v>1</v>
      </c>
      <c r="AR117" s="32">
        <v>1</v>
      </c>
      <c r="AS117" s="34"/>
      <c r="AT117" s="32">
        <v>1</v>
      </c>
      <c r="AU117" s="30"/>
      <c r="AV117" s="30"/>
      <c r="AW117" s="30"/>
      <c r="AX117" s="30" t="s">
        <v>11944</v>
      </c>
      <c r="AY117" s="30"/>
    </row>
    <row r="118" spans="1:51">
      <c r="A118" s="25" t="s">
        <v>12326</v>
      </c>
      <c r="B118" s="25" t="s">
        <v>4398</v>
      </c>
      <c r="C118" s="25" t="s">
        <v>73</v>
      </c>
      <c r="D118" s="25" t="s">
        <v>12327</v>
      </c>
      <c r="E118" s="258" t="s">
        <v>12328</v>
      </c>
      <c r="F118" s="25" t="s">
        <v>12329</v>
      </c>
      <c r="G118" s="25" t="s">
        <v>2915</v>
      </c>
      <c r="H118" s="25" t="s">
        <v>2915</v>
      </c>
      <c r="I118" s="25" t="s">
        <v>4402</v>
      </c>
      <c r="J118" s="25" t="s">
        <v>11490</v>
      </c>
      <c r="K118" s="62" t="s">
        <v>11491</v>
      </c>
      <c r="L118" s="25" t="s">
        <v>73</v>
      </c>
      <c r="M118" s="25" t="s">
        <v>12202</v>
      </c>
      <c r="N118" s="25" t="s">
        <v>12330</v>
      </c>
      <c r="O118" s="63" t="s">
        <v>12331</v>
      </c>
      <c r="P118" s="30"/>
      <c r="Q118" s="32">
        <v>4</v>
      </c>
      <c r="R118" s="32" t="s">
        <v>4409</v>
      </c>
      <c r="S118" s="32" t="s">
        <v>12332</v>
      </c>
      <c r="T118" s="26" t="s">
        <v>138</v>
      </c>
      <c r="U118" s="30" t="s">
        <v>78</v>
      </c>
      <c r="V118" s="26" t="s">
        <v>139</v>
      </c>
      <c r="W118" s="38" t="s">
        <v>1282</v>
      </c>
      <c r="X118" s="38" t="s">
        <v>12241</v>
      </c>
      <c r="Y118" s="38" t="s">
        <v>141</v>
      </c>
      <c r="Z118" s="26" t="s">
        <v>141</v>
      </c>
      <c r="AA118" s="26"/>
      <c r="AB118" s="31" t="s">
        <v>19</v>
      </c>
      <c r="AC118" s="30" t="s">
        <v>172</v>
      </c>
      <c r="AD118" s="25" t="s">
        <v>4423</v>
      </c>
      <c r="AE118" s="25" t="s">
        <v>172</v>
      </c>
      <c r="AF118" s="26"/>
      <c r="AG118" s="32">
        <v>1</v>
      </c>
      <c r="AH118" s="32">
        <v>1</v>
      </c>
      <c r="AI118" s="32"/>
      <c r="AJ118" s="32"/>
      <c r="AK118" s="30"/>
      <c r="AL118" s="32">
        <f t="shared" si="3"/>
        <v>1</v>
      </c>
      <c r="AM118" s="30"/>
      <c r="AN118" s="32"/>
      <c r="AO118" s="32"/>
      <c r="AP118" s="32">
        <v>1</v>
      </c>
      <c r="AQ118" s="32">
        <v>1</v>
      </c>
      <c r="AR118" s="32">
        <v>1</v>
      </c>
      <c r="AS118" s="32"/>
      <c r="AT118" s="32">
        <v>1</v>
      </c>
      <c r="AU118" s="30"/>
      <c r="AV118" s="30"/>
      <c r="AW118" s="30"/>
      <c r="AX118" s="30" t="s">
        <v>11952</v>
      </c>
      <c r="AY118" s="30"/>
    </row>
    <row r="119" spans="1:51">
      <c r="A119" s="25" t="s">
        <v>12333</v>
      </c>
      <c r="B119" s="25" t="s">
        <v>4398</v>
      </c>
      <c r="C119" s="25" t="s">
        <v>73</v>
      </c>
      <c r="D119" s="25" t="s">
        <v>12334</v>
      </c>
      <c r="E119" s="258" t="s">
        <v>12335</v>
      </c>
      <c r="F119" s="25" t="s">
        <v>12336</v>
      </c>
      <c r="G119" s="25" t="s">
        <v>2915</v>
      </c>
      <c r="H119" s="25" t="s">
        <v>2915</v>
      </c>
      <c r="I119" s="25" t="s">
        <v>4402</v>
      </c>
      <c r="J119" s="25" t="s">
        <v>11490</v>
      </c>
      <c r="K119" s="62" t="s">
        <v>11491</v>
      </c>
      <c r="L119" s="25" t="s">
        <v>73</v>
      </c>
      <c r="M119" s="25" t="s">
        <v>12337</v>
      </c>
      <c r="N119" s="25" t="s">
        <v>12338</v>
      </c>
      <c r="O119" s="63" t="s">
        <v>12339</v>
      </c>
      <c r="P119" s="30"/>
      <c r="Q119" s="32">
        <v>4</v>
      </c>
      <c r="R119" s="32" t="s">
        <v>4409</v>
      </c>
      <c r="S119" s="32" t="s">
        <v>12340</v>
      </c>
      <c r="T119" s="26" t="s">
        <v>138</v>
      </c>
      <c r="U119" s="30" t="s">
        <v>78</v>
      </c>
      <c r="V119" s="26" t="s">
        <v>139</v>
      </c>
      <c r="W119" s="38" t="s">
        <v>1282</v>
      </c>
      <c r="X119" s="38" t="s">
        <v>12241</v>
      </c>
      <c r="Y119" s="38" t="s">
        <v>141</v>
      </c>
      <c r="Z119" s="26" t="s">
        <v>141</v>
      </c>
      <c r="AA119" s="26"/>
      <c r="AB119" s="31" t="s">
        <v>19</v>
      </c>
      <c r="AC119" s="30" t="s">
        <v>172</v>
      </c>
      <c r="AD119" s="25" t="s">
        <v>4423</v>
      </c>
      <c r="AE119" s="25" t="s">
        <v>172</v>
      </c>
      <c r="AF119" s="26"/>
      <c r="AG119" s="32">
        <v>1</v>
      </c>
      <c r="AH119" s="32">
        <v>1</v>
      </c>
      <c r="AI119" s="32"/>
      <c r="AJ119" s="32"/>
      <c r="AK119" s="30"/>
      <c r="AL119" s="32">
        <f t="shared" si="3"/>
        <v>1</v>
      </c>
      <c r="AM119" s="30"/>
      <c r="AN119" s="32"/>
      <c r="AO119" s="32"/>
      <c r="AP119" s="32">
        <v>1</v>
      </c>
      <c r="AQ119" s="32">
        <v>1</v>
      </c>
      <c r="AR119" s="32">
        <v>1</v>
      </c>
      <c r="AS119" s="32"/>
      <c r="AT119" s="32">
        <v>1</v>
      </c>
      <c r="AU119" s="30"/>
      <c r="AV119" s="30"/>
      <c r="AW119" s="30"/>
      <c r="AX119" s="30" t="s">
        <v>11959</v>
      </c>
      <c r="AY119" s="30"/>
    </row>
    <row r="120" spans="1:51">
      <c r="A120" s="25" t="s">
        <v>12341</v>
      </c>
      <c r="B120" s="25" t="s">
        <v>4398</v>
      </c>
      <c r="C120" s="25" t="s">
        <v>73</v>
      </c>
      <c r="D120" s="25" t="s">
        <v>12342</v>
      </c>
      <c r="E120" s="258" t="s">
        <v>12343</v>
      </c>
      <c r="F120" s="25" t="s">
        <v>12344</v>
      </c>
      <c r="G120" s="25" t="s">
        <v>2915</v>
      </c>
      <c r="H120" s="25" t="s">
        <v>2915</v>
      </c>
      <c r="I120" s="25" t="s">
        <v>4402</v>
      </c>
      <c r="J120" s="25" t="s">
        <v>11490</v>
      </c>
      <c r="K120" s="62" t="s">
        <v>11491</v>
      </c>
      <c r="L120" s="25" t="s">
        <v>73</v>
      </c>
      <c r="M120" s="25" t="s">
        <v>11901</v>
      </c>
      <c r="N120" s="25" t="s">
        <v>12345</v>
      </c>
      <c r="O120" s="63" t="s">
        <v>12346</v>
      </c>
      <c r="P120" s="30"/>
      <c r="Q120" s="32">
        <v>4</v>
      </c>
      <c r="R120" s="32" t="s">
        <v>4409</v>
      </c>
      <c r="S120" s="32" t="s">
        <v>12347</v>
      </c>
      <c r="T120" s="26" t="s">
        <v>138</v>
      </c>
      <c r="U120" s="30" t="s">
        <v>78</v>
      </c>
      <c r="V120" s="26" t="s">
        <v>139</v>
      </c>
      <c r="W120" s="38" t="s">
        <v>1282</v>
      </c>
      <c r="X120" s="38" t="s">
        <v>12241</v>
      </c>
      <c r="Y120" s="38" t="s">
        <v>141</v>
      </c>
      <c r="Z120" s="26" t="s">
        <v>141</v>
      </c>
      <c r="AA120" s="26"/>
      <c r="AB120" s="31" t="s">
        <v>19</v>
      </c>
      <c r="AC120" s="30" t="s">
        <v>172</v>
      </c>
      <c r="AD120" s="25" t="s">
        <v>4423</v>
      </c>
      <c r="AE120" s="25" t="s">
        <v>172</v>
      </c>
      <c r="AF120" s="26"/>
      <c r="AG120" s="32">
        <v>1</v>
      </c>
      <c r="AH120" s="32">
        <v>1</v>
      </c>
      <c r="AI120" s="32"/>
      <c r="AJ120" s="32"/>
      <c r="AK120" s="30"/>
      <c r="AL120" s="32">
        <f t="shared" si="3"/>
        <v>1</v>
      </c>
      <c r="AM120" s="30"/>
      <c r="AN120" s="32"/>
      <c r="AO120" s="32"/>
      <c r="AP120" s="32">
        <v>1</v>
      </c>
      <c r="AQ120" s="32">
        <v>1</v>
      </c>
      <c r="AR120" s="32">
        <v>1</v>
      </c>
      <c r="AS120" s="34"/>
      <c r="AT120" s="32">
        <v>1</v>
      </c>
      <c r="AU120" s="30"/>
      <c r="AV120" s="30"/>
      <c r="AW120" s="30"/>
      <c r="AX120" s="30" t="s">
        <v>11966</v>
      </c>
      <c r="AY120" s="30"/>
    </row>
    <row r="121" spans="1:51">
      <c r="A121" s="25" t="s">
        <v>12348</v>
      </c>
      <c r="B121" s="25" t="s">
        <v>4398</v>
      </c>
      <c r="C121" s="25" t="s">
        <v>73</v>
      </c>
      <c r="D121" s="25" t="s">
        <v>12349</v>
      </c>
      <c r="E121" s="258" t="s">
        <v>12350</v>
      </c>
      <c r="F121" s="25" t="s">
        <v>12351</v>
      </c>
      <c r="G121" s="25" t="s">
        <v>2915</v>
      </c>
      <c r="H121" s="25" t="s">
        <v>2915</v>
      </c>
      <c r="I121" s="25" t="s">
        <v>4402</v>
      </c>
      <c r="J121" s="25" t="s">
        <v>11490</v>
      </c>
      <c r="K121" s="62" t="s">
        <v>11491</v>
      </c>
      <c r="L121" s="25" t="s">
        <v>73</v>
      </c>
      <c r="M121" s="25" t="s">
        <v>12208</v>
      </c>
      <c r="N121" s="25" t="s">
        <v>12352</v>
      </c>
      <c r="O121" s="63" t="s">
        <v>12353</v>
      </c>
      <c r="P121" s="30"/>
      <c r="Q121" s="32">
        <v>4</v>
      </c>
      <c r="R121" s="32" t="s">
        <v>4409</v>
      </c>
      <c r="S121" s="32" t="s">
        <v>12354</v>
      </c>
      <c r="T121" s="26" t="s">
        <v>138</v>
      </c>
      <c r="U121" s="30" t="s">
        <v>78</v>
      </c>
      <c r="V121" s="26" t="s">
        <v>139</v>
      </c>
      <c r="W121" s="38" t="s">
        <v>1282</v>
      </c>
      <c r="X121" s="38" t="s">
        <v>12241</v>
      </c>
      <c r="Y121" s="38" t="s">
        <v>141</v>
      </c>
      <c r="Z121" s="26" t="s">
        <v>141</v>
      </c>
      <c r="AA121" s="26"/>
      <c r="AB121" s="31" t="s">
        <v>19</v>
      </c>
      <c r="AC121" s="30" t="s">
        <v>172</v>
      </c>
      <c r="AD121" s="25" t="s">
        <v>4423</v>
      </c>
      <c r="AE121" s="25" t="s">
        <v>172</v>
      </c>
      <c r="AF121" s="26"/>
      <c r="AG121" s="32">
        <v>1</v>
      </c>
      <c r="AH121" s="32">
        <v>1</v>
      </c>
      <c r="AI121" s="32"/>
      <c r="AJ121" s="32"/>
      <c r="AK121" s="26"/>
      <c r="AL121" s="32">
        <f t="shared" si="3"/>
        <v>1</v>
      </c>
      <c r="AM121" s="30"/>
      <c r="AN121" s="32"/>
      <c r="AO121" s="32"/>
      <c r="AP121" s="32">
        <v>1</v>
      </c>
      <c r="AQ121" s="65">
        <v>1</v>
      </c>
      <c r="AR121" s="32">
        <v>1</v>
      </c>
      <c r="AS121" s="34"/>
      <c r="AT121" s="34">
        <v>1</v>
      </c>
      <c r="AU121" s="30"/>
      <c r="AV121" s="30"/>
      <c r="AW121" s="30"/>
      <c r="AX121" s="30" t="s">
        <v>12260</v>
      </c>
      <c r="AY121" s="30"/>
    </row>
    <row r="122" spans="1:51">
      <c r="A122" s="25" t="s">
        <v>12355</v>
      </c>
      <c r="B122" s="25" t="s">
        <v>4398</v>
      </c>
      <c r="C122" s="25" t="s">
        <v>73</v>
      </c>
      <c r="D122" s="25" t="s">
        <v>12356</v>
      </c>
      <c r="E122" s="258" t="s">
        <v>12357</v>
      </c>
      <c r="F122" s="25" t="s">
        <v>12358</v>
      </c>
      <c r="G122" s="25" t="s">
        <v>2915</v>
      </c>
      <c r="H122" s="25" t="s">
        <v>2915</v>
      </c>
      <c r="I122" s="25" t="s">
        <v>4402</v>
      </c>
      <c r="J122" s="25" t="s">
        <v>11490</v>
      </c>
      <c r="K122" s="62" t="s">
        <v>11491</v>
      </c>
      <c r="L122" s="25" t="s">
        <v>73</v>
      </c>
      <c r="M122" s="25" t="s">
        <v>12359</v>
      </c>
      <c r="N122" s="25" t="s">
        <v>12360</v>
      </c>
      <c r="O122" s="63" t="s">
        <v>12361</v>
      </c>
      <c r="P122" s="30"/>
      <c r="Q122" s="32">
        <v>4</v>
      </c>
      <c r="R122" s="32" t="s">
        <v>4409</v>
      </c>
      <c r="S122" s="32" t="s">
        <v>12362</v>
      </c>
      <c r="T122" s="26" t="s">
        <v>138</v>
      </c>
      <c r="U122" s="30" t="s">
        <v>78</v>
      </c>
      <c r="V122" s="26" t="s">
        <v>139</v>
      </c>
      <c r="W122" s="38" t="s">
        <v>1282</v>
      </c>
      <c r="X122" s="38" t="s">
        <v>12241</v>
      </c>
      <c r="Y122" s="38" t="s">
        <v>141</v>
      </c>
      <c r="Z122" s="26" t="s">
        <v>141</v>
      </c>
      <c r="AA122" s="26"/>
      <c r="AB122" s="31" t="s">
        <v>19</v>
      </c>
      <c r="AC122" s="30" t="s">
        <v>172</v>
      </c>
      <c r="AD122" s="25" t="s">
        <v>4423</v>
      </c>
      <c r="AE122" s="25" t="s">
        <v>172</v>
      </c>
      <c r="AF122" s="26"/>
      <c r="AG122" s="32">
        <v>1</v>
      </c>
      <c r="AH122" s="32">
        <v>1</v>
      </c>
      <c r="AI122" s="32"/>
      <c r="AJ122" s="32"/>
      <c r="AK122" s="30"/>
      <c r="AL122" s="32">
        <f t="shared" si="3"/>
        <v>1</v>
      </c>
      <c r="AM122" s="30"/>
      <c r="AN122" s="32"/>
      <c r="AO122" s="32"/>
      <c r="AP122" s="32">
        <v>1</v>
      </c>
      <c r="AQ122" s="32">
        <v>1</v>
      </c>
      <c r="AR122" s="32">
        <v>1</v>
      </c>
      <c r="AS122" s="25"/>
      <c r="AT122" s="32">
        <v>1</v>
      </c>
      <c r="AU122" s="30"/>
      <c r="AV122" s="30"/>
      <c r="AW122" s="30"/>
      <c r="AX122" s="30" t="s">
        <v>12292</v>
      </c>
      <c r="AY122" s="30"/>
    </row>
    <row r="123" spans="1:51">
      <c r="A123" s="25" t="s">
        <v>12363</v>
      </c>
      <c r="B123" s="25" t="s">
        <v>4398</v>
      </c>
      <c r="C123" s="25" t="s">
        <v>73</v>
      </c>
      <c r="D123" s="25" t="s">
        <v>12364</v>
      </c>
      <c r="E123" s="258" t="s">
        <v>12365</v>
      </c>
      <c r="F123" s="25" t="s">
        <v>12366</v>
      </c>
      <c r="G123" s="25" t="s">
        <v>2915</v>
      </c>
      <c r="H123" s="25" t="s">
        <v>2915</v>
      </c>
      <c r="I123" s="25" t="s">
        <v>4402</v>
      </c>
      <c r="J123" s="25" t="s">
        <v>11490</v>
      </c>
      <c r="K123" s="62" t="s">
        <v>11491</v>
      </c>
      <c r="L123" s="25" t="s">
        <v>73</v>
      </c>
      <c r="M123" s="25" t="s">
        <v>12367</v>
      </c>
      <c r="N123" s="25" t="s">
        <v>12368</v>
      </c>
      <c r="O123" s="63" t="s">
        <v>12369</v>
      </c>
      <c r="P123" s="28"/>
      <c r="Q123" s="32">
        <v>4</v>
      </c>
      <c r="R123" s="32" t="s">
        <v>4409</v>
      </c>
      <c r="S123" s="32" t="s">
        <v>7658</v>
      </c>
      <c r="T123" s="26" t="s">
        <v>138</v>
      </c>
      <c r="U123" s="30" t="s">
        <v>78</v>
      </c>
      <c r="V123" s="26" t="s">
        <v>139</v>
      </c>
      <c r="W123" s="38" t="s">
        <v>1282</v>
      </c>
      <c r="X123" s="38" t="s">
        <v>12241</v>
      </c>
      <c r="Y123" s="38" t="s">
        <v>141</v>
      </c>
      <c r="Z123" s="26" t="s">
        <v>141</v>
      </c>
      <c r="AA123" s="26"/>
      <c r="AB123" s="31" t="s">
        <v>19</v>
      </c>
      <c r="AC123" s="30" t="s">
        <v>172</v>
      </c>
      <c r="AD123" s="25" t="s">
        <v>4423</v>
      </c>
      <c r="AE123" s="25" t="s">
        <v>172</v>
      </c>
      <c r="AF123" s="26"/>
      <c r="AG123" s="32">
        <v>1</v>
      </c>
      <c r="AH123" s="32">
        <v>1</v>
      </c>
      <c r="AI123" s="32"/>
      <c r="AJ123" s="32"/>
      <c r="AK123" s="30"/>
      <c r="AL123" s="32">
        <f t="shared" si="3"/>
        <v>1</v>
      </c>
      <c r="AM123" s="30"/>
      <c r="AN123" s="32"/>
      <c r="AO123" s="32"/>
      <c r="AP123" s="32">
        <v>1</v>
      </c>
      <c r="AQ123" s="32">
        <v>1</v>
      </c>
      <c r="AR123" s="32">
        <v>1</v>
      </c>
      <c r="AS123" s="32"/>
      <c r="AT123" s="32">
        <v>1</v>
      </c>
      <c r="AU123" s="30"/>
      <c r="AV123" s="30"/>
      <c r="AW123" s="30"/>
      <c r="AX123" s="30" t="s">
        <v>12300</v>
      </c>
      <c r="AY123" s="30"/>
    </row>
    <row r="124" spans="1:51">
      <c r="A124" s="25" t="s">
        <v>12370</v>
      </c>
      <c r="B124" s="25" t="s">
        <v>4398</v>
      </c>
      <c r="C124" s="25" t="s">
        <v>73</v>
      </c>
      <c r="D124" s="25" t="s">
        <v>12371</v>
      </c>
      <c r="E124" s="258" t="s">
        <v>12372</v>
      </c>
      <c r="F124" s="25" t="s">
        <v>12373</v>
      </c>
      <c r="G124" s="25" t="s">
        <v>2915</v>
      </c>
      <c r="H124" s="25" t="s">
        <v>2915</v>
      </c>
      <c r="I124" s="25" t="s">
        <v>4402</v>
      </c>
      <c r="J124" s="25" t="s">
        <v>11490</v>
      </c>
      <c r="K124" s="62" t="s">
        <v>11491</v>
      </c>
      <c r="L124" s="25" t="s">
        <v>73</v>
      </c>
      <c r="M124" s="25" t="s">
        <v>12374</v>
      </c>
      <c r="N124" s="25" t="s">
        <v>12375</v>
      </c>
      <c r="O124" s="63" t="s">
        <v>12376</v>
      </c>
      <c r="P124" s="28"/>
      <c r="Q124" s="32">
        <v>4</v>
      </c>
      <c r="R124" s="32" t="s">
        <v>4409</v>
      </c>
      <c r="S124" s="32" t="s">
        <v>12377</v>
      </c>
      <c r="T124" s="26" t="s">
        <v>138</v>
      </c>
      <c r="U124" s="30" t="s">
        <v>78</v>
      </c>
      <c r="V124" s="26" t="s">
        <v>139</v>
      </c>
      <c r="W124" s="38" t="s">
        <v>1282</v>
      </c>
      <c r="X124" s="38" t="s">
        <v>12241</v>
      </c>
      <c r="Y124" s="38" t="s">
        <v>141</v>
      </c>
      <c r="Z124" s="26" t="s">
        <v>141</v>
      </c>
      <c r="AA124" s="26"/>
      <c r="AB124" s="31" t="s">
        <v>19</v>
      </c>
      <c r="AC124" s="30" t="s">
        <v>172</v>
      </c>
      <c r="AD124" s="25" t="s">
        <v>4423</v>
      </c>
      <c r="AE124" s="25" t="s">
        <v>172</v>
      </c>
      <c r="AF124" s="26"/>
      <c r="AG124" s="32">
        <v>1</v>
      </c>
      <c r="AH124" s="32">
        <v>1</v>
      </c>
      <c r="AI124" s="32"/>
      <c r="AJ124" s="32"/>
      <c r="AK124" s="30"/>
      <c r="AL124" s="32">
        <f t="shared" si="3"/>
        <v>1</v>
      </c>
      <c r="AM124" s="30"/>
      <c r="AN124" s="32"/>
      <c r="AO124" s="32"/>
      <c r="AP124" s="32">
        <v>1</v>
      </c>
      <c r="AQ124" s="32">
        <v>1</v>
      </c>
      <c r="AR124" s="32">
        <v>1</v>
      </c>
      <c r="AS124" s="25"/>
      <c r="AT124" s="32">
        <v>1</v>
      </c>
      <c r="AU124" s="30"/>
      <c r="AV124" s="30"/>
      <c r="AW124" s="30"/>
      <c r="AX124" s="30" t="s">
        <v>12322</v>
      </c>
      <c r="AY124" s="30"/>
    </row>
    <row r="125" spans="1:51">
      <c r="A125" s="25" t="s">
        <v>12378</v>
      </c>
      <c r="B125" s="25" t="s">
        <v>4398</v>
      </c>
      <c r="C125" s="25" t="s">
        <v>73</v>
      </c>
      <c r="D125" s="25" t="s">
        <v>12379</v>
      </c>
      <c r="E125" s="258" t="s">
        <v>12380</v>
      </c>
      <c r="F125" s="25" t="s">
        <v>12381</v>
      </c>
      <c r="G125" s="25" t="s">
        <v>2915</v>
      </c>
      <c r="H125" s="25" t="s">
        <v>2915</v>
      </c>
      <c r="I125" s="25" t="s">
        <v>4402</v>
      </c>
      <c r="J125" s="25" t="s">
        <v>11490</v>
      </c>
      <c r="K125" s="62" t="s">
        <v>11491</v>
      </c>
      <c r="L125" s="25" t="s">
        <v>73</v>
      </c>
      <c r="M125" s="25" t="s">
        <v>12221</v>
      </c>
      <c r="N125" s="25" t="s">
        <v>12382</v>
      </c>
      <c r="O125" s="63" t="s">
        <v>12383</v>
      </c>
      <c r="P125" s="28"/>
      <c r="Q125" s="32">
        <v>4</v>
      </c>
      <c r="R125" s="32" t="s">
        <v>4409</v>
      </c>
      <c r="S125" s="32" t="s">
        <v>12384</v>
      </c>
      <c r="T125" s="26" t="s">
        <v>138</v>
      </c>
      <c r="U125" s="30" t="s">
        <v>78</v>
      </c>
      <c r="V125" s="26" t="s">
        <v>139</v>
      </c>
      <c r="W125" s="38" t="s">
        <v>1282</v>
      </c>
      <c r="X125" s="38" t="s">
        <v>12241</v>
      </c>
      <c r="Y125" s="38" t="s">
        <v>141</v>
      </c>
      <c r="Z125" s="26" t="s">
        <v>141</v>
      </c>
      <c r="AA125" s="26"/>
      <c r="AB125" s="31" t="s">
        <v>19</v>
      </c>
      <c r="AC125" s="30" t="s">
        <v>172</v>
      </c>
      <c r="AD125" s="25" t="s">
        <v>4423</v>
      </c>
      <c r="AE125" s="25" t="s">
        <v>172</v>
      </c>
      <c r="AF125" s="26"/>
      <c r="AG125" s="32">
        <v>1</v>
      </c>
      <c r="AH125" s="32">
        <v>1</v>
      </c>
      <c r="AI125" s="32"/>
      <c r="AJ125" s="32"/>
      <c r="AK125" s="30"/>
      <c r="AL125" s="32">
        <f t="shared" si="3"/>
        <v>1</v>
      </c>
      <c r="AM125" s="30"/>
      <c r="AN125" s="32"/>
      <c r="AO125" s="32"/>
      <c r="AP125" s="32">
        <v>1</v>
      </c>
      <c r="AQ125" s="32">
        <v>1</v>
      </c>
      <c r="AR125" s="32">
        <v>1</v>
      </c>
      <c r="AS125" s="25"/>
      <c r="AT125" s="32">
        <v>1</v>
      </c>
      <c r="AU125" s="30"/>
      <c r="AV125" s="30"/>
      <c r="AW125" s="30"/>
      <c r="AX125" s="30" t="s">
        <v>12337</v>
      </c>
      <c r="AY125" s="30"/>
    </row>
    <row r="126" spans="1:51">
      <c r="A126" s="25" t="s">
        <v>12385</v>
      </c>
      <c r="B126" s="25" t="s">
        <v>4398</v>
      </c>
      <c r="C126" s="25" t="s">
        <v>73</v>
      </c>
      <c r="D126" s="25" t="s">
        <v>12386</v>
      </c>
      <c r="E126" s="258" t="s">
        <v>12387</v>
      </c>
      <c r="F126" s="25" t="s">
        <v>12388</v>
      </c>
      <c r="G126" s="25" t="s">
        <v>2915</v>
      </c>
      <c r="H126" s="25" t="s">
        <v>2915</v>
      </c>
      <c r="I126" s="25" t="s">
        <v>4402</v>
      </c>
      <c r="J126" s="25" t="s">
        <v>11490</v>
      </c>
      <c r="K126" s="62" t="s">
        <v>11491</v>
      </c>
      <c r="L126" s="25" t="s">
        <v>73</v>
      </c>
      <c r="M126" s="25" t="s">
        <v>11909</v>
      </c>
      <c r="N126" s="25" t="s">
        <v>12389</v>
      </c>
      <c r="O126" s="63" t="s">
        <v>12390</v>
      </c>
      <c r="P126" s="28"/>
      <c r="Q126" s="32">
        <v>4</v>
      </c>
      <c r="R126" s="32" t="s">
        <v>4409</v>
      </c>
      <c r="S126" s="32" t="s">
        <v>12391</v>
      </c>
      <c r="T126" s="26" t="s">
        <v>138</v>
      </c>
      <c r="U126" s="30" t="s">
        <v>78</v>
      </c>
      <c r="V126" s="26" t="s">
        <v>139</v>
      </c>
      <c r="W126" s="38" t="s">
        <v>1282</v>
      </c>
      <c r="X126" s="38" t="s">
        <v>12241</v>
      </c>
      <c r="Y126" s="38" t="s">
        <v>141</v>
      </c>
      <c r="Z126" s="26" t="s">
        <v>141</v>
      </c>
      <c r="AA126" s="26"/>
      <c r="AB126" s="31" t="s">
        <v>19</v>
      </c>
      <c r="AC126" s="30" t="s">
        <v>172</v>
      </c>
      <c r="AD126" s="25" t="s">
        <v>4423</v>
      </c>
      <c r="AE126" s="25" t="s">
        <v>172</v>
      </c>
      <c r="AF126" s="26"/>
      <c r="AG126" s="32">
        <v>1</v>
      </c>
      <c r="AH126" s="32">
        <v>1</v>
      </c>
      <c r="AI126" s="32"/>
      <c r="AJ126" s="32"/>
      <c r="AK126" s="30"/>
      <c r="AL126" s="32">
        <f t="shared" si="3"/>
        <v>1</v>
      </c>
      <c r="AM126" s="30"/>
      <c r="AN126" s="32"/>
      <c r="AO126" s="32"/>
      <c r="AP126" s="32">
        <v>1</v>
      </c>
      <c r="AQ126" s="32">
        <v>1</v>
      </c>
      <c r="AR126" s="32">
        <v>1</v>
      </c>
      <c r="AS126" s="32"/>
      <c r="AT126" s="32">
        <v>1</v>
      </c>
      <c r="AU126" s="30"/>
      <c r="AV126" s="30"/>
      <c r="AW126" s="30"/>
      <c r="AX126" s="30" t="s">
        <v>12359</v>
      </c>
      <c r="AY126" s="30"/>
    </row>
    <row r="127" spans="1:51">
      <c r="A127" s="25" t="s">
        <v>12392</v>
      </c>
      <c r="B127" s="25" t="s">
        <v>4398</v>
      </c>
      <c r="C127" s="25" t="s">
        <v>73</v>
      </c>
      <c r="D127" s="25" t="s">
        <v>12393</v>
      </c>
      <c r="E127" s="258" t="s">
        <v>12394</v>
      </c>
      <c r="F127" s="25" t="s">
        <v>12395</v>
      </c>
      <c r="G127" s="25" t="s">
        <v>2915</v>
      </c>
      <c r="H127" s="25" t="s">
        <v>2915</v>
      </c>
      <c r="I127" s="25" t="s">
        <v>4402</v>
      </c>
      <c r="J127" s="25" t="s">
        <v>11490</v>
      </c>
      <c r="K127" s="62" t="s">
        <v>11491</v>
      </c>
      <c r="L127" s="25" t="s">
        <v>73</v>
      </c>
      <c r="M127" s="25" t="s">
        <v>11751</v>
      </c>
      <c r="N127" s="25" t="s">
        <v>12396</v>
      </c>
      <c r="O127" s="63" t="s">
        <v>12397</v>
      </c>
      <c r="P127" s="28"/>
      <c r="Q127" s="32">
        <v>4</v>
      </c>
      <c r="R127" s="32" t="s">
        <v>4409</v>
      </c>
      <c r="S127" s="32" t="s">
        <v>12398</v>
      </c>
      <c r="T127" s="26" t="s">
        <v>138</v>
      </c>
      <c r="U127" s="30" t="s">
        <v>78</v>
      </c>
      <c r="V127" s="26" t="s">
        <v>139</v>
      </c>
      <c r="W127" s="38" t="s">
        <v>1461</v>
      </c>
      <c r="X127" s="38" t="s">
        <v>12241</v>
      </c>
      <c r="Y127" s="38" t="s">
        <v>141</v>
      </c>
      <c r="Z127" s="26" t="s">
        <v>141</v>
      </c>
      <c r="AA127" s="26"/>
      <c r="AB127" s="31" t="s">
        <v>21</v>
      </c>
      <c r="AC127" s="30" t="s">
        <v>172</v>
      </c>
      <c r="AD127" s="25" t="s">
        <v>4423</v>
      </c>
      <c r="AE127" s="25" t="s">
        <v>172</v>
      </c>
      <c r="AF127" s="26"/>
      <c r="AG127" s="32">
        <v>1</v>
      </c>
      <c r="AH127" s="32">
        <v>1</v>
      </c>
      <c r="AI127" s="32"/>
      <c r="AJ127" s="32"/>
      <c r="AK127" s="30"/>
      <c r="AL127" s="32">
        <f t="shared" si="3"/>
        <v>1</v>
      </c>
      <c r="AM127" s="30"/>
      <c r="AN127" s="32"/>
      <c r="AO127" s="32"/>
      <c r="AP127" s="32">
        <v>1</v>
      </c>
      <c r="AQ127" s="32">
        <v>1</v>
      </c>
      <c r="AR127" s="32">
        <v>1</v>
      </c>
      <c r="AS127" s="32"/>
      <c r="AT127" s="32">
        <v>1</v>
      </c>
      <c r="AU127" s="30"/>
      <c r="AV127" s="30"/>
      <c r="AW127" s="30"/>
      <c r="AX127" s="30" t="s">
        <v>12374</v>
      </c>
      <c r="AY127" s="30"/>
    </row>
    <row r="128" spans="1:51">
      <c r="A128" s="25" t="s">
        <v>12399</v>
      </c>
      <c r="B128" s="25" t="s">
        <v>4398</v>
      </c>
      <c r="C128" s="25" t="s">
        <v>73</v>
      </c>
      <c r="D128" s="25" t="s">
        <v>12400</v>
      </c>
      <c r="E128" s="259" t="s">
        <v>12401</v>
      </c>
      <c r="F128" s="48" t="s">
        <v>12402</v>
      </c>
      <c r="G128" s="25" t="s">
        <v>2915</v>
      </c>
      <c r="H128" s="25" t="s">
        <v>2915</v>
      </c>
      <c r="I128" s="25" t="s">
        <v>4402</v>
      </c>
      <c r="J128" s="25" t="s">
        <v>11490</v>
      </c>
      <c r="K128" s="62" t="s">
        <v>11491</v>
      </c>
      <c r="L128" s="25" t="s">
        <v>73</v>
      </c>
      <c r="M128" s="25" t="s">
        <v>12403</v>
      </c>
      <c r="N128" s="25" t="s">
        <v>12404</v>
      </c>
      <c r="O128" s="63" t="s">
        <v>12405</v>
      </c>
      <c r="P128" s="28"/>
      <c r="Q128" s="32">
        <v>8</v>
      </c>
      <c r="R128" s="32" t="s">
        <v>9030</v>
      </c>
      <c r="S128" s="32" t="s">
        <v>12406</v>
      </c>
      <c r="T128" s="26" t="s">
        <v>138</v>
      </c>
      <c r="U128" s="30" t="s">
        <v>78</v>
      </c>
      <c r="V128" s="26" t="s">
        <v>139</v>
      </c>
      <c r="W128" s="38" t="s">
        <v>1461</v>
      </c>
      <c r="X128" s="38" t="s">
        <v>12241</v>
      </c>
      <c r="Y128" s="38" t="s">
        <v>141</v>
      </c>
      <c r="Z128" s="26" t="s">
        <v>141</v>
      </c>
      <c r="AA128" s="26"/>
      <c r="AB128" s="31" t="s">
        <v>21</v>
      </c>
      <c r="AC128" s="30" t="s">
        <v>172</v>
      </c>
      <c r="AD128" s="25" t="s">
        <v>12407</v>
      </c>
      <c r="AE128" s="25" t="s">
        <v>172</v>
      </c>
      <c r="AF128" s="26"/>
      <c r="AG128" s="32">
        <v>1</v>
      </c>
      <c r="AH128" s="32">
        <v>1</v>
      </c>
      <c r="AI128" s="32"/>
      <c r="AJ128" s="32"/>
      <c r="AK128" s="30"/>
      <c r="AL128" s="32">
        <f t="shared" si="3"/>
        <v>1</v>
      </c>
      <c r="AM128" s="30"/>
      <c r="AN128" s="32"/>
      <c r="AO128" s="32"/>
      <c r="AP128" s="32">
        <v>1</v>
      </c>
      <c r="AQ128" s="32">
        <v>1</v>
      </c>
      <c r="AR128" s="32">
        <v>1</v>
      </c>
      <c r="AS128" s="32"/>
      <c r="AT128" s="32">
        <v>1</v>
      </c>
      <c r="AU128" s="68">
        <v>46253.9123958333</v>
      </c>
      <c r="AV128" s="30"/>
      <c r="AW128" s="30"/>
      <c r="AX128" s="30" t="s">
        <v>11837</v>
      </c>
      <c r="AY128" s="30"/>
    </row>
    <row r="129" spans="1:51">
      <c r="A129" s="25" t="s">
        <v>12408</v>
      </c>
      <c r="B129" s="25" t="s">
        <v>4398</v>
      </c>
      <c r="C129" s="25" t="s">
        <v>68</v>
      </c>
      <c r="D129" s="25" t="s">
        <v>12409</v>
      </c>
      <c r="E129" s="258" t="s">
        <v>12410</v>
      </c>
      <c r="F129" s="25" t="s">
        <v>12411</v>
      </c>
      <c r="G129" s="25" t="s">
        <v>12412</v>
      </c>
      <c r="H129" s="25" t="s">
        <v>12413</v>
      </c>
      <c r="I129" s="25" t="s">
        <v>9838</v>
      </c>
      <c r="J129" s="25" t="s">
        <v>11490</v>
      </c>
      <c r="K129" s="62" t="s">
        <v>3213</v>
      </c>
      <c r="L129" s="25" t="s">
        <v>73</v>
      </c>
      <c r="M129" s="25" t="s">
        <v>12414</v>
      </c>
      <c r="N129" s="25" t="s">
        <v>12415</v>
      </c>
      <c r="O129" s="63" t="s">
        <v>12416</v>
      </c>
      <c r="P129" s="28"/>
      <c r="Q129" s="32">
        <v>4</v>
      </c>
      <c r="R129" s="32">
        <v>16</v>
      </c>
      <c r="S129" s="32">
        <v>287.20999999999998</v>
      </c>
      <c r="T129" s="26"/>
      <c r="U129" s="30" t="s">
        <v>78</v>
      </c>
      <c r="V129" s="30"/>
      <c r="W129" s="38"/>
      <c r="X129" s="26" t="s">
        <v>12417</v>
      </c>
      <c r="Y129" s="38"/>
      <c r="Z129" s="26"/>
      <c r="AA129" s="26"/>
      <c r="AB129" s="31" t="s">
        <v>21</v>
      </c>
      <c r="AC129" s="30" t="s">
        <v>172</v>
      </c>
      <c r="AD129" s="25" t="s">
        <v>173</v>
      </c>
      <c r="AE129" s="25" t="s">
        <v>174</v>
      </c>
      <c r="AF129" s="26" t="s">
        <v>175</v>
      </c>
      <c r="AG129" s="32">
        <v>1</v>
      </c>
      <c r="AH129" s="32"/>
      <c r="AI129" s="32"/>
      <c r="AJ129" s="32"/>
      <c r="AK129" s="30"/>
      <c r="AL129" s="32">
        <f t="shared" ref="AL129:AL135" si="4">IF(COUNTIF(AX:AX,"*"&amp;M129&amp;"*")&gt;0,1,0)</f>
        <v>0</v>
      </c>
      <c r="AM129" s="30"/>
      <c r="AN129" s="32"/>
      <c r="AO129" s="32"/>
      <c r="AP129" s="32"/>
      <c r="AQ129" s="32"/>
      <c r="AR129" s="32"/>
      <c r="AS129" s="32"/>
      <c r="AT129" s="32"/>
      <c r="AU129" s="30"/>
      <c r="AV129" s="30"/>
      <c r="AW129" s="30"/>
      <c r="AX129" s="30"/>
      <c r="AY129" s="30"/>
    </row>
    <row r="130" spans="1:51">
      <c r="A130" s="25" t="s">
        <v>12418</v>
      </c>
      <c r="B130" s="25" t="s">
        <v>4398</v>
      </c>
      <c r="C130" s="25" t="s">
        <v>68</v>
      </c>
      <c r="D130" s="25" t="s">
        <v>12419</v>
      </c>
      <c r="E130" s="258" t="s">
        <v>12420</v>
      </c>
      <c r="F130" s="25" t="s">
        <v>12421</v>
      </c>
      <c r="G130" s="25" t="s">
        <v>12412</v>
      </c>
      <c r="H130" s="25" t="s">
        <v>12413</v>
      </c>
      <c r="I130" s="25" t="s">
        <v>9838</v>
      </c>
      <c r="J130" s="25" t="s">
        <v>11490</v>
      </c>
      <c r="K130" s="62" t="s">
        <v>3213</v>
      </c>
      <c r="L130" s="25" t="s">
        <v>73</v>
      </c>
      <c r="M130" s="25" t="s">
        <v>12422</v>
      </c>
      <c r="N130" s="25" t="s">
        <v>12423</v>
      </c>
      <c r="O130" s="63" t="s">
        <v>12424</v>
      </c>
      <c r="P130" s="28"/>
      <c r="Q130" s="32">
        <v>4</v>
      </c>
      <c r="R130" s="32">
        <v>16</v>
      </c>
      <c r="S130" s="32">
        <v>286.13</v>
      </c>
      <c r="T130" s="26"/>
      <c r="U130" s="30" t="s">
        <v>78</v>
      </c>
      <c r="V130" s="30"/>
      <c r="W130" s="38"/>
      <c r="X130" s="26" t="s">
        <v>12417</v>
      </c>
      <c r="Y130" s="38"/>
      <c r="Z130" s="26"/>
      <c r="AA130" s="26"/>
      <c r="AB130" s="31" t="s">
        <v>21</v>
      </c>
      <c r="AC130" s="30" t="s">
        <v>172</v>
      </c>
      <c r="AD130" s="25" t="s">
        <v>173</v>
      </c>
      <c r="AE130" s="25" t="s">
        <v>174</v>
      </c>
      <c r="AF130" s="26" t="s">
        <v>175</v>
      </c>
      <c r="AG130" s="32">
        <v>1</v>
      </c>
      <c r="AH130" s="32"/>
      <c r="AI130" s="32"/>
      <c r="AJ130" s="32"/>
      <c r="AK130" s="30"/>
      <c r="AL130" s="32">
        <f t="shared" si="4"/>
        <v>0</v>
      </c>
      <c r="AM130" s="30"/>
      <c r="AN130" s="32"/>
      <c r="AO130" s="32"/>
      <c r="AP130" s="32"/>
      <c r="AQ130" s="32"/>
      <c r="AR130" s="32"/>
      <c r="AS130" s="32"/>
      <c r="AT130" s="25"/>
      <c r="AU130" s="30"/>
      <c r="AV130" s="30"/>
      <c r="AW130" s="30"/>
      <c r="AX130" s="30"/>
      <c r="AY130" s="30"/>
    </row>
    <row r="131" spans="1:51">
      <c r="A131" s="25" t="s">
        <v>12425</v>
      </c>
      <c r="B131" s="25" t="s">
        <v>4398</v>
      </c>
      <c r="C131" s="25" t="s">
        <v>68</v>
      </c>
      <c r="D131" s="25" t="s">
        <v>12426</v>
      </c>
      <c r="E131" s="258" t="s">
        <v>12427</v>
      </c>
      <c r="F131" s="25" t="s">
        <v>12428</v>
      </c>
      <c r="G131" s="25" t="s">
        <v>12412</v>
      </c>
      <c r="H131" s="25" t="s">
        <v>12413</v>
      </c>
      <c r="I131" s="25" t="s">
        <v>9838</v>
      </c>
      <c r="J131" s="25" t="s">
        <v>11490</v>
      </c>
      <c r="K131" s="62" t="s">
        <v>3213</v>
      </c>
      <c r="L131" s="25" t="s">
        <v>73</v>
      </c>
      <c r="M131" s="25" t="s">
        <v>12429</v>
      </c>
      <c r="N131" s="25" t="s">
        <v>12430</v>
      </c>
      <c r="O131" s="63" t="s">
        <v>12431</v>
      </c>
      <c r="P131" s="28"/>
      <c r="Q131" s="32">
        <v>4</v>
      </c>
      <c r="R131" s="32">
        <v>16</v>
      </c>
      <c r="S131" s="32">
        <v>266.12</v>
      </c>
      <c r="T131" s="26"/>
      <c r="U131" s="30" t="s">
        <v>78</v>
      </c>
      <c r="V131" s="30"/>
      <c r="W131" s="38"/>
      <c r="X131" s="26" t="s">
        <v>12417</v>
      </c>
      <c r="Y131" s="38"/>
      <c r="Z131" s="26"/>
      <c r="AA131" s="26"/>
      <c r="AB131" s="31" t="s">
        <v>21</v>
      </c>
      <c r="AC131" s="30" t="s">
        <v>172</v>
      </c>
      <c r="AD131" s="25" t="s">
        <v>173</v>
      </c>
      <c r="AE131" s="25" t="s">
        <v>174</v>
      </c>
      <c r="AF131" s="26" t="s">
        <v>175</v>
      </c>
      <c r="AG131" s="32">
        <v>1</v>
      </c>
      <c r="AH131" s="32"/>
      <c r="AI131" s="32"/>
      <c r="AJ131" s="32"/>
      <c r="AK131" s="30"/>
      <c r="AL131" s="32">
        <f t="shared" si="4"/>
        <v>0</v>
      </c>
      <c r="AM131" s="30"/>
      <c r="AN131" s="32"/>
      <c r="AO131" s="32"/>
      <c r="AP131" s="32"/>
      <c r="AQ131" s="32"/>
      <c r="AR131" s="32"/>
      <c r="AS131" s="32"/>
      <c r="AT131" s="35"/>
      <c r="AU131" s="30"/>
      <c r="AV131" s="30"/>
      <c r="AW131" s="69"/>
      <c r="AX131" s="30"/>
      <c r="AY131" s="30"/>
    </row>
    <row r="132" spans="1:51">
      <c r="A132" s="25" t="s">
        <v>12432</v>
      </c>
      <c r="B132" s="25" t="s">
        <v>4398</v>
      </c>
      <c r="C132" s="25" t="s">
        <v>68</v>
      </c>
      <c r="D132" s="25" t="s">
        <v>12433</v>
      </c>
      <c r="E132" s="258" t="s">
        <v>12434</v>
      </c>
      <c r="F132" s="25" t="s">
        <v>12435</v>
      </c>
      <c r="G132" s="25" t="s">
        <v>12412</v>
      </c>
      <c r="H132" s="25" t="s">
        <v>12413</v>
      </c>
      <c r="I132" s="25" t="s">
        <v>9838</v>
      </c>
      <c r="J132" s="25" t="s">
        <v>11490</v>
      </c>
      <c r="K132" s="62" t="s">
        <v>3213</v>
      </c>
      <c r="L132" s="25" t="s">
        <v>73</v>
      </c>
      <c r="M132" s="25" t="s">
        <v>12436</v>
      </c>
      <c r="N132" s="25" t="s">
        <v>12437</v>
      </c>
      <c r="O132" s="63" t="s">
        <v>12438</v>
      </c>
      <c r="P132" s="28"/>
      <c r="Q132" s="32">
        <v>4</v>
      </c>
      <c r="R132" s="32">
        <v>16</v>
      </c>
      <c r="S132" s="32">
        <v>266.10000000000002</v>
      </c>
      <c r="T132" s="26"/>
      <c r="U132" s="30" t="s">
        <v>78</v>
      </c>
      <c r="V132" s="30"/>
      <c r="W132" s="38"/>
      <c r="X132" s="26" t="s">
        <v>12417</v>
      </c>
      <c r="Y132" s="38"/>
      <c r="Z132" s="26"/>
      <c r="AA132" s="26"/>
      <c r="AB132" s="31" t="s">
        <v>21</v>
      </c>
      <c r="AC132" s="30" t="s">
        <v>172</v>
      </c>
      <c r="AD132" s="25" t="s">
        <v>173</v>
      </c>
      <c r="AE132" s="25" t="s">
        <v>174</v>
      </c>
      <c r="AF132" s="26" t="s">
        <v>175</v>
      </c>
      <c r="AG132" s="32">
        <v>1</v>
      </c>
      <c r="AH132" s="32"/>
      <c r="AI132" s="32"/>
      <c r="AJ132" s="32"/>
      <c r="AK132" s="30"/>
      <c r="AL132" s="32">
        <f t="shared" si="4"/>
        <v>0</v>
      </c>
      <c r="AM132" s="30"/>
      <c r="AN132" s="32"/>
      <c r="AO132" s="32"/>
      <c r="AP132" s="32"/>
      <c r="AQ132" s="32"/>
      <c r="AR132" s="32"/>
      <c r="AS132" s="32"/>
      <c r="AT132" s="32"/>
      <c r="AU132" s="30"/>
      <c r="AV132" s="30"/>
      <c r="AW132" s="30"/>
      <c r="AX132" s="30"/>
      <c r="AY132" s="30"/>
    </row>
    <row r="133" spans="1:51">
      <c r="A133" s="25" t="s">
        <v>12439</v>
      </c>
      <c r="B133" s="25" t="s">
        <v>4398</v>
      </c>
      <c r="C133" s="25" t="s">
        <v>68</v>
      </c>
      <c r="D133" s="25" t="s">
        <v>12440</v>
      </c>
      <c r="E133" s="258" t="s">
        <v>12441</v>
      </c>
      <c r="F133" s="25" t="s">
        <v>12442</v>
      </c>
      <c r="G133" s="25" t="s">
        <v>12412</v>
      </c>
      <c r="H133" s="25" t="s">
        <v>12413</v>
      </c>
      <c r="I133" s="25" t="s">
        <v>9838</v>
      </c>
      <c r="J133" s="25" t="s">
        <v>11490</v>
      </c>
      <c r="K133" s="62" t="s">
        <v>3213</v>
      </c>
      <c r="L133" s="25" t="s">
        <v>73</v>
      </c>
      <c r="M133" s="25" t="s">
        <v>12443</v>
      </c>
      <c r="N133" s="25" t="s">
        <v>12444</v>
      </c>
      <c r="O133" s="63" t="s">
        <v>12445</v>
      </c>
      <c r="P133" s="28"/>
      <c r="Q133" s="32">
        <v>4</v>
      </c>
      <c r="R133" s="32">
        <v>16</v>
      </c>
      <c r="S133" s="32">
        <v>286.11</v>
      </c>
      <c r="T133" s="26"/>
      <c r="U133" s="30" t="s">
        <v>78</v>
      </c>
      <c r="V133" s="30"/>
      <c r="W133" s="38"/>
      <c r="X133" s="26" t="s">
        <v>12417</v>
      </c>
      <c r="Y133" s="38"/>
      <c r="Z133" s="26"/>
      <c r="AA133" s="26"/>
      <c r="AB133" s="31" t="s">
        <v>21</v>
      </c>
      <c r="AC133" s="30" t="s">
        <v>172</v>
      </c>
      <c r="AD133" s="25" t="s">
        <v>173</v>
      </c>
      <c r="AE133" s="25" t="s">
        <v>174</v>
      </c>
      <c r="AF133" s="26" t="s">
        <v>175</v>
      </c>
      <c r="AG133" s="32">
        <v>1</v>
      </c>
      <c r="AH133" s="32"/>
      <c r="AI133" s="32"/>
      <c r="AJ133" s="32"/>
      <c r="AK133" s="30"/>
      <c r="AL133" s="32">
        <f t="shared" si="4"/>
        <v>0</v>
      </c>
      <c r="AM133" s="30"/>
      <c r="AN133" s="32"/>
      <c r="AO133" s="32"/>
      <c r="AP133" s="32"/>
      <c r="AQ133" s="32"/>
      <c r="AR133" s="32"/>
      <c r="AS133" s="32"/>
      <c r="AT133" s="32"/>
      <c r="AU133" s="30"/>
      <c r="AV133" s="30"/>
      <c r="AW133" s="30"/>
      <c r="AX133" s="30"/>
      <c r="AY133" s="30"/>
    </row>
    <row r="134" spans="1:51">
      <c r="A134" s="25" t="s">
        <v>12446</v>
      </c>
      <c r="B134" s="25" t="s">
        <v>4398</v>
      </c>
      <c r="C134" s="25" t="s">
        <v>68</v>
      </c>
      <c r="D134" s="25" t="s">
        <v>12447</v>
      </c>
      <c r="E134" s="258" t="s">
        <v>12448</v>
      </c>
      <c r="F134" s="25" t="s">
        <v>12449</v>
      </c>
      <c r="G134" s="25" t="s">
        <v>12412</v>
      </c>
      <c r="H134" s="25" t="s">
        <v>12413</v>
      </c>
      <c r="I134" s="25" t="s">
        <v>9838</v>
      </c>
      <c r="J134" s="25" t="s">
        <v>11490</v>
      </c>
      <c r="K134" s="62" t="s">
        <v>3213</v>
      </c>
      <c r="L134" s="25" t="s">
        <v>73</v>
      </c>
      <c r="M134" s="25" t="s">
        <v>12450</v>
      </c>
      <c r="N134" s="25" t="s">
        <v>12451</v>
      </c>
      <c r="O134" s="63" t="s">
        <v>12452</v>
      </c>
      <c r="P134" s="28"/>
      <c r="Q134" s="32">
        <v>4</v>
      </c>
      <c r="R134" s="32">
        <v>16</v>
      </c>
      <c r="S134" s="32">
        <v>316.2</v>
      </c>
      <c r="T134" s="26"/>
      <c r="U134" s="30" t="s">
        <v>78</v>
      </c>
      <c r="V134" s="30"/>
      <c r="W134" s="38"/>
      <c r="X134" s="26" t="s">
        <v>12417</v>
      </c>
      <c r="Y134" s="38"/>
      <c r="Z134" s="26"/>
      <c r="AA134" s="26"/>
      <c r="AB134" s="31" t="s">
        <v>21</v>
      </c>
      <c r="AC134" s="30" t="s">
        <v>172</v>
      </c>
      <c r="AD134" s="25" t="s">
        <v>173</v>
      </c>
      <c r="AE134" s="25" t="s">
        <v>174</v>
      </c>
      <c r="AF134" s="26" t="s">
        <v>175</v>
      </c>
      <c r="AG134" s="32">
        <v>1</v>
      </c>
      <c r="AH134" s="32"/>
      <c r="AI134" s="32"/>
      <c r="AJ134" s="32"/>
      <c r="AK134" s="30"/>
      <c r="AL134" s="32">
        <f t="shared" si="4"/>
        <v>0</v>
      </c>
      <c r="AM134" s="30"/>
      <c r="AN134" s="32"/>
      <c r="AO134" s="32"/>
      <c r="AP134" s="32"/>
      <c r="AQ134" s="32"/>
      <c r="AR134" s="32"/>
      <c r="AS134" s="32"/>
      <c r="AT134" s="32"/>
      <c r="AU134" s="30"/>
      <c r="AV134" s="30"/>
      <c r="AW134" s="30"/>
      <c r="AX134" s="30"/>
      <c r="AY134" s="30"/>
    </row>
    <row r="135" spans="1:51">
      <c r="A135" s="25" t="s">
        <v>12453</v>
      </c>
      <c r="B135" s="25" t="s">
        <v>4398</v>
      </c>
      <c r="C135" s="25" t="s">
        <v>68</v>
      </c>
      <c r="D135" s="25" t="s">
        <v>12454</v>
      </c>
      <c r="E135" s="258" t="s">
        <v>12455</v>
      </c>
      <c r="F135" s="25" t="s">
        <v>12456</v>
      </c>
      <c r="G135" s="25" t="s">
        <v>12412</v>
      </c>
      <c r="H135" s="25" t="s">
        <v>12413</v>
      </c>
      <c r="I135" s="25" t="s">
        <v>9838</v>
      </c>
      <c r="J135" s="25" t="s">
        <v>11490</v>
      </c>
      <c r="K135" s="62" t="s">
        <v>3213</v>
      </c>
      <c r="L135" s="25" t="s">
        <v>73</v>
      </c>
      <c r="M135" s="25" t="s">
        <v>12457</v>
      </c>
      <c r="N135" s="25" t="s">
        <v>12458</v>
      </c>
      <c r="O135" s="63" t="s">
        <v>12459</v>
      </c>
      <c r="P135" s="28"/>
      <c r="Q135" s="32">
        <v>4</v>
      </c>
      <c r="R135" s="32">
        <v>16</v>
      </c>
      <c r="S135" s="32">
        <v>266.12</v>
      </c>
      <c r="T135" s="26"/>
      <c r="U135" s="30" t="s">
        <v>78</v>
      </c>
      <c r="V135" s="30"/>
      <c r="W135" s="38"/>
      <c r="X135" s="26" t="s">
        <v>12417</v>
      </c>
      <c r="Y135" s="38"/>
      <c r="Z135" s="26"/>
      <c r="AA135" s="26"/>
      <c r="AB135" s="31" t="s">
        <v>21</v>
      </c>
      <c r="AC135" s="30" t="s">
        <v>172</v>
      </c>
      <c r="AD135" s="25" t="s">
        <v>173</v>
      </c>
      <c r="AE135" s="25" t="s">
        <v>174</v>
      </c>
      <c r="AF135" s="26" t="s">
        <v>175</v>
      </c>
      <c r="AG135" s="32">
        <v>1</v>
      </c>
      <c r="AH135" s="32"/>
      <c r="AI135" s="32"/>
      <c r="AJ135" s="32"/>
      <c r="AK135" s="30"/>
      <c r="AL135" s="32">
        <f t="shared" si="4"/>
        <v>0</v>
      </c>
      <c r="AM135" s="30"/>
      <c r="AN135" s="32"/>
      <c r="AO135" s="32"/>
      <c r="AP135" s="32"/>
      <c r="AQ135" s="32"/>
      <c r="AR135" s="32"/>
      <c r="AS135" s="32"/>
      <c r="AT135" s="32"/>
      <c r="AU135" s="30"/>
      <c r="AV135" s="30"/>
      <c r="AW135" s="30"/>
      <c r="AX135" s="30"/>
      <c r="AY135" s="30"/>
    </row>
    <row r="136" spans="1:51">
      <c r="A136" s="25" t="s">
        <v>12460</v>
      </c>
      <c r="B136" s="25" t="s">
        <v>4398</v>
      </c>
      <c r="C136" s="25" t="s">
        <v>68</v>
      </c>
      <c r="D136" s="25" t="s">
        <v>12461</v>
      </c>
      <c r="E136" s="258" t="s">
        <v>12462</v>
      </c>
      <c r="F136" s="25" t="s">
        <v>12463</v>
      </c>
      <c r="G136" s="25" t="s">
        <v>12412</v>
      </c>
      <c r="H136" s="25" t="s">
        <v>12413</v>
      </c>
      <c r="I136" s="25" t="s">
        <v>9838</v>
      </c>
      <c r="J136" s="25" t="s">
        <v>11490</v>
      </c>
      <c r="K136" s="62" t="s">
        <v>3213</v>
      </c>
      <c r="L136" s="25" t="s">
        <v>73</v>
      </c>
      <c r="M136" s="25" t="s">
        <v>12464</v>
      </c>
      <c r="N136" s="25" t="s">
        <v>12465</v>
      </c>
      <c r="O136" s="63" t="s">
        <v>12466</v>
      </c>
      <c r="P136" s="28"/>
      <c r="Q136" s="32">
        <v>4</v>
      </c>
      <c r="R136" s="32">
        <v>16</v>
      </c>
      <c r="S136" s="32">
        <v>286.12</v>
      </c>
      <c r="T136" s="26"/>
      <c r="U136" s="30" t="s">
        <v>78</v>
      </c>
      <c r="V136" s="30"/>
      <c r="W136" s="38"/>
      <c r="X136" s="26" t="s">
        <v>12417</v>
      </c>
      <c r="Y136" s="38"/>
      <c r="Z136" s="26"/>
      <c r="AA136" s="26"/>
      <c r="AB136" s="31" t="s">
        <v>21</v>
      </c>
      <c r="AC136" s="30" t="s">
        <v>172</v>
      </c>
      <c r="AD136" s="25" t="s">
        <v>173</v>
      </c>
      <c r="AE136" s="25" t="s">
        <v>174</v>
      </c>
      <c r="AF136" s="26" t="s">
        <v>175</v>
      </c>
      <c r="AG136" s="32">
        <v>1</v>
      </c>
      <c r="AH136" s="32"/>
      <c r="AI136" s="32"/>
      <c r="AJ136" s="32"/>
      <c r="AK136" s="30"/>
      <c r="AL136" s="32">
        <f t="shared" ref="AL136:AL149" si="5">IF(COUNTIF(AX:AX,"*"&amp;M136&amp;"*")&gt;0,1,0)</f>
        <v>0</v>
      </c>
      <c r="AM136" s="30"/>
      <c r="AN136" s="32"/>
      <c r="AO136" s="32"/>
      <c r="AP136" s="32"/>
      <c r="AQ136" s="32"/>
      <c r="AR136" s="32"/>
      <c r="AS136" s="32"/>
      <c r="AT136" s="32"/>
      <c r="AU136" s="30"/>
      <c r="AV136" s="30"/>
      <c r="AW136" s="30"/>
      <c r="AX136" s="30"/>
      <c r="AY136" s="30"/>
    </row>
    <row r="137" spans="1:51">
      <c r="A137" s="25" t="s">
        <v>12467</v>
      </c>
      <c r="B137" s="25" t="s">
        <v>4398</v>
      </c>
      <c r="C137" s="25" t="s">
        <v>68</v>
      </c>
      <c r="D137" s="25" t="s">
        <v>12468</v>
      </c>
      <c r="E137" s="258" t="s">
        <v>12469</v>
      </c>
      <c r="F137" s="25" t="s">
        <v>12470</v>
      </c>
      <c r="G137" s="25" t="s">
        <v>12412</v>
      </c>
      <c r="H137" s="25" t="s">
        <v>12413</v>
      </c>
      <c r="I137" s="25" t="s">
        <v>9838</v>
      </c>
      <c r="J137" s="25" t="s">
        <v>11490</v>
      </c>
      <c r="K137" s="62" t="s">
        <v>3213</v>
      </c>
      <c r="L137" s="25" t="s">
        <v>73</v>
      </c>
      <c r="M137" s="25" t="s">
        <v>12471</v>
      </c>
      <c r="N137" s="25" t="s">
        <v>12472</v>
      </c>
      <c r="O137" s="63" t="s">
        <v>12473</v>
      </c>
      <c r="P137" s="28"/>
      <c r="Q137" s="32">
        <v>4</v>
      </c>
      <c r="R137" s="32">
        <v>16</v>
      </c>
      <c r="S137" s="32">
        <v>286.27999999999997</v>
      </c>
      <c r="T137" s="26"/>
      <c r="U137" s="30" t="s">
        <v>78</v>
      </c>
      <c r="V137" s="30"/>
      <c r="W137" s="38"/>
      <c r="X137" s="26" t="s">
        <v>12417</v>
      </c>
      <c r="Y137" s="38"/>
      <c r="Z137" s="26"/>
      <c r="AA137" s="26"/>
      <c r="AB137" s="31" t="s">
        <v>21</v>
      </c>
      <c r="AC137" s="30" t="s">
        <v>172</v>
      </c>
      <c r="AD137" s="25" t="s">
        <v>173</v>
      </c>
      <c r="AE137" s="25" t="s">
        <v>174</v>
      </c>
      <c r="AF137" s="26" t="s">
        <v>175</v>
      </c>
      <c r="AG137" s="32">
        <v>1</v>
      </c>
      <c r="AH137" s="32"/>
      <c r="AI137" s="32"/>
      <c r="AJ137" s="32"/>
      <c r="AK137" s="30"/>
      <c r="AL137" s="32">
        <f t="shared" si="5"/>
        <v>0</v>
      </c>
      <c r="AM137" s="30"/>
      <c r="AN137" s="32"/>
      <c r="AO137" s="32"/>
      <c r="AP137" s="32"/>
      <c r="AQ137" s="32"/>
      <c r="AR137" s="32"/>
      <c r="AS137" s="32"/>
      <c r="AT137" s="32"/>
      <c r="AU137" s="30"/>
      <c r="AV137" s="30"/>
      <c r="AW137" s="30"/>
      <c r="AX137" s="30"/>
      <c r="AY137" s="30"/>
    </row>
    <row r="138" spans="1:51">
      <c r="A138" s="25" t="s">
        <v>12474</v>
      </c>
      <c r="B138" s="25" t="s">
        <v>4398</v>
      </c>
      <c r="C138" s="25" t="s">
        <v>68</v>
      </c>
      <c r="D138" s="25" t="s">
        <v>12475</v>
      </c>
      <c r="E138" s="258" t="s">
        <v>12476</v>
      </c>
      <c r="F138" s="25" t="s">
        <v>12477</v>
      </c>
      <c r="G138" s="25" t="s">
        <v>12412</v>
      </c>
      <c r="H138" s="25" t="s">
        <v>12413</v>
      </c>
      <c r="I138" s="25" t="s">
        <v>9838</v>
      </c>
      <c r="J138" s="25" t="s">
        <v>11490</v>
      </c>
      <c r="K138" s="62" t="s">
        <v>3213</v>
      </c>
      <c r="L138" s="25" t="s">
        <v>73</v>
      </c>
      <c r="M138" s="25" t="s">
        <v>12478</v>
      </c>
      <c r="N138" s="25" t="s">
        <v>12479</v>
      </c>
      <c r="O138" s="63" t="s">
        <v>12480</v>
      </c>
      <c r="P138" s="28"/>
      <c r="Q138" s="32">
        <v>4</v>
      </c>
      <c r="R138" s="32">
        <v>16</v>
      </c>
      <c r="S138" s="32">
        <v>286.27999999999997</v>
      </c>
      <c r="T138" s="26"/>
      <c r="U138" s="30" t="s">
        <v>78</v>
      </c>
      <c r="V138" s="30"/>
      <c r="W138" s="38"/>
      <c r="X138" s="26" t="s">
        <v>12417</v>
      </c>
      <c r="Y138" s="38"/>
      <c r="Z138" s="26"/>
      <c r="AA138" s="26"/>
      <c r="AB138" s="31" t="s">
        <v>21</v>
      </c>
      <c r="AC138" s="30" t="s">
        <v>172</v>
      </c>
      <c r="AD138" s="25" t="s">
        <v>173</v>
      </c>
      <c r="AE138" s="25" t="s">
        <v>174</v>
      </c>
      <c r="AF138" s="26" t="s">
        <v>175</v>
      </c>
      <c r="AG138" s="32">
        <v>1</v>
      </c>
      <c r="AH138" s="32"/>
      <c r="AI138" s="32"/>
      <c r="AJ138" s="32"/>
      <c r="AK138" s="30"/>
      <c r="AL138" s="32">
        <f t="shared" si="5"/>
        <v>0</v>
      </c>
      <c r="AM138" s="30"/>
      <c r="AN138" s="32"/>
      <c r="AO138" s="32"/>
      <c r="AP138" s="32"/>
      <c r="AQ138" s="32"/>
      <c r="AR138" s="32"/>
      <c r="AS138" s="32"/>
      <c r="AT138" s="32"/>
      <c r="AU138" s="30"/>
      <c r="AV138" s="30"/>
      <c r="AW138" s="30"/>
      <c r="AX138" s="30"/>
      <c r="AY138" s="30"/>
    </row>
    <row r="139" spans="1:51">
      <c r="A139" s="25" t="s">
        <v>12481</v>
      </c>
      <c r="B139" s="25" t="s">
        <v>4398</v>
      </c>
      <c r="C139" s="25" t="s">
        <v>68</v>
      </c>
      <c r="D139" s="25" t="s">
        <v>12482</v>
      </c>
      <c r="E139" s="258" t="s">
        <v>12483</v>
      </c>
      <c r="F139" s="25" t="s">
        <v>12484</v>
      </c>
      <c r="G139" s="25" t="s">
        <v>12412</v>
      </c>
      <c r="H139" s="25" t="s">
        <v>12413</v>
      </c>
      <c r="I139" s="25" t="s">
        <v>9838</v>
      </c>
      <c r="J139" s="25" t="s">
        <v>11490</v>
      </c>
      <c r="K139" s="62" t="s">
        <v>3213</v>
      </c>
      <c r="L139" s="25" t="s">
        <v>73</v>
      </c>
      <c r="M139" s="25" t="s">
        <v>12485</v>
      </c>
      <c r="N139" s="25" t="s">
        <v>12486</v>
      </c>
      <c r="O139" s="63" t="s">
        <v>12487</v>
      </c>
      <c r="P139" s="28"/>
      <c r="Q139" s="32">
        <v>4</v>
      </c>
      <c r="R139" s="32">
        <v>16</v>
      </c>
      <c r="S139" s="32">
        <v>266.11</v>
      </c>
      <c r="T139" s="26"/>
      <c r="U139" s="30" t="s">
        <v>78</v>
      </c>
      <c r="V139" s="30"/>
      <c r="W139" s="38"/>
      <c r="X139" s="26" t="s">
        <v>12417</v>
      </c>
      <c r="Y139" s="38"/>
      <c r="Z139" s="26"/>
      <c r="AA139" s="26"/>
      <c r="AB139" s="31" t="s">
        <v>21</v>
      </c>
      <c r="AC139" s="30" t="s">
        <v>172</v>
      </c>
      <c r="AD139" s="25" t="s">
        <v>173</v>
      </c>
      <c r="AE139" s="25" t="s">
        <v>174</v>
      </c>
      <c r="AF139" s="26" t="s">
        <v>175</v>
      </c>
      <c r="AG139" s="32">
        <v>1</v>
      </c>
      <c r="AH139" s="32"/>
      <c r="AI139" s="32"/>
      <c r="AJ139" s="32"/>
      <c r="AK139" s="30"/>
      <c r="AL139" s="32">
        <f t="shared" si="5"/>
        <v>0</v>
      </c>
      <c r="AM139" s="30"/>
      <c r="AN139" s="32"/>
      <c r="AO139" s="32"/>
      <c r="AP139" s="32"/>
      <c r="AQ139" s="32"/>
      <c r="AR139" s="32"/>
      <c r="AS139" s="32"/>
      <c r="AT139" s="32"/>
      <c r="AU139" s="30"/>
      <c r="AV139" s="30"/>
      <c r="AW139" s="30"/>
      <c r="AX139" s="30"/>
      <c r="AY139" s="30"/>
    </row>
    <row r="140" spans="1:51">
      <c r="A140" s="25" t="s">
        <v>12488</v>
      </c>
      <c r="B140" s="25" t="s">
        <v>4398</v>
      </c>
      <c r="C140" s="25" t="s">
        <v>68</v>
      </c>
      <c r="D140" s="25" t="s">
        <v>12489</v>
      </c>
      <c r="E140" s="258" t="s">
        <v>12490</v>
      </c>
      <c r="F140" s="25" t="s">
        <v>12491</v>
      </c>
      <c r="G140" s="25" t="s">
        <v>12412</v>
      </c>
      <c r="H140" s="25" t="s">
        <v>12413</v>
      </c>
      <c r="I140" s="25" t="s">
        <v>9838</v>
      </c>
      <c r="J140" s="25" t="s">
        <v>11490</v>
      </c>
      <c r="K140" s="62" t="s">
        <v>3213</v>
      </c>
      <c r="L140" s="25" t="s">
        <v>73</v>
      </c>
      <c r="M140" s="25" t="s">
        <v>12492</v>
      </c>
      <c r="N140" s="25" t="s">
        <v>12493</v>
      </c>
      <c r="O140" s="63" t="s">
        <v>12494</v>
      </c>
      <c r="P140" s="28"/>
      <c r="Q140" s="32">
        <v>4</v>
      </c>
      <c r="R140" s="32">
        <v>16</v>
      </c>
      <c r="S140" s="32">
        <v>266.13</v>
      </c>
      <c r="T140" s="26"/>
      <c r="U140" s="30" t="s">
        <v>78</v>
      </c>
      <c r="V140" s="30"/>
      <c r="W140" s="38"/>
      <c r="X140" s="26" t="s">
        <v>12417</v>
      </c>
      <c r="Y140" s="38"/>
      <c r="Z140" s="26"/>
      <c r="AA140" s="26"/>
      <c r="AB140" s="31" t="s">
        <v>21</v>
      </c>
      <c r="AC140" s="30" t="s">
        <v>172</v>
      </c>
      <c r="AD140" s="25" t="s">
        <v>173</v>
      </c>
      <c r="AE140" s="25" t="s">
        <v>174</v>
      </c>
      <c r="AF140" s="26" t="s">
        <v>175</v>
      </c>
      <c r="AG140" s="32">
        <v>1</v>
      </c>
      <c r="AH140" s="32"/>
      <c r="AI140" s="32"/>
      <c r="AJ140" s="32"/>
      <c r="AK140" s="30"/>
      <c r="AL140" s="32">
        <f t="shared" si="5"/>
        <v>0</v>
      </c>
      <c r="AM140" s="30"/>
      <c r="AN140" s="32"/>
      <c r="AO140" s="32"/>
      <c r="AP140" s="32"/>
      <c r="AQ140" s="32"/>
      <c r="AR140" s="32"/>
      <c r="AS140" s="32"/>
      <c r="AT140" s="32"/>
      <c r="AU140" s="30"/>
      <c r="AV140" s="30"/>
      <c r="AW140" s="30"/>
      <c r="AX140" s="30"/>
      <c r="AY140" s="30"/>
    </row>
    <row r="141" spans="1:51">
      <c r="A141" s="25" t="s">
        <v>12495</v>
      </c>
      <c r="B141" s="25" t="s">
        <v>4398</v>
      </c>
      <c r="C141" s="25" t="s">
        <v>68</v>
      </c>
      <c r="D141" s="25" t="s">
        <v>12496</v>
      </c>
      <c r="E141" s="258" t="s">
        <v>12497</v>
      </c>
      <c r="F141" s="25" t="s">
        <v>12498</v>
      </c>
      <c r="G141" s="25" t="s">
        <v>12412</v>
      </c>
      <c r="H141" s="25" t="s">
        <v>12413</v>
      </c>
      <c r="I141" s="25" t="s">
        <v>9838</v>
      </c>
      <c r="J141" s="25" t="s">
        <v>11490</v>
      </c>
      <c r="K141" s="62" t="s">
        <v>3213</v>
      </c>
      <c r="L141" s="25" t="s">
        <v>73</v>
      </c>
      <c r="M141" s="25" t="s">
        <v>12499</v>
      </c>
      <c r="N141" s="25" t="s">
        <v>12500</v>
      </c>
      <c r="O141" s="63" t="s">
        <v>12501</v>
      </c>
      <c r="P141" s="28"/>
      <c r="Q141" s="32">
        <v>8</v>
      </c>
      <c r="R141" s="32">
        <v>32</v>
      </c>
      <c r="S141" s="32">
        <v>302.5</v>
      </c>
      <c r="T141" s="26"/>
      <c r="U141" s="30" t="s">
        <v>78</v>
      </c>
      <c r="V141" s="30"/>
      <c r="W141" s="38"/>
      <c r="X141" s="26" t="s">
        <v>12417</v>
      </c>
      <c r="Y141" s="38"/>
      <c r="Z141" s="26"/>
      <c r="AA141" s="26"/>
      <c r="AB141" s="31" t="s">
        <v>21</v>
      </c>
      <c r="AC141" s="30" t="s">
        <v>172</v>
      </c>
      <c r="AD141" s="25" t="s">
        <v>173</v>
      </c>
      <c r="AE141" s="25" t="s">
        <v>174</v>
      </c>
      <c r="AF141" s="26" t="s">
        <v>175</v>
      </c>
      <c r="AG141" s="32">
        <v>1</v>
      </c>
      <c r="AH141" s="32"/>
      <c r="AI141" s="32"/>
      <c r="AJ141" s="32"/>
      <c r="AK141" s="30"/>
      <c r="AL141" s="32">
        <f t="shared" si="5"/>
        <v>0</v>
      </c>
      <c r="AM141" s="30"/>
      <c r="AN141" s="32"/>
      <c r="AO141" s="32"/>
      <c r="AP141" s="32"/>
      <c r="AQ141" s="32"/>
      <c r="AR141" s="32"/>
      <c r="AS141" s="32"/>
      <c r="AT141" s="32"/>
      <c r="AU141" s="30"/>
      <c r="AV141" s="30"/>
      <c r="AW141" s="30"/>
      <c r="AX141" s="30"/>
      <c r="AY141" s="30"/>
    </row>
    <row r="142" spans="1:51">
      <c r="A142" s="25" t="s">
        <v>12502</v>
      </c>
      <c r="B142" s="25" t="s">
        <v>4398</v>
      </c>
      <c r="C142" s="25" t="s">
        <v>68</v>
      </c>
      <c r="D142" s="25" t="s">
        <v>12503</v>
      </c>
      <c r="E142" s="258" t="s">
        <v>12504</v>
      </c>
      <c r="F142" s="25" t="s">
        <v>12505</v>
      </c>
      <c r="G142" s="25" t="s">
        <v>12412</v>
      </c>
      <c r="H142" s="25" t="s">
        <v>12413</v>
      </c>
      <c r="I142" s="25" t="s">
        <v>9838</v>
      </c>
      <c r="J142" s="25" t="s">
        <v>11490</v>
      </c>
      <c r="K142" s="62" t="s">
        <v>3213</v>
      </c>
      <c r="L142" s="25" t="s">
        <v>73</v>
      </c>
      <c r="M142" s="25" t="s">
        <v>12506</v>
      </c>
      <c r="N142" s="25" t="s">
        <v>12507</v>
      </c>
      <c r="O142" s="63" t="s">
        <v>12508</v>
      </c>
      <c r="P142" s="54"/>
      <c r="Q142" s="32">
        <v>4</v>
      </c>
      <c r="R142" s="32">
        <v>16</v>
      </c>
      <c r="S142" s="32">
        <v>306.77999999999997</v>
      </c>
      <c r="T142" s="26"/>
      <c r="U142" s="30" t="s">
        <v>78</v>
      </c>
      <c r="V142" s="30"/>
      <c r="W142" s="38"/>
      <c r="X142" s="26" t="s">
        <v>12417</v>
      </c>
      <c r="Y142" s="38"/>
      <c r="Z142" s="26"/>
      <c r="AA142" s="26"/>
      <c r="AB142" s="31" t="s">
        <v>21</v>
      </c>
      <c r="AC142" s="30" t="s">
        <v>172</v>
      </c>
      <c r="AD142" s="25" t="s">
        <v>173</v>
      </c>
      <c r="AE142" s="25" t="s">
        <v>174</v>
      </c>
      <c r="AF142" s="26" t="s">
        <v>175</v>
      </c>
      <c r="AG142" s="32">
        <v>1</v>
      </c>
      <c r="AH142" s="32"/>
      <c r="AI142" s="32"/>
      <c r="AJ142" s="32"/>
      <c r="AK142" s="26"/>
      <c r="AL142" s="32">
        <f t="shared" si="5"/>
        <v>0</v>
      </c>
      <c r="AM142" s="62"/>
      <c r="AN142" s="25"/>
      <c r="AO142" s="25"/>
      <c r="AP142" s="25"/>
      <c r="AQ142" s="32"/>
      <c r="AR142" s="32"/>
      <c r="AS142" s="25"/>
      <c r="AT142" s="32"/>
      <c r="AU142" s="25"/>
      <c r="AV142" s="25"/>
      <c r="AW142" s="25"/>
      <c r="AX142" s="25"/>
      <c r="AY142" s="26"/>
    </row>
    <row r="143" spans="1:51">
      <c r="A143" s="25" t="s">
        <v>12509</v>
      </c>
      <c r="B143" s="25" t="s">
        <v>4398</v>
      </c>
      <c r="C143" s="25" t="s">
        <v>68</v>
      </c>
      <c r="D143" s="25" t="s">
        <v>12510</v>
      </c>
      <c r="E143" s="258" t="s">
        <v>12511</v>
      </c>
      <c r="F143" s="25" t="s">
        <v>12512</v>
      </c>
      <c r="G143" s="25" t="s">
        <v>12412</v>
      </c>
      <c r="H143" s="25" t="s">
        <v>12413</v>
      </c>
      <c r="I143" s="25" t="s">
        <v>9838</v>
      </c>
      <c r="J143" s="25" t="s">
        <v>11490</v>
      </c>
      <c r="K143" s="62" t="s">
        <v>3213</v>
      </c>
      <c r="L143" s="25" t="s">
        <v>73</v>
      </c>
      <c r="M143" s="25" t="s">
        <v>12513</v>
      </c>
      <c r="N143" s="25" t="s">
        <v>12514</v>
      </c>
      <c r="O143" s="63" t="s">
        <v>12515</v>
      </c>
      <c r="P143" s="54"/>
      <c r="Q143" s="32">
        <v>4</v>
      </c>
      <c r="R143" s="32">
        <v>16</v>
      </c>
      <c r="S143" s="32">
        <v>266.11</v>
      </c>
      <c r="T143" s="26"/>
      <c r="U143" s="30" t="s">
        <v>78</v>
      </c>
      <c r="V143" s="30"/>
      <c r="W143" s="38"/>
      <c r="X143" s="26" t="s">
        <v>12417</v>
      </c>
      <c r="Y143" s="38"/>
      <c r="Z143" s="26"/>
      <c r="AA143" s="26"/>
      <c r="AB143" s="31" t="s">
        <v>21</v>
      </c>
      <c r="AC143" s="30" t="s">
        <v>172</v>
      </c>
      <c r="AD143" s="25" t="s">
        <v>173</v>
      </c>
      <c r="AE143" s="25" t="s">
        <v>174</v>
      </c>
      <c r="AF143" s="26" t="s">
        <v>175</v>
      </c>
      <c r="AG143" s="32">
        <v>1</v>
      </c>
      <c r="AH143" s="32"/>
      <c r="AI143" s="32"/>
      <c r="AJ143" s="32"/>
      <c r="AK143" s="26"/>
      <c r="AL143" s="32">
        <f t="shared" si="5"/>
        <v>0</v>
      </c>
      <c r="AM143" s="62"/>
      <c r="AN143" s="25"/>
      <c r="AO143" s="25"/>
      <c r="AP143" s="25"/>
      <c r="AQ143" s="32"/>
      <c r="AR143" s="32"/>
      <c r="AS143" s="25"/>
      <c r="AT143" s="32"/>
      <c r="AU143" s="25"/>
      <c r="AV143" s="25"/>
      <c r="AW143" s="25"/>
      <c r="AX143" s="25"/>
      <c r="AY143" s="26"/>
    </row>
    <row r="144" spans="1:51">
      <c r="A144" s="25" t="s">
        <v>12516</v>
      </c>
      <c r="B144" s="25" t="s">
        <v>4398</v>
      </c>
      <c r="C144" s="25" t="s">
        <v>68</v>
      </c>
      <c r="D144" s="25" t="s">
        <v>12517</v>
      </c>
      <c r="E144" s="258" t="s">
        <v>12518</v>
      </c>
      <c r="F144" s="25" t="s">
        <v>12519</v>
      </c>
      <c r="G144" s="25" t="s">
        <v>12412</v>
      </c>
      <c r="H144" s="25" t="s">
        <v>12413</v>
      </c>
      <c r="I144" s="25" t="s">
        <v>9838</v>
      </c>
      <c r="J144" s="25" t="s">
        <v>11490</v>
      </c>
      <c r="K144" s="62" t="s">
        <v>3213</v>
      </c>
      <c r="L144" s="25" t="s">
        <v>73</v>
      </c>
      <c r="M144" s="25" t="s">
        <v>12520</v>
      </c>
      <c r="N144" s="25" t="s">
        <v>12521</v>
      </c>
      <c r="O144" s="63" t="s">
        <v>12522</v>
      </c>
      <c r="P144" s="54"/>
      <c r="Q144" s="32">
        <v>4</v>
      </c>
      <c r="R144" s="32">
        <v>16</v>
      </c>
      <c r="S144" s="32">
        <v>266.55</v>
      </c>
      <c r="T144" s="26"/>
      <c r="U144" s="30" t="s">
        <v>78</v>
      </c>
      <c r="V144" s="30"/>
      <c r="W144" s="38"/>
      <c r="X144" s="26" t="s">
        <v>12417</v>
      </c>
      <c r="Y144" s="38"/>
      <c r="Z144" s="26"/>
      <c r="AA144" s="26"/>
      <c r="AB144" s="31" t="s">
        <v>21</v>
      </c>
      <c r="AC144" s="30" t="s">
        <v>172</v>
      </c>
      <c r="AD144" s="25" t="s">
        <v>173</v>
      </c>
      <c r="AE144" s="25" t="s">
        <v>174</v>
      </c>
      <c r="AF144" s="26" t="s">
        <v>175</v>
      </c>
      <c r="AG144" s="32">
        <v>1</v>
      </c>
      <c r="AH144" s="32"/>
      <c r="AI144" s="32"/>
      <c r="AJ144" s="32"/>
      <c r="AK144" s="26"/>
      <c r="AL144" s="32">
        <f t="shared" si="5"/>
        <v>0</v>
      </c>
      <c r="AM144" s="62"/>
      <c r="AN144" s="25"/>
      <c r="AO144" s="25"/>
      <c r="AP144" s="25"/>
      <c r="AQ144" s="32"/>
      <c r="AR144" s="32"/>
      <c r="AS144" s="25"/>
      <c r="AT144" s="32"/>
      <c r="AU144" s="25"/>
      <c r="AV144" s="25"/>
      <c r="AW144" s="25"/>
      <c r="AX144" s="25"/>
      <c r="AY144" s="26"/>
    </row>
    <row r="145" spans="1:51">
      <c r="A145" s="25" t="s">
        <v>12523</v>
      </c>
      <c r="B145" s="25" t="s">
        <v>4398</v>
      </c>
      <c r="C145" s="25" t="s">
        <v>68</v>
      </c>
      <c r="D145" s="25" t="s">
        <v>12524</v>
      </c>
      <c r="E145" s="258" t="s">
        <v>12525</v>
      </c>
      <c r="F145" s="25" t="s">
        <v>12526</v>
      </c>
      <c r="G145" s="25" t="s">
        <v>12412</v>
      </c>
      <c r="H145" s="25" t="s">
        <v>12413</v>
      </c>
      <c r="I145" s="25" t="s">
        <v>9838</v>
      </c>
      <c r="J145" s="25" t="s">
        <v>11490</v>
      </c>
      <c r="K145" s="62" t="s">
        <v>3213</v>
      </c>
      <c r="L145" s="25" t="s">
        <v>73</v>
      </c>
      <c r="M145" s="25" t="s">
        <v>12527</v>
      </c>
      <c r="N145" s="25" t="s">
        <v>12528</v>
      </c>
      <c r="O145" s="63" t="s">
        <v>12529</v>
      </c>
      <c r="P145" s="54"/>
      <c r="Q145" s="32">
        <v>4</v>
      </c>
      <c r="R145" s="32">
        <v>16</v>
      </c>
      <c r="S145" s="32">
        <v>266.16000000000003</v>
      </c>
      <c r="T145" s="26"/>
      <c r="U145" s="30" t="s">
        <v>78</v>
      </c>
      <c r="V145" s="30"/>
      <c r="W145" s="38"/>
      <c r="X145" s="26" t="s">
        <v>12417</v>
      </c>
      <c r="Y145" s="38"/>
      <c r="Z145" s="26"/>
      <c r="AA145" s="26"/>
      <c r="AB145" s="31" t="s">
        <v>21</v>
      </c>
      <c r="AC145" s="30" t="s">
        <v>172</v>
      </c>
      <c r="AD145" s="25" t="s">
        <v>173</v>
      </c>
      <c r="AE145" s="25" t="s">
        <v>174</v>
      </c>
      <c r="AF145" s="26" t="s">
        <v>175</v>
      </c>
      <c r="AG145" s="32">
        <v>1</v>
      </c>
      <c r="AH145" s="32"/>
      <c r="AI145" s="32"/>
      <c r="AJ145" s="32"/>
      <c r="AK145" s="26"/>
      <c r="AL145" s="32">
        <f t="shared" si="5"/>
        <v>0</v>
      </c>
      <c r="AM145" s="62"/>
      <c r="AN145" s="25"/>
      <c r="AO145" s="25"/>
      <c r="AP145" s="25"/>
      <c r="AQ145" s="25"/>
      <c r="AR145" s="32"/>
      <c r="AS145" s="25"/>
      <c r="AT145" s="32"/>
      <c r="AU145" s="25"/>
      <c r="AV145" s="25"/>
      <c r="AW145" s="25"/>
      <c r="AX145" s="25"/>
      <c r="AY145" s="26"/>
    </row>
    <row r="146" spans="1:51">
      <c r="A146" s="25" t="s">
        <v>12530</v>
      </c>
      <c r="B146" s="25" t="s">
        <v>4398</v>
      </c>
      <c r="C146" s="25" t="s">
        <v>73</v>
      </c>
      <c r="D146" s="25" t="s">
        <v>12531</v>
      </c>
      <c r="E146" s="258" t="s">
        <v>12532</v>
      </c>
      <c r="F146" s="25" t="s">
        <v>12533</v>
      </c>
      <c r="G146" s="25" t="s">
        <v>12412</v>
      </c>
      <c r="H146" s="25" t="s">
        <v>12413</v>
      </c>
      <c r="I146" s="25" t="s">
        <v>9838</v>
      </c>
      <c r="J146" s="25" t="s">
        <v>11490</v>
      </c>
      <c r="K146" s="62" t="s">
        <v>3213</v>
      </c>
      <c r="L146" s="25" t="s">
        <v>73</v>
      </c>
      <c r="M146" s="25" t="s">
        <v>12534</v>
      </c>
      <c r="N146" s="25" t="s">
        <v>12535</v>
      </c>
      <c r="O146" s="63" t="s">
        <v>12536</v>
      </c>
      <c r="P146" s="25"/>
      <c r="Q146" s="32">
        <v>4</v>
      </c>
      <c r="R146" s="32" t="s">
        <v>4409</v>
      </c>
      <c r="S146" s="32" t="s">
        <v>4832</v>
      </c>
      <c r="T146" s="26"/>
      <c r="U146" s="30" t="s">
        <v>78</v>
      </c>
      <c r="V146" s="30"/>
      <c r="W146" s="38"/>
      <c r="X146" s="26" t="s">
        <v>12417</v>
      </c>
      <c r="Y146" s="38"/>
      <c r="Z146" s="26"/>
      <c r="AA146" s="26"/>
      <c r="AB146" s="31" t="s">
        <v>21</v>
      </c>
      <c r="AC146" s="30" t="s">
        <v>172</v>
      </c>
      <c r="AD146" s="25" t="s">
        <v>4423</v>
      </c>
      <c r="AE146" s="25" t="s">
        <v>172</v>
      </c>
      <c r="AF146" s="25"/>
      <c r="AG146" s="32">
        <v>1</v>
      </c>
      <c r="AH146" s="32"/>
      <c r="AI146" s="32"/>
      <c r="AJ146" s="32"/>
      <c r="AK146" s="26"/>
      <c r="AL146" s="32">
        <f t="shared" si="5"/>
        <v>0</v>
      </c>
      <c r="AM146" s="62"/>
      <c r="AN146" s="25"/>
      <c r="AO146" s="25"/>
      <c r="AP146" s="25"/>
      <c r="AQ146" s="32"/>
      <c r="AR146" s="32"/>
      <c r="AS146" s="25"/>
      <c r="AT146" s="32"/>
      <c r="AU146" s="25"/>
      <c r="AV146" s="25"/>
      <c r="AW146" s="25"/>
      <c r="AX146" s="25"/>
      <c r="AY146" s="26"/>
    </row>
    <row r="147" spans="1:51">
      <c r="A147" s="25" t="s">
        <v>12537</v>
      </c>
      <c r="B147" s="25" t="s">
        <v>4398</v>
      </c>
      <c r="C147" s="25" t="s">
        <v>73</v>
      </c>
      <c r="D147" s="25" t="s">
        <v>12538</v>
      </c>
      <c r="E147" s="258" t="s">
        <v>12539</v>
      </c>
      <c r="F147" s="25" t="s">
        <v>12540</v>
      </c>
      <c r="G147" s="25" t="s">
        <v>12412</v>
      </c>
      <c r="H147" s="25" t="s">
        <v>12413</v>
      </c>
      <c r="I147" s="25" t="s">
        <v>9838</v>
      </c>
      <c r="J147" s="25" t="s">
        <v>11490</v>
      </c>
      <c r="K147" s="62" t="s">
        <v>3213</v>
      </c>
      <c r="L147" s="25" t="s">
        <v>73</v>
      </c>
      <c r="M147" s="25" t="s">
        <v>12541</v>
      </c>
      <c r="N147" s="25" t="s">
        <v>12542</v>
      </c>
      <c r="O147" s="63" t="s">
        <v>12543</v>
      </c>
      <c r="P147" s="25"/>
      <c r="Q147" s="32">
        <v>4</v>
      </c>
      <c r="R147" s="32" t="s">
        <v>4409</v>
      </c>
      <c r="S147" s="32" t="s">
        <v>12544</v>
      </c>
      <c r="T147" s="26"/>
      <c r="U147" s="30" t="s">
        <v>78</v>
      </c>
      <c r="V147" s="30"/>
      <c r="W147" s="38"/>
      <c r="X147" s="26" t="s">
        <v>12417</v>
      </c>
      <c r="Y147" s="38"/>
      <c r="Z147" s="26"/>
      <c r="AA147" s="26"/>
      <c r="AB147" s="31" t="s">
        <v>21</v>
      </c>
      <c r="AC147" s="30" t="s">
        <v>172</v>
      </c>
      <c r="AD147" s="25" t="s">
        <v>4423</v>
      </c>
      <c r="AE147" s="25" t="s">
        <v>172</v>
      </c>
      <c r="AF147" s="25"/>
      <c r="AG147" s="32">
        <v>1</v>
      </c>
      <c r="AH147" s="32"/>
      <c r="AI147" s="25"/>
      <c r="AJ147" s="32"/>
      <c r="AK147" s="26"/>
      <c r="AL147" s="32">
        <f t="shared" si="5"/>
        <v>0</v>
      </c>
      <c r="AM147" s="62"/>
      <c r="AN147" s="25"/>
      <c r="AO147" s="25"/>
      <c r="AP147" s="25"/>
      <c r="AQ147" s="32"/>
      <c r="AR147" s="32"/>
      <c r="AS147" s="25"/>
      <c r="AT147" s="32"/>
      <c r="AU147" s="25"/>
      <c r="AV147" s="25"/>
      <c r="AW147" s="25"/>
      <c r="AX147" s="25"/>
      <c r="AY147" s="26"/>
    </row>
    <row r="148" spans="1:51">
      <c r="A148" s="32" t="s">
        <v>8214</v>
      </c>
      <c r="B148" s="48" t="s">
        <v>125</v>
      </c>
      <c r="C148" s="25" t="s">
        <v>73</v>
      </c>
      <c r="D148" s="25" t="s">
        <v>7943</v>
      </c>
      <c r="E148" s="48" t="s">
        <v>70</v>
      </c>
      <c r="F148" s="48" t="s">
        <v>70</v>
      </c>
      <c r="G148" s="70"/>
      <c r="H148" s="70"/>
      <c r="I148" s="32"/>
      <c r="J148" s="25" t="s">
        <v>11490</v>
      </c>
      <c r="K148" s="62" t="s">
        <v>11491</v>
      </c>
      <c r="L148" s="32" t="s">
        <v>73</v>
      </c>
      <c r="M148" s="25" t="s">
        <v>11635</v>
      </c>
      <c r="N148" s="25" t="s">
        <v>126</v>
      </c>
      <c r="O148" s="71" t="s">
        <v>9272</v>
      </c>
      <c r="P148" s="72" t="s">
        <v>125</v>
      </c>
      <c r="Q148" s="32">
        <v>4</v>
      </c>
      <c r="R148" s="32" t="s">
        <v>4409</v>
      </c>
      <c r="S148" s="32" t="s">
        <v>12545</v>
      </c>
      <c r="T148" s="26" t="s">
        <v>138</v>
      </c>
      <c r="U148" s="30" t="s">
        <v>78</v>
      </c>
      <c r="V148" s="26" t="s">
        <v>139</v>
      </c>
      <c r="W148" s="38" t="s">
        <v>263</v>
      </c>
      <c r="X148" s="26" t="s">
        <v>131</v>
      </c>
      <c r="Y148" s="38" t="s">
        <v>141</v>
      </c>
      <c r="Z148" s="26" t="s">
        <v>141</v>
      </c>
      <c r="AA148" s="26"/>
      <c r="AB148" s="31" t="s">
        <v>7</v>
      </c>
      <c r="AC148" s="30" t="s">
        <v>172</v>
      </c>
      <c r="AD148" s="25"/>
      <c r="AE148" s="25" t="s">
        <v>172</v>
      </c>
      <c r="AF148" s="25"/>
      <c r="AG148" s="32">
        <v>1</v>
      </c>
      <c r="AH148" s="32">
        <v>1</v>
      </c>
      <c r="AI148" s="32"/>
      <c r="AJ148" s="32"/>
      <c r="AK148" s="26"/>
      <c r="AL148" s="32">
        <f t="shared" si="5"/>
        <v>1</v>
      </c>
      <c r="AM148" s="62"/>
      <c r="AN148" s="25"/>
      <c r="AO148" s="25"/>
      <c r="AP148" s="32">
        <v>1</v>
      </c>
      <c r="AQ148" s="32">
        <v>1</v>
      </c>
      <c r="AR148" s="25">
        <v>1</v>
      </c>
      <c r="AS148" s="25"/>
      <c r="AT148" s="25">
        <v>1</v>
      </c>
      <c r="AU148" s="73">
        <v>46253.912430555603</v>
      </c>
      <c r="AV148" s="25"/>
      <c r="AW148" s="25"/>
      <c r="AX148" s="25" t="s">
        <v>12367</v>
      </c>
      <c r="AY148" s="26"/>
    </row>
    <row r="149" spans="1:51">
      <c r="A149" s="32" t="s">
        <v>67</v>
      </c>
      <c r="B149" s="48" t="s">
        <v>125</v>
      </c>
      <c r="C149" s="25" t="s">
        <v>68</v>
      </c>
      <c r="D149" s="25" t="s">
        <v>69</v>
      </c>
      <c r="E149" s="48" t="s">
        <v>134</v>
      </c>
      <c r="F149" s="48" t="s">
        <v>134</v>
      </c>
      <c r="G149" s="70"/>
      <c r="H149" s="70"/>
      <c r="I149" s="32"/>
      <c r="J149" s="25" t="s">
        <v>11490</v>
      </c>
      <c r="K149" s="62" t="s">
        <v>11491</v>
      </c>
      <c r="L149" s="32" t="s">
        <v>73</v>
      </c>
      <c r="M149" s="25" t="s">
        <v>11627</v>
      </c>
      <c r="N149" s="25" t="s">
        <v>135</v>
      </c>
      <c r="O149" s="71" t="s">
        <v>9275</v>
      </c>
      <c r="P149" s="72" t="s">
        <v>125</v>
      </c>
      <c r="Q149" s="52">
        <v>4</v>
      </c>
      <c r="R149" s="52" t="s">
        <v>4409</v>
      </c>
      <c r="S149" s="52" t="s">
        <v>12545</v>
      </c>
      <c r="T149" s="26" t="s">
        <v>138</v>
      </c>
      <c r="U149" s="30" t="s">
        <v>78</v>
      </c>
      <c r="V149" s="26" t="s">
        <v>139</v>
      </c>
      <c r="W149" s="38" t="s">
        <v>263</v>
      </c>
      <c r="X149" s="26" t="s">
        <v>131</v>
      </c>
      <c r="Y149" s="38" t="s">
        <v>141</v>
      </c>
      <c r="Z149" s="26" t="s">
        <v>141</v>
      </c>
      <c r="AA149" s="26"/>
      <c r="AB149" s="31" t="s">
        <v>7</v>
      </c>
      <c r="AC149" s="30" t="s">
        <v>172</v>
      </c>
      <c r="AD149" s="25" t="s">
        <v>173</v>
      </c>
      <c r="AE149" s="25" t="s">
        <v>174</v>
      </c>
      <c r="AF149" s="25"/>
      <c r="AG149" s="32">
        <v>1</v>
      </c>
      <c r="AH149" s="32">
        <v>1</v>
      </c>
      <c r="AI149" s="32"/>
      <c r="AJ149" s="32"/>
      <c r="AK149" s="26"/>
      <c r="AL149" s="32">
        <f t="shared" si="5"/>
        <v>1</v>
      </c>
      <c r="AM149" s="62"/>
      <c r="AN149" s="25"/>
      <c r="AO149" s="25"/>
      <c r="AP149" s="25">
        <v>1</v>
      </c>
      <c r="AQ149" s="32">
        <v>1</v>
      </c>
      <c r="AR149" s="25">
        <v>1</v>
      </c>
      <c r="AS149" s="25"/>
      <c r="AT149" s="25">
        <v>1</v>
      </c>
      <c r="AU149" s="73">
        <v>46253.9194444444</v>
      </c>
      <c r="AV149" s="25"/>
      <c r="AW149" s="25"/>
      <c r="AX149" s="25" t="s">
        <v>12403</v>
      </c>
      <c r="AY149" s="26"/>
    </row>
  </sheetData>
  <sheetProtection sheet="1" formatCells="0" formatColumns="0" formatRows="0" insertColumns="0" insertRows="0" insertHyperlinks="0" deleteColumns="0" deleteRows="0" sort="0" autoFilter="0" pivotTables="0"/>
  <protectedRanges>
    <protectedRange sqref="A1:P1048576" name="Range1"/>
    <protectedRange sqref="A1:O1048576" name="Range2"/>
    <protectedRange sqref="AZ1:XFD1048576 A1:P1048576" name="Range3"/>
    <protectedRange sqref="AZ1:XFD1048576 A1:P1048576" name="Range4"/>
    <protectedRange sqref="A1:O1048576" name="Range5"/>
  </protectedRanges>
  <autoFilter ref="A1:AY149" xr:uid="{00000000-0009-0000-0000-00000C000000}"/>
  <phoneticPr fontId="67" type="noConversion"/>
  <conditionalFormatting sqref="D2:D151">
    <cfRule type="expression" dxfId="4" priority="2">
      <formula>AND(SUMPRODUCT(IFERROR(1*(($D$2:$D$151&amp;"x")=(D2&amp;"x")),0))&gt;1,NOT(ISBLANK(D2)))</formula>
    </cfRule>
  </conditionalFormatting>
  <conditionalFormatting sqref="E1:E1048576">
    <cfRule type="expression" dxfId="3" priority="1">
      <formula>AND(SUMPRODUCT(IFERROR(1*(($E:$E&amp;"x")=(E1&amp;"x")),0))&gt;1,NOT(ISBLANK(E1)))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7E6E6"/>
  </sheetPr>
  <dimension ref="A1:AY148"/>
  <sheetViews>
    <sheetView workbookViewId="0">
      <pane xSplit="14" ySplit="1" topLeftCell="O21" activePane="bottomRight" state="frozen"/>
      <selection pane="topRight"/>
      <selection pane="bottomLeft"/>
      <selection pane="bottomRight" activeCell="C21" sqref="A1:XFD1048576"/>
    </sheetView>
  </sheetViews>
  <sheetFormatPr defaultColWidth="9" defaultRowHeight="14.5"/>
  <cols>
    <col min="1" max="1" width="14.453125" style="2" customWidth="1"/>
    <col min="2" max="2" width="8.90625" style="2" customWidth="1"/>
    <col min="3" max="3" width="4.6328125" style="2" customWidth="1"/>
    <col min="4" max="4" width="13.90625" style="2" customWidth="1"/>
    <col min="5" max="5" width="8.36328125" style="2" customWidth="1"/>
    <col min="6" max="6" width="9" style="2" customWidth="1"/>
    <col min="7" max="7" width="9.26953125" style="2" customWidth="1"/>
    <col min="8" max="8" width="14" style="2" customWidth="1"/>
    <col min="9" max="10" width="9.36328125" style="2" customWidth="1"/>
    <col min="11" max="11" width="8.90625" style="4" customWidth="1"/>
    <col min="12" max="12" width="6.54296875" style="2" customWidth="1"/>
    <col min="13" max="13" width="15.81640625" style="2" customWidth="1"/>
    <col min="14" max="14" width="13.7265625" style="2" customWidth="1"/>
    <col min="15" max="15" width="17.90625" style="4" customWidth="1"/>
    <col min="16" max="16" width="8.54296875" style="2" customWidth="1"/>
    <col min="17" max="17" width="7" style="4" hidden="1" customWidth="1"/>
    <col min="18" max="18" width="9" style="4" hidden="1" customWidth="1"/>
    <col min="19" max="19" width="11" style="4" hidden="1" customWidth="1"/>
    <col min="20" max="21" width="12.7265625" style="2" customWidth="1"/>
    <col min="22" max="22" width="17" style="2" customWidth="1"/>
    <col min="23" max="23" width="19.6328125" style="2" customWidth="1"/>
    <col min="24" max="24" width="9.90625" style="2" customWidth="1"/>
    <col min="25" max="26" width="19.7265625" style="2" customWidth="1"/>
    <col min="27" max="27" width="8.7265625" style="2" customWidth="1"/>
    <col min="28" max="28" width="17.26953125" style="4" customWidth="1"/>
    <col min="29" max="29" width="9" style="2" customWidth="1"/>
    <col min="30" max="31" width="9" style="4" customWidth="1"/>
    <col min="32" max="32" width="9" style="2" customWidth="1"/>
    <col min="33" max="36" width="9" style="4"/>
    <col min="37" max="37" width="7.90625" style="2" customWidth="1"/>
    <col min="38" max="38" width="9" style="4"/>
    <col min="39" max="39" width="9" style="2"/>
    <col min="40" max="40" width="22" style="4" customWidth="1"/>
    <col min="41" max="45" width="9" style="4"/>
    <col min="46" max="46" width="13.26953125" style="4" customWidth="1"/>
    <col min="47" max="47" width="23.7265625" style="2" customWidth="1"/>
    <col min="48" max="16384" width="9" style="2"/>
  </cols>
  <sheetData>
    <row r="1" spans="1:51" s="1" customFormat="1" ht="65.5" customHeight="1">
      <c r="A1" s="5" t="s">
        <v>25</v>
      </c>
      <c r="B1" s="5" t="s">
        <v>26</v>
      </c>
      <c r="C1" s="5" t="s">
        <v>27</v>
      </c>
      <c r="D1" s="5" t="s">
        <v>28</v>
      </c>
      <c r="E1" s="5" t="s">
        <v>29</v>
      </c>
      <c r="F1" s="5" t="s">
        <v>30</v>
      </c>
      <c r="G1" s="5" t="s">
        <v>31</v>
      </c>
      <c r="H1" s="5" t="s">
        <v>4389</v>
      </c>
      <c r="I1" s="5" t="s">
        <v>4390</v>
      </c>
      <c r="J1" s="5" t="s">
        <v>32</v>
      </c>
      <c r="K1" s="7" t="s">
        <v>33</v>
      </c>
      <c r="L1" s="5" t="s">
        <v>34</v>
      </c>
      <c r="M1" s="5" t="s">
        <v>35</v>
      </c>
      <c r="N1" s="5" t="s">
        <v>36</v>
      </c>
      <c r="O1" s="8" t="s">
        <v>37</v>
      </c>
      <c r="P1" s="9" t="s">
        <v>38</v>
      </c>
      <c r="Q1" s="10" t="s">
        <v>4392</v>
      </c>
      <c r="R1" s="10" t="s">
        <v>5290</v>
      </c>
      <c r="S1" s="10" t="s">
        <v>5291</v>
      </c>
      <c r="T1" s="11" t="s">
        <v>39</v>
      </c>
      <c r="U1" s="11" t="s">
        <v>40</v>
      </c>
      <c r="V1" s="11" t="s">
        <v>41</v>
      </c>
      <c r="W1" s="11" t="s">
        <v>42</v>
      </c>
      <c r="X1" s="11" t="s">
        <v>43</v>
      </c>
      <c r="Y1" s="11" t="s">
        <v>44</v>
      </c>
      <c r="Z1" s="11" t="s">
        <v>45</v>
      </c>
      <c r="AA1" s="12" t="s">
        <v>6888</v>
      </c>
      <c r="AB1" s="13" t="s">
        <v>46</v>
      </c>
      <c r="AC1" s="14" t="s">
        <v>47</v>
      </c>
      <c r="AD1" s="15" t="s">
        <v>48</v>
      </c>
      <c r="AE1" s="15" t="s">
        <v>49</v>
      </c>
      <c r="AF1" s="15" t="s">
        <v>50</v>
      </c>
      <c r="AG1" s="16" t="s">
        <v>51</v>
      </c>
      <c r="AH1" s="16" t="s">
        <v>52</v>
      </c>
      <c r="AI1" s="16" t="s">
        <v>4395</v>
      </c>
      <c r="AJ1" s="17" t="s">
        <v>54</v>
      </c>
      <c r="AK1" s="16" t="s">
        <v>4396</v>
      </c>
      <c r="AL1" s="18" t="s">
        <v>57</v>
      </c>
      <c r="AM1" s="19" t="s">
        <v>58</v>
      </c>
      <c r="AN1" s="19" t="s">
        <v>59</v>
      </c>
      <c r="AO1" s="20" t="s">
        <v>60</v>
      </c>
      <c r="AP1" s="20" t="s">
        <v>61</v>
      </c>
      <c r="AQ1" s="17" t="s">
        <v>62</v>
      </c>
      <c r="AR1" s="17" t="s">
        <v>63</v>
      </c>
      <c r="AS1" s="17" t="s">
        <v>155</v>
      </c>
      <c r="AT1" s="17" t="s">
        <v>65</v>
      </c>
      <c r="AU1" s="21" t="s">
        <v>6889</v>
      </c>
      <c r="AV1" s="17" t="s">
        <v>66</v>
      </c>
      <c r="AW1" s="22"/>
      <c r="AX1" s="23" t="s">
        <v>1680</v>
      </c>
      <c r="AY1" s="24" t="s">
        <v>3133</v>
      </c>
    </row>
    <row r="2" spans="1:51">
      <c r="A2" s="25" t="s">
        <v>12546</v>
      </c>
      <c r="B2" s="25" t="s">
        <v>4398</v>
      </c>
      <c r="C2" s="25" t="s">
        <v>68</v>
      </c>
      <c r="D2" s="25" t="s">
        <v>12547</v>
      </c>
      <c r="E2" s="258" t="s">
        <v>12548</v>
      </c>
      <c r="F2" s="25" t="s">
        <v>12549</v>
      </c>
      <c r="G2" s="25" t="s">
        <v>5516</v>
      </c>
      <c r="H2" s="25" t="s">
        <v>11489</v>
      </c>
      <c r="I2" s="25" t="s">
        <v>4402</v>
      </c>
      <c r="J2" s="25" t="s">
        <v>11490</v>
      </c>
      <c r="K2" s="25">
        <v>8.2100000000000009</v>
      </c>
      <c r="L2" s="25" t="s">
        <v>73</v>
      </c>
      <c r="M2" s="25" t="s">
        <v>12550</v>
      </c>
      <c r="N2" s="25" t="s">
        <v>12551</v>
      </c>
      <c r="O2" t="s">
        <v>12552</v>
      </c>
      <c r="P2" s="28"/>
      <c r="Q2" s="53">
        <v>4</v>
      </c>
      <c r="R2" s="53">
        <v>16</v>
      </c>
      <c r="S2" s="53">
        <v>266.12</v>
      </c>
      <c r="T2" s="26" t="s">
        <v>138</v>
      </c>
      <c r="U2" s="30" t="s">
        <v>78</v>
      </c>
      <c r="V2" s="26" t="s">
        <v>139</v>
      </c>
      <c r="W2" s="26" t="s">
        <v>263</v>
      </c>
      <c r="X2" s="26" t="s">
        <v>131</v>
      </c>
      <c r="Y2" s="26" t="s">
        <v>141</v>
      </c>
      <c r="Z2" s="26" t="s">
        <v>141</v>
      </c>
      <c r="AA2" s="26"/>
      <c r="AB2" s="31" t="s">
        <v>7</v>
      </c>
      <c r="AC2" s="30" t="s">
        <v>172</v>
      </c>
      <c r="AD2" s="25" t="s">
        <v>173</v>
      </c>
      <c r="AE2" s="25" t="s">
        <v>174</v>
      </c>
      <c r="AF2" s="26" t="s">
        <v>175</v>
      </c>
      <c r="AG2" s="32">
        <v>1</v>
      </c>
      <c r="AH2" s="32">
        <v>1</v>
      </c>
      <c r="AI2" s="32"/>
      <c r="AJ2" s="32"/>
      <c r="AK2" s="30"/>
      <c r="AL2" s="32">
        <f>IF(COUNTIF(AX:AX,"*"&amp;M2&amp;"*")&gt;0,1,0)</f>
        <v>1</v>
      </c>
      <c r="AM2" s="30"/>
      <c r="AN2" s="32"/>
      <c r="AO2" s="32"/>
      <c r="AP2" s="32">
        <v>1</v>
      </c>
      <c r="AQ2" s="32">
        <v>1</v>
      </c>
      <c r="AR2" s="32"/>
      <c r="AS2" s="32"/>
      <c r="AT2" s="32">
        <v>1</v>
      </c>
      <c r="AU2" s="30"/>
      <c r="AV2" s="30"/>
      <c r="AW2" s="30"/>
      <c r="AX2" s="30" t="s">
        <v>12553</v>
      </c>
      <c r="AY2" s="30"/>
    </row>
    <row r="3" spans="1:51">
      <c r="A3" s="25" t="s">
        <v>12554</v>
      </c>
      <c r="B3" s="25" t="s">
        <v>4398</v>
      </c>
      <c r="C3" s="25" t="s">
        <v>68</v>
      </c>
      <c r="D3" s="25" t="s">
        <v>12555</v>
      </c>
      <c r="E3" s="258" t="s">
        <v>12556</v>
      </c>
      <c r="F3" s="25" t="s">
        <v>12557</v>
      </c>
      <c r="G3" s="25" t="s">
        <v>5516</v>
      </c>
      <c r="H3" s="25" t="s">
        <v>11489</v>
      </c>
      <c r="I3" s="25" t="s">
        <v>4402</v>
      </c>
      <c r="J3" s="25" t="s">
        <v>11490</v>
      </c>
      <c r="K3" s="54" t="s">
        <v>11500</v>
      </c>
      <c r="L3" s="25" t="s">
        <v>73</v>
      </c>
      <c r="M3" s="25" t="s">
        <v>12558</v>
      </c>
      <c r="N3" s="25" t="s">
        <v>12559</v>
      </c>
      <c r="O3" t="s">
        <v>12560</v>
      </c>
      <c r="P3" s="55" t="s">
        <v>11500</v>
      </c>
      <c r="Q3" s="53">
        <v>4</v>
      </c>
      <c r="R3" s="53">
        <v>16</v>
      </c>
      <c r="S3" s="53">
        <v>266.23</v>
      </c>
      <c r="T3" s="26"/>
      <c r="U3" s="30"/>
      <c r="V3" s="26"/>
      <c r="W3" s="26"/>
      <c r="X3" s="26"/>
      <c r="Y3" s="26"/>
      <c r="Z3" s="26"/>
      <c r="AA3" s="26"/>
      <c r="AB3" s="31" t="s">
        <v>7</v>
      </c>
      <c r="AC3" s="30" t="s">
        <v>172</v>
      </c>
      <c r="AD3" s="25" t="s">
        <v>173</v>
      </c>
      <c r="AE3" s="25" t="s">
        <v>174</v>
      </c>
      <c r="AF3" s="26" t="s">
        <v>175</v>
      </c>
      <c r="AG3" s="32">
        <v>1</v>
      </c>
      <c r="AH3" s="32">
        <v>1</v>
      </c>
      <c r="AI3" s="32"/>
      <c r="AJ3" s="32"/>
      <c r="AK3" s="30"/>
      <c r="AL3" s="32"/>
      <c r="AM3" s="30"/>
      <c r="AN3" s="32"/>
      <c r="AO3" s="32"/>
      <c r="AP3" s="32"/>
      <c r="AQ3" s="32"/>
      <c r="AR3" s="32"/>
      <c r="AS3" s="32"/>
      <c r="AT3" s="32"/>
      <c r="AU3" s="30"/>
      <c r="AV3" s="30"/>
      <c r="AW3" s="30"/>
      <c r="AX3" s="30"/>
      <c r="AY3" s="30"/>
    </row>
    <row r="4" spans="1:51">
      <c r="A4" s="25" t="s">
        <v>12561</v>
      </c>
      <c r="B4" s="25" t="s">
        <v>4398</v>
      </c>
      <c r="C4" s="25" t="s">
        <v>68</v>
      </c>
      <c r="D4" s="25" t="s">
        <v>12562</v>
      </c>
      <c r="E4" s="258" t="s">
        <v>12563</v>
      </c>
      <c r="F4" s="25" t="s">
        <v>12564</v>
      </c>
      <c r="G4" s="25" t="s">
        <v>5516</v>
      </c>
      <c r="H4" s="25" t="s">
        <v>11489</v>
      </c>
      <c r="I4" s="25" t="s">
        <v>4402</v>
      </c>
      <c r="J4" s="25" t="s">
        <v>11490</v>
      </c>
      <c r="K4" s="54" t="s">
        <v>11500</v>
      </c>
      <c r="L4" s="25" t="s">
        <v>73</v>
      </c>
      <c r="M4" s="25" t="s">
        <v>12565</v>
      </c>
      <c r="N4" s="25" t="s">
        <v>12566</v>
      </c>
      <c r="O4" t="s">
        <v>12567</v>
      </c>
      <c r="P4" s="55" t="s">
        <v>11500</v>
      </c>
      <c r="Q4" s="53">
        <v>4</v>
      </c>
      <c r="R4" s="53">
        <v>16</v>
      </c>
      <c r="S4" s="53">
        <v>266.11</v>
      </c>
      <c r="T4" s="26"/>
      <c r="U4" s="30"/>
      <c r="V4" s="26"/>
      <c r="W4" s="26"/>
      <c r="X4" s="26"/>
      <c r="Y4" s="26"/>
      <c r="Z4" s="26"/>
      <c r="AA4" s="26"/>
      <c r="AB4" s="31" t="s">
        <v>7</v>
      </c>
      <c r="AC4" s="30" t="s">
        <v>172</v>
      </c>
      <c r="AD4" s="25" t="s">
        <v>173</v>
      </c>
      <c r="AE4" s="25" t="s">
        <v>174</v>
      </c>
      <c r="AF4" s="26" t="s">
        <v>175</v>
      </c>
      <c r="AG4" s="32">
        <v>1</v>
      </c>
      <c r="AH4" s="32">
        <v>1</v>
      </c>
      <c r="AI4" s="32"/>
      <c r="AJ4" s="32"/>
      <c r="AK4" s="30"/>
      <c r="AL4" s="32"/>
      <c r="AM4" s="30"/>
      <c r="AN4" s="32"/>
      <c r="AO4" s="32"/>
      <c r="AP4" s="32"/>
      <c r="AQ4" s="32"/>
      <c r="AR4" s="32"/>
      <c r="AS4" s="32"/>
      <c r="AT4" s="32"/>
      <c r="AU4" s="30"/>
      <c r="AV4" s="30"/>
      <c r="AW4" s="30"/>
      <c r="AX4" s="30"/>
      <c r="AY4" s="30"/>
    </row>
    <row r="5" spans="1:51">
      <c r="A5" s="25" t="s">
        <v>12568</v>
      </c>
      <c r="B5" s="25" t="s">
        <v>4398</v>
      </c>
      <c r="C5" s="25" t="s">
        <v>68</v>
      </c>
      <c r="D5" s="25" t="s">
        <v>12569</v>
      </c>
      <c r="E5" s="258" t="s">
        <v>12570</v>
      </c>
      <c r="F5" s="25" t="s">
        <v>12571</v>
      </c>
      <c r="G5" s="25" t="s">
        <v>5516</v>
      </c>
      <c r="H5" s="25" t="s">
        <v>11489</v>
      </c>
      <c r="I5" s="25" t="s">
        <v>4402</v>
      </c>
      <c r="J5" s="25" t="s">
        <v>11490</v>
      </c>
      <c r="K5" s="54" t="s">
        <v>11500</v>
      </c>
      <c r="L5" s="25" t="s">
        <v>73</v>
      </c>
      <c r="M5" s="25" t="s">
        <v>12572</v>
      </c>
      <c r="N5" s="25" t="s">
        <v>12573</v>
      </c>
      <c r="O5" t="s">
        <v>12574</v>
      </c>
      <c r="P5" s="55" t="s">
        <v>11500</v>
      </c>
      <c r="Q5" s="53">
        <v>4</v>
      </c>
      <c r="R5" s="53">
        <v>16</v>
      </c>
      <c r="S5" s="53">
        <v>266.36</v>
      </c>
      <c r="T5" s="26"/>
      <c r="U5" s="30"/>
      <c r="V5" s="26"/>
      <c r="W5" s="26"/>
      <c r="X5" s="26"/>
      <c r="Y5" s="26"/>
      <c r="Z5" s="26"/>
      <c r="AA5" s="26"/>
      <c r="AB5" s="31" t="s">
        <v>7</v>
      </c>
      <c r="AC5" s="30" t="s">
        <v>172</v>
      </c>
      <c r="AD5" s="25" t="s">
        <v>173</v>
      </c>
      <c r="AE5" s="25" t="s">
        <v>174</v>
      </c>
      <c r="AF5" s="26" t="s">
        <v>175</v>
      </c>
      <c r="AG5" s="32">
        <v>1</v>
      </c>
      <c r="AH5" s="32">
        <v>1</v>
      </c>
      <c r="AI5" s="32"/>
      <c r="AJ5" s="32"/>
      <c r="AK5" s="30"/>
      <c r="AL5" s="32"/>
      <c r="AM5" s="30"/>
      <c r="AN5" s="32"/>
      <c r="AO5" s="32"/>
      <c r="AP5" s="32"/>
      <c r="AQ5" s="32"/>
      <c r="AR5" s="32"/>
      <c r="AS5" s="32"/>
      <c r="AT5" s="32"/>
      <c r="AU5" s="30"/>
      <c r="AV5" s="30"/>
      <c r="AW5" s="30"/>
      <c r="AX5" s="30"/>
      <c r="AY5" s="30"/>
    </row>
    <row r="6" spans="1:51">
      <c r="A6" s="25" t="s">
        <v>12575</v>
      </c>
      <c r="B6" s="25" t="s">
        <v>4398</v>
      </c>
      <c r="C6" s="25" t="s">
        <v>68</v>
      </c>
      <c r="D6" s="25" t="s">
        <v>12576</v>
      </c>
      <c r="E6" s="258" t="s">
        <v>12577</v>
      </c>
      <c r="F6" s="25" t="s">
        <v>12578</v>
      </c>
      <c r="G6" s="25" t="s">
        <v>5516</v>
      </c>
      <c r="H6" s="25" t="s">
        <v>11489</v>
      </c>
      <c r="I6" s="25" t="s">
        <v>4402</v>
      </c>
      <c r="J6" s="25" t="s">
        <v>11490</v>
      </c>
      <c r="K6" s="25">
        <v>8.2100000000000009</v>
      </c>
      <c r="L6" s="25" t="s">
        <v>73</v>
      </c>
      <c r="M6" s="25" t="s">
        <v>12579</v>
      </c>
      <c r="N6" s="25" t="s">
        <v>12580</v>
      </c>
      <c r="O6" t="s">
        <v>12581</v>
      </c>
      <c r="P6" s="28"/>
      <c r="Q6" s="53">
        <v>4</v>
      </c>
      <c r="R6" s="53">
        <v>16</v>
      </c>
      <c r="S6" s="53">
        <v>267.37</v>
      </c>
      <c r="T6" s="26" t="s">
        <v>138</v>
      </c>
      <c r="U6" s="30" t="s">
        <v>78</v>
      </c>
      <c r="V6" s="26" t="s">
        <v>139</v>
      </c>
      <c r="W6" s="26" t="s">
        <v>263</v>
      </c>
      <c r="X6" s="26" t="s">
        <v>131</v>
      </c>
      <c r="Y6" s="26" t="s">
        <v>141</v>
      </c>
      <c r="Z6" s="26" t="s">
        <v>141</v>
      </c>
      <c r="AA6" s="26"/>
      <c r="AB6" s="31" t="s">
        <v>7</v>
      </c>
      <c r="AC6" s="30" t="s">
        <v>172</v>
      </c>
      <c r="AD6" s="25" t="s">
        <v>173</v>
      </c>
      <c r="AE6" s="25" t="s">
        <v>174</v>
      </c>
      <c r="AF6" s="26" t="s">
        <v>175</v>
      </c>
      <c r="AG6" s="32">
        <v>1</v>
      </c>
      <c r="AH6" s="32">
        <v>1</v>
      </c>
      <c r="AI6" s="32"/>
      <c r="AJ6" s="32"/>
      <c r="AK6" s="30"/>
      <c r="AL6" s="32">
        <f>IF(COUNTIF(AX:AX,"*"&amp;M6&amp;"*")&gt;0,1,0)</f>
        <v>1</v>
      </c>
      <c r="AM6" s="30"/>
      <c r="AN6" s="32"/>
      <c r="AO6" s="32"/>
      <c r="AP6" s="32">
        <v>1</v>
      </c>
      <c r="AQ6" s="32">
        <v>1</v>
      </c>
      <c r="AR6" s="32"/>
      <c r="AS6" s="32"/>
      <c r="AT6" s="32">
        <v>1</v>
      </c>
      <c r="AU6" s="30"/>
      <c r="AV6" s="30"/>
      <c r="AW6" s="30"/>
      <c r="AX6" s="30" t="s">
        <v>12582</v>
      </c>
      <c r="AY6" s="30"/>
    </row>
    <row r="7" spans="1:51">
      <c r="A7" s="25" t="s">
        <v>12583</v>
      </c>
      <c r="B7" s="25" t="s">
        <v>4398</v>
      </c>
      <c r="C7" s="25" t="s">
        <v>68</v>
      </c>
      <c r="D7" s="25" t="s">
        <v>12584</v>
      </c>
      <c r="E7" s="258" t="s">
        <v>12585</v>
      </c>
      <c r="F7" s="25" t="s">
        <v>12586</v>
      </c>
      <c r="G7" s="25" t="s">
        <v>5516</v>
      </c>
      <c r="H7" s="25" t="s">
        <v>11489</v>
      </c>
      <c r="I7" s="25" t="s">
        <v>4402</v>
      </c>
      <c r="J7" s="25" t="s">
        <v>11490</v>
      </c>
      <c r="K7" s="25">
        <v>8.2100000000000009</v>
      </c>
      <c r="L7" s="25" t="s">
        <v>73</v>
      </c>
      <c r="M7" s="25" t="s">
        <v>12587</v>
      </c>
      <c r="N7" s="25" t="s">
        <v>12588</v>
      </c>
      <c r="O7" t="s">
        <v>12589</v>
      </c>
      <c r="P7" s="28"/>
      <c r="Q7" s="53">
        <v>4</v>
      </c>
      <c r="R7" s="53">
        <v>16</v>
      </c>
      <c r="S7" s="53">
        <v>266.13</v>
      </c>
      <c r="T7" s="26" t="s">
        <v>138</v>
      </c>
      <c r="U7" s="30" t="s">
        <v>78</v>
      </c>
      <c r="V7" s="26" t="s">
        <v>139</v>
      </c>
      <c r="W7" s="26" t="s">
        <v>263</v>
      </c>
      <c r="X7" s="26" t="s">
        <v>131</v>
      </c>
      <c r="Y7" s="26" t="s">
        <v>141</v>
      </c>
      <c r="Z7" s="26" t="s">
        <v>141</v>
      </c>
      <c r="AA7" s="26"/>
      <c r="AB7" s="31" t="s">
        <v>7</v>
      </c>
      <c r="AC7" s="30" t="s">
        <v>172</v>
      </c>
      <c r="AD7" s="25" t="s">
        <v>173</v>
      </c>
      <c r="AE7" s="25" t="s">
        <v>174</v>
      </c>
      <c r="AF7" s="26" t="s">
        <v>175</v>
      </c>
      <c r="AG7" s="32">
        <v>1</v>
      </c>
      <c r="AH7" s="32">
        <v>1</v>
      </c>
      <c r="AI7" s="32"/>
      <c r="AJ7" s="32"/>
      <c r="AK7" s="30"/>
      <c r="AL7" s="32">
        <f>IF(COUNTIF(AX:AX,"*"&amp;M7&amp;"*")&gt;0,1,0)</f>
        <v>1</v>
      </c>
      <c r="AM7" s="30"/>
      <c r="AN7" s="32"/>
      <c r="AO7" s="32"/>
      <c r="AP7" s="32">
        <v>1</v>
      </c>
      <c r="AQ7" s="32">
        <v>1</v>
      </c>
      <c r="AR7" s="32"/>
      <c r="AS7" s="32"/>
      <c r="AT7" s="32">
        <v>1</v>
      </c>
      <c r="AU7" s="30"/>
      <c r="AV7" s="30"/>
      <c r="AW7" s="30"/>
      <c r="AX7" s="30" t="s">
        <v>12590</v>
      </c>
      <c r="AY7" s="30"/>
    </row>
    <row r="8" spans="1:51">
      <c r="A8" s="25" t="s">
        <v>12591</v>
      </c>
      <c r="B8" s="25" t="s">
        <v>4398</v>
      </c>
      <c r="C8" s="25" t="s">
        <v>68</v>
      </c>
      <c r="D8" s="25" t="s">
        <v>12592</v>
      </c>
      <c r="E8" s="258" t="s">
        <v>12593</v>
      </c>
      <c r="F8" s="25" t="s">
        <v>12594</v>
      </c>
      <c r="G8" s="25" t="s">
        <v>5516</v>
      </c>
      <c r="H8" s="25" t="s">
        <v>11489</v>
      </c>
      <c r="I8" s="25" t="s">
        <v>4402</v>
      </c>
      <c r="J8" s="25" t="s">
        <v>11490</v>
      </c>
      <c r="K8" s="54" t="s">
        <v>11500</v>
      </c>
      <c r="L8" s="25" t="s">
        <v>73</v>
      </c>
      <c r="M8" s="25" t="s">
        <v>12595</v>
      </c>
      <c r="N8" s="25" t="s">
        <v>12596</v>
      </c>
      <c r="O8" t="s">
        <v>12597</v>
      </c>
      <c r="P8" s="55" t="s">
        <v>11500</v>
      </c>
      <c r="Q8" s="53">
        <v>4</v>
      </c>
      <c r="R8" s="53">
        <v>16</v>
      </c>
      <c r="S8" s="53">
        <v>267.31</v>
      </c>
      <c r="T8" s="26"/>
      <c r="U8" s="30"/>
      <c r="V8" s="26"/>
      <c r="W8" s="26"/>
      <c r="X8" s="26"/>
      <c r="Y8" s="26"/>
      <c r="Z8" s="26"/>
      <c r="AA8" s="26"/>
      <c r="AB8" s="31" t="s">
        <v>7</v>
      </c>
      <c r="AC8" s="30" t="s">
        <v>172</v>
      </c>
      <c r="AD8" s="25" t="s">
        <v>173</v>
      </c>
      <c r="AE8" s="25" t="s">
        <v>174</v>
      </c>
      <c r="AF8" s="26" t="s">
        <v>175</v>
      </c>
      <c r="AG8" s="32">
        <v>1</v>
      </c>
      <c r="AH8" s="32">
        <v>1</v>
      </c>
      <c r="AI8" s="32"/>
      <c r="AJ8" s="32"/>
      <c r="AK8" s="30"/>
      <c r="AL8" s="32"/>
      <c r="AM8" s="30"/>
      <c r="AN8" s="32"/>
      <c r="AO8" s="32"/>
      <c r="AP8" s="32"/>
      <c r="AQ8" s="32"/>
      <c r="AR8" s="32"/>
      <c r="AS8" s="32"/>
      <c r="AT8" s="32"/>
      <c r="AU8" s="30"/>
      <c r="AV8" s="30"/>
      <c r="AW8" s="30"/>
      <c r="AX8" s="30"/>
      <c r="AY8" s="30"/>
    </row>
    <row r="9" spans="1:51">
      <c r="A9" s="25" t="s">
        <v>12598</v>
      </c>
      <c r="B9" s="25" t="s">
        <v>4398</v>
      </c>
      <c r="C9" s="25" t="s">
        <v>68</v>
      </c>
      <c r="D9" s="25" t="s">
        <v>12599</v>
      </c>
      <c r="E9" s="258" t="s">
        <v>12600</v>
      </c>
      <c r="F9" s="25" t="s">
        <v>12601</v>
      </c>
      <c r="G9" s="25" t="s">
        <v>5516</v>
      </c>
      <c r="H9" s="25" t="s">
        <v>11489</v>
      </c>
      <c r="I9" s="25" t="s">
        <v>4402</v>
      </c>
      <c r="J9" s="25" t="s">
        <v>11490</v>
      </c>
      <c r="K9" s="25">
        <v>8.2100000000000009</v>
      </c>
      <c r="L9" s="25" t="s">
        <v>73</v>
      </c>
      <c r="M9" s="25" t="s">
        <v>12602</v>
      </c>
      <c r="N9" s="25" t="s">
        <v>12603</v>
      </c>
      <c r="O9" t="s">
        <v>12604</v>
      </c>
      <c r="P9" s="28"/>
      <c r="Q9" s="53">
        <v>4</v>
      </c>
      <c r="R9" s="53">
        <v>16</v>
      </c>
      <c r="S9" s="53">
        <v>266.70999999999998</v>
      </c>
      <c r="T9" s="26" t="s">
        <v>138</v>
      </c>
      <c r="U9" s="30" t="s">
        <v>78</v>
      </c>
      <c r="V9" s="26" t="s">
        <v>139</v>
      </c>
      <c r="W9" s="26" t="s">
        <v>263</v>
      </c>
      <c r="X9" s="26" t="s">
        <v>131</v>
      </c>
      <c r="Y9" s="26" t="s">
        <v>141</v>
      </c>
      <c r="Z9" s="26" t="s">
        <v>141</v>
      </c>
      <c r="AA9" s="26"/>
      <c r="AB9" s="31" t="s">
        <v>7</v>
      </c>
      <c r="AC9" s="30" t="s">
        <v>172</v>
      </c>
      <c r="AD9" s="25" t="s">
        <v>173</v>
      </c>
      <c r="AE9" s="25" t="s">
        <v>174</v>
      </c>
      <c r="AF9" s="26" t="s">
        <v>175</v>
      </c>
      <c r="AG9" s="32">
        <v>1</v>
      </c>
      <c r="AH9" s="32">
        <v>1</v>
      </c>
      <c r="AI9" s="32"/>
      <c r="AJ9" s="32"/>
      <c r="AK9" s="30"/>
      <c r="AL9" s="32">
        <f>IF(COUNTIF(AX:AX,"*"&amp;M9&amp;"*")&gt;0,1,0)</f>
        <v>1</v>
      </c>
      <c r="AM9" s="30"/>
      <c r="AN9" s="32"/>
      <c r="AO9" s="32"/>
      <c r="AP9" s="32">
        <v>1</v>
      </c>
      <c r="AQ9" s="32">
        <v>1</v>
      </c>
      <c r="AR9" s="32"/>
      <c r="AS9" s="32"/>
      <c r="AT9" s="32">
        <v>1</v>
      </c>
      <c r="AU9" s="30"/>
      <c r="AV9" s="30"/>
      <c r="AW9" s="30"/>
      <c r="AX9" s="30" t="s">
        <v>12605</v>
      </c>
      <c r="AY9" s="30"/>
    </row>
    <row r="10" spans="1:51">
      <c r="A10" s="25" t="s">
        <v>12606</v>
      </c>
      <c r="B10" s="25" t="s">
        <v>4398</v>
      </c>
      <c r="C10" s="25" t="s">
        <v>68</v>
      </c>
      <c r="D10" s="25" t="s">
        <v>12607</v>
      </c>
      <c r="E10" s="258" t="s">
        <v>12608</v>
      </c>
      <c r="F10" s="25" t="s">
        <v>12609</v>
      </c>
      <c r="G10" s="25" t="s">
        <v>5516</v>
      </c>
      <c r="H10" s="25" t="s">
        <v>11489</v>
      </c>
      <c r="I10" s="25" t="s">
        <v>4402</v>
      </c>
      <c r="J10" s="25" t="s">
        <v>11490</v>
      </c>
      <c r="K10" s="54" t="s">
        <v>11500</v>
      </c>
      <c r="L10" s="25" t="s">
        <v>73</v>
      </c>
      <c r="M10" s="25" t="s">
        <v>12610</v>
      </c>
      <c r="N10" s="25" t="s">
        <v>12611</v>
      </c>
      <c r="O10" t="s">
        <v>12612</v>
      </c>
      <c r="P10" s="55" t="s">
        <v>11500</v>
      </c>
      <c r="Q10" s="53">
        <v>4</v>
      </c>
      <c r="R10" s="53">
        <v>16</v>
      </c>
      <c r="S10" s="53">
        <v>287.31</v>
      </c>
      <c r="T10" s="26"/>
      <c r="U10" s="30"/>
      <c r="V10" s="26"/>
      <c r="W10" s="26"/>
      <c r="X10" s="26"/>
      <c r="Y10" s="26"/>
      <c r="Z10" s="26"/>
      <c r="AA10" s="26"/>
      <c r="AB10" s="31" t="s">
        <v>7</v>
      </c>
      <c r="AC10" s="30" t="s">
        <v>172</v>
      </c>
      <c r="AD10" s="25" t="s">
        <v>173</v>
      </c>
      <c r="AE10" s="25" t="s">
        <v>174</v>
      </c>
      <c r="AF10" s="26" t="s">
        <v>175</v>
      </c>
      <c r="AG10" s="32">
        <v>1</v>
      </c>
      <c r="AH10" s="32">
        <v>1</v>
      </c>
      <c r="AI10" s="32"/>
      <c r="AJ10" s="32"/>
      <c r="AK10" s="30"/>
      <c r="AL10" s="32"/>
      <c r="AM10" s="30"/>
      <c r="AN10" s="32"/>
      <c r="AO10" s="32"/>
      <c r="AP10" s="32"/>
      <c r="AQ10" s="32"/>
      <c r="AR10" s="32"/>
      <c r="AS10" s="32"/>
      <c r="AT10" s="32"/>
      <c r="AU10" s="30"/>
      <c r="AV10" s="30"/>
      <c r="AW10" s="30"/>
      <c r="AX10" s="30"/>
      <c r="AY10" s="30"/>
    </row>
    <row r="11" spans="1:51">
      <c r="A11" s="25" t="s">
        <v>12613</v>
      </c>
      <c r="B11" s="25" t="s">
        <v>4398</v>
      </c>
      <c r="C11" s="25" t="s">
        <v>68</v>
      </c>
      <c r="D11" s="25" t="s">
        <v>12614</v>
      </c>
      <c r="E11" s="258" t="s">
        <v>12615</v>
      </c>
      <c r="F11" s="25" t="s">
        <v>12616</v>
      </c>
      <c r="G11" s="25" t="s">
        <v>5516</v>
      </c>
      <c r="H11" s="25" t="s">
        <v>11489</v>
      </c>
      <c r="I11" s="25" t="s">
        <v>4402</v>
      </c>
      <c r="J11" s="25" t="s">
        <v>11490</v>
      </c>
      <c r="K11" s="25">
        <v>8.2100000000000009</v>
      </c>
      <c r="L11" s="25" t="s">
        <v>73</v>
      </c>
      <c r="M11" s="25" t="s">
        <v>12617</v>
      </c>
      <c r="N11" s="25" t="s">
        <v>12618</v>
      </c>
      <c r="O11" t="s">
        <v>12619</v>
      </c>
      <c r="P11" s="28"/>
      <c r="Q11" s="53">
        <v>4</v>
      </c>
      <c r="R11" s="53">
        <v>16</v>
      </c>
      <c r="S11" s="53">
        <v>266.11</v>
      </c>
      <c r="T11" s="26" t="s">
        <v>138</v>
      </c>
      <c r="U11" s="30" t="s">
        <v>78</v>
      </c>
      <c r="V11" s="26" t="s">
        <v>139</v>
      </c>
      <c r="W11" s="26" t="s">
        <v>263</v>
      </c>
      <c r="X11" s="26" t="s">
        <v>131</v>
      </c>
      <c r="Y11" s="26" t="s">
        <v>141</v>
      </c>
      <c r="Z11" s="26" t="s">
        <v>141</v>
      </c>
      <c r="AA11" s="26"/>
      <c r="AB11" s="31" t="s">
        <v>7</v>
      </c>
      <c r="AC11" s="30" t="s">
        <v>172</v>
      </c>
      <c r="AD11" s="25" t="s">
        <v>173</v>
      </c>
      <c r="AE11" s="25" t="s">
        <v>174</v>
      </c>
      <c r="AF11" s="26" t="s">
        <v>175</v>
      </c>
      <c r="AG11" s="32">
        <v>1</v>
      </c>
      <c r="AH11" s="32">
        <v>1</v>
      </c>
      <c r="AI11" s="32"/>
      <c r="AJ11" s="32"/>
      <c r="AK11" s="30"/>
      <c r="AL11" s="32">
        <f t="shared" ref="AL11:AL16" si="0">IF(COUNTIF(AX:AX,"*"&amp;M11&amp;"*")&gt;0,1,0)</f>
        <v>1</v>
      </c>
      <c r="AM11" s="30"/>
      <c r="AN11" s="32"/>
      <c r="AO11" s="32"/>
      <c r="AP11" s="32">
        <v>1</v>
      </c>
      <c r="AQ11" s="32">
        <v>1</v>
      </c>
      <c r="AR11" s="32"/>
      <c r="AS11" s="32"/>
      <c r="AT11" s="32">
        <v>1</v>
      </c>
      <c r="AU11" s="30"/>
      <c r="AV11" s="30"/>
      <c r="AW11" s="30"/>
      <c r="AX11" s="30" t="s">
        <v>12620</v>
      </c>
      <c r="AY11" s="30"/>
    </row>
    <row r="12" spans="1:51">
      <c r="A12" s="25" t="s">
        <v>12621</v>
      </c>
      <c r="B12" s="25" t="s">
        <v>4398</v>
      </c>
      <c r="C12" s="25" t="s">
        <v>68</v>
      </c>
      <c r="D12" s="25" t="s">
        <v>12622</v>
      </c>
      <c r="E12" s="258" t="s">
        <v>12623</v>
      </c>
      <c r="F12" s="25" t="s">
        <v>12624</v>
      </c>
      <c r="G12" s="25" t="s">
        <v>5516</v>
      </c>
      <c r="H12" s="25" t="s">
        <v>11489</v>
      </c>
      <c r="I12" s="25" t="s">
        <v>4402</v>
      </c>
      <c r="J12" s="25" t="s">
        <v>11490</v>
      </c>
      <c r="K12" s="25">
        <v>8.2100000000000009</v>
      </c>
      <c r="L12" s="25" t="s">
        <v>73</v>
      </c>
      <c r="M12" s="25" t="s">
        <v>12625</v>
      </c>
      <c r="N12" s="25" t="s">
        <v>12626</v>
      </c>
      <c r="O12" t="s">
        <v>12627</v>
      </c>
      <c r="P12" s="28"/>
      <c r="Q12" s="53">
        <v>4</v>
      </c>
      <c r="R12" s="53">
        <v>16</v>
      </c>
      <c r="S12" s="53">
        <v>266.3</v>
      </c>
      <c r="T12" s="26" t="s">
        <v>138</v>
      </c>
      <c r="U12" s="30" t="s">
        <v>78</v>
      </c>
      <c r="V12" s="26" t="s">
        <v>139</v>
      </c>
      <c r="W12" s="26" t="s">
        <v>263</v>
      </c>
      <c r="X12" s="26" t="s">
        <v>131</v>
      </c>
      <c r="Y12" s="26" t="s">
        <v>141</v>
      </c>
      <c r="Z12" s="26" t="s">
        <v>141</v>
      </c>
      <c r="AA12" s="26"/>
      <c r="AB12" s="31" t="s">
        <v>7</v>
      </c>
      <c r="AC12" s="30" t="s">
        <v>172</v>
      </c>
      <c r="AD12" s="25" t="s">
        <v>173</v>
      </c>
      <c r="AE12" s="25" t="s">
        <v>174</v>
      </c>
      <c r="AF12" s="26" t="s">
        <v>175</v>
      </c>
      <c r="AG12" s="32">
        <v>1</v>
      </c>
      <c r="AH12" s="32">
        <v>1</v>
      </c>
      <c r="AI12" s="32"/>
      <c r="AJ12" s="32"/>
      <c r="AK12" s="30"/>
      <c r="AL12" s="32">
        <f t="shared" si="0"/>
        <v>1</v>
      </c>
      <c r="AM12" s="30"/>
      <c r="AN12" s="32"/>
      <c r="AO12" s="32"/>
      <c r="AP12" s="32">
        <v>1</v>
      </c>
      <c r="AQ12" s="32">
        <v>1</v>
      </c>
      <c r="AR12" s="32"/>
      <c r="AS12" s="32"/>
      <c r="AT12" s="32">
        <v>1</v>
      </c>
      <c r="AU12" s="30"/>
      <c r="AV12" s="30"/>
      <c r="AW12" s="30"/>
      <c r="AX12" s="30" t="s">
        <v>12628</v>
      </c>
      <c r="AY12" s="30"/>
    </row>
    <row r="13" spans="1:51">
      <c r="A13" s="25" t="s">
        <v>12629</v>
      </c>
      <c r="B13" s="25" t="s">
        <v>4398</v>
      </c>
      <c r="C13" s="25" t="s">
        <v>68</v>
      </c>
      <c r="D13" s="25" t="s">
        <v>12630</v>
      </c>
      <c r="E13" s="258" t="s">
        <v>12631</v>
      </c>
      <c r="F13" s="25" t="s">
        <v>12632</v>
      </c>
      <c r="G13" s="25" t="s">
        <v>5516</v>
      </c>
      <c r="H13" s="25" t="s">
        <v>11489</v>
      </c>
      <c r="I13" s="25" t="s">
        <v>4402</v>
      </c>
      <c r="J13" s="25" t="s">
        <v>11490</v>
      </c>
      <c r="K13" s="25">
        <v>8.2100000000000009</v>
      </c>
      <c r="L13" s="25" t="s">
        <v>73</v>
      </c>
      <c r="M13" s="25" t="s">
        <v>12633</v>
      </c>
      <c r="N13" s="25" t="s">
        <v>12634</v>
      </c>
      <c r="O13" t="s">
        <v>12635</v>
      </c>
      <c r="P13" s="28"/>
      <c r="Q13" s="53">
        <v>4</v>
      </c>
      <c r="R13" s="53">
        <v>16</v>
      </c>
      <c r="S13" s="53">
        <v>266.56</v>
      </c>
      <c r="T13" s="26" t="s">
        <v>138</v>
      </c>
      <c r="U13" s="30" t="s">
        <v>78</v>
      </c>
      <c r="V13" s="26" t="s">
        <v>139</v>
      </c>
      <c r="W13" s="26" t="s">
        <v>263</v>
      </c>
      <c r="X13" s="26" t="s">
        <v>131</v>
      </c>
      <c r="Y13" s="26" t="s">
        <v>141</v>
      </c>
      <c r="Z13" s="26" t="s">
        <v>141</v>
      </c>
      <c r="AA13" s="26"/>
      <c r="AB13" s="31" t="s">
        <v>7</v>
      </c>
      <c r="AC13" s="30" t="s">
        <v>172</v>
      </c>
      <c r="AD13" s="25" t="s">
        <v>173</v>
      </c>
      <c r="AE13" s="25" t="s">
        <v>174</v>
      </c>
      <c r="AF13" s="26" t="s">
        <v>175</v>
      </c>
      <c r="AG13" s="32">
        <v>1</v>
      </c>
      <c r="AH13" s="32">
        <v>1</v>
      </c>
      <c r="AI13" s="32"/>
      <c r="AJ13" s="32"/>
      <c r="AK13" s="30"/>
      <c r="AL13" s="32">
        <f t="shared" si="0"/>
        <v>1</v>
      </c>
      <c r="AM13" s="30"/>
      <c r="AN13" s="32"/>
      <c r="AO13" s="32"/>
      <c r="AP13" s="32">
        <v>1</v>
      </c>
      <c r="AQ13" s="32">
        <v>1</v>
      </c>
      <c r="AR13" s="32"/>
      <c r="AS13" s="32"/>
      <c r="AT13" s="32">
        <v>1</v>
      </c>
      <c r="AU13" s="30"/>
      <c r="AV13" s="30"/>
      <c r="AW13" s="30"/>
      <c r="AX13" s="30" t="s">
        <v>12636</v>
      </c>
      <c r="AY13" s="30"/>
    </row>
    <row r="14" spans="1:51">
      <c r="A14" s="25" t="s">
        <v>12637</v>
      </c>
      <c r="B14" s="25" t="s">
        <v>4398</v>
      </c>
      <c r="C14" s="25" t="s">
        <v>68</v>
      </c>
      <c r="D14" s="25" t="s">
        <v>12638</v>
      </c>
      <c r="E14" s="258" t="s">
        <v>12639</v>
      </c>
      <c r="F14" s="25" t="s">
        <v>12640</v>
      </c>
      <c r="G14" s="25" t="s">
        <v>5516</v>
      </c>
      <c r="H14" s="25" t="s">
        <v>11489</v>
      </c>
      <c r="I14" s="25" t="s">
        <v>4402</v>
      </c>
      <c r="J14" s="25" t="s">
        <v>11490</v>
      </c>
      <c r="K14" s="25">
        <v>8.2100000000000009</v>
      </c>
      <c r="L14" s="25" t="s">
        <v>73</v>
      </c>
      <c r="M14" s="25" t="s">
        <v>12641</v>
      </c>
      <c r="N14" s="25" t="s">
        <v>12642</v>
      </c>
      <c r="O14" t="s">
        <v>12643</v>
      </c>
      <c r="P14" s="28"/>
      <c r="Q14" s="53">
        <v>4</v>
      </c>
      <c r="R14" s="53">
        <v>16</v>
      </c>
      <c r="S14" s="53">
        <v>266.29000000000002</v>
      </c>
      <c r="T14" s="26" t="s">
        <v>138</v>
      </c>
      <c r="U14" s="30" t="s">
        <v>78</v>
      </c>
      <c r="V14" s="26" t="s">
        <v>139</v>
      </c>
      <c r="W14" s="26" t="s">
        <v>263</v>
      </c>
      <c r="X14" s="26" t="s">
        <v>131</v>
      </c>
      <c r="Y14" s="26" t="s">
        <v>141</v>
      </c>
      <c r="Z14" s="26" t="s">
        <v>141</v>
      </c>
      <c r="AA14" s="26"/>
      <c r="AB14" s="31" t="s">
        <v>7</v>
      </c>
      <c r="AC14" s="30" t="s">
        <v>172</v>
      </c>
      <c r="AD14" s="25" t="s">
        <v>173</v>
      </c>
      <c r="AE14" s="25" t="s">
        <v>174</v>
      </c>
      <c r="AF14" s="26" t="s">
        <v>175</v>
      </c>
      <c r="AG14" s="32">
        <v>1</v>
      </c>
      <c r="AH14" s="32">
        <v>1</v>
      </c>
      <c r="AI14" s="32"/>
      <c r="AJ14" s="32"/>
      <c r="AK14" s="30"/>
      <c r="AL14" s="32">
        <f t="shared" si="0"/>
        <v>1</v>
      </c>
      <c r="AM14" s="30"/>
      <c r="AN14" s="32"/>
      <c r="AO14" s="32"/>
      <c r="AP14" s="32">
        <v>1</v>
      </c>
      <c r="AQ14" s="32">
        <v>1</v>
      </c>
      <c r="AR14" s="32"/>
      <c r="AS14" s="34"/>
      <c r="AT14" s="32">
        <v>1</v>
      </c>
      <c r="AU14" s="30"/>
      <c r="AV14" s="30"/>
      <c r="AW14" s="30"/>
      <c r="AX14" s="30" t="s">
        <v>12644</v>
      </c>
      <c r="AY14" s="30"/>
    </row>
    <row r="15" spans="1:51">
      <c r="A15" s="25" t="s">
        <v>12645</v>
      </c>
      <c r="B15" s="25" t="s">
        <v>4398</v>
      </c>
      <c r="C15" s="25" t="s">
        <v>68</v>
      </c>
      <c r="D15" s="25" t="s">
        <v>12646</v>
      </c>
      <c r="E15" s="258" t="s">
        <v>12647</v>
      </c>
      <c r="F15" s="25" t="s">
        <v>12648</v>
      </c>
      <c r="G15" s="25" t="s">
        <v>5516</v>
      </c>
      <c r="H15" s="25" t="s">
        <v>11489</v>
      </c>
      <c r="I15" s="25" t="s">
        <v>4402</v>
      </c>
      <c r="J15" s="25" t="s">
        <v>11490</v>
      </c>
      <c r="K15" s="25">
        <v>8.2100000000000009</v>
      </c>
      <c r="L15" s="25" t="s">
        <v>73</v>
      </c>
      <c r="M15" s="25" t="s">
        <v>12649</v>
      </c>
      <c r="N15" s="25" t="s">
        <v>12650</v>
      </c>
      <c r="O15" t="s">
        <v>12651</v>
      </c>
      <c r="P15" s="28"/>
      <c r="Q15" s="53">
        <v>4</v>
      </c>
      <c r="R15" s="53">
        <v>16</v>
      </c>
      <c r="S15" s="53">
        <v>266.2</v>
      </c>
      <c r="T15" s="26" t="s">
        <v>138</v>
      </c>
      <c r="U15" s="30" t="s">
        <v>78</v>
      </c>
      <c r="V15" s="26" t="s">
        <v>139</v>
      </c>
      <c r="W15" s="26" t="s">
        <v>263</v>
      </c>
      <c r="X15" s="26" t="s">
        <v>131</v>
      </c>
      <c r="Y15" s="26" t="s">
        <v>141</v>
      </c>
      <c r="Z15" s="26" t="s">
        <v>141</v>
      </c>
      <c r="AA15" s="26"/>
      <c r="AB15" s="31" t="s">
        <v>7</v>
      </c>
      <c r="AC15" s="30" t="s">
        <v>172</v>
      </c>
      <c r="AD15" s="25" t="s">
        <v>173</v>
      </c>
      <c r="AE15" s="25" t="s">
        <v>174</v>
      </c>
      <c r="AF15" s="26" t="s">
        <v>175</v>
      </c>
      <c r="AG15" s="32">
        <v>1</v>
      </c>
      <c r="AH15" s="32">
        <v>1</v>
      </c>
      <c r="AI15" s="32"/>
      <c r="AJ15" s="32"/>
      <c r="AK15" s="30"/>
      <c r="AL15" s="32">
        <f t="shared" si="0"/>
        <v>1</v>
      </c>
      <c r="AM15" s="30"/>
      <c r="AN15" s="32"/>
      <c r="AO15" s="32"/>
      <c r="AP15" s="32">
        <v>1</v>
      </c>
      <c r="AQ15" s="32">
        <v>1</v>
      </c>
      <c r="AR15" s="32"/>
      <c r="AS15" s="32"/>
      <c r="AT15" s="32">
        <v>1</v>
      </c>
      <c r="AU15" s="30"/>
      <c r="AV15" s="30"/>
      <c r="AW15" s="30"/>
      <c r="AX15" s="30" t="s">
        <v>12652</v>
      </c>
      <c r="AY15" s="30"/>
    </row>
    <row r="16" spans="1:51">
      <c r="A16" s="25" t="s">
        <v>12653</v>
      </c>
      <c r="B16" s="25" t="s">
        <v>4398</v>
      </c>
      <c r="C16" s="25" t="s">
        <v>68</v>
      </c>
      <c r="D16" s="25" t="s">
        <v>12654</v>
      </c>
      <c r="E16" s="258" t="s">
        <v>12655</v>
      </c>
      <c r="F16" s="25" t="s">
        <v>12656</v>
      </c>
      <c r="G16" s="25" t="s">
        <v>5516</v>
      </c>
      <c r="H16" s="25" t="s">
        <v>11489</v>
      </c>
      <c r="I16" s="25" t="s">
        <v>4402</v>
      </c>
      <c r="J16" s="25" t="s">
        <v>11490</v>
      </c>
      <c r="K16" s="25">
        <v>8.2100000000000009</v>
      </c>
      <c r="L16" s="25" t="s">
        <v>73</v>
      </c>
      <c r="M16" s="25" t="s">
        <v>12657</v>
      </c>
      <c r="N16" s="25" t="s">
        <v>12658</v>
      </c>
      <c r="O16" t="s">
        <v>12659</v>
      </c>
      <c r="P16" s="28"/>
      <c r="Q16" s="53">
        <v>4</v>
      </c>
      <c r="R16" s="53">
        <v>16</v>
      </c>
      <c r="S16" s="53">
        <v>416.32</v>
      </c>
      <c r="T16" s="26" t="s">
        <v>138</v>
      </c>
      <c r="U16" s="30" t="s">
        <v>78</v>
      </c>
      <c r="V16" s="26" t="s">
        <v>139</v>
      </c>
      <c r="W16" s="26" t="s">
        <v>263</v>
      </c>
      <c r="X16" s="26" t="s">
        <v>131</v>
      </c>
      <c r="Y16" s="26" t="s">
        <v>141</v>
      </c>
      <c r="Z16" s="26" t="s">
        <v>141</v>
      </c>
      <c r="AA16" s="26"/>
      <c r="AB16" s="31" t="s">
        <v>7</v>
      </c>
      <c r="AC16" s="30" t="s">
        <v>172</v>
      </c>
      <c r="AD16" s="25" t="s">
        <v>173</v>
      </c>
      <c r="AE16" s="25" t="s">
        <v>174</v>
      </c>
      <c r="AF16" s="26" t="s">
        <v>175</v>
      </c>
      <c r="AG16" s="32">
        <v>1</v>
      </c>
      <c r="AH16" s="32">
        <v>1</v>
      </c>
      <c r="AI16" s="32"/>
      <c r="AJ16" s="32"/>
      <c r="AK16" s="30"/>
      <c r="AL16" s="32">
        <f t="shared" si="0"/>
        <v>1</v>
      </c>
      <c r="AM16" s="30"/>
      <c r="AN16" s="32"/>
      <c r="AO16" s="32"/>
      <c r="AP16" s="32">
        <v>1</v>
      </c>
      <c r="AQ16" s="32">
        <v>1</v>
      </c>
      <c r="AR16" s="32"/>
      <c r="AS16" s="32"/>
      <c r="AT16" s="32">
        <v>1</v>
      </c>
      <c r="AU16" s="30"/>
      <c r="AV16" s="30"/>
      <c r="AW16" s="30"/>
      <c r="AX16" s="30" t="s">
        <v>12660</v>
      </c>
      <c r="AY16" s="30"/>
    </row>
    <row r="17" spans="1:51">
      <c r="A17" s="25" t="s">
        <v>12661</v>
      </c>
      <c r="B17" s="25" t="s">
        <v>4398</v>
      </c>
      <c r="C17" s="25" t="s">
        <v>68</v>
      </c>
      <c r="D17" s="25" t="s">
        <v>12662</v>
      </c>
      <c r="E17" s="258" t="s">
        <v>12663</v>
      </c>
      <c r="F17" s="25" t="s">
        <v>12664</v>
      </c>
      <c r="G17" s="25" t="s">
        <v>5516</v>
      </c>
      <c r="H17" s="25" t="s">
        <v>11489</v>
      </c>
      <c r="I17" s="25" t="s">
        <v>4402</v>
      </c>
      <c r="J17" s="25" t="s">
        <v>11490</v>
      </c>
      <c r="K17" s="54" t="s">
        <v>11500</v>
      </c>
      <c r="L17" s="25" t="s">
        <v>73</v>
      </c>
      <c r="M17" s="25" t="s">
        <v>12665</v>
      </c>
      <c r="N17" s="25" t="s">
        <v>12666</v>
      </c>
      <c r="O17" t="s">
        <v>12667</v>
      </c>
      <c r="P17" s="55" t="s">
        <v>11500</v>
      </c>
      <c r="Q17" s="53">
        <v>4</v>
      </c>
      <c r="R17" s="53">
        <v>16</v>
      </c>
      <c r="S17" s="53">
        <v>266.45</v>
      </c>
      <c r="T17" s="26"/>
      <c r="U17" s="30"/>
      <c r="V17" s="26"/>
      <c r="W17" s="26"/>
      <c r="X17" s="26"/>
      <c r="Y17" s="26"/>
      <c r="Z17" s="26"/>
      <c r="AA17" s="26"/>
      <c r="AB17" s="31" t="s">
        <v>7</v>
      </c>
      <c r="AC17" s="30" t="s">
        <v>172</v>
      </c>
      <c r="AD17" s="25" t="s">
        <v>173</v>
      </c>
      <c r="AE17" s="25" t="s">
        <v>174</v>
      </c>
      <c r="AF17" s="26" t="s">
        <v>175</v>
      </c>
      <c r="AG17" s="32">
        <v>1</v>
      </c>
      <c r="AH17" s="32">
        <v>1</v>
      </c>
      <c r="AI17" s="32"/>
      <c r="AJ17" s="32"/>
      <c r="AK17" s="30"/>
      <c r="AL17" s="32"/>
      <c r="AM17" s="30"/>
      <c r="AN17" s="32"/>
      <c r="AO17" s="32"/>
      <c r="AP17" s="32"/>
      <c r="AQ17" s="32"/>
      <c r="AR17" s="32"/>
      <c r="AS17" s="32"/>
      <c r="AT17" s="32"/>
      <c r="AU17" s="30"/>
      <c r="AV17" s="30"/>
      <c r="AW17" s="30"/>
      <c r="AX17" s="30"/>
      <c r="AY17" s="30"/>
    </row>
    <row r="18" spans="1:51">
      <c r="A18" s="25" t="s">
        <v>12668</v>
      </c>
      <c r="B18" s="25" t="s">
        <v>4398</v>
      </c>
      <c r="C18" s="25" t="s">
        <v>68</v>
      </c>
      <c r="D18" s="25" t="s">
        <v>12669</v>
      </c>
      <c r="E18" s="258" t="s">
        <v>12670</v>
      </c>
      <c r="F18" s="25" t="s">
        <v>1568</v>
      </c>
      <c r="G18" s="25" t="s">
        <v>5516</v>
      </c>
      <c r="H18" s="25" t="s">
        <v>11489</v>
      </c>
      <c r="I18" s="25" t="s">
        <v>4402</v>
      </c>
      <c r="J18" s="25" t="s">
        <v>11490</v>
      </c>
      <c r="K18" s="54" t="s">
        <v>11500</v>
      </c>
      <c r="L18" s="25" t="s">
        <v>73</v>
      </c>
      <c r="M18" s="25" t="s">
        <v>12671</v>
      </c>
      <c r="N18" s="25" t="s">
        <v>12672</v>
      </c>
      <c r="O18" t="s">
        <v>12673</v>
      </c>
      <c r="P18" s="55" t="s">
        <v>11500</v>
      </c>
      <c r="Q18" s="53">
        <v>8</v>
      </c>
      <c r="R18" s="53">
        <v>32</v>
      </c>
      <c r="S18" s="53">
        <v>322.76</v>
      </c>
      <c r="T18" s="26"/>
      <c r="U18" s="30"/>
      <c r="V18" s="26"/>
      <c r="W18" s="26"/>
      <c r="X18" s="26"/>
      <c r="Y18" s="26"/>
      <c r="Z18" s="26"/>
      <c r="AA18" s="26"/>
      <c r="AB18" s="31" t="s">
        <v>7</v>
      </c>
      <c r="AC18" s="30" t="s">
        <v>172</v>
      </c>
      <c r="AD18" s="25" t="s">
        <v>173</v>
      </c>
      <c r="AE18" s="25" t="s">
        <v>174</v>
      </c>
      <c r="AF18" s="26" t="s">
        <v>175</v>
      </c>
      <c r="AG18" s="32">
        <v>1</v>
      </c>
      <c r="AH18" s="32">
        <v>1</v>
      </c>
      <c r="AI18" s="32"/>
      <c r="AJ18" s="32"/>
      <c r="AK18" s="30"/>
      <c r="AL18" s="32"/>
      <c r="AM18" s="30"/>
      <c r="AN18" s="32"/>
      <c r="AO18" s="32"/>
      <c r="AP18" s="32"/>
      <c r="AQ18" s="32"/>
      <c r="AR18" s="32"/>
      <c r="AS18" s="32"/>
      <c r="AT18" s="32"/>
      <c r="AU18" s="30"/>
      <c r="AV18" s="30"/>
      <c r="AW18" s="30"/>
      <c r="AX18" s="30"/>
      <c r="AY18" s="30"/>
    </row>
    <row r="19" spans="1:51">
      <c r="A19" s="25" t="s">
        <v>12674</v>
      </c>
      <c r="B19" s="25" t="s">
        <v>4398</v>
      </c>
      <c r="C19" s="25" t="s">
        <v>68</v>
      </c>
      <c r="D19" s="25" t="s">
        <v>12675</v>
      </c>
      <c r="E19" s="258" t="s">
        <v>12676</v>
      </c>
      <c r="F19" s="25" t="s">
        <v>12677</v>
      </c>
      <c r="G19" s="25" t="s">
        <v>5516</v>
      </c>
      <c r="H19" s="25" t="s">
        <v>11489</v>
      </c>
      <c r="I19" s="25" t="s">
        <v>4402</v>
      </c>
      <c r="J19" s="25" t="s">
        <v>11490</v>
      </c>
      <c r="K19" s="25">
        <v>8.2100000000000009</v>
      </c>
      <c r="L19" s="25" t="s">
        <v>73</v>
      </c>
      <c r="M19" s="25" t="s">
        <v>12678</v>
      </c>
      <c r="N19" s="25" t="s">
        <v>12679</v>
      </c>
      <c r="O19" t="s">
        <v>12680</v>
      </c>
      <c r="P19" s="28"/>
      <c r="Q19" s="53">
        <v>4</v>
      </c>
      <c r="R19" s="53">
        <v>16</v>
      </c>
      <c r="S19" s="53">
        <v>266.11</v>
      </c>
      <c r="T19" s="26" t="s">
        <v>138</v>
      </c>
      <c r="U19" s="30" t="s">
        <v>78</v>
      </c>
      <c r="V19" s="26" t="s">
        <v>139</v>
      </c>
      <c r="W19" s="26" t="s">
        <v>263</v>
      </c>
      <c r="X19" s="26" t="s">
        <v>131</v>
      </c>
      <c r="Y19" s="26" t="s">
        <v>141</v>
      </c>
      <c r="Z19" s="26" t="s">
        <v>141</v>
      </c>
      <c r="AA19" s="26"/>
      <c r="AB19" s="31" t="s">
        <v>7</v>
      </c>
      <c r="AC19" s="30" t="s">
        <v>172</v>
      </c>
      <c r="AD19" s="25" t="s">
        <v>173</v>
      </c>
      <c r="AE19" s="25" t="s">
        <v>174</v>
      </c>
      <c r="AF19" s="26" t="s">
        <v>175</v>
      </c>
      <c r="AG19" s="32">
        <v>1</v>
      </c>
      <c r="AH19" s="32">
        <v>1</v>
      </c>
      <c r="AI19" s="32"/>
      <c r="AJ19" s="32"/>
      <c r="AK19" s="30"/>
      <c r="AL19" s="32">
        <f>IF(COUNTIF(AX:AX,"*"&amp;M19&amp;"*")&gt;0,1,0)</f>
        <v>1</v>
      </c>
      <c r="AM19" s="30"/>
      <c r="AN19" s="32"/>
      <c r="AO19" s="32"/>
      <c r="AP19" s="32">
        <v>1</v>
      </c>
      <c r="AQ19" s="32">
        <v>1</v>
      </c>
      <c r="AR19" s="32"/>
      <c r="AS19" s="32"/>
      <c r="AT19" s="32">
        <v>1</v>
      </c>
      <c r="AU19" s="30"/>
      <c r="AV19" s="30"/>
      <c r="AW19" s="30"/>
      <c r="AX19" s="30" t="s">
        <v>12681</v>
      </c>
      <c r="AY19" s="30"/>
    </row>
    <row r="20" spans="1:51">
      <c r="A20" s="25" t="s">
        <v>12682</v>
      </c>
      <c r="B20" s="25" t="s">
        <v>4398</v>
      </c>
      <c r="C20" s="25" t="s">
        <v>68</v>
      </c>
      <c r="D20" s="25" t="s">
        <v>12683</v>
      </c>
      <c r="E20" s="258" t="s">
        <v>12684</v>
      </c>
      <c r="F20" s="25" t="s">
        <v>12685</v>
      </c>
      <c r="G20" s="25" t="s">
        <v>5516</v>
      </c>
      <c r="H20" s="25" t="s">
        <v>11489</v>
      </c>
      <c r="I20" s="25" t="s">
        <v>4402</v>
      </c>
      <c r="J20" s="25" t="s">
        <v>11490</v>
      </c>
      <c r="K20" s="25">
        <v>8.2100000000000009</v>
      </c>
      <c r="L20" s="25" t="s">
        <v>73</v>
      </c>
      <c r="M20" s="25" t="s">
        <v>12686</v>
      </c>
      <c r="N20" s="25" t="s">
        <v>12687</v>
      </c>
      <c r="O20" t="s">
        <v>12688</v>
      </c>
      <c r="P20" s="28"/>
      <c r="Q20" s="53">
        <v>4</v>
      </c>
      <c r="R20" s="53">
        <v>16</v>
      </c>
      <c r="S20" s="53">
        <v>287.35000000000002</v>
      </c>
      <c r="T20" s="26" t="s">
        <v>138</v>
      </c>
      <c r="U20" s="30" t="s">
        <v>78</v>
      </c>
      <c r="V20" s="26" t="s">
        <v>139</v>
      </c>
      <c r="W20" s="26" t="s">
        <v>439</v>
      </c>
      <c r="X20" s="26" t="s">
        <v>131</v>
      </c>
      <c r="Y20" s="26" t="s">
        <v>141</v>
      </c>
      <c r="Z20" s="26" t="s">
        <v>141</v>
      </c>
      <c r="AA20" s="26"/>
      <c r="AB20" s="31" t="s">
        <v>9</v>
      </c>
      <c r="AC20" s="30" t="s">
        <v>172</v>
      </c>
      <c r="AD20" s="25" t="s">
        <v>173</v>
      </c>
      <c r="AE20" s="25" t="s">
        <v>174</v>
      </c>
      <c r="AF20" s="26" t="s">
        <v>175</v>
      </c>
      <c r="AG20" s="32">
        <v>1</v>
      </c>
      <c r="AH20" s="32">
        <v>1</v>
      </c>
      <c r="AI20" s="32"/>
      <c r="AJ20" s="32"/>
      <c r="AK20" s="30"/>
      <c r="AL20" s="32">
        <f>IF(COUNTIF(AX:AX,"*"&amp;M20&amp;"*")&gt;0,1,0)</f>
        <v>1</v>
      </c>
      <c r="AM20" s="30"/>
      <c r="AN20" s="32"/>
      <c r="AO20" s="32"/>
      <c r="AP20" s="32">
        <v>1</v>
      </c>
      <c r="AQ20" s="32">
        <v>1</v>
      </c>
      <c r="AR20" s="32"/>
      <c r="AS20" s="32"/>
      <c r="AT20" s="32">
        <v>1</v>
      </c>
      <c r="AU20" s="30"/>
      <c r="AV20" s="30"/>
      <c r="AW20" s="30"/>
      <c r="AX20" s="30" t="s">
        <v>12689</v>
      </c>
      <c r="AY20" s="30"/>
    </row>
    <row r="21" spans="1:51">
      <c r="A21" s="25" t="s">
        <v>12690</v>
      </c>
      <c r="B21" s="25" t="s">
        <v>4398</v>
      </c>
      <c r="C21" s="25" t="s">
        <v>68</v>
      </c>
      <c r="D21" s="25" t="s">
        <v>12691</v>
      </c>
      <c r="E21" s="258" t="s">
        <v>12692</v>
      </c>
      <c r="F21" s="25" t="s">
        <v>12693</v>
      </c>
      <c r="G21" s="25" t="s">
        <v>5516</v>
      </c>
      <c r="H21" s="25" t="s">
        <v>11489</v>
      </c>
      <c r="I21" s="25" t="s">
        <v>4402</v>
      </c>
      <c r="J21" s="25" t="s">
        <v>11490</v>
      </c>
      <c r="K21" s="25">
        <v>8.2100000000000009</v>
      </c>
      <c r="L21" s="25" t="s">
        <v>73</v>
      </c>
      <c r="M21" s="25" t="s">
        <v>12694</v>
      </c>
      <c r="N21" s="25" t="s">
        <v>12695</v>
      </c>
      <c r="O21" t="s">
        <v>12696</v>
      </c>
      <c r="P21" s="28"/>
      <c r="Q21" s="53">
        <v>4</v>
      </c>
      <c r="R21" s="53">
        <v>16</v>
      </c>
      <c r="S21" s="53">
        <v>286.11</v>
      </c>
      <c r="T21" s="26" t="s">
        <v>138</v>
      </c>
      <c r="U21" s="30" t="s">
        <v>78</v>
      </c>
      <c r="V21" s="26" t="s">
        <v>139</v>
      </c>
      <c r="W21" s="26" t="s">
        <v>439</v>
      </c>
      <c r="X21" s="26" t="s">
        <v>131</v>
      </c>
      <c r="Y21" s="26" t="s">
        <v>141</v>
      </c>
      <c r="Z21" s="26" t="s">
        <v>141</v>
      </c>
      <c r="AA21" s="26"/>
      <c r="AB21" s="31" t="s">
        <v>9</v>
      </c>
      <c r="AC21" s="30" t="s">
        <v>172</v>
      </c>
      <c r="AD21" s="25" t="s">
        <v>173</v>
      </c>
      <c r="AE21" s="25" t="s">
        <v>174</v>
      </c>
      <c r="AF21" s="26" t="s">
        <v>175</v>
      </c>
      <c r="AG21" s="32">
        <v>1</v>
      </c>
      <c r="AH21" s="32">
        <v>1</v>
      </c>
      <c r="AI21" s="32"/>
      <c r="AJ21" s="32"/>
      <c r="AK21" s="30"/>
      <c r="AL21" s="32">
        <f>IF(COUNTIF(AX:AX,"*"&amp;M21&amp;"*")&gt;0,1,0)</f>
        <v>1</v>
      </c>
      <c r="AM21" s="30"/>
      <c r="AN21" s="32"/>
      <c r="AO21" s="32"/>
      <c r="AP21" s="32">
        <v>1</v>
      </c>
      <c r="AQ21" s="32">
        <v>1</v>
      </c>
      <c r="AR21" s="32"/>
      <c r="AS21" s="32"/>
      <c r="AT21" s="32">
        <v>1</v>
      </c>
      <c r="AU21" s="30"/>
      <c r="AV21" s="30"/>
      <c r="AW21" s="30"/>
      <c r="AX21" s="30" t="s">
        <v>12697</v>
      </c>
      <c r="AY21" s="30"/>
    </row>
    <row r="22" spans="1:51">
      <c r="A22" s="25" t="s">
        <v>12698</v>
      </c>
      <c r="B22" s="25" t="s">
        <v>4398</v>
      </c>
      <c r="C22" s="25" t="s">
        <v>68</v>
      </c>
      <c r="D22" s="25" t="s">
        <v>12699</v>
      </c>
      <c r="E22" s="258" t="s">
        <v>12700</v>
      </c>
      <c r="F22" s="25" t="s">
        <v>12701</v>
      </c>
      <c r="G22" s="25" t="s">
        <v>5516</v>
      </c>
      <c r="H22" s="25" t="s">
        <v>11489</v>
      </c>
      <c r="I22" s="25" t="s">
        <v>4402</v>
      </c>
      <c r="J22" s="25" t="s">
        <v>11490</v>
      </c>
      <c r="K22" s="25">
        <v>8.2100000000000009</v>
      </c>
      <c r="L22" s="25" t="s">
        <v>73</v>
      </c>
      <c r="M22" s="25" t="s">
        <v>12702</v>
      </c>
      <c r="N22" s="25" t="s">
        <v>12703</v>
      </c>
      <c r="O22" t="s">
        <v>12704</v>
      </c>
      <c r="P22" s="28"/>
      <c r="Q22" s="53">
        <v>4</v>
      </c>
      <c r="R22" s="53">
        <v>16</v>
      </c>
      <c r="S22" s="53">
        <v>266.2</v>
      </c>
      <c r="T22" s="26" t="s">
        <v>138</v>
      </c>
      <c r="U22" s="30" t="s">
        <v>78</v>
      </c>
      <c r="V22" s="26" t="s">
        <v>139</v>
      </c>
      <c r="W22" s="26" t="s">
        <v>439</v>
      </c>
      <c r="X22" s="26" t="s">
        <v>131</v>
      </c>
      <c r="Y22" s="26" t="s">
        <v>141</v>
      </c>
      <c r="Z22" s="26" t="s">
        <v>141</v>
      </c>
      <c r="AA22" s="26"/>
      <c r="AB22" s="31" t="s">
        <v>9</v>
      </c>
      <c r="AC22" s="30" t="s">
        <v>172</v>
      </c>
      <c r="AD22" s="25" t="s">
        <v>173</v>
      </c>
      <c r="AE22" s="25" t="s">
        <v>174</v>
      </c>
      <c r="AF22" s="26" t="s">
        <v>175</v>
      </c>
      <c r="AG22" s="32">
        <v>1</v>
      </c>
      <c r="AH22" s="32">
        <v>1</v>
      </c>
      <c r="AI22" s="32"/>
      <c r="AJ22" s="32"/>
      <c r="AK22" s="30"/>
      <c r="AL22" s="32">
        <f>IF(COUNTIF(AX:AX,"*"&amp;M22&amp;"*")&gt;0,1,0)</f>
        <v>1</v>
      </c>
      <c r="AM22" s="30"/>
      <c r="AN22" s="25" t="s">
        <v>12705</v>
      </c>
      <c r="AO22" s="32"/>
      <c r="AP22" s="32">
        <v>0</v>
      </c>
      <c r="AQ22" s="32"/>
      <c r="AR22" s="32"/>
      <c r="AS22" s="32"/>
      <c r="AT22" s="25" t="s">
        <v>1211</v>
      </c>
      <c r="AU22" s="30"/>
      <c r="AV22" s="30"/>
      <c r="AW22" s="30"/>
      <c r="AX22" s="30" t="s">
        <v>12706</v>
      </c>
      <c r="AY22" s="30"/>
    </row>
    <row r="23" spans="1:51">
      <c r="A23" s="25" t="s">
        <v>12707</v>
      </c>
      <c r="B23" s="25" t="s">
        <v>4398</v>
      </c>
      <c r="C23" s="25" t="s">
        <v>68</v>
      </c>
      <c r="D23" s="25" t="s">
        <v>12708</v>
      </c>
      <c r="E23" s="258" t="s">
        <v>12709</v>
      </c>
      <c r="F23" s="25" t="s">
        <v>12710</v>
      </c>
      <c r="G23" s="25" t="s">
        <v>5516</v>
      </c>
      <c r="H23" s="25" t="s">
        <v>11489</v>
      </c>
      <c r="I23" s="25" t="s">
        <v>4402</v>
      </c>
      <c r="J23" s="25" t="s">
        <v>11490</v>
      </c>
      <c r="K23" s="25">
        <v>8.2100000000000009</v>
      </c>
      <c r="L23" s="25" t="s">
        <v>73</v>
      </c>
      <c r="M23" s="25" t="s">
        <v>12711</v>
      </c>
      <c r="N23" s="25" t="s">
        <v>12712</v>
      </c>
      <c r="O23" t="s">
        <v>12713</v>
      </c>
      <c r="P23" s="28"/>
      <c r="Q23" s="53">
        <v>4</v>
      </c>
      <c r="R23" s="53">
        <v>16</v>
      </c>
      <c r="S23" s="53">
        <v>266.58</v>
      </c>
      <c r="T23" s="26" t="s">
        <v>138</v>
      </c>
      <c r="U23" s="30" t="s">
        <v>78</v>
      </c>
      <c r="V23" s="26" t="s">
        <v>139</v>
      </c>
      <c r="W23" s="26" t="s">
        <v>439</v>
      </c>
      <c r="X23" s="26" t="s">
        <v>131</v>
      </c>
      <c r="Y23" s="26" t="s">
        <v>141</v>
      </c>
      <c r="Z23" s="26" t="s">
        <v>141</v>
      </c>
      <c r="AA23" s="26"/>
      <c r="AB23" s="31" t="s">
        <v>9</v>
      </c>
      <c r="AC23" s="30" t="s">
        <v>172</v>
      </c>
      <c r="AD23" s="25" t="s">
        <v>173</v>
      </c>
      <c r="AE23" s="25" t="s">
        <v>174</v>
      </c>
      <c r="AF23" s="26" t="s">
        <v>175</v>
      </c>
      <c r="AG23" s="32">
        <v>1</v>
      </c>
      <c r="AH23" s="32">
        <v>1</v>
      </c>
      <c r="AI23" s="32"/>
      <c r="AJ23" s="32"/>
      <c r="AK23" s="30"/>
      <c r="AL23" s="32">
        <f>IF(COUNTIF(AX:AX,"*"&amp;M23&amp;"*")&gt;0,1,0)</f>
        <v>1</v>
      </c>
      <c r="AM23" s="30"/>
      <c r="AN23" s="32"/>
      <c r="AO23" s="32"/>
      <c r="AP23" s="32">
        <v>1</v>
      </c>
      <c r="AQ23" s="32">
        <v>1</v>
      </c>
      <c r="AR23" s="32"/>
      <c r="AS23" s="32"/>
      <c r="AT23" s="32">
        <v>1</v>
      </c>
      <c r="AU23" s="30"/>
      <c r="AV23" s="30"/>
      <c r="AW23" s="30"/>
      <c r="AX23" s="30" t="s">
        <v>12714</v>
      </c>
      <c r="AY23" s="30"/>
    </row>
    <row r="24" spans="1:51">
      <c r="A24" s="25" t="s">
        <v>12715</v>
      </c>
      <c r="B24" s="25" t="s">
        <v>4398</v>
      </c>
      <c r="C24" s="25" t="s">
        <v>68</v>
      </c>
      <c r="D24" s="25" t="s">
        <v>12716</v>
      </c>
      <c r="E24" s="258" t="s">
        <v>12717</v>
      </c>
      <c r="F24" s="25" t="s">
        <v>12718</v>
      </c>
      <c r="G24" s="25" t="s">
        <v>5516</v>
      </c>
      <c r="H24" s="25" t="s">
        <v>11489</v>
      </c>
      <c r="I24" s="25" t="s">
        <v>4402</v>
      </c>
      <c r="J24" s="25" t="s">
        <v>11490</v>
      </c>
      <c r="K24" s="54" t="s">
        <v>11500</v>
      </c>
      <c r="L24" s="25" t="s">
        <v>73</v>
      </c>
      <c r="M24" s="25" t="s">
        <v>12719</v>
      </c>
      <c r="N24" s="25" t="s">
        <v>12720</v>
      </c>
      <c r="O24" t="s">
        <v>12721</v>
      </c>
      <c r="P24" s="55" t="s">
        <v>11500</v>
      </c>
      <c r="Q24" s="53">
        <v>4</v>
      </c>
      <c r="R24" s="53">
        <v>16</v>
      </c>
      <c r="S24" s="53">
        <v>316.56</v>
      </c>
      <c r="T24" s="26"/>
      <c r="U24" s="30"/>
      <c r="V24" s="26"/>
      <c r="W24" s="26"/>
      <c r="X24" s="26"/>
      <c r="Y24" s="26"/>
      <c r="Z24" s="26"/>
      <c r="AA24" s="26"/>
      <c r="AB24" s="31" t="s">
        <v>9</v>
      </c>
      <c r="AC24" s="30" t="s">
        <v>172</v>
      </c>
      <c r="AD24" s="25" t="s">
        <v>173</v>
      </c>
      <c r="AE24" s="25" t="s">
        <v>174</v>
      </c>
      <c r="AF24" s="26" t="s">
        <v>175</v>
      </c>
      <c r="AG24" s="32">
        <v>1</v>
      </c>
      <c r="AH24" s="32">
        <v>1</v>
      </c>
      <c r="AI24" s="32"/>
      <c r="AJ24" s="32"/>
      <c r="AK24" s="30"/>
      <c r="AL24" s="32"/>
      <c r="AM24" s="30"/>
      <c r="AN24" s="32"/>
      <c r="AO24" s="32"/>
      <c r="AP24" s="32"/>
      <c r="AQ24" s="32"/>
      <c r="AR24" s="32"/>
      <c r="AS24" s="32"/>
      <c r="AT24" s="32"/>
      <c r="AU24" s="30"/>
      <c r="AV24" s="30"/>
      <c r="AW24" s="30"/>
      <c r="AX24" s="30"/>
      <c r="AY24" s="30"/>
    </row>
    <row r="25" spans="1:51">
      <c r="A25" s="25" t="s">
        <v>12722</v>
      </c>
      <c r="B25" s="25" t="s">
        <v>4398</v>
      </c>
      <c r="C25" s="25" t="s">
        <v>68</v>
      </c>
      <c r="D25" s="25" t="s">
        <v>12723</v>
      </c>
      <c r="E25" s="258" t="s">
        <v>12724</v>
      </c>
      <c r="F25" s="25" t="s">
        <v>12725</v>
      </c>
      <c r="G25" s="25" t="s">
        <v>5516</v>
      </c>
      <c r="H25" s="25" t="s">
        <v>11489</v>
      </c>
      <c r="I25" s="25" t="s">
        <v>4402</v>
      </c>
      <c r="J25" s="25" t="s">
        <v>11490</v>
      </c>
      <c r="K25" s="25">
        <v>8.2100000000000009</v>
      </c>
      <c r="L25" s="25" t="s">
        <v>73</v>
      </c>
      <c r="M25" s="25" t="s">
        <v>12726</v>
      </c>
      <c r="N25" s="25" t="s">
        <v>12727</v>
      </c>
      <c r="O25" t="s">
        <v>12728</v>
      </c>
      <c r="P25" s="28"/>
      <c r="Q25" s="53">
        <v>4</v>
      </c>
      <c r="R25" s="53">
        <v>16</v>
      </c>
      <c r="S25" s="53">
        <v>266.64</v>
      </c>
      <c r="T25" s="26" t="s">
        <v>138</v>
      </c>
      <c r="U25" s="30" t="s">
        <v>78</v>
      </c>
      <c r="V25" s="26" t="s">
        <v>139</v>
      </c>
      <c r="W25" s="26" t="s">
        <v>439</v>
      </c>
      <c r="X25" s="26" t="s">
        <v>131</v>
      </c>
      <c r="Y25" s="26" t="s">
        <v>141</v>
      </c>
      <c r="Z25" s="26" t="s">
        <v>141</v>
      </c>
      <c r="AA25" s="26"/>
      <c r="AB25" s="31" t="s">
        <v>9</v>
      </c>
      <c r="AC25" s="30" t="s">
        <v>172</v>
      </c>
      <c r="AD25" s="25" t="s">
        <v>173</v>
      </c>
      <c r="AE25" s="25" t="s">
        <v>174</v>
      </c>
      <c r="AF25" s="26" t="s">
        <v>175</v>
      </c>
      <c r="AG25" s="32">
        <v>1</v>
      </c>
      <c r="AH25" s="32">
        <v>1</v>
      </c>
      <c r="AI25" s="32"/>
      <c r="AJ25" s="32"/>
      <c r="AK25" s="30"/>
      <c r="AL25" s="32">
        <f>IF(COUNTIF(AX:AX,"*"&amp;M25&amp;"*")&gt;0,1,0)</f>
        <v>1</v>
      </c>
      <c r="AM25" s="30"/>
      <c r="AN25" s="32"/>
      <c r="AO25" s="32"/>
      <c r="AP25" s="32">
        <v>1</v>
      </c>
      <c r="AQ25" s="32">
        <v>1</v>
      </c>
      <c r="AR25" s="32"/>
      <c r="AS25" s="32"/>
      <c r="AT25" s="32">
        <v>1</v>
      </c>
      <c r="AU25" s="30"/>
      <c r="AV25" s="30"/>
      <c r="AW25" s="30"/>
      <c r="AX25" s="30" t="s">
        <v>12729</v>
      </c>
      <c r="AY25" s="30"/>
    </row>
    <row r="26" spans="1:51">
      <c r="A26" s="25" t="s">
        <v>12730</v>
      </c>
      <c r="B26" s="25" t="s">
        <v>4398</v>
      </c>
      <c r="C26" s="25" t="s">
        <v>68</v>
      </c>
      <c r="D26" s="25" t="s">
        <v>12731</v>
      </c>
      <c r="E26" s="258" t="s">
        <v>12732</v>
      </c>
      <c r="F26" s="25" t="s">
        <v>12733</v>
      </c>
      <c r="G26" s="25" t="s">
        <v>5516</v>
      </c>
      <c r="H26" s="25" t="s">
        <v>11489</v>
      </c>
      <c r="I26" s="25" t="s">
        <v>4402</v>
      </c>
      <c r="J26" s="25" t="s">
        <v>11490</v>
      </c>
      <c r="K26" s="25">
        <v>8.2100000000000009</v>
      </c>
      <c r="L26" s="25" t="s">
        <v>73</v>
      </c>
      <c r="M26" s="25" t="s">
        <v>12734</v>
      </c>
      <c r="N26" s="25" t="s">
        <v>12735</v>
      </c>
      <c r="O26" t="s">
        <v>12736</v>
      </c>
      <c r="P26" s="28"/>
      <c r="Q26" s="53">
        <v>4</v>
      </c>
      <c r="R26" s="53">
        <v>16</v>
      </c>
      <c r="S26" s="53">
        <v>267.85000000000002</v>
      </c>
      <c r="T26" s="26" t="s">
        <v>138</v>
      </c>
      <c r="U26" s="30" t="s">
        <v>78</v>
      </c>
      <c r="V26" s="26" t="s">
        <v>139</v>
      </c>
      <c r="W26" s="26" t="s">
        <v>439</v>
      </c>
      <c r="X26" s="26" t="s">
        <v>131</v>
      </c>
      <c r="Y26" s="26" t="s">
        <v>141</v>
      </c>
      <c r="Z26" s="26" t="s">
        <v>141</v>
      </c>
      <c r="AA26" s="26"/>
      <c r="AB26" s="31" t="s">
        <v>9</v>
      </c>
      <c r="AC26" s="30" t="s">
        <v>172</v>
      </c>
      <c r="AD26" s="25" t="s">
        <v>173</v>
      </c>
      <c r="AE26" s="25" t="s">
        <v>174</v>
      </c>
      <c r="AF26" s="26" t="s">
        <v>175</v>
      </c>
      <c r="AG26" s="32">
        <v>1</v>
      </c>
      <c r="AH26" s="32">
        <v>1</v>
      </c>
      <c r="AI26" s="32"/>
      <c r="AJ26" s="32"/>
      <c r="AK26" s="30"/>
      <c r="AL26" s="32">
        <f>IF(COUNTIF(AX:AX,"*"&amp;M26&amp;"*")&gt;0,1,0)</f>
        <v>1</v>
      </c>
      <c r="AM26" s="30"/>
      <c r="AN26" s="32"/>
      <c r="AO26" s="32"/>
      <c r="AP26" s="32">
        <v>1</v>
      </c>
      <c r="AQ26" s="32">
        <v>1</v>
      </c>
      <c r="AR26" s="32"/>
      <c r="AS26" s="32"/>
      <c r="AT26" s="32">
        <v>1</v>
      </c>
      <c r="AU26" s="30"/>
      <c r="AV26" s="30"/>
      <c r="AW26" s="30"/>
      <c r="AX26" s="30" t="s">
        <v>12737</v>
      </c>
      <c r="AY26" s="30"/>
    </row>
    <row r="27" spans="1:51">
      <c r="A27" s="25" t="s">
        <v>12738</v>
      </c>
      <c r="B27" s="25" t="s">
        <v>4398</v>
      </c>
      <c r="C27" s="25" t="s">
        <v>68</v>
      </c>
      <c r="D27" s="25" t="s">
        <v>12739</v>
      </c>
      <c r="E27" s="258" t="s">
        <v>12740</v>
      </c>
      <c r="F27" s="25" t="s">
        <v>12741</v>
      </c>
      <c r="G27" s="25" t="s">
        <v>5516</v>
      </c>
      <c r="H27" s="25" t="s">
        <v>11489</v>
      </c>
      <c r="I27" s="25" t="s">
        <v>4402</v>
      </c>
      <c r="J27" s="25" t="s">
        <v>11490</v>
      </c>
      <c r="K27" s="25">
        <v>8.2100000000000009</v>
      </c>
      <c r="L27" s="25" t="s">
        <v>73</v>
      </c>
      <c r="M27" s="25" t="s">
        <v>12742</v>
      </c>
      <c r="N27" s="25" t="s">
        <v>12743</v>
      </c>
      <c r="O27" t="s">
        <v>12744</v>
      </c>
      <c r="P27" s="28"/>
      <c r="Q27" s="53">
        <v>4</v>
      </c>
      <c r="R27" s="53">
        <v>16</v>
      </c>
      <c r="S27" s="53">
        <v>286.7</v>
      </c>
      <c r="T27" s="26" t="s">
        <v>138</v>
      </c>
      <c r="U27" s="30" t="s">
        <v>78</v>
      </c>
      <c r="V27" s="26" t="s">
        <v>139</v>
      </c>
      <c r="W27" s="26" t="s">
        <v>439</v>
      </c>
      <c r="X27" s="26" t="s">
        <v>131</v>
      </c>
      <c r="Y27" s="26" t="s">
        <v>141</v>
      </c>
      <c r="Z27" s="26" t="s">
        <v>141</v>
      </c>
      <c r="AA27" s="26"/>
      <c r="AB27" s="31" t="s">
        <v>9</v>
      </c>
      <c r="AC27" s="30" t="s">
        <v>172</v>
      </c>
      <c r="AD27" s="25" t="s">
        <v>173</v>
      </c>
      <c r="AE27" s="25" t="s">
        <v>174</v>
      </c>
      <c r="AF27" s="26" t="s">
        <v>175</v>
      </c>
      <c r="AG27" s="32">
        <v>1</v>
      </c>
      <c r="AH27" s="32">
        <v>1</v>
      </c>
      <c r="AI27" s="32"/>
      <c r="AJ27" s="32"/>
      <c r="AK27" s="30"/>
      <c r="AL27" s="32">
        <f>IF(COUNTIF(AX:AX,"*"&amp;M27&amp;"*")&gt;0,1,0)</f>
        <v>1</v>
      </c>
      <c r="AM27" s="30"/>
      <c r="AN27" s="32"/>
      <c r="AO27" s="32"/>
      <c r="AP27" s="32">
        <v>1</v>
      </c>
      <c r="AQ27" s="32">
        <v>1</v>
      </c>
      <c r="AR27" s="32"/>
      <c r="AS27" s="32"/>
      <c r="AT27" s="32">
        <v>1</v>
      </c>
      <c r="AU27" s="30"/>
      <c r="AV27" s="30"/>
      <c r="AW27" s="30"/>
      <c r="AX27" s="30" t="s">
        <v>12602</v>
      </c>
      <c r="AY27" s="30"/>
    </row>
    <row r="28" spans="1:51">
      <c r="A28" s="25" t="s">
        <v>12745</v>
      </c>
      <c r="B28" s="25" t="s">
        <v>4398</v>
      </c>
      <c r="C28" s="25" t="s">
        <v>68</v>
      </c>
      <c r="D28" s="25" t="s">
        <v>12746</v>
      </c>
      <c r="E28" s="258" t="s">
        <v>12747</v>
      </c>
      <c r="F28" s="25" t="s">
        <v>12748</v>
      </c>
      <c r="G28" s="25" t="s">
        <v>5516</v>
      </c>
      <c r="H28" s="25" t="s">
        <v>11489</v>
      </c>
      <c r="I28" s="25" t="s">
        <v>4402</v>
      </c>
      <c r="J28" s="25" t="s">
        <v>11490</v>
      </c>
      <c r="K28" s="54" t="s">
        <v>11500</v>
      </c>
      <c r="L28" s="25" t="s">
        <v>73</v>
      </c>
      <c r="M28" s="25" t="s">
        <v>12749</v>
      </c>
      <c r="N28" s="25" t="s">
        <v>12750</v>
      </c>
      <c r="O28" t="s">
        <v>12751</v>
      </c>
      <c r="P28" s="55" t="s">
        <v>11500</v>
      </c>
      <c r="Q28" s="53">
        <v>4</v>
      </c>
      <c r="R28" s="53">
        <v>16</v>
      </c>
      <c r="S28" s="53">
        <v>366.17</v>
      </c>
      <c r="T28" s="26"/>
      <c r="U28" s="30"/>
      <c r="V28" s="26"/>
      <c r="W28" s="26"/>
      <c r="X28" s="26"/>
      <c r="Y28" s="26"/>
      <c r="Z28" s="26"/>
      <c r="AA28" s="26"/>
      <c r="AB28" s="31" t="s">
        <v>9</v>
      </c>
      <c r="AC28" s="30" t="s">
        <v>172</v>
      </c>
      <c r="AD28" s="25" t="s">
        <v>173</v>
      </c>
      <c r="AE28" s="25" t="s">
        <v>174</v>
      </c>
      <c r="AF28" s="26" t="s">
        <v>175</v>
      </c>
      <c r="AG28" s="32">
        <v>1</v>
      </c>
      <c r="AH28" s="32">
        <v>1</v>
      </c>
      <c r="AI28" s="32"/>
      <c r="AJ28" s="32"/>
      <c r="AK28" s="30"/>
      <c r="AL28" s="32"/>
      <c r="AM28" s="30"/>
      <c r="AN28" s="32"/>
      <c r="AO28" s="32"/>
      <c r="AP28" s="32"/>
      <c r="AQ28" s="32"/>
      <c r="AR28" s="32"/>
      <c r="AS28" s="32"/>
      <c r="AT28" s="32"/>
      <c r="AU28" s="30"/>
      <c r="AV28" s="30"/>
      <c r="AW28" s="30"/>
      <c r="AX28" s="30"/>
      <c r="AY28" s="30"/>
    </row>
    <row r="29" spans="1:51">
      <c r="A29" s="25" t="s">
        <v>12752</v>
      </c>
      <c r="B29" s="25" t="s">
        <v>4398</v>
      </c>
      <c r="C29" s="25" t="s">
        <v>68</v>
      </c>
      <c r="D29" s="25" t="s">
        <v>12753</v>
      </c>
      <c r="E29" s="258" t="s">
        <v>12754</v>
      </c>
      <c r="F29" s="25" t="s">
        <v>12755</v>
      </c>
      <c r="G29" s="25" t="s">
        <v>5516</v>
      </c>
      <c r="H29" s="25" t="s">
        <v>11489</v>
      </c>
      <c r="I29" s="25" t="s">
        <v>4402</v>
      </c>
      <c r="J29" s="25" t="s">
        <v>11490</v>
      </c>
      <c r="K29" s="25">
        <v>8.2100000000000009</v>
      </c>
      <c r="L29" s="25" t="s">
        <v>73</v>
      </c>
      <c r="M29" s="25" t="s">
        <v>12756</v>
      </c>
      <c r="N29" s="25" t="s">
        <v>12757</v>
      </c>
      <c r="O29" t="s">
        <v>12758</v>
      </c>
      <c r="P29" s="28"/>
      <c r="Q29" s="53">
        <v>4</v>
      </c>
      <c r="R29" s="53">
        <v>16</v>
      </c>
      <c r="S29" s="53">
        <v>306.45</v>
      </c>
      <c r="T29" s="26" t="s">
        <v>138</v>
      </c>
      <c r="U29" s="30" t="s">
        <v>78</v>
      </c>
      <c r="V29" s="26" t="s">
        <v>139</v>
      </c>
      <c r="W29" s="26" t="s">
        <v>439</v>
      </c>
      <c r="X29" s="26" t="s">
        <v>131</v>
      </c>
      <c r="Y29" s="26" t="s">
        <v>141</v>
      </c>
      <c r="Z29" s="26" t="s">
        <v>141</v>
      </c>
      <c r="AA29" s="26"/>
      <c r="AB29" s="31" t="s">
        <v>9</v>
      </c>
      <c r="AC29" s="30" t="s">
        <v>172</v>
      </c>
      <c r="AD29" s="25" t="s">
        <v>173</v>
      </c>
      <c r="AE29" s="25" t="s">
        <v>174</v>
      </c>
      <c r="AF29" s="26" t="s">
        <v>175</v>
      </c>
      <c r="AG29" s="32">
        <v>1</v>
      </c>
      <c r="AH29" s="32">
        <v>1</v>
      </c>
      <c r="AI29" s="32"/>
      <c r="AJ29" s="32"/>
      <c r="AK29" s="30"/>
      <c r="AL29" s="32">
        <f>IF(COUNTIF(AX:AX,"*"&amp;M29&amp;"*")&gt;0,1,0)</f>
        <v>1</v>
      </c>
      <c r="AM29" s="30"/>
      <c r="AN29" s="32"/>
      <c r="AO29" s="32"/>
      <c r="AP29" s="32">
        <v>1</v>
      </c>
      <c r="AQ29" s="32">
        <v>1</v>
      </c>
      <c r="AR29" s="32"/>
      <c r="AS29" s="32"/>
      <c r="AT29" s="32">
        <v>1</v>
      </c>
      <c r="AU29" s="30"/>
      <c r="AV29" s="30"/>
      <c r="AW29" s="30"/>
      <c r="AX29" s="30" t="s">
        <v>12617</v>
      </c>
      <c r="AY29" s="30"/>
    </row>
    <row r="30" spans="1:51">
      <c r="A30" s="25" t="s">
        <v>12759</v>
      </c>
      <c r="B30" s="25" t="s">
        <v>4398</v>
      </c>
      <c r="C30" s="25" t="s">
        <v>68</v>
      </c>
      <c r="D30" s="25" t="s">
        <v>12760</v>
      </c>
      <c r="E30" s="258" t="s">
        <v>12761</v>
      </c>
      <c r="F30" s="25" t="s">
        <v>12762</v>
      </c>
      <c r="G30" s="25" t="s">
        <v>5516</v>
      </c>
      <c r="H30" s="25" t="s">
        <v>11489</v>
      </c>
      <c r="I30" s="25" t="s">
        <v>4402</v>
      </c>
      <c r="J30" s="25" t="s">
        <v>11490</v>
      </c>
      <c r="K30" s="54" t="s">
        <v>11500</v>
      </c>
      <c r="L30" s="25" t="s">
        <v>73</v>
      </c>
      <c r="M30" s="25" t="s">
        <v>12763</v>
      </c>
      <c r="N30" s="25" t="s">
        <v>12764</v>
      </c>
      <c r="O30" t="s">
        <v>12765</v>
      </c>
      <c r="P30" s="55" t="s">
        <v>11500</v>
      </c>
      <c r="Q30" s="53">
        <v>4</v>
      </c>
      <c r="R30" s="53">
        <v>16</v>
      </c>
      <c r="S30" s="53">
        <v>356.14</v>
      </c>
      <c r="T30" s="26"/>
      <c r="U30" s="30"/>
      <c r="V30" s="26"/>
      <c r="W30" s="26"/>
      <c r="X30" s="26"/>
      <c r="Y30" s="26"/>
      <c r="Z30" s="26"/>
      <c r="AA30" s="26"/>
      <c r="AB30" s="31" t="s">
        <v>9</v>
      </c>
      <c r="AC30" s="30" t="s">
        <v>172</v>
      </c>
      <c r="AD30" s="25" t="s">
        <v>173</v>
      </c>
      <c r="AE30" s="25" t="s">
        <v>174</v>
      </c>
      <c r="AF30" s="26" t="s">
        <v>175</v>
      </c>
      <c r="AG30" s="32">
        <v>1</v>
      </c>
      <c r="AH30" s="32">
        <v>1</v>
      </c>
      <c r="AI30" s="32"/>
      <c r="AJ30" s="32"/>
      <c r="AK30" s="30"/>
      <c r="AL30" s="32"/>
      <c r="AM30" s="30"/>
      <c r="AN30" s="32"/>
      <c r="AO30" s="32"/>
      <c r="AP30" s="32"/>
      <c r="AQ30" s="32"/>
      <c r="AR30" s="32"/>
      <c r="AS30" s="32"/>
      <c r="AT30" s="32"/>
      <c r="AU30" s="30"/>
      <c r="AV30" s="30"/>
      <c r="AW30" s="30"/>
      <c r="AX30" s="30"/>
      <c r="AY30" s="30"/>
    </row>
    <row r="31" spans="1:51">
      <c r="A31" s="25" t="s">
        <v>12766</v>
      </c>
      <c r="B31" s="25" t="s">
        <v>4398</v>
      </c>
      <c r="C31" s="25" t="s">
        <v>68</v>
      </c>
      <c r="D31" s="25" t="s">
        <v>12767</v>
      </c>
      <c r="E31" s="258" t="s">
        <v>12768</v>
      </c>
      <c r="F31" s="25" t="s">
        <v>12769</v>
      </c>
      <c r="G31" s="25" t="s">
        <v>5516</v>
      </c>
      <c r="H31" s="25" t="s">
        <v>11489</v>
      </c>
      <c r="I31" s="25" t="s">
        <v>4402</v>
      </c>
      <c r="J31" s="25" t="s">
        <v>11490</v>
      </c>
      <c r="K31" s="25">
        <v>8.2100000000000009</v>
      </c>
      <c r="L31" s="25" t="s">
        <v>73</v>
      </c>
      <c r="M31" s="25" t="s">
        <v>12770</v>
      </c>
      <c r="N31" s="25" t="s">
        <v>12771</v>
      </c>
      <c r="O31" t="s">
        <v>12772</v>
      </c>
      <c r="P31" s="28"/>
      <c r="Q31" s="53">
        <v>4</v>
      </c>
      <c r="R31" s="53">
        <v>16</v>
      </c>
      <c r="S31" s="53">
        <v>266.12</v>
      </c>
      <c r="T31" s="26" t="s">
        <v>138</v>
      </c>
      <c r="U31" s="30" t="s">
        <v>78</v>
      </c>
      <c r="V31" s="26" t="s">
        <v>139</v>
      </c>
      <c r="W31" s="26" t="s">
        <v>439</v>
      </c>
      <c r="X31" s="26" t="s">
        <v>131</v>
      </c>
      <c r="Y31" s="26" t="s">
        <v>141</v>
      </c>
      <c r="Z31" s="26" t="s">
        <v>141</v>
      </c>
      <c r="AA31" s="26"/>
      <c r="AB31" s="31" t="s">
        <v>9</v>
      </c>
      <c r="AC31" s="30" t="s">
        <v>172</v>
      </c>
      <c r="AD31" s="25" t="s">
        <v>173</v>
      </c>
      <c r="AE31" s="25" t="s">
        <v>174</v>
      </c>
      <c r="AF31" s="26" t="s">
        <v>175</v>
      </c>
      <c r="AG31" s="32">
        <v>1</v>
      </c>
      <c r="AH31" s="32">
        <v>1</v>
      </c>
      <c r="AI31" s="32"/>
      <c r="AJ31" s="32"/>
      <c r="AK31" s="30"/>
      <c r="AL31" s="32">
        <f>IF(COUNTIF(AX:AX,"*"&amp;M31&amp;"*")&gt;0,1,0)</f>
        <v>1</v>
      </c>
      <c r="AM31" s="30"/>
      <c r="AN31" s="32"/>
      <c r="AO31" s="32"/>
      <c r="AP31" s="32">
        <v>1</v>
      </c>
      <c r="AQ31" s="32">
        <v>1</v>
      </c>
      <c r="AR31" s="32"/>
      <c r="AS31" s="32"/>
      <c r="AT31" s="32">
        <v>1</v>
      </c>
      <c r="AU31" s="30"/>
      <c r="AV31" s="30"/>
      <c r="AW31" s="30"/>
      <c r="AX31" s="30" t="s">
        <v>12773</v>
      </c>
      <c r="AY31" s="30"/>
    </row>
    <row r="32" spans="1:51">
      <c r="A32" s="25" t="s">
        <v>12774</v>
      </c>
      <c r="B32" s="25" t="s">
        <v>4398</v>
      </c>
      <c r="C32" s="25" t="s">
        <v>68</v>
      </c>
      <c r="D32" s="25" t="s">
        <v>12775</v>
      </c>
      <c r="E32" s="258" t="s">
        <v>12776</v>
      </c>
      <c r="F32" s="25" t="s">
        <v>12777</v>
      </c>
      <c r="G32" s="25" t="s">
        <v>5516</v>
      </c>
      <c r="H32" s="25" t="s">
        <v>11489</v>
      </c>
      <c r="I32" s="25" t="s">
        <v>4402</v>
      </c>
      <c r="J32" s="25" t="s">
        <v>11490</v>
      </c>
      <c r="K32" s="25">
        <v>8.2100000000000009</v>
      </c>
      <c r="L32" s="25" t="s">
        <v>73</v>
      </c>
      <c r="M32" s="25" t="s">
        <v>12778</v>
      </c>
      <c r="N32" s="25" t="s">
        <v>12779</v>
      </c>
      <c r="O32" t="s">
        <v>12780</v>
      </c>
      <c r="P32" s="28"/>
      <c r="Q32" s="53">
        <v>4</v>
      </c>
      <c r="R32" s="53">
        <v>16</v>
      </c>
      <c r="S32" s="53">
        <v>266.19</v>
      </c>
      <c r="T32" s="26" t="s">
        <v>138</v>
      </c>
      <c r="U32" s="30" t="s">
        <v>78</v>
      </c>
      <c r="V32" s="26" t="s">
        <v>139</v>
      </c>
      <c r="W32" s="26" t="s">
        <v>439</v>
      </c>
      <c r="X32" s="26" t="s">
        <v>131</v>
      </c>
      <c r="Y32" s="26" t="s">
        <v>141</v>
      </c>
      <c r="Z32" s="26" t="s">
        <v>141</v>
      </c>
      <c r="AA32" s="26"/>
      <c r="AB32" s="31" t="s">
        <v>9</v>
      </c>
      <c r="AC32" s="30" t="s">
        <v>172</v>
      </c>
      <c r="AD32" s="25" t="s">
        <v>173</v>
      </c>
      <c r="AE32" s="25" t="s">
        <v>174</v>
      </c>
      <c r="AF32" s="26" t="s">
        <v>175</v>
      </c>
      <c r="AG32" s="32">
        <v>1</v>
      </c>
      <c r="AH32" s="32">
        <v>1</v>
      </c>
      <c r="AI32" s="32"/>
      <c r="AJ32" s="32"/>
      <c r="AK32" s="30"/>
      <c r="AL32" s="32">
        <f>IF(COUNTIF(AX:AX,"*"&amp;M32&amp;"*")&gt;0,1,0)</f>
        <v>1</v>
      </c>
      <c r="AM32" s="30"/>
      <c r="AN32" s="32"/>
      <c r="AO32" s="32"/>
      <c r="AP32" s="32">
        <v>1</v>
      </c>
      <c r="AQ32" s="32">
        <v>1</v>
      </c>
      <c r="AR32" s="32"/>
      <c r="AS32" s="32"/>
      <c r="AT32" s="32">
        <v>1</v>
      </c>
      <c r="AU32" s="30"/>
      <c r="AV32" s="30"/>
      <c r="AW32" s="30"/>
      <c r="AX32" s="30" t="s">
        <v>12781</v>
      </c>
      <c r="AY32" s="30"/>
    </row>
    <row r="33" spans="1:51">
      <c r="A33" s="25" t="s">
        <v>12782</v>
      </c>
      <c r="B33" s="25" t="s">
        <v>4398</v>
      </c>
      <c r="C33" s="25" t="s">
        <v>68</v>
      </c>
      <c r="D33" s="25" t="s">
        <v>12783</v>
      </c>
      <c r="E33" s="258" t="s">
        <v>12784</v>
      </c>
      <c r="F33" s="25" t="s">
        <v>12785</v>
      </c>
      <c r="G33" s="25" t="s">
        <v>5516</v>
      </c>
      <c r="H33" s="25" t="s">
        <v>11489</v>
      </c>
      <c r="I33" s="25" t="s">
        <v>4402</v>
      </c>
      <c r="J33" s="25" t="s">
        <v>11490</v>
      </c>
      <c r="K33" s="25">
        <v>8.2100000000000009</v>
      </c>
      <c r="L33" s="25" t="s">
        <v>73</v>
      </c>
      <c r="M33" s="25" t="s">
        <v>12786</v>
      </c>
      <c r="N33" s="25" t="s">
        <v>12787</v>
      </c>
      <c r="O33" t="s">
        <v>12788</v>
      </c>
      <c r="P33" s="28"/>
      <c r="Q33" s="53">
        <v>4</v>
      </c>
      <c r="R33" s="53">
        <v>16</v>
      </c>
      <c r="S33" s="53">
        <v>268.42</v>
      </c>
      <c r="T33" s="26" t="s">
        <v>138</v>
      </c>
      <c r="U33" s="30" t="s">
        <v>78</v>
      </c>
      <c r="V33" s="26" t="s">
        <v>139</v>
      </c>
      <c r="W33" s="26" t="s">
        <v>439</v>
      </c>
      <c r="X33" s="26" t="s">
        <v>131</v>
      </c>
      <c r="Y33" s="26" t="s">
        <v>141</v>
      </c>
      <c r="Z33" s="26" t="s">
        <v>141</v>
      </c>
      <c r="AA33" s="26"/>
      <c r="AB33" s="36" t="s">
        <v>7</v>
      </c>
      <c r="AC33" s="30" t="s">
        <v>172</v>
      </c>
      <c r="AD33" s="25" t="s">
        <v>173</v>
      </c>
      <c r="AE33" s="25" t="s">
        <v>174</v>
      </c>
      <c r="AF33" s="26" t="s">
        <v>175</v>
      </c>
      <c r="AG33" s="32">
        <v>1</v>
      </c>
      <c r="AH33" s="32">
        <v>1</v>
      </c>
      <c r="AI33" s="32"/>
      <c r="AJ33" s="32"/>
      <c r="AK33" s="30"/>
      <c r="AL33" s="32">
        <f>IF(COUNTIF(AX:AX,"*"&amp;M33&amp;"*")&gt;0,1,0)</f>
        <v>1</v>
      </c>
      <c r="AM33" s="30"/>
      <c r="AN33" s="25" t="s">
        <v>12789</v>
      </c>
      <c r="AO33" s="32"/>
      <c r="AP33" s="32">
        <v>1</v>
      </c>
      <c r="AQ33" s="32">
        <v>1</v>
      </c>
      <c r="AR33" s="35"/>
      <c r="AS33" s="34"/>
      <c r="AT33" s="32">
        <v>1</v>
      </c>
      <c r="AU33" s="30"/>
      <c r="AV33" s="30"/>
      <c r="AW33" s="36"/>
      <c r="AX33" s="30" t="s">
        <v>12790</v>
      </c>
      <c r="AY33" s="30"/>
    </row>
    <row r="34" spans="1:51">
      <c r="A34" s="25" t="s">
        <v>12791</v>
      </c>
      <c r="B34" s="25" t="s">
        <v>4398</v>
      </c>
      <c r="C34" s="25" t="s">
        <v>68</v>
      </c>
      <c r="D34" s="25" t="s">
        <v>12792</v>
      </c>
      <c r="E34" s="258" t="s">
        <v>12793</v>
      </c>
      <c r="F34" s="25" t="s">
        <v>12794</v>
      </c>
      <c r="G34" s="25" t="s">
        <v>5516</v>
      </c>
      <c r="H34" s="25" t="s">
        <v>11489</v>
      </c>
      <c r="I34" s="25" t="s">
        <v>4402</v>
      </c>
      <c r="J34" s="25" t="s">
        <v>11490</v>
      </c>
      <c r="K34" s="25">
        <v>8.2100000000000009</v>
      </c>
      <c r="L34" s="25" t="s">
        <v>73</v>
      </c>
      <c r="M34" s="25" t="s">
        <v>12795</v>
      </c>
      <c r="N34" s="25" t="s">
        <v>12796</v>
      </c>
      <c r="O34" t="s">
        <v>12797</v>
      </c>
      <c r="P34" s="28"/>
      <c r="Q34" s="53">
        <v>4</v>
      </c>
      <c r="R34" s="53">
        <v>16</v>
      </c>
      <c r="S34" s="53">
        <v>266.62</v>
      </c>
      <c r="T34" s="26" t="s">
        <v>138</v>
      </c>
      <c r="U34" s="30" t="s">
        <v>78</v>
      </c>
      <c r="V34" s="26" t="s">
        <v>139</v>
      </c>
      <c r="W34" s="26" t="s">
        <v>439</v>
      </c>
      <c r="X34" s="26" t="s">
        <v>131</v>
      </c>
      <c r="Y34" s="26" t="s">
        <v>141</v>
      </c>
      <c r="Z34" s="26" t="s">
        <v>141</v>
      </c>
      <c r="AA34" s="26"/>
      <c r="AB34" s="31" t="s">
        <v>9</v>
      </c>
      <c r="AC34" s="30" t="s">
        <v>172</v>
      </c>
      <c r="AD34" s="25" t="s">
        <v>173</v>
      </c>
      <c r="AE34" s="25" t="s">
        <v>174</v>
      </c>
      <c r="AF34" s="26" t="s">
        <v>175</v>
      </c>
      <c r="AG34" s="32">
        <v>1</v>
      </c>
      <c r="AH34" s="32">
        <v>1</v>
      </c>
      <c r="AI34" s="32"/>
      <c r="AJ34" s="32"/>
      <c r="AK34" s="30"/>
      <c r="AL34" s="32">
        <f>IF(COUNTIF(AX:AX,"*"&amp;M34&amp;"*")&gt;0,1,0)</f>
        <v>1</v>
      </c>
      <c r="AM34" s="30"/>
      <c r="AN34" s="32"/>
      <c r="AO34" s="32"/>
      <c r="AP34" s="32">
        <v>1</v>
      </c>
      <c r="AQ34" s="32">
        <v>1</v>
      </c>
      <c r="AR34" s="32"/>
      <c r="AS34" s="32"/>
      <c r="AT34" s="32">
        <v>1</v>
      </c>
      <c r="AU34" s="30"/>
      <c r="AV34" s="30"/>
      <c r="AW34" s="30"/>
      <c r="AX34" s="30" t="s">
        <v>12798</v>
      </c>
      <c r="AY34" s="30"/>
    </row>
    <row r="35" spans="1:51">
      <c r="A35" s="25" t="s">
        <v>12799</v>
      </c>
      <c r="B35" s="25" t="s">
        <v>4398</v>
      </c>
      <c r="C35" s="25" t="s">
        <v>68</v>
      </c>
      <c r="D35" s="25" t="s">
        <v>12800</v>
      </c>
      <c r="E35" s="258" t="s">
        <v>12801</v>
      </c>
      <c r="F35" s="25" t="s">
        <v>12802</v>
      </c>
      <c r="G35" s="25" t="s">
        <v>5516</v>
      </c>
      <c r="H35" s="25" t="s">
        <v>11489</v>
      </c>
      <c r="I35" s="25" t="s">
        <v>4402</v>
      </c>
      <c r="J35" s="25" t="s">
        <v>11490</v>
      </c>
      <c r="K35" s="54" t="s">
        <v>11500</v>
      </c>
      <c r="L35" s="25" t="s">
        <v>73</v>
      </c>
      <c r="M35" s="25" t="s">
        <v>12803</v>
      </c>
      <c r="N35" s="25" t="s">
        <v>12804</v>
      </c>
      <c r="O35" t="s">
        <v>12805</v>
      </c>
      <c r="P35" s="55" t="s">
        <v>11500</v>
      </c>
      <c r="Q35" s="53">
        <v>4</v>
      </c>
      <c r="R35" s="53">
        <v>16</v>
      </c>
      <c r="S35" s="53">
        <v>286.11</v>
      </c>
      <c r="T35" s="26"/>
      <c r="U35" s="30"/>
      <c r="V35" s="26"/>
      <c r="W35" s="26"/>
      <c r="X35" s="26"/>
      <c r="Y35" s="26"/>
      <c r="Z35" s="26"/>
      <c r="AA35" s="26"/>
      <c r="AB35" s="31" t="s">
        <v>9</v>
      </c>
      <c r="AC35" s="30" t="s">
        <v>172</v>
      </c>
      <c r="AD35" s="25" t="s">
        <v>173</v>
      </c>
      <c r="AE35" s="25" t="s">
        <v>174</v>
      </c>
      <c r="AF35" s="26" t="s">
        <v>175</v>
      </c>
      <c r="AG35" s="32">
        <v>1</v>
      </c>
      <c r="AH35" s="32">
        <v>1</v>
      </c>
      <c r="AI35" s="32"/>
      <c r="AJ35" s="32"/>
      <c r="AK35" s="30"/>
      <c r="AL35" s="32"/>
      <c r="AM35" s="30"/>
      <c r="AN35" s="25"/>
      <c r="AO35" s="32"/>
      <c r="AP35" s="37"/>
      <c r="AQ35" s="32"/>
      <c r="AR35" s="32"/>
      <c r="AS35" s="32"/>
      <c r="AT35" s="32"/>
      <c r="AU35" s="30"/>
      <c r="AV35" s="30"/>
      <c r="AW35" s="30"/>
      <c r="AX35" s="30"/>
      <c r="AY35" s="30"/>
    </row>
    <row r="36" spans="1:51">
      <c r="A36" s="25" t="s">
        <v>12806</v>
      </c>
      <c r="B36" s="25" t="s">
        <v>4398</v>
      </c>
      <c r="C36" s="25" t="s">
        <v>68</v>
      </c>
      <c r="D36" s="25" t="s">
        <v>12807</v>
      </c>
      <c r="E36" s="258" t="s">
        <v>12808</v>
      </c>
      <c r="F36" s="25" t="s">
        <v>12809</v>
      </c>
      <c r="G36" s="25" t="s">
        <v>5516</v>
      </c>
      <c r="H36" s="25" t="s">
        <v>11489</v>
      </c>
      <c r="I36" s="25" t="s">
        <v>4402</v>
      </c>
      <c r="J36" s="25" t="s">
        <v>11490</v>
      </c>
      <c r="K36" s="25">
        <v>8.2100000000000009</v>
      </c>
      <c r="L36" s="25" t="s">
        <v>73</v>
      </c>
      <c r="M36" s="25" t="s">
        <v>12810</v>
      </c>
      <c r="N36" s="25" t="s">
        <v>12811</v>
      </c>
      <c r="O36" t="s">
        <v>12812</v>
      </c>
      <c r="P36" s="28"/>
      <c r="Q36" s="53">
        <v>4</v>
      </c>
      <c r="R36" s="53">
        <v>16</v>
      </c>
      <c r="S36" s="53">
        <v>287.08999999999997</v>
      </c>
      <c r="T36" s="26" t="s">
        <v>138</v>
      </c>
      <c r="U36" s="30" t="s">
        <v>78</v>
      </c>
      <c r="V36" s="26" t="s">
        <v>139</v>
      </c>
      <c r="W36" s="26" t="s">
        <v>439</v>
      </c>
      <c r="X36" s="26" t="s">
        <v>131</v>
      </c>
      <c r="Y36" s="26" t="s">
        <v>141</v>
      </c>
      <c r="Z36" s="26" t="s">
        <v>141</v>
      </c>
      <c r="AA36" s="26"/>
      <c r="AB36" s="31" t="s">
        <v>9</v>
      </c>
      <c r="AC36" s="30" t="s">
        <v>172</v>
      </c>
      <c r="AD36" s="25" t="s">
        <v>173</v>
      </c>
      <c r="AE36" s="25" t="s">
        <v>174</v>
      </c>
      <c r="AF36" s="26" t="s">
        <v>175</v>
      </c>
      <c r="AG36" s="32">
        <v>1</v>
      </c>
      <c r="AH36" s="32">
        <v>1</v>
      </c>
      <c r="AI36" s="32"/>
      <c r="AJ36" s="32"/>
      <c r="AK36" s="30"/>
      <c r="AL36" s="32">
        <f t="shared" ref="AL36:AL45" si="1">IF(COUNTIF(AX:AX,"*"&amp;M36&amp;"*")&gt;0,1,0)</f>
        <v>1</v>
      </c>
      <c r="AM36" s="30"/>
      <c r="AN36" s="32"/>
      <c r="AO36" s="32"/>
      <c r="AP36" s="32">
        <v>1</v>
      </c>
      <c r="AQ36" s="32">
        <v>1</v>
      </c>
      <c r="AR36" s="32"/>
      <c r="AS36" s="32"/>
      <c r="AT36" s="32">
        <v>1</v>
      </c>
      <c r="AU36" s="30"/>
      <c r="AV36" s="30"/>
      <c r="AW36" s="30"/>
      <c r="AX36" s="30" t="s">
        <v>12813</v>
      </c>
      <c r="AY36" s="30"/>
    </row>
    <row r="37" spans="1:51">
      <c r="A37" s="25" t="s">
        <v>12814</v>
      </c>
      <c r="B37" s="25" t="s">
        <v>4398</v>
      </c>
      <c r="C37" s="25" t="s">
        <v>68</v>
      </c>
      <c r="D37" s="25" t="s">
        <v>12815</v>
      </c>
      <c r="E37" s="258" t="s">
        <v>12816</v>
      </c>
      <c r="F37" s="25" t="s">
        <v>12817</v>
      </c>
      <c r="G37" s="25" t="s">
        <v>5516</v>
      </c>
      <c r="H37" s="25" t="s">
        <v>11489</v>
      </c>
      <c r="I37" s="25" t="s">
        <v>4402</v>
      </c>
      <c r="J37" s="25" t="s">
        <v>11490</v>
      </c>
      <c r="K37" s="25">
        <v>8.2100000000000009</v>
      </c>
      <c r="L37" s="25" t="s">
        <v>73</v>
      </c>
      <c r="M37" s="25" t="s">
        <v>12818</v>
      </c>
      <c r="N37" s="25" t="s">
        <v>12819</v>
      </c>
      <c r="O37" t="s">
        <v>12820</v>
      </c>
      <c r="P37" s="28"/>
      <c r="Q37" s="53">
        <v>4</v>
      </c>
      <c r="R37" s="53">
        <v>16</v>
      </c>
      <c r="S37" s="53">
        <v>416.51</v>
      </c>
      <c r="T37" s="26" t="s">
        <v>138</v>
      </c>
      <c r="U37" s="30" t="s">
        <v>78</v>
      </c>
      <c r="V37" s="26" t="s">
        <v>139</v>
      </c>
      <c r="W37" s="26" t="s">
        <v>439</v>
      </c>
      <c r="X37" s="26" t="s">
        <v>131</v>
      </c>
      <c r="Y37" s="26" t="s">
        <v>141</v>
      </c>
      <c r="Z37" s="26" t="s">
        <v>141</v>
      </c>
      <c r="AA37" s="26"/>
      <c r="AB37" s="31" t="s">
        <v>9</v>
      </c>
      <c r="AC37" s="30" t="s">
        <v>172</v>
      </c>
      <c r="AD37" s="25" t="s">
        <v>173</v>
      </c>
      <c r="AE37" s="25" t="s">
        <v>174</v>
      </c>
      <c r="AF37" s="26" t="s">
        <v>175</v>
      </c>
      <c r="AG37" s="32">
        <v>1</v>
      </c>
      <c r="AH37" s="32">
        <v>1</v>
      </c>
      <c r="AI37" s="32"/>
      <c r="AJ37" s="32"/>
      <c r="AK37" s="30"/>
      <c r="AL37" s="32">
        <f t="shared" si="1"/>
        <v>1</v>
      </c>
      <c r="AM37" s="30"/>
      <c r="AN37" s="32"/>
      <c r="AO37" s="32"/>
      <c r="AP37" s="32">
        <v>1</v>
      </c>
      <c r="AQ37" s="32">
        <v>1</v>
      </c>
      <c r="AR37" s="32"/>
      <c r="AS37" s="32"/>
      <c r="AT37" s="32">
        <v>1</v>
      </c>
      <c r="AU37" s="30"/>
      <c r="AV37" s="30"/>
      <c r="AW37" s="30"/>
      <c r="AX37" s="30" t="s">
        <v>12821</v>
      </c>
      <c r="AY37" s="30"/>
    </row>
    <row r="38" spans="1:51">
      <c r="A38" s="25" t="s">
        <v>12822</v>
      </c>
      <c r="B38" s="25" t="s">
        <v>4398</v>
      </c>
      <c r="C38" s="25" t="s">
        <v>68</v>
      </c>
      <c r="D38" s="25" t="s">
        <v>12823</v>
      </c>
      <c r="E38" s="258" t="s">
        <v>12824</v>
      </c>
      <c r="F38" s="25" t="s">
        <v>12825</v>
      </c>
      <c r="G38" s="25" t="s">
        <v>5516</v>
      </c>
      <c r="H38" s="25" t="s">
        <v>11489</v>
      </c>
      <c r="I38" s="25" t="s">
        <v>4402</v>
      </c>
      <c r="J38" s="25" t="s">
        <v>11490</v>
      </c>
      <c r="K38" s="25">
        <v>8.2100000000000009</v>
      </c>
      <c r="L38" s="25" t="s">
        <v>73</v>
      </c>
      <c r="M38" s="25" t="s">
        <v>12826</v>
      </c>
      <c r="N38" s="25" t="s">
        <v>12827</v>
      </c>
      <c r="O38" t="s">
        <v>12828</v>
      </c>
      <c r="P38" s="28"/>
      <c r="Q38" s="53">
        <v>4</v>
      </c>
      <c r="R38" s="53">
        <v>16</v>
      </c>
      <c r="S38" s="53">
        <v>316.76</v>
      </c>
      <c r="T38" s="26" t="s">
        <v>138</v>
      </c>
      <c r="U38" s="30" t="s">
        <v>78</v>
      </c>
      <c r="V38" s="26" t="s">
        <v>139</v>
      </c>
      <c r="W38" s="26" t="s">
        <v>584</v>
      </c>
      <c r="X38" s="26" t="s">
        <v>131</v>
      </c>
      <c r="Y38" s="26" t="s">
        <v>141</v>
      </c>
      <c r="Z38" s="26" t="s">
        <v>141</v>
      </c>
      <c r="AA38" s="26"/>
      <c r="AB38" s="31" t="s">
        <v>11</v>
      </c>
      <c r="AC38" s="30" t="s">
        <v>172</v>
      </c>
      <c r="AD38" s="25" t="s">
        <v>173</v>
      </c>
      <c r="AE38" s="25" t="s">
        <v>174</v>
      </c>
      <c r="AF38" s="26" t="s">
        <v>175</v>
      </c>
      <c r="AG38" s="32">
        <v>1</v>
      </c>
      <c r="AH38" s="32">
        <v>1</v>
      </c>
      <c r="AI38" s="32"/>
      <c r="AJ38" s="32"/>
      <c r="AK38" s="30"/>
      <c r="AL38" s="32">
        <f t="shared" si="1"/>
        <v>1</v>
      </c>
      <c r="AM38" s="30"/>
      <c r="AN38" s="32"/>
      <c r="AO38" s="32"/>
      <c r="AP38" s="32">
        <v>1</v>
      </c>
      <c r="AQ38" s="32">
        <v>1</v>
      </c>
      <c r="AR38" s="32"/>
      <c r="AS38" s="32"/>
      <c r="AT38" s="32">
        <v>1</v>
      </c>
      <c r="AU38" s="30"/>
      <c r="AV38" s="30"/>
      <c r="AW38" s="30"/>
      <c r="AX38" s="30" t="s">
        <v>12829</v>
      </c>
      <c r="AY38" s="30"/>
    </row>
    <row r="39" spans="1:51">
      <c r="A39" s="25" t="s">
        <v>12830</v>
      </c>
      <c r="B39" s="25" t="s">
        <v>4398</v>
      </c>
      <c r="C39" s="25" t="s">
        <v>68</v>
      </c>
      <c r="D39" s="25" t="s">
        <v>12831</v>
      </c>
      <c r="E39" s="258" t="s">
        <v>12832</v>
      </c>
      <c r="F39" s="25" t="s">
        <v>12833</v>
      </c>
      <c r="G39" s="25" t="s">
        <v>5516</v>
      </c>
      <c r="H39" s="25" t="s">
        <v>11489</v>
      </c>
      <c r="I39" s="25" t="s">
        <v>4402</v>
      </c>
      <c r="J39" s="25" t="s">
        <v>11490</v>
      </c>
      <c r="K39" s="25">
        <v>8.2100000000000009</v>
      </c>
      <c r="L39" s="25" t="s">
        <v>73</v>
      </c>
      <c r="M39" s="25" t="s">
        <v>12834</v>
      </c>
      <c r="N39" s="25" t="s">
        <v>12835</v>
      </c>
      <c r="O39" t="s">
        <v>12836</v>
      </c>
      <c r="P39" s="28"/>
      <c r="Q39" s="53">
        <v>4</v>
      </c>
      <c r="R39" s="53">
        <v>16</v>
      </c>
      <c r="S39" s="53">
        <v>266.13</v>
      </c>
      <c r="T39" s="26" t="s">
        <v>138</v>
      </c>
      <c r="U39" s="30" t="s">
        <v>78</v>
      </c>
      <c r="V39" s="26" t="s">
        <v>139</v>
      </c>
      <c r="W39" s="38" t="s">
        <v>584</v>
      </c>
      <c r="X39" s="26" t="s">
        <v>131</v>
      </c>
      <c r="Y39" s="26" t="s">
        <v>141</v>
      </c>
      <c r="Z39" s="26" t="s">
        <v>141</v>
      </c>
      <c r="AA39" s="26"/>
      <c r="AB39" s="31" t="s">
        <v>11</v>
      </c>
      <c r="AC39" s="30" t="s">
        <v>172</v>
      </c>
      <c r="AD39" s="25" t="s">
        <v>173</v>
      </c>
      <c r="AE39" s="25" t="s">
        <v>174</v>
      </c>
      <c r="AF39" s="26" t="s">
        <v>175</v>
      </c>
      <c r="AG39" s="32">
        <v>1</v>
      </c>
      <c r="AH39" s="32">
        <v>1</v>
      </c>
      <c r="AI39" s="32"/>
      <c r="AJ39" s="32"/>
      <c r="AK39" s="30"/>
      <c r="AL39" s="32">
        <f t="shared" si="1"/>
        <v>1</v>
      </c>
      <c r="AM39" s="30"/>
      <c r="AN39" s="32"/>
      <c r="AO39" s="32"/>
      <c r="AP39" s="32">
        <v>1</v>
      </c>
      <c r="AQ39" s="32">
        <v>1</v>
      </c>
      <c r="AR39" s="32"/>
      <c r="AS39" s="32"/>
      <c r="AT39" s="32">
        <v>1</v>
      </c>
      <c r="AU39" s="30"/>
      <c r="AV39" s="30"/>
      <c r="AW39" s="30"/>
      <c r="AX39" s="30" t="s">
        <v>12837</v>
      </c>
      <c r="AY39" s="30"/>
    </row>
    <row r="40" spans="1:51">
      <c r="A40" s="25" t="s">
        <v>12838</v>
      </c>
      <c r="B40" s="25" t="s">
        <v>4398</v>
      </c>
      <c r="C40" s="25" t="s">
        <v>68</v>
      </c>
      <c r="D40" s="25" t="s">
        <v>12839</v>
      </c>
      <c r="E40" s="258" t="s">
        <v>12840</v>
      </c>
      <c r="F40" s="25" t="s">
        <v>12841</v>
      </c>
      <c r="G40" s="25" t="s">
        <v>5516</v>
      </c>
      <c r="H40" s="25" t="s">
        <v>11489</v>
      </c>
      <c r="I40" s="25" t="s">
        <v>4402</v>
      </c>
      <c r="J40" s="25" t="s">
        <v>11490</v>
      </c>
      <c r="K40" s="25">
        <v>8.2100000000000009</v>
      </c>
      <c r="L40" s="25" t="s">
        <v>73</v>
      </c>
      <c r="M40" s="25" t="s">
        <v>12842</v>
      </c>
      <c r="N40" s="25" t="s">
        <v>12843</v>
      </c>
      <c r="O40" t="s">
        <v>12844</v>
      </c>
      <c r="P40" s="28"/>
      <c r="Q40" s="53">
        <v>4</v>
      </c>
      <c r="R40" s="53">
        <v>16</v>
      </c>
      <c r="S40" s="53">
        <v>267.35000000000002</v>
      </c>
      <c r="T40" s="26" t="s">
        <v>138</v>
      </c>
      <c r="U40" s="30" t="s">
        <v>78</v>
      </c>
      <c r="V40" s="26" t="s">
        <v>139</v>
      </c>
      <c r="W40" s="38" t="s">
        <v>584</v>
      </c>
      <c r="X40" s="26" t="s">
        <v>131</v>
      </c>
      <c r="Y40" s="26" t="s">
        <v>141</v>
      </c>
      <c r="Z40" s="26" t="s">
        <v>141</v>
      </c>
      <c r="AA40" s="26"/>
      <c r="AB40" s="31" t="s">
        <v>11</v>
      </c>
      <c r="AC40" s="30" t="s">
        <v>172</v>
      </c>
      <c r="AD40" s="25" t="s">
        <v>173</v>
      </c>
      <c r="AE40" s="25" t="s">
        <v>174</v>
      </c>
      <c r="AF40" s="26" t="s">
        <v>175</v>
      </c>
      <c r="AG40" s="32">
        <v>1</v>
      </c>
      <c r="AH40" s="32">
        <v>1</v>
      </c>
      <c r="AI40" s="32"/>
      <c r="AJ40" s="32"/>
      <c r="AK40" s="30"/>
      <c r="AL40" s="32">
        <f t="shared" si="1"/>
        <v>1</v>
      </c>
      <c r="AM40" s="30"/>
      <c r="AN40" s="32"/>
      <c r="AO40" s="32"/>
      <c r="AP40" s="32">
        <v>1</v>
      </c>
      <c r="AQ40" s="32">
        <v>1</v>
      </c>
      <c r="AR40" s="32"/>
      <c r="AS40" s="32"/>
      <c r="AT40" s="32">
        <v>1</v>
      </c>
      <c r="AU40" s="30"/>
      <c r="AV40" s="30"/>
      <c r="AW40" s="30"/>
      <c r="AX40" s="30" t="s">
        <v>12845</v>
      </c>
      <c r="AY40" s="30"/>
    </row>
    <row r="41" spans="1:51">
      <c r="A41" s="25" t="s">
        <v>12846</v>
      </c>
      <c r="B41" s="25" t="s">
        <v>4398</v>
      </c>
      <c r="C41" s="25" t="s">
        <v>68</v>
      </c>
      <c r="D41" s="25" t="s">
        <v>12847</v>
      </c>
      <c r="E41" s="258" t="s">
        <v>12848</v>
      </c>
      <c r="F41" s="25" t="s">
        <v>12849</v>
      </c>
      <c r="G41" s="25" t="s">
        <v>5516</v>
      </c>
      <c r="H41" s="25" t="s">
        <v>11489</v>
      </c>
      <c r="I41" s="25" t="s">
        <v>4402</v>
      </c>
      <c r="J41" s="25" t="s">
        <v>11490</v>
      </c>
      <c r="K41" s="25">
        <v>8.2100000000000009</v>
      </c>
      <c r="L41" s="25" t="s">
        <v>73</v>
      </c>
      <c r="M41" s="25" t="s">
        <v>12850</v>
      </c>
      <c r="N41" s="25" t="s">
        <v>12851</v>
      </c>
      <c r="O41" t="s">
        <v>12852</v>
      </c>
      <c r="P41" s="28"/>
      <c r="Q41" s="53">
        <v>4</v>
      </c>
      <c r="R41" s="53">
        <v>16</v>
      </c>
      <c r="S41" s="53">
        <v>266.83</v>
      </c>
      <c r="T41" s="26" t="s">
        <v>138</v>
      </c>
      <c r="U41" s="30" t="s">
        <v>78</v>
      </c>
      <c r="V41" s="26" t="s">
        <v>139</v>
      </c>
      <c r="W41" s="38" t="s">
        <v>584</v>
      </c>
      <c r="X41" s="26" t="s">
        <v>131</v>
      </c>
      <c r="Y41" s="26" t="s">
        <v>141</v>
      </c>
      <c r="Z41" s="26" t="s">
        <v>141</v>
      </c>
      <c r="AA41" s="26"/>
      <c r="AB41" s="31" t="s">
        <v>11</v>
      </c>
      <c r="AC41" s="30" t="s">
        <v>172</v>
      </c>
      <c r="AD41" s="25" t="s">
        <v>173</v>
      </c>
      <c r="AE41" s="25" t="s">
        <v>174</v>
      </c>
      <c r="AF41" s="26" t="s">
        <v>175</v>
      </c>
      <c r="AG41" s="32">
        <v>1</v>
      </c>
      <c r="AH41" s="32">
        <v>1</v>
      </c>
      <c r="AI41" s="32"/>
      <c r="AJ41" s="32"/>
      <c r="AK41" s="30"/>
      <c r="AL41" s="32">
        <f t="shared" si="1"/>
        <v>1</v>
      </c>
      <c r="AM41" s="30"/>
      <c r="AN41" s="32"/>
      <c r="AO41" s="32"/>
      <c r="AP41" s="32">
        <v>1</v>
      </c>
      <c r="AQ41" s="32">
        <v>1</v>
      </c>
      <c r="AR41" s="32"/>
      <c r="AS41" s="32"/>
      <c r="AT41" s="32">
        <v>1</v>
      </c>
      <c r="AU41" s="30"/>
      <c r="AV41" s="30"/>
      <c r="AW41" s="30"/>
      <c r="AX41" s="30" t="s">
        <v>12853</v>
      </c>
      <c r="AY41" s="30"/>
    </row>
    <row r="42" spans="1:51">
      <c r="A42" s="25" t="s">
        <v>12854</v>
      </c>
      <c r="B42" s="25" t="s">
        <v>4398</v>
      </c>
      <c r="C42" s="25" t="s">
        <v>68</v>
      </c>
      <c r="D42" s="25" t="s">
        <v>12855</v>
      </c>
      <c r="E42" s="258" t="s">
        <v>12856</v>
      </c>
      <c r="F42" s="25" t="s">
        <v>12857</v>
      </c>
      <c r="G42" s="25" t="s">
        <v>5516</v>
      </c>
      <c r="H42" s="25" t="s">
        <v>11489</v>
      </c>
      <c r="I42" s="25" t="s">
        <v>4402</v>
      </c>
      <c r="J42" s="25" t="s">
        <v>11490</v>
      </c>
      <c r="K42" s="25">
        <v>8.2100000000000009</v>
      </c>
      <c r="L42" s="25" t="s">
        <v>73</v>
      </c>
      <c r="M42" s="25" t="s">
        <v>12858</v>
      </c>
      <c r="N42" s="25" t="s">
        <v>12859</v>
      </c>
      <c r="O42" t="s">
        <v>12860</v>
      </c>
      <c r="P42" s="28"/>
      <c r="Q42" s="53">
        <v>8</v>
      </c>
      <c r="R42" s="53">
        <v>32</v>
      </c>
      <c r="S42" s="53">
        <v>302.51</v>
      </c>
      <c r="T42" s="26" t="s">
        <v>138</v>
      </c>
      <c r="U42" s="30" t="s">
        <v>78</v>
      </c>
      <c r="V42" s="26" t="s">
        <v>139</v>
      </c>
      <c r="W42" s="38" t="s">
        <v>584</v>
      </c>
      <c r="X42" s="26" t="s">
        <v>131</v>
      </c>
      <c r="Y42" s="26" t="s">
        <v>141</v>
      </c>
      <c r="Z42" s="26" t="s">
        <v>141</v>
      </c>
      <c r="AA42" s="26"/>
      <c r="AB42" s="31" t="s">
        <v>11</v>
      </c>
      <c r="AC42" s="30" t="s">
        <v>172</v>
      </c>
      <c r="AD42" s="25" t="s">
        <v>173</v>
      </c>
      <c r="AE42" s="25" t="s">
        <v>174</v>
      </c>
      <c r="AF42" s="26" t="s">
        <v>175</v>
      </c>
      <c r="AG42" s="32">
        <v>1</v>
      </c>
      <c r="AH42" s="32">
        <v>1</v>
      </c>
      <c r="AI42" s="32"/>
      <c r="AJ42" s="32"/>
      <c r="AK42" s="30"/>
      <c r="AL42" s="32">
        <f t="shared" si="1"/>
        <v>1</v>
      </c>
      <c r="AM42" s="30"/>
      <c r="AN42" s="32"/>
      <c r="AO42" s="32"/>
      <c r="AP42" s="32">
        <v>1</v>
      </c>
      <c r="AQ42" s="32">
        <v>1</v>
      </c>
      <c r="AR42" s="32"/>
      <c r="AS42" s="32"/>
      <c r="AT42" s="32">
        <v>1</v>
      </c>
      <c r="AU42" s="30"/>
      <c r="AV42" s="30"/>
      <c r="AW42" s="30"/>
      <c r="AX42" s="30" t="s">
        <v>12861</v>
      </c>
      <c r="AY42" s="30"/>
    </row>
    <row r="43" spans="1:51">
      <c r="A43" s="25" t="s">
        <v>12862</v>
      </c>
      <c r="B43" s="25" t="s">
        <v>4398</v>
      </c>
      <c r="C43" s="25" t="s">
        <v>68</v>
      </c>
      <c r="D43" s="25" t="s">
        <v>12863</v>
      </c>
      <c r="E43" s="258" t="s">
        <v>12864</v>
      </c>
      <c r="F43" s="25" t="s">
        <v>12865</v>
      </c>
      <c r="G43" s="25" t="s">
        <v>5516</v>
      </c>
      <c r="H43" s="25" t="s">
        <v>11489</v>
      </c>
      <c r="I43" s="25" t="s">
        <v>4402</v>
      </c>
      <c r="J43" s="25" t="s">
        <v>11490</v>
      </c>
      <c r="K43" s="25">
        <v>8.2100000000000009</v>
      </c>
      <c r="L43" s="25" t="s">
        <v>73</v>
      </c>
      <c r="M43" s="25" t="s">
        <v>12866</v>
      </c>
      <c r="N43" s="25" t="s">
        <v>12867</v>
      </c>
      <c r="O43" t="s">
        <v>12868</v>
      </c>
      <c r="P43" s="28"/>
      <c r="Q43" s="53">
        <v>4</v>
      </c>
      <c r="R43" s="53">
        <v>16</v>
      </c>
      <c r="S43" s="53">
        <v>317.33999999999997</v>
      </c>
      <c r="T43" s="26" t="s">
        <v>138</v>
      </c>
      <c r="U43" s="30" t="s">
        <v>78</v>
      </c>
      <c r="V43" s="26" t="s">
        <v>139</v>
      </c>
      <c r="W43" s="38" t="s">
        <v>584</v>
      </c>
      <c r="X43" s="26" t="s">
        <v>131</v>
      </c>
      <c r="Y43" s="26" t="s">
        <v>141</v>
      </c>
      <c r="Z43" s="26" t="s">
        <v>141</v>
      </c>
      <c r="AA43" s="26"/>
      <c r="AB43" s="31" t="s">
        <v>11</v>
      </c>
      <c r="AC43" s="30" t="s">
        <v>172</v>
      </c>
      <c r="AD43" s="25" t="s">
        <v>173</v>
      </c>
      <c r="AE43" s="25" t="s">
        <v>174</v>
      </c>
      <c r="AF43" s="26" t="s">
        <v>175</v>
      </c>
      <c r="AG43" s="32">
        <v>1</v>
      </c>
      <c r="AH43" s="32">
        <v>1</v>
      </c>
      <c r="AI43" s="32"/>
      <c r="AJ43" s="32"/>
      <c r="AK43" s="30"/>
      <c r="AL43" s="32">
        <f t="shared" si="1"/>
        <v>1</v>
      </c>
      <c r="AM43" s="30"/>
      <c r="AN43" s="32"/>
      <c r="AO43" s="32"/>
      <c r="AP43" s="32">
        <v>1</v>
      </c>
      <c r="AQ43" s="32">
        <v>1</v>
      </c>
      <c r="AR43" s="32"/>
      <c r="AS43" s="32"/>
      <c r="AT43" s="32">
        <v>1</v>
      </c>
      <c r="AU43" s="30"/>
      <c r="AV43" s="30"/>
      <c r="AW43" s="30"/>
      <c r="AX43" s="30" t="s">
        <v>12869</v>
      </c>
      <c r="AY43" s="30"/>
    </row>
    <row r="44" spans="1:51">
      <c r="A44" s="25" t="s">
        <v>12870</v>
      </c>
      <c r="B44" s="25" t="s">
        <v>4398</v>
      </c>
      <c r="C44" s="25" t="s">
        <v>68</v>
      </c>
      <c r="D44" s="25" t="s">
        <v>12871</v>
      </c>
      <c r="E44" s="258" t="s">
        <v>12872</v>
      </c>
      <c r="F44" s="25" t="s">
        <v>12873</v>
      </c>
      <c r="G44" s="25" t="s">
        <v>5516</v>
      </c>
      <c r="H44" s="25" t="s">
        <v>11489</v>
      </c>
      <c r="I44" s="25" t="s">
        <v>4402</v>
      </c>
      <c r="J44" s="25" t="s">
        <v>11490</v>
      </c>
      <c r="K44" s="25">
        <v>8.2100000000000009</v>
      </c>
      <c r="L44" s="25" t="s">
        <v>73</v>
      </c>
      <c r="M44" s="25" t="s">
        <v>12874</v>
      </c>
      <c r="N44" s="25" t="s">
        <v>12875</v>
      </c>
      <c r="O44" t="s">
        <v>12876</v>
      </c>
      <c r="P44" s="28"/>
      <c r="Q44" s="53">
        <v>4</v>
      </c>
      <c r="R44" s="53">
        <v>16</v>
      </c>
      <c r="S44" s="53">
        <v>267.35000000000002</v>
      </c>
      <c r="T44" s="26" t="s">
        <v>138</v>
      </c>
      <c r="U44" s="30" t="s">
        <v>78</v>
      </c>
      <c r="V44" s="26" t="s">
        <v>139</v>
      </c>
      <c r="W44" s="38" t="s">
        <v>584</v>
      </c>
      <c r="X44" s="26" t="s">
        <v>131</v>
      </c>
      <c r="Y44" s="26" t="s">
        <v>141</v>
      </c>
      <c r="Z44" s="26" t="s">
        <v>141</v>
      </c>
      <c r="AA44" s="26"/>
      <c r="AB44" s="31" t="s">
        <v>11</v>
      </c>
      <c r="AC44" s="30" t="s">
        <v>172</v>
      </c>
      <c r="AD44" s="25" t="s">
        <v>173</v>
      </c>
      <c r="AE44" s="25" t="s">
        <v>174</v>
      </c>
      <c r="AF44" s="26" t="s">
        <v>175</v>
      </c>
      <c r="AG44" s="32">
        <v>1</v>
      </c>
      <c r="AH44" s="32">
        <v>1</v>
      </c>
      <c r="AI44" s="32"/>
      <c r="AJ44" s="32"/>
      <c r="AK44" s="30"/>
      <c r="AL44" s="32">
        <f t="shared" si="1"/>
        <v>1</v>
      </c>
      <c r="AM44" s="30"/>
      <c r="AN44" s="32"/>
      <c r="AO44" s="32"/>
      <c r="AP44" s="32">
        <v>1</v>
      </c>
      <c r="AQ44" s="32">
        <v>1</v>
      </c>
      <c r="AR44" s="32"/>
      <c r="AS44" s="32"/>
      <c r="AT44" s="32">
        <v>1</v>
      </c>
      <c r="AU44" s="30"/>
      <c r="AV44" s="30"/>
      <c r="AW44" s="30"/>
      <c r="AX44" s="30" t="s">
        <v>12877</v>
      </c>
      <c r="AY44" s="30"/>
    </row>
    <row r="45" spans="1:51">
      <c r="A45" s="25" t="s">
        <v>12878</v>
      </c>
      <c r="B45" s="25" t="s">
        <v>4398</v>
      </c>
      <c r="C45" s="25" t="s">
        <v>68</v>
      </c>
      <c r="D45" s="25" t="s">
        <v>12879</v>
      </c>
      <c r="E45" s="258" t="s">
        <v>12880</v>
      </c>
      <c r="F45" s="25" t="s">
        <v>12881</v>
      </c>
      <c r="G45" s="25" t="s">
        <v>5516</v>
      </c>
      <c r="H45" s="25" t="s">
        <v>11489</v>
      </c>
      <c r="I45" s="25" t="s">
        <v>4402</v>
      </c>
      <c r="J45" s="25" t="s">
        <v>11490</v>
      </c>
      <c r="K45" s="25">
        <v>8.2100000000000009</v>
      </c>
      <c r="L45" s="25" t="s">
        <v>73</v>
      </c>
      <c r="M45" s="25" t="s">
        <v>12882</v>
      </c>
      <c r="N45" s="25" t="s">
        <v>12883</v>
      </c>
      <c r="O45" t="s">
        <v>12884</v>
      </c>
      <c r="P45" s="28"/>
      <c r="Q45" s="53">
        <v>4</v>
      </c>
      <c r="R45" s="53">
        <v>16</v>
      </c>
      <c r="S45" s="53">
        <v>267.12</v>
      </c>
      <c r="T45" s="26" t="s">
        <v>138</v>
      </c>
      <c r="U45" s="30" t="s">
        <v>78</v>
      </c>
      <c r="V45" s="26" t="s">
        <v>139</v>
      </c>
      <c r="W45" s="38" t="s">
        <v>584</v>
      </c>
      <c r="X45" s="26" t="s">
        <v>131</v>
      </c>
      <c r="Y45" s="26" t="s">
        <v>141</v>
      </c>
      <c r="Z45" s="26" t="s">
        <v>141</v>
      </c>
      <c r="AA45" s="26"/>
      <c r="AB45" s="31" t="s">
        <v>11</v>
      </c>
      <c r="AC45" s="30" t="s">
        <v>172</v>
      </c>
      <c r="AD45" s="25" t="s">
        <v>173</v>
      </c>
      <c r="AE45" s="25" t="s">
        <v>174</v>
      </c>
      <c r="AF45" s="26" t="s">
        <v>175</v>
      </c>
      <c r="AG45" s="32">
        <v>1</v>
      </c>
      <c r="AH45" s="32">
        <v>1</v>
      </c>
      <c r="AI45" s="32"/>
      <c r="AJ45" s="32"/>
      <c r="AK45" s="30"/>
      <c r="AL45" s="32">
        <f t="shared" si="1"/>
        <v>1</v>
      </c>
      <c r="AM45" s="30"/>
      <c r="AN45" s="32"/>
      <c r="AO45" s="32"/>
      <c r="AP45" s="32">
        <v>1</v>
      </c>
      <c r="AQ45" s="32">
        <v>1</v>
      </c>
      <c r="AR45" s="32"/>
      <c r="AS45" s="30"/>
      <c r="AT45" s="32">
        <v>1</v>
      </c>
      <c r="AU45" s="30"/>
      <c r="AV45" s="30"/>
      <c r="AW45" s="30"/>
      <c r="AX45" s="30" t="s">
        <v>12885</v>
      </c>
      <c r="AY45" s="30"/>
    </row>
    <row r="46" spans="1:51">
      <c r="A46" s="25" t="s">
        <v>12886</v>
      </c>
      <c r="B46" s="25" t="s">
        <v>4398</v>
      </c>
      <c r="C46" s="25" t="s">
        <v>68</v>
      </c>
      <c r="D46" s="25" t="s">
        <v>12887</v>
      </c>
      <c r="E46" s="258" t="s">
        <v>12888</v>
      </c>
      <c r="F46" s="25" t="s">
        <v>12889</v>
      </c>
      <c r="G46" s="25" t="s">
        <v>5516</v>
      </c>
      <c r="H46" s="25" t="s">
        <v>11489</v>
      </c>
      <c r="I46" s="25" t="s">
        <v>4402</v>
      </c>
      <c r="J46" s="25" t="s">
        <v>11490</v>
      </c>
      <c r="K46" s="54" t="s">
        <v>11500</v>
      </c>
      <c r="L46" s="25" t="s">
        <v>73</v>
      </c>
      <c r="M46" s="25" t="s">
        <v>12890</v>
      </c>
      <c r="N46" s="25" t="s">
        <v>12891</v>
      </c>
      <c r="O46" t="s">
        <v>12892</v>
      </c>
      <c r="P46" s="55" t="s">
        <v>11500</v>
      </c>
      <c r="Q46" s="53">
        <v>4</v>
      </c>
      <c r="R46" s="53">
        <v>16</v>
      </c>
      <c r="S46" s="53">
        <v>266.11</v>
      </c>
      <c r="T46" s="26"/>
      <c r="U46" s="30"/>
      <c r="V46" s="26"/>
      <c r="W46" s="38"/>
      <c r="X46" s="26"/>
      <c r="Y46" s="26"/>
      <c r="Z46" s="26"/>
      <c r="AA46" s="26"/>
      <c r="AB46" s="31" t="s">
        <v>11</v>
      </c>
      <c r="AC46" s="30" t="s">
        <v>172</v>
      </c>
      <c r="AD46" s="25" t="s">
        <v>173</v>
      </c>
      <c r="AE46" s="25" t="s">
        <v>174</v>
      </c>
      <c r="AF46" s="26" t="s">
        <v>175</v>
      </c>
      <c r="AG46" s="32">
        <v>1</v>
      </c>
      <c r="AH46" s="32">
        <v>1</v>
      </c>
      <c r="AI46" s="32"/>
      <c r="AJ46" s="32"/>
      <c r="AK46" s="30"/>
      <c r="AL46" s="32"/>
      <c r="AM46" s="30"/>
      <c r="AN46" s="32"/>
      <c r="AO46" s="32"/>
      <c r="AP46" s="32"/>
      <c r="AQ46" s="32"/>
      <c r="AR46" s="32"/>
      <c r="AS46" s="32"/>
      <c r="AT46" s="32"/>
      <c r="AU46" s="30"/>
      <c r="AV46" s="30"/>
      <c r="AW46" s="30"/>
      <c r="AX46" s="30"/>
      <c r="AY46" s="30"/>
    </row>
    <row r="47" spans="1:51">
      <c r="A47" s="25" t="s">
        <v>12893</v>
      </c>
      <c r="B47" s="25" t="s">
        <v>4398</v>
      </c>
      <c r="C47" s="25" t="s">
        <v>68</v>
      </c>
      <c r="D47" s="25" t="s">
        <v>12894</v>
      </c>
      <c r="E47" s="258" t="s">
        <v>12895</v>
      </c>
      <c r="F47" s="25" t="s">
        <v>12896</v>
      </c>
      <c r="G47" s="25" t="s">
        <v>5516</v>
      </c>
      <c r="H47" s="25" t="s">
        <v>11489</v>
      </c>
      <c r="I47" s="25" t="s">
        <v>4402</v>
      </c>
      <c r="J47" s="25" t="s">
        <v>11490</v>
      </c>
      <c r="K47" s="25">
        <v>8.2100000000000009</v>
      </c>
      <c r="L47" s="25" t="s">
        <v>73</v>
      </c>
      <c r="M47" s="25" t="s">
        <v>12897</v>
      </c>
      <c r="N47" s="25" t="s">
        <v>12898</v>
      </c>
      <c r="O47" t="s">
        <v>12899</v>
      </c>
      <c r="P47" s="28"/>
      <c r="Q47" s="53">
        <v>4</v>
      </c>
      <c r="R47" s="53">
        <v>16</v>
      </c>
      <c r="S47" s="53">
        <v>266.57</v>
      </c>
      <c r="T47" s="26" t="s">
        <v>138</v>
      </c>
      <c r="U47" s="30" t="s">
        <v>78</v>
      </c>
      <c r="V47" s="26" t="s">
        <v>139</v>
      </c>
      <c r="W47" s="38" t="s">
        <v>584</v>
      </c>
      <c r="X47" s="26" t="s">
        <v>131</v>
      </c>
      <c r="Y47" s="26" t="s">
        <v>141</v>
      </c>
      <c r="Z47" s="26" t="s">
        <v>141</v>
      </c>
      <c r="AA47" s="26"/>
      <c r="AB47" s="31" t="s">
        <v>11</v>
      </c>
      <c r="AC47" s="30" t="s">
        <v>172</v>
      </c>
      <c r="AD47" s="25" t="s">
        <v>173</v>
      </c>
      <c r="AE47" s="25" t="s">
        <v>174</v>
      </c>
      <c r="AF47" s="26" t="s">
        <v>175</v>
      </c>
      <c r="AG47" s="32">
        <v>1</v>
      </c>
      <c r="AH47" s="32">
        <v>1</v>
      </c>
      <c r="AI47" s="32"/>
      <c r="AJ47" s="32"/>
      <c r="AK47" s="30"/>
      <c r="AL47" s="32">
        <f>IF(COUNTIF(AX:AX,"*"&amp;M47&amp;"*")&gt;0,1,0)</f>
        <v>1</v>
      </c>
      <c r="AM47" s="30"/>
      <c r="AN47" s="32"/>
      <c r="AO47" s="32"/>
      <c r="AP47" s="32">
        <v>1</v>
      </c>
      <c r="AQ47" s="32">
        <v>1</v>
      </c>
      <c r="AR47" s="32"/>
      <c r="AS47" s="32"/>
      <c r="AT47" s="32">
        <v>1</v>
      </c>
      <c r="AU47" s="30"/>
      <c r="AV47" s="30"/>
      <c r="AW47" s="30"/>
      <c r="AX47" s="30" t="s">
        <v>12900</v>
      </c>
      <c r="AY47" s="30"/>
    </row>
    <row r="48" spans="1:51">
      <c r="A48" s="25" t="s">
        <v>12901</v>
      </c>
      <c r="B48" s="25" t="s">
        <v>4398</v>
      </c>
      <c r="C48" s="25" t="s">
        <v>68</v>
      </c>
      <c r="D48" s="25" t="s">
        <v>12902</v>
      </c>
      <c r="E48" s="258" t="s">
        <v>12903</v>
      </c>
      <c r="F48" s="25" t="s">
        <v>12904</v>
      </c>
      <c r="G48" s="25" t="s">
        <v>5516</v>
      </c>
      <c r="H48" s="25" t="s">
        <v>11489</v>
      </c>
      <c r="I48" s="25" t="s">
        <v>4402</v>
      </c>
      <c r="J48" s="25" t="s">
        <v>11490</v>
      </c>
      <c r="K48" s="25">
        <v>8.2100000000000009</v>
      </c>
      <c r="L48" s="25" t="s">
        <v>73</v>
      </c>
      <c r="M48" s="25" t="s">
        <v>12905</v>
      </c>
      <c r="N48" s="25" t="s">
        <v>12906</v>
      </c>
      <c r="O48" t="s">
        <v>12907</v>
      </c>
      <c r="P48" s="28"/>
      <c r="Q48" s="53">
        <v>4</v>
      </c>
      <c r="R48" s="53">
        <v>16</v>
      </c>
      <c r="S48" s="53">
        <v>286.58</v>
      </c>
      <c r="T48" s="26" t="s">
        <v>138</v>
      </c>
      <c r="U48" s="30" t="s">
        <v>78</v>
      </c>
      <c r="V48" s="26" t="s">
        <v>139</v>
      </c>
      <c r="W48" s="38" t="s">
        <v>584</v>
      </c>
      <c r="X48" s="26" t="s">
        <v>131</v>
      </c>
      <c r="Y48" s="26" t="s">
        <v>141</v>
      </c>
      <c r="Z48" s="26" t="s">
        <v>141</v>
      </c>
      <c r="AA48" s="26"/>
      <c r="AB48" s="31" t="s">
        <v>11</v>
      </c>
      <c r="AC48" s="30" t="s">
        <v>172</v>
      </c>
      <c r="AD48" s="25" t="s">
        <v>173</v>
      </c>
      <c r="AE48" s="25" t="s">
        <v>174</v>
      </c>
      <c r="AF48" s="26" t="s">
        <v>175</v>
      </c>
      <c r="AG48" s="32">
        <v>1</v>
      </c>
      <c r="AH48" s="32">
        <v>1</v>
      </c>
      <c r="AI48" s="32"/>
      <c r="AJ48" s="32"/>
      <c r="AK48" s="30"/>
      <c r="AL48" s="32">
        <f>IF(COUNTIF(AX:AX,"*"&amp;M48&amp;"*")&gt;0,1,0)</f>
        <v>1</v>
      </c>
      <c r="AM48" s="30"/>
      <c r="AN48" s="32"/>
      <c r="AO48" s="32"/>
      <c r="AP48" s="32">
        <v>1</v>
      </c>
      <c r="AQ48" s="32">
        <v>1</v>
      </c>
      <c r="AR48" s="32"/>
      <c r="AS48" s="32"/>
      <c r="AT48" s="32">
        <v>1</v>
      </c>
      <c r="AU48" s="30"/>
      <c r="AV48" s="30"/>
      <c r="AW48" s="30"/>
      <c r="AX48" s="30" t="s">
        <v>12908</v>
      </c>
      <c r="AY48" s="30"/>
    </row>
    <row r="49" spans="1:51">
      <c r="A49" s="25" t="s">
        <v>12909</v>
      </c>
      <c r="B49" s="25" t="s">
        <v>4398</v>
      </c>
      <c r="C49" s="25" t="s">
        <v>68</v>
      </c>
      <c r="D49" s="25" t="s">
        <v>12910</v>
      </c>
      <c r="E49" s="258" t="s">
        <v>12911</v>
      </c>
      <c r="F49" s="25" t="s">
        <v>12912</v>
      </c>
      <c r="G49" s="25" t="s">
        <v>5516</v>
      </c>
      <c r="H49" s="25" t="s">
        <v>11489</v>
      </c>
      <c r="I49" s="25" t="s">
        <v>4402</v>
      </c>
      <c r="J49" s="25" t="s">
        <v>11490</v>
      </c>
      <c r="K49" s="25">
        <v>8.2100000000000009</v>
      </c>
      <c r="L49" s="25" t="s">
        <v>73</v>
      </c>
      <c r="M49" s="25" t="s">
        <v>12913</v>
      </c>
      <c r="N49" s="25" t="s">
        <v>12914</v>
      </c>
      <c r="O49" t="s">
        <v>12915</v>
      </c>
      <c r="P49" s="28"/>
      <c r="Q49" s="53">
        <v>4</v>
      </c>
      <c r="R49" s="53">
        <v>16</v>
      </c>
      <c r="S49" s="53">
        <v>266.58999999999997</v>
      </c>
      <c r="T49" s="26" t="s">
        <v>138</v>
      </c>
      <c r="U49" s="30" t="s">
        <v>78</v>
      </c>
      <c r="V49" s="26" t="s">
        <v>139</v>
      </c>
      <c r="W49" s="38" t="s">
        <v>584</v>
      </c>
      <c r="X49" s="26" t="s">
        <v>131</v>
      </c>
      <c r="Y49" s="26" t="s">
        <v>141</v>
      </c>
      <c r="Z49" s="26" t="s">
        <v>141</v>
      </c>
      <c r="AA49" s="26"/>
      <c r="AB49" s="31" t="s">
        <v>11</v>
      </c>
      <c r="AC49" s="30" t="s">
        <v>172</v>
      </c>
      <c r="AD49" s="25" t="s">
        <v>173</v>
      </c>
      <c r="AE49" s="25" t="s">
        <v>174</v>
      </c>
      <c r="AF49" s="26" t="s">
        <v>175</v>
      </c>
      <c r="AG49" s="32">
        <v>1</v>
      </c>
      <c r="AH49" s="32">
        <v>1</v>
      </c>
      <c r="AI49" s="32"/>
      <c r="AJ49" s="32"/>
      <c r="AK49" s="30"/>
      <c r="AL49" s="32">
        <f>IF(COUNTIF(AX:AX,"*"&amp;M49&amp;"*")&gt;0,1,0)</f>
        <v>1</v>
      </c>
      <c r="AM49" s="30"/>
      <c r="AN49" s="32"/>
      <c r="AO49" s="32"/>
      <c r="AP49" s="32">
        <v>1</v>
      </c>
      <c r="AQ49" s="32">
        <v>1</v>
      </c>
      <c r="AR49" s="32"/>
      <c r="AS49" s="32"/>
      <c r="AT49" s="32">
        <v>1</v>
      </c>
      <c r="AU49" s="30"/>
      <c r="AV49" s="30"/>
      <c r="AW49" s="30"/>
      <c r="AX49" s="30" t="s">
        <v>12916</v>
      </c>
      <c r="AY49" s="30"/>
    </row>
    <row r="50" spans="1:51">
      <c r="A50" s="25" t="s">
        <v>12917</v>
      </c>
      <c r="B50" s="25" t="s">
        <v>4398</v>
      </c>
      <c r="C50" s="25" t="s">
        <v>68</v>
      </c>
      <c r="D50" s="25" t="s">
        <v>12918</v>
      </c>
      <c r="E50" s="258" t="s">
        <v>12919</v>
      </c>
      <c r="F50" s="25" t="s">
        <v>12920</v>
      </c>
      <c r="G50" s="25" t="s">
        <v>5516</v>
      </c>
      <c r="H50" s="25" t="s">
        <v>11489</v>
      </c>
      <c r="I50" s="25" t="s">
        <v>4402</v>
      </c>
      <c r="J50" s="25" t="s">
        <v>11490</v>
      </c>
      <c r="K50" s="25">
        <v>8.2100000000000009</v>
      </c>
      <c r="L50" s="25" t="s">
        <v>73</v>
      </c>
      <c r="M50" s="25" t="s">
        <v>12921</v>
      </c>
      <c r="N50" s="25" t="s">
        <v>12922</v>
      </c>
      <c r="O50" t="s">
        <v>12923</v>
      </c>
      <c r="P50" s="28"/>
      <c r="Q50" s="53">
        <v>4</v>
      </c>
      <c r="R50" s="53">
        <v>16</v>
      </c>
      <c r="S50" s="53">
        <v>306.27999999999997</v>
      </c>
      <c r="T50" s="26" t="s">
        <v>138</v>
      </c>
      <c r="U50" s="30" t="s">
        <v>78</v>
      </c>
      <c r="V50" s="26" t="s">
        <v>139</v>
      </c>
      <c r="W50" s="38" t="s">
        <v>584</v>
      </c>
      <c r="X50" s="26" t="s">
        <v>131</v>
      </c>
      <c r="Y50" s="26" t="s">
        <v>141</v>
      </c>
      <c r="Z50" s="26" t="s">
        <v>141</v>
      </c>
      <c r="AA50" s="26"/>
      <c r="AB50" s="31" t="s">
        <v>11</v>
      </c>
      <c r="AC50" s="30" t="s">
        <v>172</v>
      </c>
      <c r="AD50" s="25" t="s">
        <v>173</v>
      </c>
      <c r="AE50" s="25" t="s">
        <v>174</v>
      </c>
      <c r="AF50" s="26" t="s">
        <v>175</v>
      </c>
      <c r="AG50" s="32">
        <v>1</v>
      </c>
      <c r="AH50" s="32">
        <v>1</v>
      </c>
      <c r="AI50" s="32"/>
      <c r="AJ50" s="32"/>
      <c r="AK50" s="30"/>
      <c r="AL50" s="32">
        <f>IF(COUNTIF(AX:AX,"*"&amp;M50&amp;"*")&gt;0,1,0)</f>
        <v>1</v>
      </c>
      <c r="AM50" s="30"/>
      <c r="AN50" s="32"/>
      <c r="AO50" s="32"/>
      <c r="AP50" s="32">
        <v>1</v>
      </c>
      <c r="AQ50" s="32">
        <v>1</v>
      </c>
      <c r="AR50" s="32"/>
      <c r="AS50" s="32"/>
      <c r="AT50" s="32">
        <v>1</v>
      </c>
      <c r="AU50" s="30"/>
      <c r="AV50" s="30"/>
      <c r="AW50" s="30"/>
      <c r="AX50" s="30" t="s">
        <v>12924</v>
      </c>
      <c r="AY50" s="30"/>
    </row>
    <row r="51" spans="1:51">
      <c r="A51" s="25" t="s">
        <v>12925</v>
      </c>
      <c r="B51" s="25" t="s">
        <v>4398</v>
      </c>
      <c r="C51" s="25" t="s">
        <v>68</v>
      </c>
      <c r="D51" s="25" t="s">
        <v>12926</v>
      </c>
      <c r="E51" s="258" t="s">
        <v>12927</v>
      </c>
      <c r="F51" s="25" t="s">
        <v>12928</v>
      </c>
      <c r="G51" s="25" t="s">
        <v>5516</v>
      </c>
      <c r="H51" s="25" t="s">
        <v>11489</v>
      </c>
      <c r="I51" s="25" t="s">
        <v>4402</v>
      </c>
      <c r="J51" s="25" t="s">
        <v>11490</v>
      </c>
      <c r="K51" s="54" t="s">
        <v>11500</v>
      </c>
      <c r="L51" s="25" t="s">
        <v>73</v>
      </c>
      <c r="M51" s="25" t="s">
        <v>12929</v>
      </c>
      <c r="N51" s="25" t="s">
        <v>12930</v>
      </c>
      <c r="O51" t="s">
        <v>12931</v>
      </c>
      <c r="P51" s="55" t="s">
        <v>11500</v>
      </c>
      <c r="Q51" s="53">
        <v>4</v>
      </c>
      <c r="R51" s="53">
        <v>16</v>
      </c>
      <c r="S51" s="53">
        <v>286.67</v>
      </c>
      <c r="T51" s="26"/>
      <c r="U51" s="30"/>
      <c r="V51" s="26"/>
      <c r="W51" s="38"/>
      <c r="X51" s="26"/>
      <c r="Y51" s="26"/>
      <c r="Z51" s="26"/>
      <c r="AA51" s="26"/>
      <c r="AB51" s="31" t="s">
        <v>11</v>
      </c>
      <c r="AC51" s="30" t="s">
        <v>172</v>
      </c>
      <c r="AD51" s="25" t="s">
        <v>173</v>
      </c>
      <c r="AE51" s="25" t="s">
        <v>174</v>
      </c>
      <c r="AF51" s="26" t="s">
        <v>175</v>
      </c>
      <c r="AG51" s="32">
        <v>1</v>
      </c>
      <c r="AH51" s="32">
        <v>1</v>
      </c>
      <c r="AI51" s="32"/>
      <c r="AJ51" s="32"/>
      <c r="AK51" s="30"/>
      <c r="AL51" s="32"/>
      <c r="AM51" s="30"/>
      <c r="AN51" s="32"/>
      <c r="AO51" s="32"/>
      <c r="AP51" s="32"/>
      <c r="AQ51" s="32"/>
      <c r="AR51" s="32"/>
      <c r="AS51" s="32"/>
      <c r="AT51" s="32"/>
      <c r="AU51" s="30"/>
      <c r="AV51" s="30"/>
      <c r="AW51" s="30"/>
      <c r="AX51" s="30"/>
      <c r="AY51" s="30"/>
    </row>
    <row r="52" spans="1:51">
      <c r="A52" s="25" t="s">
        <v>12932</v>
      </c>
      <c r="B52" s="25" t="s">
        <v>4398</v>
      </c>
      <c r="C52" s="25" t="s">
        <v>68</v>
      </c>
      <c r="D52" s="25" t="s">
        <v>12933</v>
      </c>
      <c r="E52" s="258" t="s">
        <v>12934</v>
      </c>
      <c r="F52" s="25" t="s">
        <v>12935</v>
      </c>
      <c r="G52" s="25" t="s">
        <v>5516</v>
      </c>
      <c r="H52" s="25" t="s">
        <v>11489</v>
      </c>
      <c r="I52" s="25" t="s">
        <v>4402</v>
      </c>
      <c r="J52" s="25" t="s">
        <v>11490</v>
      </c>
      <c r="K52" s="25">
        <v>8.2100000000000009</v>
      </c>
      <c r="L52" s="25" t="s">
        <v>73</v>
      </c>
      <c r="M52" s="25" t="s">
        <v>12936</v>
      </c>
      <c r="N52" s="25" t="s">
        <v>12937</v>
      </c>
      <c r="O52" t="s">
        <v>12938</v>
      </c>
      <c r="P52" s="28"/>
      <c r="Q52" s="53">
        <v>4</v>
      </c>
      <c r="R52" s="53">
        <v>16</v>
      </c>
      <c r="S52" s="53">
        <v>266.11</v>
      </c>
      <c r="T52" s="26" t="s">
        <v>138</v>
      </c>
      <c r="U52" s="30" t="s">
        <v>78</v>
      </c>
      <c r="V52" s="26" t="s">
        <v>139</v>
      </c>
      <c r="W52" s="38" t="s">
        <v>584</v>
      </c>
      <c r="X52" s="26" t="s">
        <v>131</v>
      </c>
      <c r="Y52" s="26" t="s">
        <v>141</v>
      </c>
      <c r="Z52" s="26" t="s">
        <v>141</v>
      </c>
      <c r="AA52" s="26"/>
      <c r="AB52" s="31" t="s">
        <v>11</v>
      </c>
      <c r="AC52" s="30" t="s">
        <v>172</v>
      </c>
      <c r="AD52" s="25" t="s">
        <v>173</v>
      </c>
      <c r="AE52" s="25" t="s">
        <v>174</v>
      </c>
      <c r="AF52" s="26" t="s">
        <v>175</v>
      </c>
      <c r="AG52" s="32">
        <v>1</v>
      </c>
      <c r="AH52" s="32">
        <v>1</v>
      </c>
      <c r="AI52" s="32"/>
      <c r="AJ52" s="32"/>
      <c r="AK52" s="30"/>
      <c r="AL52" s="32">
        <f>IF(COUNTIF(AX:AX,"*"&amp;M52&amp;"*")&gt;0,1,0)</f>
        <v>1</v>
      </c>
      <c r="AM52" s="30"/>
      <c r="AN52" s="32"/>
      <c r="AO52" s="32"/>
      <c r="AP52" s="32">
        <v>1</v>
      </c>
      <c r="AQ52" s="32">
        <v>1</v>
      </c>
      <c r="AR52" s="32"/>
      <c r="AS52" s="32"/>
      <c r="AT52" s="32">
        <v>1</v>
      </c>
      <c r="AU52" s="30"/>
      <c r="AV52" s="30"/>
      <c r="AW52" s="30"/>
      <c r="AX52" s="30" t="s">
        <v>12939</v>
      </c>
      <c r="AY52" s="30"/>
    </row>
    <row r="53" spans="1:51">
      <c r="A53" s="25" t="s">
        <v>12940</v>
      </c>
      <c r="B53" s="25" t="s">
        <v>4398</v>
      </c>
      <c r="C53" s="25" t="s">
        <v>68</v>
      </c>
      <c r="D53" s="25" t="s">
        <v>12941</v>
      </c>
      <c r="E53" s="258" t="s">
        <v>12942</v>
      </c>
      <c r="F53" s="25" t="s">
        <v>12943</v>
      </c>
      <c r="G53" s="25" t="s">
        <v>5516</v>
      </c>
      <c r="H53" s="25" t="s">
        <v>11489</v>
      </c>
      <c r="I53" s="25" t="s">
        <v>4402</v>
      </c>
      <c r="J53" s="25" t="s">
        <v>11490</v>
      </c>
      <c r="K53" s="25">
        <v>8.2100000000000009</v>
      </c>
      <c r="L53" s="25" t="s">
        <v>73</v>
      </c>
      <c r="M53" s="25" t="s">
        <v>12944</v>
      </c>
      <c r="N53" s="25" t="s">
        <v>12945</v>
      </c>
      <c r="O53" t="s">
        <v>12946</v>
      </c>
      <c r="P53" s="28"/>
      <c r="Q53" s="53">
        <v>4</v>
      </c>
      <c r="R53" s="53">
        <v>16</v>
      </c>
      <c r="S53" s="53">
        <v>286.12</v>
      </c>
      <c r="T53" s="26" t="s">
        <v>138</v>
      </c>
      <c r="U53" s="30" t="s">
        <v>78</v>
      </c>
      <c r="V53" s="26" t="s">
        <v>139</v>
      </c>
      <c r="W53" s="38" t="s">
        <v>584</v>
      </c>
      <c r="X53" s="26" t="s">
        <v>131</v>
      </c>
      <c r="Y53" s="26" t="s">
        <v>141</v>
      </c>
      <c r="Z53" s="26" t="s">
        <v>141</v>
      </c>
      <c r="AA53" s="26"/>
      <c r="AB53" s="31" t="s">
        <v>11</v>
      </c>
      <c r="AC53" s="30" t="s">
        <v>172</v>
      </c>
      <c r="AD53" s="25" t="s">
        <v>173</v>
      </c>
      <c r="AE53" s="25" t="s">
        <v>174</v>
      </c>
      <c r="AF53" s="26" t="s">
        <v>175</v>
      </c>
      <c r="AG53" s="32">
        <v>1</v>
      </c>
      <c r="AH53" s="32">
        <v>1</v>
      </c>
      <c r="AI53" s="32"/>
      <c r="AJ53" s="32"/>
      <c r="AK53" s="30"/>
      <c r="AL53" s="32">
        <f>IF(COUNTIF(AX:AX,"*"&amp;M53&amp;"*")&gt;0,1,0)</f>
        <v>1</v>
      </c>
      <c r="AM53" s="30"/>
      <c r="AN53" s="32"/>
      <c r="AO53" s="32"/>
      <c r="AP53" s="32">
        <v>1</v>
      </c>
      <c r="AQ53" s="32">
        <v>1</v>
      </c>
      <c r="AR53" s="32"/>
      <c r="AS53" s="32"/>
      <c r="AT53" s="32">
        <v>1</v>
      </c>
      <c r="AU53" s="30"/>
      <c r="AV53" s="30"/>
      <c r="AW53" s="30"/>
      <c r="AX53" s="30" t="s">
        <v>12947</v>
      </c>
      <c r="AY53" s="30"/>
    </row>
    <row r="54" spans="1:51">
      <c r="A54" s="25" t="s">
        <v>12948</v>
      </c>
      <c r="B54" s="25" t="s">
        <v>4398</v>
      </c>
      <c r="C54" s="25" t="s">
        <v>68</v>
      </c>
      <c r="D54" s="25" t="s">
        <v>12949</v>
      </c>
      <c r="E54" s="258" t="s">
        <v>12950</v>
      </c>
      <c r="F54" s="25" t="s">
        <v>12951</v>
      </c>
      <c r="G54" s="25" t="s">
        <v>5516</v>
      </c>
      <c r="H54" s="25" t="s">
        <v>11489</v>
      </c>
      <c r="I54" s="25" t="s">
        <v>4402</v>
      </c>
      <c r="J54" s="25" t="s">
        <v>11490</v>
      </c>
      <c r="K54" s="54" t="s">
        <v>11500</v>
      </c>
      <c r="L54" s="25" t="s">
        <v>73</v>
      </c>
      <c r="M54" s="25" t="s">
        <v>12952</v>
      </c>
      <c r="N54" s="25" t="s">
        <v>12953</v>
      </c>
      <c r="O54" t="s">
        <v>12954</v>
      </c>
      <c r="P54" s="55" t="s">
        <v>11500</v>
      </c>
      <c r="Q54" s="53">
        <v>4</v>
      </c>
      <c r="R54" s="53">
        <v>16</v>
      </c>
      <c r="S54" s="53">
        <v>267.04000000000002</v>
      </c>
      <c r="T54" s="26"/>
      <c r="U54" s="30"/>
      <c r="V54" s="26"/>
      <c r="W54" s="38"/>
      <c r="X54" s="26"/>
      <c r="Y54" s="26"/>
      <c r="Z54" s="26"/>
      <c r="AA54" s="26"/>
      <c r="AB54" s="31" t="s">
        <v>11</v>
      </c>
      <c r="AC54" s="30" t="s">
        <v>172</v>
      </c>
      <c r="AD54" s="25" t="s">
        <v>173</v>
      </c>
      <c r="AE54" s="25" t="s">
        <v>174</v>
      </c>
      <c r="AF54" s="26" t="s">
        <v>175</v>
      </c>
      <c r="AG54" s="32">
        <v>1</v>
      </c>
      <c r="AH54" s="32">
        <v>1</v>
      </c>
      <c r="AI54" s="32"/>
      <c r="AJ54" s="32"/>
      <c r="AK54" s="30"/>
      <c r="AL54" s="32"/>
      <c r="AM54" s="30"/>
      <c r="AN54" s="32"/>
      <c r="AO54" s="32"/>
      <c r="AP54" s="32"/>
      <c r="AQ54" s="32"/>
      <c r="AR54" s="32"/>
      <c r="AS54" s="32"/>
      <c r="AT54" s="32"/>
      <c r="AU54" s="30"/>
      <c r="AV54" s="30"/>
      <c r="AW54" s="30"/>
      <c r="AX54" s="30"/>
      <c r="AY54" s="30"/>
    </row>
    <row r="55" spans="1:51">
      <c r="A55" s="25" t="s">
        <v>12955</v>
      </c>
      <c r="B55" s="25" t="s">
        <v>4398</v>
      </c>
      <c r="C55" s="25" t="s">
        <v>68</v>
      </c>
      <c r="D55" s="25" t="s">
        <v>12956</v>
      </c>
      <c r="E55" s="258" t="s">
        <v>12957</v>
      </c>
      <c r="F55" s="25" t="s">
        <v>12958</v>
      </c>
      <c r="G55" s="25" t="s">
        <v>5516</v>
      </c>
      <c r="H55" s="25" t="s">
        <v>11489</v>
      </c>
      <c r="I55" s="25" t="s">
        <v>4402</v>
      </c>
      <c r="J55" s="25" t="s">
        <v>11490</v>
      </c>
      <c r="K55" s="54" t="s">
        <v>11500</v>
      </c>
      <c r="L55" s="25" t="s">
        <v>73</v>
      </c>
      <c r="M55" s="25" t="s">
        <v>12959</v>
      </c>
      <c r="N55" s="25" t="s">
        <v>12960</v>
      </c>
      <c r="O55" t="s">
        <v>12961</v>
      </c>
      <c r="P55" s="55" t="s">
        <v>11500</v>
      </c>
      <c r="Q55" s="53">
        <v>4</v>
      </c>
      <c r="R55" s="53">
        <v>16</v>
      </c>
      <c r="S55" s="53">
        <v>266.88</v>
      </c>
      <c r="T55" s="26"/>
      <c r="U55" s="30"/>
      <c r="V55" s="26"/>
      <c r="W55" s="38"/>
      <c r="X55" s="26"/>
      <c r="Y55" s="26"/>
      <c r="Z55" s="26"/>
      <c r="AA55" s="26"/>
      <c r="AB55" s="31" t="s">
        <v>13</v>
      </c>
      <c r="AC55" s="30" t="s">
        <v>172</v>
      </c>
      <c r="AD55" s="25" t="s">
        <v>173</v>
      </c>
      <c r="AE55" s="25" t="s">
        <v>174</v>
      </c>
      <c r="AF55" s="26" t="s">
        <v>175</v>
      </c>
      <c r="AG55" s="32">
        <v>1</v>
      </c>
      <c r="AH55" s="32">
        <v>1</v>
      </c>
      <c r="AI55" s="32"/>
      <c r="AJ55" s="32"/>
      <c r="AK55" s="30"/>
      <c r="AL55" s="32"/>
      <c r="AM55" s="30"/>
      <c r="AN55" s="32"/>
      <c r="AO55" s="32"/>
      <c r="AP55" s="32"/>
      <c r="AQ55" s="32"/>
      <c r="AR55" s="32"/>
      <c r="AS55" s="32"/>
      <c r="AT55" s="32"/>
      <c r="AU55" s="30"/>
      <c r="AV55" s="30"/>
      <c r="AW55" s="30"/>
      <c r="AX55" s="30"/>
      <c r="AY55" s="30"/>
    </row>
    <row r="56" spans="1:51">
      <c r="A56" s="25" t="s">
        <v>12962</v>
      </c>
      <c r="B56" s="25" t="s">
        <v>4398</v>
      </c>
      <c r="C56" s="25" t="s">
        <v>68</v>
      </c>
      <c r="D56" s="25" t="s">
        <v>12963</v>
      </c>
      <c r="E56" s="258" t="s">
        <v>12964</v>
      </c>
      <c r="F56" s="25" t="s">
        <v>12965</v>
      </c>
      <c r="G56" s="25" t="s">
        <v>5516</v>
      </c>
      <c r="H56" s="25" t="s">
        <v>11489</v>
      </c>
      <c r="I56" s="25" t="s">
        <v>4402</v>
      </c>
      <c r="J56" s="25" t="s">
        <v>11490</v>
      </c>
      <c r="K56" s="54" t="s">
        <v>11500</v>
      </c>
      <c r="L56" s="25" t="s">
        <v>73</v>
      </c>
      <c r="M56" s="25" t="s">
        <v>12966</v>
      </c>
      <c r="N56" s="25" t="s">
        <v>12967</v>
      </c>
      <c r="O56" t="s">
        <v>12968</v>
      </c>
      <c r="P56" s="55" t="s">
        <v>11500</v>
      </c>
      <c r="Q56" s="53">
        <v>4</v>
      </c>
      <c r="R56" s="53">
        <v>16</v>
      </c>
      <c r="S56" s="53">
        <v>266.12</v>
      </c>
      <c r="T56" s="26"/>
      <c r="U56" s="30"/>
      <c r="V56" s="26"/>
      <c r="W56" s="38"/>
      <c r="X56" s="26"/>
      <c r="Y56" s="26"/>
      <c r="Z56" s="26"/>
      <c r="AA56" s="26"/>
      <c r="AB56" s="31" t="s">
        <v>13</v>
      </c>
      <c r="AC56" s="30" t="s">
        <v>172</v>
      </c>
      <c r="AD56" s="25" t="s">
        <v>173</v>
      </c>
      <c r="AE56" s="25" t="s">
        <v>174</v>
      </c>
      <c r="AF56" s="26" t="s">
        <v>175</v>
      </c>
      <c r="AG56" s="32">
        <v>1</v>
      </c>
      <c r="AH56" s="32">
        <v>1</v>
      </c>
      <c r="AI56" s="32"/>
      <c r="AJ56" s="32"/>
      <c r="AK56" s="30"/>
      <c r="AL56" s="32"/>
      <c r="AM56" s="30"/>
      <c r="AN56" s="32"/>
      <c r="AO56" s="32"/>
      <c r="AP56" s="32"/>
      <c r="AQ56" s="32"/>
      <c r="AR56" s="32"/>
      <c r="AS56" s="32"/>
      <c r="AT56" s="32"/>
      <c r="AU56" s="30"/>
      <c r="AV56" s="30"/>
      <c r="AW56" s="30"/>
      <c r="AX56" s="30"/>
      <c r="AY56" s="30"/>
    </row>
    <row r="57" spans="1:51">
      <c r="A57" s="25" t="s">
        <v>12969</v>
      </c>
      <c r="B57" s="25" t="s">
        <v>4398</v>
      </c>
      <c r="C57" s="25" t="s">
        <v>68</v>
      </c>
      <c r="D57" s="25" t="s">
        <v>12970</v>
      </c>
      <c r="E57" s="258" t="s">
        <v>12971</v>
      </c>
      <c r="F57" s="25" t="s">
        <v>12972</v>
      </c>
      <c r="G57" s="25" t="s">
        <v>5516</v>
      </c>
      <c r="H57" s="25" t="s">
        <v>11489</v>
      </c>
      <c r="I57" s="25" t="s">
        <v>4402</v>
      </c>
      <c r="J57" s="25" t="s">
        <v>11490</v>
      </c>
      <c r="K57" s="25">
        <v>8.2100000000000009</v>
      </c>
      <c r="L57" s="25" t="s">
        <v>73</v>
      </c>
      <c r="M57" s="25" t="s">
        <v>12973</v>
      </c>
      <c r="N57" s="25" t="s">
        <v>12974</v>
      </c>
      <c r="O57" t="s">
        <v>12975</v>
      </c>
      <c r="P57" s="28"/>
      <c r="Q57" s="53">
        <v>4</v>
      </c>
      <c r="R57" s="53">
        <v>16</v>
      </c>
      <c r="S57" s="53">
        <v>286.3</v>
      </c>
      <c r="T57" s="26" t="s">
        <v>138</v>
      </c>
      <c r="U57" s="30" t="s">
        <v>78</v>
      </c>
      <c r="V57" s="26" t="s">
        <v>139</v>
      </c>
      <c r="W57" s="38" t="s">
        <v>753</v>
      </c>
      <c r="X57" s="26" t="s">
        <v>131</v>
      </c>
      <c r="Y57" s="26" t="s">
        <v>141</v>
      </c>
      <c r="Z57" s="26" t="s">
        <v>141</v>
      </c>
      <c r="AA57" s="26"/>
      <c r="AB57" s="31" t="s">
        <v>13</v>
      </c>
      <c r="AC57" s="30" t="s">
        <v>172</v>
      </c>
      <c r="AD57" s="25" t="s">
        <v>173</v>
      </c>
      <c r="AE57" s="25" t="s">
        <v>174</v>
      </c>
      <c r="AF57" s="26" t="s">
        <v>175</v>
      </c>
      <c r="AG57" s="32">
        <v>1</v>
      </c>
      <c r="AH57" s="32">
        <v>1</v>
      </c>
      <c r="AI57" s="32"/>
      <c r="AJ57" s="32"/>
      <c r="AK57" s="30"/>
      <c r="AL57" s="32">
        <f t="shared" ref="AL57:AL64" si="2">IF(COUNTIF(AX:AX,"*"&amp;M57&amp;"*")&gt;0,1,0)</f>
        <v>1</v>
      </c>
      <c r="AM57" s="30"/>
      <c r="AN57" s="32"/>
      <c r="AO57" s="32"/>
      <c r="AP57" s="32">
        <v>1</v>
      </c>
      <c r="AQ57" s="32">
        <v>1</v>
      </c>
      <c r="AR57" s="32"/>
      <c r="AS57" s="32"/>
      <c r="AT57" s="32">
        <v>1</v>
      </c>
      <c r="AU57" s="30"/>
      <c r="AV57" s="30"/>
      <c r="AW57" s="30"/>
      <c r="AX57" s="30" t="s">
        <v>12686</v>
      </c>
      <c r="AY57" s="30"/>
    </row>
    <row r="58" spans="1:51">
      <c r="A58" s="25" t="s">
        <v>12976</v>
      </c>
      <c r="B58" s="25" t="s">
        <v>4398</v>
      </c>
      <c r="C58" s="25" t="s">
        <v>68</v>
      </c>
      <c r="D58" s="25" t="s">
        <v>12977</v>
      </c>
      <c r="E58" s="258" t="s">
        <v>12978</v>
      </c>
      <c r="F58" s="25" t="s">
        <v>12979</v>
      </c>
      <c r="G58" s="25" t="s">
        <v>5516</v>
      </c>
      <c r="H58" s="25" t="s">
        <v>11489</v>
      </c>
      <c r="I58" s="25" t="s">
        <v>4402</v>
      </c>
      <c r="J58" s="25" t="s">
        <v>11490</v>
      </c>
      <c r="K58" s="25">
        <v>8.2100000000000009</v>
      </c>
      <c r="L58" s="25" t="s">
        <v>73</v>
      </c>
      <c r="M58" s="25" t="s">
        <v>12980</v>
      </c>
      <c r="N58" s="25" t="s">
        <v>12981</v>
      </c>
      <c r="O58" t="s">
        <v>12982</v>
      </c>
      <c r="P58" s="28"/>
      <c r="Q58" s="53">
        <v>4</v>
      </c>
      <c r="R58" s="53">
        <v>16</v>
      </c>
      <c r="S58" s="53">
        <v>267.44</v>
      </c>
      <c r="T58" s="26" t="s">
        <v>138</v>
      </c>
      <c r="U58" s="30" t="s">
        <v>78</v>
      </c>
      <c r="V58" s="26" t="s">
        <v>139</v>
      </c>
      <c r="W58" s="38" t="s">
        <v>753</v>
      </c>
      <c r="X58" s="26" t="s">
        <v>131</v>
      </c>
      <c r="Y58" s="26" t="s">
        <v>141</v>
      </c>
      <c r="Z58" s="26" t="s">
        <v>141</v>
      </c>
      <c r="AA58" s="26"/>
      <c r="AB58" s="31" t="s">
        <v>13</v>
      </c>
      <c r="AC58" s="30" t="s">
        <v>172</v>
      </c>
      <c r="AD58" s="25" t="s">
        <v>173</v>
      </c>
      <c r="AE58" s="25" t="s">
        <v>174</v>
      </c>
      <c r="AF58" s="26" t="s">
        <v>175</v>
      </c>
      <c r="AG58" s="32">
        <v>1</v>
      </c>
      <c r="AH58" s="32">
        <v>1</v>
      </c>
      <c r="AI58" s="32"/>
      <c r="AJ58" s="32"/>
      <c r="AK58" s="30"/>
      <c r="AL58" s="32">
        <f t="shared" si="2"/>
        <v>1</v>
      </c>
      <c r="AM58" s="30"/>
      <c r="AN58" s="32"/>
      <c r="AO58" s="32"/>
      <c r="AP58" s="32">
        <v>1</v>
      </c>
      <c r="AQ58" s="32">
        <v>1</v>
      </c>
      <c r="AR58" s="25"/>
      <c r="AS58" s="34"/>
      <c r="AT58" s="32">
        <v>1</v>
      </c>
      <c r="AU58" s="30"/>
      <c r="AV58" s="30"/>
      <c r="AW58" s="30"/>
      <c r="AX58" s="30" t="s">
        <v>12711</v>
      </c>
      <c r="AY58" s="30"/>
    </row>
    <row r="59" spans="1:51">
      <c r="A59" s="25" t="s">
        <v>12983</v>
      </c>
      <c r="B59" s="25" t="s">
        <v>4398</v>
      </c>
      <c r="C59" s="25" t="s">
        <v>68</v>
      </c>
      <c r="D59" s="25" t="s">
        <v>12984</v>
      </c>
      <c r="E59" s="258" t="s">
        <v>12985</v>
      </c>
      <c r="F59" s="25" t="s">
        <v>12986</v>
      </c>
      <c r="G59" s="25" t="s">
        <v>5516</v>
      </c>
      <c r="H59" s="25" t="s">
        <v>11489</v>
      </c>
      <c r="I59" s="25" t="s">
        <v>4402</v>
      </c>
      <c r="J59" s="25" t="s">
        <v>11490</v>
      </c>
      <c r="K59" s="25">
        <v>8.2100000000000009</v>
      </c>
      <c r="L59" s="25" t="s">
        <v>73</v>
      </c>
      <c r="M59" s="25" t="s">
        <v>12987</v>
      </c>
      <c r="N59" s="25" t="s">
        <v>12988</v>
      </c>
      <c r="O59" t="s">
        <v>12989</v>
      </c>
      <c r="P59" s="28"/>
      <c r="Q59" s="53">
        <v>4</v>
      </c>
      <c r="R59" s="53">
        <v>16</v>
      </c>
      <c r="S59" s="53">
        <v>267.14999999999998</v>
      </c>
      <c r="T59" s="26" t="s">
        <v>138</v>
      </c>
      <c r="U59" s="30" t="s">
        <v>78</v>
      </c>
      <c r="V59" s="26" t="s">
        <v>139</v>
      </c>
      <c r="W59" s="38" t="s">
        <v>753</v>
      </c>
      <c r="X59" s="26" t="s">
        <v>131</v>
      </c>
      <c r="Y59" s="26" t="s">
        <v>141</v>
      </c>
      <c r="Z59" s="26" t="s">
        <v>141</v>
      </c>
      <c r="AA59" s="26"/>
      <c r="AB59" s="31" t="s">
        <v>13</v>
      </c>
      <c r="AC59" s="30" t="s">
        <v>172</v>
      </c>
      <c r="AD59" s="25" t="s">
        <v>173</v>
      </c>
      <c r="AE59" s="25" t="s">
        <v>174</v>
      </c>
      <c r="AF59" s="26" t="s">
        <v>175</v>
      </c>
      <c r="AG59" s="32">
        <v>1</v>
      </c>
      <c r="AH59" s="32">
        <v>1</v>
      </c>
      <c r="AI59" s="32"/>
      <c r="AJ59" s="32"/>
      <c r="AK59" s="30"/>
      <c r="AL59" s="32">
        <f t="shared" si="2"/>
        <v>1</v>
      </c>
      <c r="AM59" s="30"/>
      <c r="AN59" s="32"/>
      <c r="AO59" s="32"/>
      <c r="AP59" s="32">
        <v>1</v>
      </c>
      <c r="AQ59" s="32">
        <v>1</v>
      </c>
      <c r="AR59" s="32"/>
      <c r="AS59" s="32"/>
      <c r="AT59" s="32">
        <v>1</v>
      </c>
      <c r="AU59" s="30"/>
      <c r="AV59" s="30"/>
      <c r="AW59" s="30"/>
      <c r="AX59" s="30" t="s">
        <v>12842</v>
      </c>
      <c r="AY59" s="30"/>
    </row>
    <row r="60" spans="1:51">
      <c r="A60" s="25" t="s">
        <v>12990</v>
      </c>
      <c r="B60" s="25" t="s">
        <v>4398</v>
      </c>
      <c r="C60" s="25" t="s">
        <v>68</v>
      </c>
      <c r="D60" s="25" t="s">
        <v>12991</v>
      </c>
      <c r="E60" s="258" t="s">
        <v>12992</v>
      </c>
      <c r="F60" s="25" t="s">
        <v>12993</v>
      </c>
      <c r="G60" s="25" t="s">
        <v>5516</v>
      </c>
      <c r="H60" s="25" t="s">
        <v>11489</v>
      </c>
      <c r="I60" s="25" t="s">
        <v>4402</v>
      </c>
      <c r="J60" s="25" t="s">
        <v>11490</v>
      </c>
      <c r="K60" s="25">
        <v>8.2100000000000009</v>
      </c>
      <c r="L60" s="25" t="s">
        <v>73</v>
      </c>
      <c r="M60" s="25" t="s">
        <v>12994</v>
      </c>
      <c r="N60" s="25" t="s">
        <v>12995</v>
      </c>
      <c r="O60" t="s">
        <v>12996</v>
      </c>
      <c r="P60" s="28"/>
      <c r="Q60" s="53">
        <v>4</v>
      </c>
      <c r="R60" s="53">
        <v>16</v>
      </c>
      <c r="S60" s="53">
        <v>286.11</v>
      </c>
      <c r="T60" s="26" t="s">
        <v>138</v>
      </c>
      <c r="U60" s="30" t="s">
        <v>78</v>
      </c>
      <c r="V60" s="26" t="s">
        <v>139</v>
      </c>
      <c r="W60" s="38" t="s">
        <v>753</v>
      </c>
      <c r="X60" s="26" t="s">
        <v>131</v>
      </c>
      <c r="Y60" s="26" t="s">
        <v>141</v>
      </c>
      <c r="Z60" s="26" t="s">
        <v>141</v>
      </c>
      <c r="AA60" s="26"/>
      <c r="AB60" s="31" t="s">
        <v>13</v>
      </c>
      <c r="AC60" s="30" t="s">
        <v>172</v>
      </c>
      <c r="AD60" s="25" t="s">
        <v>173</v>
      </c>
      <c r="AE60" s="25" t="s">
        <v>174</v>
      </c>
      <c r="AF60" s="26" t="s">
        <v>175</v>
      </c>
      <c r="AG60" s="32">
        <v>1</v>
      </c>
      <c r="AH60" s="32">
        <v>1</v>
      </c>
      <c r="AI60" s="32"/>
      <c r="AJ60" s="32"/>
      <c r="AK60" s="30"/>
      <c r="AL60" s="32">
        <f t="shared" si="2"/>
        <v>1</v>
      </c>
      <c r="AM60" s="30"/>
      <c r="AN60" s="32"/>
      <c r="AO60" s="32"/>
      <c r="AP60" s="32">
        <v>1</v>
      </c>
      <c r="AQ60" s="32">
        <v>1</v>
      </c>
      <c r="AR60" s="32"/>
      <c r="AS60" s="32"/>
      <c r="AT60" s="32">
        <v>1</v>
      </c>
      <c r="AU60" s="30"/>
      <c r="AV60" s="30"/>
      <c r="AW60" s="30"/>
      <c r="AX60" s="30" t="s">
        <v>12874</v>
      </c>
      <c r="AY60" s="30"/>
    </row>
    <row r="61" spans="1:51">
      <c r="A61" s="25" t="s">
        <v>12997</v>
      </c>
      <c r="B61" s="25" t="s">
        <v>4398</v>
      </c>
      <c r="C61" s="25" t="s">
        <v>68</v>
      </c>
      <c r="D61" s="25" t="s">
        <v>12998</v>
      </c>
      <c r="E61" s="258" t="s">
        <v>12999</v>
      </c>
      <c r="F61" s="25" t="s">
        <v>13000</v>
      </c>
      <c r="G61" s="25" t="s">
        <v>5516</v>
      </c>
      <c r="H61" s="25" t="s">
        <v>11489</v>
      </c>
      <c r="I61" s="25" t="s">
        <v>4402</v>
      </c>
      <c r="J61" s="25" t="s">
        <v>11490</v>
      </c>
      <c r="K61" s="25">
        <v>8.2100000000000009</v>
      </c>
      <c r="L61" s="25" t="s">
        <v>73</v>
      </c>
      <c r="M61" s="25" t="s">
        <v>13001</v>
      </c>
      <c r="N61" s="25" t="s">
        <v>13002</v>
      </c>
      <c r="O61" t="s">
        <v>13003</v>
      </c>
      <c r="P61" s="28"/>
      <c r="Q61" s="53">
        <v>4</v>
      </c>
      <c r="R61" s="53">
        <v>16</v>
      </c>
      <c r="S61" s="53">
        <v>266.18</v>
      </c>
      <c r="T61" s="26" t="s">
        <v>138</v>
      </c>
      <c r="U61" s="30" t="s">
        <v>78</v>
      </c>
      <c r="V61" s="26" t="s">
        <v>139</v>
      </c>
      <c r="W61" s="38" t="s">
        <v>753</v>
      </c>
      <c r="X61" s="26" t="s">
        <v>131</v>
      </c>
      <c r="Y61" s="26" t="s">
        <v>141</v>
      </c>
      <c r="Z61" s="26" t="s">
        <v>141</v>
      </c>
      <c r="AA61" s="26"/>
      <c r="AB61" s="31" t="s">
        <v>13</v>
      </c>
      <c r="AC61" s="30" t="s">
        <v>172</v>
      </c>
      <c r="AD61" s="25" t="s">
        <v>173</v>
      </c>
      <c r="AE61" s="25" t="s">
        <v>174</v>
      </c>
      <c r="AF61" s="26" t="s">
        <v>175</v>
      </c>
      <c r="AG61" s="32">
        <v>1</v>
      </c>
      <c r="AH61" s="32">
        <v>1</v>
      </c>
      <c r="AI61" s="32"/>
      <c r="AJ61" s="32"/>
      <c r="AK61" s="30"/>
      <c r="AL61" s="32">
        <f t="shared" si="2"/>
        <v>1</v>
      </c>
      <c r="AM61" s="30"/>
      <c r="AN61" s="32"/>
      <c r="AO61" s="32"/>
      <c r="AP61" s="32">
        <v>1</v>
      </c>
      <c r="AQ61" s="32">
        <v>1</v>
      </c>
      <c r="AR61" s="32"/>
      <c r="AS61" s="32"/>
      <c r="AT61" s="32">
        <v>1</v>
      </c>
      <c r="AU61" s="30"/>
      <c r="AV61" s="30"/>
      <c r="AW61" s="30"/>
      <c r="AX61" s="30" t="s">
        <v>12897</v>
      </c>
      <c r="AY61" s="30"/>
    </row>
    <row r="62" spans="1:51">
      <c r="A62" s="25" t="s">
        <v>13004</v>
      </c>
      <c r="B62" s="25" t="s">
        <v>4398</v>
      </c>
      <c r="C62" s="25" t="s">
        <v>68</v>
      </c>
      <c r="D62" s="25" t="s">
        <v>13005</v>
      </c>
      <c r="E62" s="258" t="s">
        <v>13006</v>
      </c>
      <c r="F62" s="25" t="s">
        <v>2706</v>
      </c>
      <c r="G62" s="25" t="s">
        <v>5516</v>
      </c>
      <c r="H62" s="25" t="s">
        <v>11489</v>
      </c>
      <c r="I62" s="25" t="s">
        <v>4402</v>
      </c>
      <c r="J62" s="25" t="s">
        <v>11490</v>
      </c>
      <c r="K62" s="25">
        <v>8.2100000000000009</v>
      </c>
      <c r="L62" s="25" t="s">
        <v>73</v>
      </c>
      <c r="M62" s="25" t="s">
        <v>13007</v>
      </c>
      <c r="N62" s="25" t="s">
        <v>13008</v>
      </c>
      <c r="O62" t="s">
        <v>13009</v>
      </c>
      <c r="P62" s="28"/>
      <c r="Q62" s="53">
        <v>4</v>
      </c>
      <c r="R62" s="53">
        <v>16</v>
      </c>
      <c r="S62" s="53">
        <v>266.11</v>
      </c>
      <c r="T62" s="26" t="s">
        <v>138</v>
      </c>
      <c r="U62" s="30" t="s">
        <v>78</v>
      </c>
      <c r="V62" s="26" t="s">
        <v>139</v>
      </c>
      <c r="W62" s="38" t="s">
        <v>753</v>
      </c>
      <c r="X62" s="26" t="s">
        <v>131</v>
      </c>
      <c r="Y62" s="26" t="s">
        <v>141</v>
      </c>
      <c r="Z62" s="26" t="s">
        <v>141</v>
      </c>
      <c r="AA62" s="26"/>
      <c r="AB62" s="31" t="s">
        <v>13</v>
      </c>
      <c r="AC62" s="30" t="s">
        <v>172</v>
      </c>
      <c r="AD62" s="25" t="s">
        <v>173</v>
      </c>
      <c r="AE62" s="25" t="s">
        <v>174</v>
      </c>
      <c r="AF62" s="26" t="s">
        <v>175</v>
      </c>
      <c r="AG62" s="32">
        <v>1</v>
      </c>
      <c r="AH62" s="32">
        <v>1</v>
      </c>
      <c r="AI62" s="32"/>
      <c r="AJ62" s="32"/>
      <c r="AK62" s="30"/>
      <c r="AL62" s="32">
        <f t="shared" si="2"/>
        <v>1</v>
      </c>
      <c r="AM62" s="30"/>
      <c r="AN62" s="32"/>
      <c r="AO62" s="32"/>
      <c r="AP62" s="32">
        <v>1</v>
      </c>
      <c r="AQ62" s="32">
        <v>1</v>
      </c>
      <c r="AR62" s="32"/>
      <c r="AS62" s="34" t="s">
        <v>13010</v>
      </c>
      <c r="AT62" s="32">
        <v>1</v>
      </c>
      <c r="AU62" s="30"/>
      <c r="AV62" s="30"/>
      <c r="AW62" s="30"/>
      <c r="AX62" s="30" t="s">
        <v>12913</v>
      </c>
      <c r="AY62" s="30"/>
    </row>
    <row r="63" spans="1:51">
      <c r="A63" s="25" t="s">
        <v>13011</v>
      </c>
      <c r="B63" s="25" t="s">
        <v>4398</v>
      </c>
      <c r="C63" s="25" t="s">
        <v>68</v>
      </c>
      <c r="D63" s="25" t="s">
        <v>13012</v>
      </c>
      <c r="E63" s="258" t="s">
        <v>13013</v>
      </c>
      <c r="F63" s="25" t="s">
        <v>13014</v>
      </c>
      <c r="G63" s="25" t="s">
        <v>5516</v>
      </c>
      <c r="H63" s="25" t="s">
        <v>11489</v>
      </c>
      <c r="I63" s="25" t="s">
        <v>4402</v>
      </c>
      <c r="J63" s="25" t="s">
        <v>11490</v>
      </c>
      <c r="K63" s="25">
        <v>8.2100000000000009</v>
      </c>
      <c r="L63" s="25" t="s">
        <v>73</v>
      </c>
      <c r="M63" s="25" t="s">
        <v>13015</v>
      </c>
      <c r="N63" s="25" t="s">
        <v>13016</v>
      </c>
      <c r="O63" t="s">
        <v>13017</v>
      </c>
      <c r="P63" s="28"/>
      <c r="Q63" s="53">
        <v>4</v>
      </c>
      <c r="R63" s="53">
        <v>16</v>
      </c>
      <c r="S63" s="53">
        <v>266.12</v>
      </c>
      <c r="T63" s="26" t="s">
        <v>138</v>
      </c>
      <c r="U63" s="30" t="s">
        <v>78</v>
      </c>
      <c r="V63" s="26" t="s">
        <v>139</v>
      </c>
      <c r="W63" s="38" t="s">
        <v>753</v>
      </c>
      <c r="X63" s="26" t="s">
        <v>131</v>
      </c>
      <c r="Y63" s="26" t="s">
        <v>141</v>
      </c>
      <c r="Z63" s="26" t="s">
        <v>141</v>
      </c>
      <c r="AA63" s="26"/>
      <c r="AB63" s="31" t="s">
        <v>13</v>
      </c>
      <c r="AC63" s="30" t="s">
        <v>172</v>
      </c>
      <c r="AD63" s="25" t="s">
        <v>173</v>
      </c>
      <c r="AE63" s="25" t="s">
        <v>174</v>
      </c>
      <c r="AF63" s="26" t="s">
        <v>175</v>
      </c>
      <c r="AG63" s="32">
        <v>1</v>
      </c>
      <c r="AH63" s="32">
        <v>1</v>
      </c>
      <c r="AI63" s="32"/>
      <c r="AJ63" s="32"/>
      <c r="AK63" s="30"/>
      <c r="AL63" s="32">
        <f t="shared" si="2"/>
        <v>1</v>
      </c>
      <c r="AM63" s="30"/>
      <c r="AN63" s="32"/>
      <c r="AO63" s="32"/>
      <c r="AP63" s="32">
        <v>1</v>
      </c>
      <c r="AQ63" s="32">
        <v>1</v>
      </c>
      <c r="AR63" s="32"/>
      <c r="AS63" s="32"/>
      <c r="AT63" s="32">
        <v>1</v>
      </c>
      <c r="AU63" s="30"/>
      <c r="AV63" s="30"/>
      <c r="AW63" s="30"/>
      <c r="AX63" s="30" t="s">
        <v>13018</v>
      </c>
      <c r="AY63" s="30"/>
    </row>
    <row r="64" spans="1:51">
      <c r="A64" s="25" t="s">
        <v>13019</v>
      </c>
      <c r="B64" s="25" t="s">
        <v>4398</v>
      </c>
      <c r="C64" s="25" t="s">
        <v>68</v>
      </c>
      <c r="D64" s="25" t="s">
        <v>13020</v>
      </c>
      <c r="E64" s="258" t="s">
        <v>13021</v>
      </c>
      <c r="F64" s="25" t="s">
        <v>13022</v>
      </c>
      <c r="G64" s="25" t="s">
        <v>5516</v>
      </c>
      <c r="H64" s="25" t="s">
        <v>11489</v>
      </c>
      <c r="I64" s="25" t="s">
        <v>4402</v>
      </c>
      <c r="J64" s="25" t="s">
        <v>11490</v>
      </c>
      <c r="K64" s="25">
        <v>8.2100000000000009</v>
      </c>
      <c r="L64" s="25" t="s">
        <v>73</v>
      </c>
      <c r="M64" s="25" t="s">
        <v>13023</v>
      </c>
      <c r="N64" s="25" t="s">
        <v>13024</v>
      </c>
      <c r="O64" t="s">
        <v>13025</v>
      </c>
      <c r="P64" s="28"/>
      <c r="Q64" s="53">
        <v>4</v>
      </c>
      <c r="R64" s="53">
        <v>16</v>
      </c>
      <c r="S64" s="53">
        <v>266.11</v>
      </c>
      <c r="T64" s="26" t="s">
        <v>138</v>
      </c>
      <c r="U64" s="30" t="s">
        <v>78</v>
      </c>
      <c r="V64" s="26" t="s">
        <v>139</v>
      </c>
      <c r="W64" s="38" t="s">
        <v>753</v>
      </c>
      <c r="X64" s="26" t="s">
        <v>131</v>
      </c>
      <c r="Y64" s="26" t="s">
        <v>141</v>
      </c>
      <c r="Z64" s="26" t="s">
        <v>141</v>
      </c>
      <c r="AA64" s="26"/>
      <c r="AB64" s="31" t="s">
        <v>13</v>
      </c>
      <c r="AC64" s="30" t="s">
        <v>172</v>
      </c>
      <c r="AD64" s="25" t="s">
        <v>173</v>
      </c>
      <c r="AE64" s="25" t="s">
        <v>174</v>
      </c>
      <c r="AF64" s="26" t="s">
        <v>175</v>
      </c>
      <c r="AG64" s="32">
        <v>1</v>
      </c>
      <c r="AH64" s="32">
        <v>1</v>
      </c>
      <c r="AI64" s="32"/>
      <c r="AJ64" s="32"/>
      <c r="AK64" s="30"/>
      <c r="AL64" s="32">
        <f t="shared" si="2"/>
        <v>1</v>
      </c>
      <c r="AM64" s="30"/>
      <c r="AN64" s="32"/>
      <c r="AO64" s="32"/>
      <c r="AP64" s="32">
        <v>1</v>
      </c>
      <c r="AQ64" s="32">
        <v>1</v>
      </c>
      <c r="AR64" s="32"/>
      <c r="AS64" s="32"/>
      <c r="AT64" s="32">
        <v>1</v>
      </c>
      <c r="AU64" s="30"/>
      <c r="AV64" s="30"/>
      <c r="AW64" s="30"/>
      <c r="AX64" s="30" t="s">
        <v>13026</v>
      </c>
      <c r="AY64" s="30"/>
    </row>
    <row r="65" spans="1:51">
      <c r="A65" s="25" t="s">
        <v>13027</v>
      </c>
      <c r="B65" s="25" t="s">
        <v>4398</v>
      </c>
      <c r="C65" s="25" t="s">
        <v>68</v>
      </c>
      <c r="D65" s="25" t="s">
        <v>13028</v>
      </c>
      <c r="E65" s="258" t="s">
        <v>13029</v>
      </c>
      <c r="F65" s="25" t="s">
        <v>13030</v>
      </c>
      <c r="G65" s="25" t="s">
        <v>5516</v>
      </c>
      <c r="H65" s="25" t="s">
        <v>11489</v>
      </c>
      <c r="I65" s="25" t="s">
        <v>4402</v>
      </c>
      <c r="J65" s="25" t="s">
        <v>11490</v>
      </c>
      <c r="K65" s="34" t="s">
        <v>3213</v>
      </c>
      <c r="L65" s="25" t="s">
        <v>73</v>
      </c>
      <c r="M65" s="25" t="s">
        <v>13031</v>
      </c>
      <c r="N65" s="25" t="s">
        <v>13032</v>
      </c>
      <c r="O65" t="s">
        <v>13033</v>
      </c>
      <c r="P65" s="28"/>
      <c r="Q65" s="53">
        <v>4</v>
      </c>
      <c r="R65" s="53">
        <v>16</v>
      </c>
      <c r="S65" s="53">
        <v>266.10000000000002</v>
      </c>
      <c r="T65" s="26" t="s">
        <v>138</v>
      </c>
      <c r="U65" s="30" t="s">
        <v>78</v>
      </c>
      <c r="V65" s="26" t="s">
        <v>139</v>
      </c>
      <c r="W65" s="38" t="s">
        <v>753</v>
      </c>
      <c r="X65" s="26" t="s">
        <v>131</v>
      </c>
      <c r="Y65" s="26" t="s">
        <v>141</v>
      </c>
      <c r="Z65" s="26" t="s">
        <v>141</v>
      </c>
      <c r="AA65" s="26"/>
      <c r="AB65" s="31" t="s">
        <v>13</v>
      </c>
      <c r="AC65" s="30" t="s">
        <v>172</v>
      </c>
      <c r="AD65" s="25" t="s">
        <v>173</v>
      </c>
      <c r="AE65" s="25" t="s">
        <v>174</v>
      </c>
      <c r="AF65" s="26" t="s">
        <v>175</v>
      </c>
      <c r="AG65" s="32">
        <v>1</v>
      </c>
      <c r="AH65" s="32">
        <v>1</v>
      </c>
      <c r="AI65" s="32"/>
      <c r="AJ65" s="32"/>
      <c r="AK65" s="30"/>
      <c r="AL65" s="32"/>
      <c r="AM65" s="30"/>
      <c r="AN65" s="32"/>
      <c r="AO65" s="32"/>
      <c r="AP65" s="32"/>
      <c r="AQ65" s="32"/>
      <c r="AR65" s="32"/>
      <c r="AS65" s="32"/>
      <c r="AT65" s="32"/>
      <c r="AU65" s="30"/>
      <c r="AV65" s="30"/>
      <c r="AW65" s="30"/>
      <c r="AX65" s="30"/>
      <c r="AY65" s="30"/>
    </row>
    <row r="66" spans="1:51">
      <c r="A66" s="25" t="s">
        <v>13034</v>
      </c>
      <c r="B66" s="25" t="s">
        <v>4398</v>
      </c>
      <c r="C66" s="25" t="s">
        <v>68</v>
      </c>
      <c r="D66" s="25" t="s">
        <v>13035</v>
      </c>
      <c r="E66" s="258" t="s">
        <v>13036</v>
      </c>
      <c r="F66" s="25" t="s">
        <v>13037</v>
      </c>
      <c r="G66" s="25" t="s">
        <v>5516</v>
      </c>
      <c r="H66" s="25" t="s">
        <v>11489</v>
      </c>
      <c r="I66" s="25" t="s">
        <v>4402</v>
      </c>
      <c r="J66" s="25" t="s">
        <v>11490</v>
      </c>
      <c r="K66" s="25">
        <v>8.2100000000000009</v>
      </c>
      <c r="L66" s="25" t="s">
        <v>73</v>
      </c>
      <c r="M66" s="25" t="s">
        <v>13038</v>
      </c>
      <c r="N66" s="25" t="s">
        <v>13039</v>
      </c>
      <c r="O66" t="s">
        <v>13040</v>
      </c>
      <c r="P66" s="28"/>
      <c r="Q66" s="53">
        <v>4</v>
      </c>
      <c r="R66" s="53">
        <v>16</v>
      </c>
      <c r="S66" s="53">
        <v>266.10000000000002</v>
      </c>
      <c r="T66" s="26" t="s">
        <v>138</v>
      </c>
      <c r="U66" s="30" t="s">
        <v>78</v>
      </c>
      <c r="V66" s="26" t="s">
        <v>139</v>
      </c>
      <c r="W66" s="38" t="s">
        <v>753</v>
      </c>
      <c r="X66" s="26" t="s">
        <v>131</v>
      </c>
      <c r="Y66" s="26" t="s">
        <v>141</v>
      </c>
      <c r="Z66" s="26" t="s">
        <v>141</v>
      </c>
      <c r="AA66" s="26"/>
      <c r="AB66" s="36" t="s">
        <v>7</v>
      </c>
      <c r="AC66" s="30" t="s">
        <v>172</v>
      </c>
      <c r="AD66" s="25" t="s">
        <v>173</v>
      </c>
      <c r="AE66" s="25" t="s">
        <v>174</v>
      </c>
      <c r="AF66" s="26" t="s">
        <v>175</v>
      </c>
      <c r="AG66" s="32">
        <v>1</v>
      </c>
      <c r="AH66" s="32">
        <v>1</v>
      </c>
      <c r="AI66" s="32"/>
      <c r="AJ66" s="32"/>
      <c r="AK66" s="30"/>
      <c r="AL66" s="32">
        <f t="shared" ref="AL66:AL91" si="3">IF(COUNTIF(AX:AX,"*"&amp;M66&amp;"*")&gt;0,1,0)</f>
        <v>1</v>
      </c>
      <c r="AM66" s="30"/>
      <c r="AN66" s="25" t="s">
        <v>13041</v>
      </c>
      <c r="AO66" s="32"/>
      <c r="AP66" s="32">
        <v>1</v>
      </c>
      <c r="AQ66" s="32">
        <v>1</v>
      </c>
      <c r="AR66" s="32"/>
      <c r="AS66" s="32"/>
      <c r="AT66" s="32">
        <v>1</v>
      </c>
      <c r="AU66" s="30"/>
      <c r="AV66" s="30"/>
      <c r="AW66" s="30"/>
      <c r="AX66" s="30" t="s">
        <v>13042</v>
      </c>
      <c r="AY66" s="30"/>
    </row>
    <row r="67" spans="1:51">
      <c r="A67" s="25" t="s">
        <v>13043</v>
      </c>
      <c r="B67" s="25" t="s">
        <v>4398</v>
      </c>
      <c r="C67" s="25" t="s">
        <v>68</v>
      </c>
      <c r="D67" s="25" t="s">
        <v>13044</v>
      </c>
      <c r="E67" s="258" t="s">
        <v>13045</v>
      </c>
      <c r="F67" s="25" t="s">
        <v>13046</v>
      </c>
      <c r="G67" s="25" t="s">
        <v>11764</v>
      </c>
      <c r="H67" s="25" t="s">
        <v>11764</v>
      </c>
      <c r="I67" s="25" t="s">
        <v>4402</v>
      </c>
      <c r="J67" s="25" t="s">
        <v>11490</v>
      </c>
      <c r="K67" s="25">
        <v>8.2100000000000009</v>
      </c>
      <c r="L67" s="25" t="s">
        <v>73</v>
      </c>
      <c r="M67" s="25" t="s">
        <v>12689</v>
      </c>
      <c r="N67" s="25" t="s">
        <v>13047</v>
      </c>
      <c r="O67" t="s">
        <v>13048</v>
      </c>
      <c r="P67" s="28"/>
      <c r="Q67" s="53">
        <v>4</v>
      </c>
      <c r="R67" s="53">
        <v>16</v>
      </c>
      <c r="S67" s="53">
        <v>266.12</v>
      </c>
      <c r="T67" s="26" t="s">
        <v>138</v>
      </c>
      <c r="U67" s="30" t="s">
        <v>78</v>
      </c>
      <c r="V67" s="26" t="s">
        <v>139</v>
      </c>
      <c r="W67" s="38" t="s">
        <v>753</v>
      </c>
      <c r="X67" s="26" t="s">
        <v>11768</v>
      </c>
      <c r="Y67" s="26" t="s">
        <v>141</v>
      </c>
      <c r="Z67" s="26" t="s">
        <v>141</v>
      </c>
      <c r="AA67" s="26"/>
      <c r="AB67" s="31" t="s">
        <v>13</v>
      </c>
      <c r="AC67" s="30" t="s">
        <v>172</v>
      </c>
      <c r="AD67" s="25" t="s">
        <v>173</v>
      </c>
      <c r="AE67" s="25" t="s">
        <v>174</v>
      </c>
      <c r="AF67" s="26" t="s">
        <v>175</v>
      </c>
      <c r="AG67" s="32">
        <v>1</v>
      </c>
      <c r="AH67" s="32">
        <v>1</v>
      </c>
      <c r="AI67" s="32"/>
      <c r="AJ67" s="32"/>
      <c r="AK67" s="30"/>
      <c r="AL67" s="32">
        <f t="shared" si="3"/>
        <v>1</v>
      </c>
      <c r="AM67" s="30"/>
      <c r="AN67" s="32"/>
      <c r="AO67" s="32"/>
      <c r="AP67" s="32">
        <v>1</v>
      </c>
      <c r="AQ67" s="32">
        <v>1</v>
      </c>
      <c r="AR67" s="32"/>
      <c r="AS67" s="32"/>
      <c r="AT67" s="32">
        <v>1</v>
      </c>
      <c r="AU67" s="30"/>
      <c r="AV67" s="30"/>
      <c r="AW67" s="30"/>
      <c r="AX67" s="30" t="s">
        <v>13049</v>
      </c>
      <c r="AY67" s="30"/>
    </row>
    <row r="68" spans="1:51">
      <c r="A68" s="25" t="s">
        <v>13050</v>
      </c>
      <c r="B68" s="25" t="s">
        <v>4398</v>
      </c>
      <c r="C68" s="25" t="s">
        <v>68</v>
      </c>
      <c r="D68" s="25" t="s">
        <v>13051</v>
      </c>
      <c r="E68" s="258" t="s">
        <v>13052</v>
      </c>
      <c r="F68" s="25" t="s">
        <v>13053</v>
      </c>
      <c r="G68" s="25" t="s">
        <v>11764</v>
      </c>
      <c r="H68" s="25" t="s">
        <v>11764</v>
      </c>
      <c r="I68" s="25" t="s">
        <v>4402</v>
      </c>
      <c r="J68" s="25" t="s">
        <v>11490</v>
      </c>
      <c r="K68" s="25">
        <v>8.2100000000000009</v>
      </c>
      <c r="L68" s="25" t="s">
        <v>73</v>
      </c>
      <c r="M68" s="25" t="s">
        <v>13054</v>
      </c>
      <c r="N68" s="25" t="s">
        <v>13055</v>
      </c>
      <c r="O68" t="s">
        <v>13056</v>
      </c>
      <c r="P68" s="28"/>
      <c r="Q68" s="53">
        <v>4</v>
      </c>
      <c r="R68" s="53">
        <v>16</v>
      </c>
      <c r="S68" s="53">
        <v>266.75</v>
      </c>
      <c r="T68" s="26" t="s">
        <v>138</v>
      </c>
      <c r="U68" s="30" t="s">
        <v>78</v>
      </c>
      <c r="V68" s="26" t="s">
        <v>139</v>
      </c>
      <c r="W68" s="38" t="s">
        <v>753</v>
      </c>
      <c r="X68" s="26" t="s">
        <v>11768</v>
      </c>
      <c r="Y68" s="26" t="s">
        <v>141</v>
      </c>
      <c r="Z68" s="26" t="s">
        <v>141</v>
      </c>
      <c r="AA68" s="26"/>
      <c r="AB68" s="31" t="s">
        <v>13</v>
      </c>
      <c r="AC68" s="30" t="s">
        <v>172</v>
      </c>
      <c r="AD68" s="25" t="s">
        <v>173</v>
      </c>
      <c r="AE68" s="25" t="s">
        <v>174</v>
      </c>
      <c r="AF68" s="26" t="s">
        <v>175</v>
      </c>
      <c r="AG68" s="32">
        <v>1</v>
      </c>
      <c r="AH68" s="32">
        <v>1</v>
      </c>
      <c r="AI68" s="32"/>
      <c r="AJ68" s="32"/>
      <c r="AK68" s="30"/>
      <c r="AL68" s="32">
        <f t="shared" si="3"/>
        <v>1</v>
      </c>
      <c r="AM68" s="30"/>
      <c r="AN68" s="32"/>
      <c r="AO68" s="32"/>
      <c r="AP68" s="32">
        <v>1</v>
      </c>
      <c r="AQ68" s="32">
        <v>1</v>
      </c>
      <c r="AR68" s="32"/>
      <c r="AS68" s="32"/>
      <c r="AT68" s="32">
        <v>1</v>
      </c>
      <c r="AU68" s="30"/>
      <c r="AV68" s="30"/>
      <c r="AW68" s="30"/>
      <c r="AX68" s="30" t="s">
        <v>13057</v>
      </c>
      <c r="AY68" s="30"/>
    </row>
    <row r="69" spans="1:51">
      <c r="A69" s="25" t="s">
        <v>13058</v>
      </c>
      <c r="B69" s="25" t="s">
        <v>4398</v>
      </c>
      <c r="C69" s="25" t="s">
        <v>68</v>
      </c>
      <c r="D69" s="25" t="s">
        <v>13059</v>
      </c>
      <c r="E69" s="258" t="s">
        <v>13060</v>
      </c>
      <c r="F69" s="25" t="s">
        <v>13061</v>
      </c>
      <c r="G69" s="25" t="s">
        <v>11764</v>
      </c>
      <c r="H69" s="25" t="s">
        <v>11764</v>
      </c>
      <c r="I69" s="25" t="s">
        <v>4402</v>
      </c>
      <c r="J69" s="25" t="s">
        <v>11490</v>
      </c>
      <c r="K69" s="25">
        <v>8.2100000000000009</v>
      </c>
      <c r="L69" s="25" t="s">
        <v>73</v>
      </c>
      <c r="M69" s="25" t="s">
        <v>13062</v>
      </c>
      <c r="N69" s="25" t="s">
        <v>13063</v>
      </c>
      <c r="O69" t="s">
        <v>13064</v>
      </c>
      <c r="P69" s="28"/>
      <c r="Q69" s="53">
        <v>4</v>
      </c>
      <c r="R69" s="53">
        <v>16</v>
      </c>
      <c r="S69" s="53">
        <v>266.13</v>
      </c>
      <c r="T69" s="26" t="s">
        <v>138</v>
      </c>
      <c r="U69" s="30" t="s">
        <v>78</v>
      </c>
      <c r="V69" s="26" t="s">
        <v>139</v>
      </c>
      <c r="W69" s="38" t="s">
        <v>753</v>
      </c>
      <c r="X69" s="26" t="s">
        <v>11768</v>
      </c>
      <c r="Y69" s="26" t="s">
        <v>141</v>
      </c>
      <c r="Z69" s="26" t="s">
        <v>141</v>
      </c>
      <c r="AA69" s="26"/>
      <c r="AB69" s="36" t="s">
        <v>7</v>
      </c>
      <c r="AC69" s="30" t="s">
        <v>172</v>
      </c>
      <c r="AD69" s="25" t="s">
        <v>173</v>
      </c>
      <c r="AE69" s="25" t="s">
        <v>174</v>
      </c>
      <c r="AF69" s="26" t="s">
        <v>175</v>
      </c>
      <c r="AG69" s="32">
        <v>1</v>
      </c>
      <c r="AH69" s="32">
        <v>1</v>
      </c>
      <c r="AI69" s="32"/>
      <c r="AJ69" s="32"/>
      <c r="AK69" s="30"/>
      <c r="AL69" s="32">
        <f t="shared" si="3"/>
        <v>1</v>
      </c>
      <c r="AM69" s="30"/>
      <c r="AN69" s="25" t="s">
        <v>13041</v>
      </c>
      <c r="AO69" s="32"/>
      <c r="AP69" s="32">
        <v>1</v>
      </c>
      <c r="AQ69" s="32">
        <v>1</v>
      </c>
      <c r="AR69" s="32"/>
      <c r="AS69" s="32"/>
      <c r="AT69" s="32">
        <v>1</v>
      </c>
      <c r="AU69" s="30"/>
      <c r="AV69" s="30"/>
      <c r="AW69" s="30"/>
      <c r="AX69" s="30" t="s">
        <v>13065</v>
      </c>
      <c r="AY69" s="30"/>
    </row>
    <row r="70" spans="1:51">
      <c r="A70" s="25" t="s">
        <v>13066</v>
      </c>
      <c r="B70" s="25" t="s">
        <v>4398</v>
      </c>
      <c r="C70" s="25" t="s">
        <v>68</v>
      </c>
      <c r="D70" s="25" t="s">
        <v>13067</v>
      </c>
      <c r="E70" s="258" t="s">
        <v>13068</v>
      </c>
      <c r="F70" s="25" t="s">
        <v>13069</v>
      </c>
      <c r="G70" s="25" t="s">
        <v>11764</v>
      </c>
      <c r="H70" s="25" t="s">
        <v>11764</v>
      </c>
      <c r="I70" s="25" t="s">
        <v>4402</v>
      </c>
      <c r="J70" s="25" t="s">
        <v>11490</v>
      </c>
      <c r="K70" s="25">
        <v>8.2100000000000009</v>
      </c>
      <c r="L70" s="25" t="s">
        <v>73</v>
      </c>
      <c r="M70" s="25" t="s">
        <v>13070</v>
      </c>
      <c r="N70" s="25" t="s">
        <v>13071</v>
      </c>
      <c r="O70" t="s">
        <v>13072</v>
      </c>
      <c r="P70" s="28"/>
      <c r="Q70" s="53">
        <v>4</v>
      </c>
      <c r="R70" s="53">
        <v>16</v>
      </c>
      <c r="S70" s="53">
        <v>267.19</v>
      </c>
      <c r="T70" s="26" t="s">
        <v>138</v>
      </c>
      <c r="U70" s="30" t="s">
        <v>78</v>
      </c>
      <c r="V70" s="26" t="s">
        <v>139</v>
      </c>
      <c r="W70" s="38" t="s">
        <v>753</v>
      </c>
      <c r="X70" s="26" t="s">
        <v>11768</v>
      </c>
      <c r="Y70" s="26" t="s">
        <v>141</v>
      </c>
      <c r="Z70" s="26" t="s">
        <v>141</v>
      </c>
      <c r="AA70" s="26"/>
      <c r="AB70" s="31" t="s">
        <v>13</v>
      </c>
      <c r="AC70" s="30" t="s">
        <v>172</v>
      </c>
      <c r="AD70" s="25" t="s">
        <v>173</v>
      </c>
      <c r="AE70" s="25" t="s">
        <v>174</v>
      </c>
      <c r="AF70" s="26" t="s">
        <v>175</v>
      </c>
      <c r="AG70" s="32">
        <v>1</v>
      </c>
      <c r="AH70" s="32">
        <v>1</v>
      </c>
      <c r="AI70" s="32"/>
      <c r="AJ70" s="32"/>
      <c r="AK70" s="30"/>
      <c r="AL70" s="32">
        <f t="shared" si="3"/>
        <v>1</v>
      </c>
      <c r="AM70" s="30"/>
      <c r="AN70" s="32"/>
      <c r="AO70" s="32"/>
      <c r="AP70" s="32">
        <v>1</v>
      </c>
      <c r="AQ70" s="32">
        <v>1</v>
      </c>
      <c r="AR70" s="32"/>
      <c r="AS70" s="32"/>
      <c r="AT70" s="32">
        <v>1</v>
      </c>
      <c r="AU70" s="30"/>
      <c r="AV70" s="30"/>
      <c r="AW70" s="30"/>
      <c r="AX70" s="30" t="s">
        <v>13073</v>
      </c>
      <c r="AY70" s="30"/>
    </row>
    <row r="71" spans="1:51">
      <c r="A71" s="25" t="s">
        <v>13074</v>
      </c>
      <c r="B71" s="25" t="s">
        <v>4398</v>
      </c>
      <c r="C71" s="25" t="s">
        <v>68</v>
      </c>
      <c r="D71" s="25" t="s">
        <v>13075</v>
      </c>
      <c r="E71" s="258" t="s">
        <v>13076</v>
      </c>
      <c r="F71" s="25" t="s">
        <v>13077</v>
      </c>
      <c r="G71" s="25" t="s">
        <v>11764</v>
      </c>
      <c r="H71" s="25" t="s">
        <v>11764</v>
      </c>
      <c r="I71" s="25" t="s">
        <v>4402</v>
      </c>
      <c r="J71" s="25" t="s">
        <v>11490</v>
      </c>
      <c r="K71" s="25">
        <v>8.2100000000000009</v>
      </c>
      <c r="L71" s="25" t="s">
        <v>73</v>
      </c>
      <c r="M71" s="25" t="s">
        <v>13078</v>
      </c>
      <c r="N71" s="25" t="s">
        <v>13079</v>
      </c>
      <c r="O71" t="s">
        <v>13080</v>
      </c>
      <c r="P71" s="28"/>
      <c r="Q71" s="53">
        <v>4</v>
      </c>
      <c r="R71" s="53">
        <v>16</v>
      </c>
      <c r="S71" s="53">
        <v>266.70999999999998</v>
      </c>
      <c r="T71" s="26" t="s">
        <v>138</v>
      </c>
      <c r="U71" s="30" t="s">
        <v>78</v>
      </c>
      <c r="V71" s="26" t="s">
        <v>139</v>
      </c>
      <c r="W71" s="38" t="s">
        <v>753</v>
      </c>
      <c r="X71" s="26" t="s">
        <v>11768</v>
      </c>
      <c r="Y71" s="26" t="s">
        <v>141</v>
      </c>
      <c r="Z71" s="26" t="s">
        <v>141</v>
      </c>
      <c r="AA71" s="26"/>
      <c r="AB71" s="31" t="s">
        <v>13</v>
      </c>
      <c r="AC71" s="30" t="s">
        <v>172</v>
      </c>
      <c r="AD71" s="25" t="s">
        <v>173</v>
      </c>
      <c r="AE71" s="25" t="s">
        <v>174</v>
      </c>
      <c r="AF71" s="26" t="s">
        <v>175</v>
      </c>
      <c r="AG71" s="32">
        <v>1</v>
      </c>
      <c r="AH71" s="32">
        <v>1</v>
      </c>
      <c r="AI71" s="32"/>
      <c r="AJ71" s="32"/>
      <c r="AK71" s="30"/>
      <c r="AL71" s="32">
        <f t="shared" si="3"/>
        <v>1</v>
      </c>
      <c r="AM71" s="30"/>
      <c r="AN71" s="32"/>
      <c r="AO71" s="32"/>
      <c r="AP71" s="32">
        <v>1</v>
      </c>
      <c r="AQ71" s="32">
        <v>1</v>
      </c>
      <c r="AR71" s="32"/>
      <c r="AS71" s="32"/>
      <c r="AT71" s="32">
        <v>1</v>
      </c>
      <c r="AU71" s="30"/>
      <c r="AV71" s="30"/>
      <c r="AW71" s="30"/>
      <c r="AX71" s="30" t="s">
        <v>13081</v>
      </c>
      <c r="AY71" s="30"/>
    </row>
    <row r="72" spans="1:51">
      <c r="A72" s="25" t="s">
        <v>13082</v>
      </c>
      <c r="B72" s="25" t="s">
        <v>4398</v>
      </c>
      <c r="C72" s="25" t="s">
        <v>68</v>
      </c>
      <c r="D72" s="25" t="s">
        <v>13083</v>
      </c>
      <c r="E72" s="258" t="s">
        <v>13084</v>
      </c>
      <c r="F72" s="25" t="s">
        <v>13085</v>
      </c>
      <c r="G72" s="25" t="s">
        <v>11764</v>
      </c>
      <c r="H72" s="25" t="s">
        <v>11764</v>
      </c>
      <c r="I72" s="25" t="s">
        <v>4402</v>
      </c>
      <c r="J72" s="25" t="s">
        <v>11490</v>
      </c>
      <c r="K72" s="25">
        <v>8.2100000000000009</v>
      </c>
      <c r="L72" s="25" t="s">
        <v>73</v>
      </c>
      <c r="M72" s="25" t="s">
        <v>13086</v>
      </c>
      <c r="N72" s="25" t="s">
        <v>13087</v>
      </c>
      <c r="O72" t="s">
        <v>13088</v>
      </c>
      <c r="P72" s="28"/>
      <c r="Q72" s="53">
        <v>4</v>
      </c>
      <c r="R72" s="53">
        <v>16</v>
      </c>
      <c r="S72" s="53">
        <v>266.14999999999998</v>
      </c>
      <c r="T72" s="26" t="s">
        <v>138</v>
      </c>
      <c r="U72" s="30" t="s">
        <v>78</v>
      </c>
      <c r="V72" s="26" t="s">
        <v>139</v>
      </c>
      <c r="W72" s="38" t="s">
        <v>753</v>
      </c>
      <c r="X72" s="26" t="s">
        <v>11768</v>
      </c>
      <c r="Y72" s="26" t="s">
        <v>141</v>
      </c>
      <c r="Z72" s="26" t="s">
        <v>141</v>
      </c>
      <c r="AA72" s="26"/>
      <c r="AB72" s="31" t="s">
        <v>13</v>
      </c>
      <c r="AC72" s="30" t="s">
        <v>172</v>
      </c>
      <c r="AD72" s="25" t="s">
        <v>173</v>
      </c>
      <c r="AE72" s="25" t="s">
        <v>174</v>
      </c>
      <c r="AF72" s="26" t="s">
        <v>175</v>
      </c>
      <c r="AG72" s="32">
        <v>1</v>
      </c>
      <c r="AH72" s="32">
        <v>1</v>
      </c>
      <c r="AI72" s="32"/>
      <c r="AJ72" s="32"/>
      <c r="AK72" s="30"/>
      <c r="AL72" s="32">
        <f t="shared" si="3"/>
        <v>1</v>
      </c>
      <c r="AM72" s="30"/>
      <c r="AN72" s="32"/>
      <c r="AO72" s="32"/>
      <c r="AP72" s="32">
        <v>1</v>
      </c>
      <c r="AQ72" s="32">
        <v>1</v>
      </c>
      <c r="AR72" s="32"/>
      <c r="AS72" s="32"/>
      <c r="AT72" s="32">
        <v>1</v>
      </c>
      <c r="AU72" s="30"/>
      <c r="AV72" s="30"/>
      <c r="AW72" s="30"/>
      <c r="AX72" s="30" t="s">
        <v>13089</v>
      </c>
      <c r="AY72" s="30"/>
    </row>
    <row r="73" spans="1:51">
      <c r="A73" s="25" t="s">
        <v>13090</v>
      </c>
      <c r="B73" s="25" t="s">
        <v>4398</v>
      </c>
      <c r="C73" s="25" t="s">
        <v>68</v>
      </c>
      <c r="D73" s="25" t="s">
        <v>13091</v>
      </c>
      <c r="E73" s="258" t="s">
        <v>13092</v>
      </c>
      <c r="F73" s="25" t="s">
        <v>13093</v>
      </c>
      <c r="G73" s="25" t="s">
        <v>11764</v>
      </c>
      <c r="H73" s="25" t="s">
        <v>11764</v>
      </c>
      <c r="I73" s="25" t="s">
        <v>4402</v>
      </c>
      <c r="J73" s="25" t="s">
        <v>11490</v>
      </c>
      <c r="K73" s="25">
        <v>8.2100000000000009</v>
      </c>
      <c r="L73" s="25" t="s">
        <v>73</v>
      </c>
      <c r="M73" s="25" t="s">
        <v>12900</v>
      </c>
      <c r="N73" s="25" t="s">
        <v>13094</v>
      </c>
      <c r="O73" t="s">
        <v>13095</v>
      </c>
      <c r="P73" s="28"/>
      <c r="Q73" s="53">
        <v>4</v>
      </c>
      <c r="R73" s="53">
        <v>16</v>
      </c>
      <c r="S73" s="53">
        <v>326.75</v>
      </c>
      <c r="T73" s="26" t="s">
        <v>138</v>
      </c>
      <c r="U73" s="30" t="s">
        <v>78</v>
      </c>
      <c r="V73" s="26" t="s">
        <v>139</v>
      </c>
      <c r="W73" s="38" t="s">
        <v>920</v>
      </c>
      <c r="X73" s="26" t="s">
        <v>11768</v>
      </c>
      <c r="Y73" s="26" t="s">
        <v>141</v>
      </c>
      <c r="Z73" s="26" t="s">
        <v>141</v>
      </c>
      <c r="AA73" s="26"/>
      <c r="AB73" s="31" t="s">
        <v>15</v>
      </c>
      <c r="AC73" s="30" t="s">
        <v>172</v>
      </c>
      <c r="AD73" s="25" t="s">
        <v>173</v>
      </c>
      <c r="AE73" s="25" t="s">
        <v>174</v>
      </c>
      <c r="AF73" s="26" t="s">
        <v>175</v>
      </c>
      <c r="AG73" s="32">
        <v>1</v>
      </c>
      <c r="AH73" s="32">
        <v>1</v>
      </c>
      <c r="AI73" s="32"/>
      <c r="AJ73" s="32">
        <v>1</v>
      </c>
      <c r="AK73" s="30">
        <v>1</v>
      </c>
      <c r="AL73" s="32">
        <f t="shared" si="3"/>
        <v>1</v>
      </c>
      <c r="AM73" s="30"/>
      <c r="AN73" s="25" t="s">
        <v>12705</v>
      </c>
      <c r="AO73" s="32"/>
      <c r="AP73" s="32">
        <v>0</v>
      </c>
      <c r="AQ73" s="32"/>
      <c r="AR73" s="32"/>
      <c r="AS73" s="32"/>
      <c r="AT73" s="25" t="s">
        <v>1211</v>
      </c>
      <c r="AU73" s="30"/>
      <c r="AV73" s="30"/>
      <c r="AW73" s="30"/>
      <c r="AX73" s="30" t="s">
        <v>13054</v>
      </c>
      <c r="AY73" s="30"/>
    </row>
    <row r="74" spans="1:51">
      <c r="A74" s="25" t="s">
        <v>13096</v>
      </c>
      <c r="B74" s="25" t="s">
        <v>4398</v>
      </c>
      <c r="C74" s="25" t="s">
        <v>68</v>
      </c>
      <c r="D74" s="25" t="s">
        <v>13097</v>
      </c>
      <c r="E74" s="258" t="s">
        <v>13098</v>
      </c>
      <c r="F74" s="25" t="s">
        <v>13099</v>
      </c>
      <c r="G74" s="25" t="s">
        <v>11764</v>
      </c>
      <c r="H74" s="25" t="s">
        <v>11764</v>
      </c>
      <c r="I74" s="25" t="s">
        <v>4402</v>
      </c>
      <c r="J74" s="25" t="s">
        <v>11490</v>
      </c>
      <c r="K74" s="25">
        <v>8.2100000000000009</v>
      </c>
      <c r="L74" s="25" t="s">
        <v>73</v>
      </c>
      <c r="M74" s="25" t="s">
        <v>12908</v>
      </c>
      <c r="N74" s="25" t="s">
        <v>13100</v>
      </c>
      <c r="O74" t="s">
        <v>13101</v>
      </c>
      <c r="P74" s="28"/>
      <c r="Q74" s="53">
        <v>8</v>
      </c>
      <c r="R74" s="53">
        <v>32</v>
      </c>
      <c r="S74" s="53">
        <v>470.15</v>
      </c>
      <c r="T74" s="26" t="s">
        <v>138</v>
      </c>
      <c r="U74" s="30" t="s">
        <v>78</v>
      </c>
      <c r="V74" s="26" t="s">
        <v>139</v>
      </c>
      <c r="W74" s="38" t="s">
        <v>920</v>
      </c>
      <c r="X74" s="26" t="s">
        <v>11768</v>
      </c>
      <c r="Y74" s="26" t="s">
        <v>141</v>
      </c>
      <c r="Z74" s="26" t="s">
        <v>141</v>
      </c>
      <c r="AA74" s="26"/>
      <c r="AB74" s="31" t="s">
        <v>15</v>
      </c>
      <c r="AC74" s="30" t="s">
        <v>172</v>
      </c>
      <c r="AD74" s="25" t="s">
        <v>173</v>
      </c>
      <c r="AE74" s="25" t="s">
        <v>174</v>
      </c>
      <c r="AF74" s="26" t="s">
        <v>175</v>
      </c>
      <c r="AG74" s="32">
        <v>1</v>
      </c>
      <c r="AH74" s="32">
        <v>1</v>
      </c>
      <c r="AI74" s="32"/>
      <c r="AJ74" s="32">
        <v>1</v>
      </c>
      <c r="AK74" s="30">
        <v>1</v>
      </c>
      <c r="AL74" s="32">
        <f t="shared" si="3"/>
        <v>1</v>
      </c>
      <c r="AM74" s="30"/>
      <c r="AN74" s="32"/>
      <c r="AO74" s="32"/>
      <c r="AP74" s="32">
        <v>1</v>
      </c>
      <c r="AQ74" s="32">
        <v>1</v>
      </c>
      <c r="AR74" s="32"/>
      <c r="AS74" s="32"/>
      <c r="AT74" s="32">
        <v>1</v>
      </c>
      <c r="AU74" s="30"/>
      <c r="AV74" s="30"/>
      <c r="AW74" s="30"/>
      <c r="AX74" s="30" t="s">
        <v>13062</v>
      </c>
      <c r="AY74" s="30"/>
    </row>
    <row r="75" spans="1:51">
      <c r="A75" s="25" t="s">
        <v>13102</v>
      </c>
      <c r="B75" s="25" t="s">
        <v>4398</v>
      </c>
      <c r="C75" s="25" t="s">
        <v>68</v>
      </c>
      <c r="D75" s="25" t="s">
        <v>13103</v>
      </c>
      <c r="E75" s="258" t="s">
        <v>13104</v>
      </c>
      <c r="F75" s="25" t="s">
        <v>13105</v>
      </c>
      <c r="G75" s="25" t="s">
        <v>11764</v>
      </c>
      <c r="H75" s="25" t="s">
        <v>11764</v>
      </c>
      <c r="I75" s="25" t="s">
        <v>4402</v>
      </c>
      <c r="J75" s="25" t="s">
        <v>11490</v>
      </c>
      <c r="K75" s="25">
        <v>8.2100000000000009</v>
      </c>
      <c r="L75" s="25" t="s">
        <v>73</v>
      </c>
      <c r="M75" s="25" t="s">
        <v>12620</v>
      </c>
      <c r="N75" s="25" t="s">
        <v>13106</v>
      </c>
      <c r="O75" t="s">
        <v>13107</v>
      </c>
      <c r="P75" s="28"/>
      <c r="Q75" s="53">
        <v>4</v>
      </c>
      <c r="R75" s="53">
        <v>16</v>
      </c>
      <c r="S75" s="53">
        <v>267.16000000000003</v>
      </c>
      <c r="T75" s="26" t="s">
        <v>138</v>
      </c>
      <c r="U75" s="30" t="s">
        <v>78</v>
      </c>
      <c r="V75" s="26" t="s">
        <v>139</v>
      </c>
      <c r="W75" s="38" t="s">
        <v>920</v>
      </c>
      <c r="X75" s="26" t="s">
        <v>11768</v>
      </c>
      <c r="Y75" s="26" t="s">
        <v>141</v>
      </c>
      <c r="Z75" s="26" t="s">
        <v>141</v>
      </c>
      <c r="AA75" s="26"/>
      <c r="AB75" s="31" t="s">
        <v>15</v>
      </c>
      <c r="AC75" s="30" t="s">
        <v>172</v>
      </c>
      <c r="AD75" s="25" t="s">
        <v>173</v>
      </c>
      <c r="AE75" s="25" t="s">
        <v>174</v>
      </c>
      <c r="AF75" s="26" t="s">
        <v>175</v>
      </c>
      <c r="AG75" s="32">
        <v>1</v>
      </c>
      <c r="AH75" s="32">
        <v>1</v>
      </c>
      <c r="AI75" s="32"/>
      <c r="AJ75" s="32">
        <v>1</v>
      </c>
      <c r="AK75" s="30">
        <v>1</v>
      </c>
      <c r="AL75" s="32">
        <f t="shared" si="3"/>
        <v>1</v>
      </c>
      <c r="AM75" s="30"/>
      <c r="AN75" s="32"/>
      <c r="AO75" s="32"/>
      <c r="AP75" s="32">
        <v>1</v>
      </c>
      <c r="AQ75" s="32">
        <v>1</v>
      </c>
      <c r="AR75" s="32"/>
      <c r="AS75" s="32"/>
      <c r="AT75" s="32">
        <v>1</v>
      </c>
      <c r="AU75" s="30"/>
      <c r="AV75" s="30"/>
      <c r="AW75" s="30"/>
      <c r="AX75" s="30" t="s">
        <v>13070</v>
      </c>
      <c r="AY75" s="30"/>
    </row>
    <row r="76" spans="1:51">
      <c r="A76" s="25" t="s">
        <v>13108</v>
      </c>
      <c r="B76" s="25" t="s">
        <v>4398</v>
      </c>
      <c r="C76" s="25" t="s">
        <v>68</v>
      </c>
      <c r="D76" s="25" t="s">
        <v>13109</v>
      </c>
      <c r="E76" s="258" t="s">
        <v>13110</v>
      </c>
      <c r="F76" s="25" t="s">
        <v>13111</v>
      </c>
      <c r="G76" s="25" t="s">
        <v>11764</v>
      </c>
      <c r="H76" s="25" t="s">
        <v>11764</v>
      </c>
      <c r="I76" s="25" t="s">
        <v>4402</v>
      </c>
      <c r="J76" s="25" t="s">
        <v>11490</v>
      </c>
      <c r="K76" s="25">
        <v>8.2100000000000009</v>
      </c>
      <c r="L76" s="25" t="s">
        <v>73</v>
      </c>
      <c r="M76" s="25" t="s">
        <v>13112</v>
      </c>
      <c r="N76" s="25" t="s">
        <v>13113</v>
      </c>
      <c r="O76" t="s">
        <v>13114</v>
      </c>
      <c r="P76" s="28"/>
      <c r="Q76" s="53">
        <v>4</v>
      </c>
      <c r="R76" s="53">
        <v>16</v>
      </c>
      <c r="S76" s="53">
        <v>316.11</v>
      </c>
      <c r="T76" s="26" t="s">
        <v>138</v>
      </c>
      <c r="U76" s="30" t="s">
        <v>78</v>
      </c>
      <c r="V76" s="26" t="s">
        <v>139</v>
      </c>
      <c r="W76" s="38" t="s">
        <v>920</v>
      </c>
      <c r="X76" s="26" t="s">
        <v>11768</v>
      </c>
      <c r="Y76" s="26" t="s">
        <v>141</v>
      </c>
      <c r="Z76" s="26" t="s">
        <v>141</v>
      </c>
      <c r="AA76" s="26"/>
      <c r="AB76" s="31" t="s">
        <v>15</v>
      </c>
      <c r="AC76" s="30" t="s">
        <v>172</v>
      </c>
      <c r="AD76" s="25" t="s">
        <v>173</v>
      </c>
      <c r="AE76" s="25" t="s">
        <v>174</v>
      </c>
      <c r="AF76" s="26" t="s">
        <v>175</v>
      </c>
      <c r="AG76" s="32">
        <v>1</v>
      </c>
      <c r="AH76" s="32">
        <v>1</v>
      </c>
      <c r="AI76" s="32"/>
      <c r="AJ76" s="32">
        <v>1</v>
      </c>
      <c r="AK76" s="30">
        <v>1</v>
      </c>
      <c r="AL76" s="32">
        <f t="shared" si="3"/>
        <v>1</v>
      </c>
      <c r="AM76" s="30"/>
      <c r="AN76" s="32"/>
      <c r="AO76" s="32"/>
      <c r="AP76" s="32">
        <v>1</v>
      </c>
      <c r="AQ76" s="32">
        <v>1</v>
      </c>
      <c r="AR76" s="32"/>
      <c r="AS76" s="32"/>
      <c r="AT76" s="32">
        <v>1</v>
      </c>
      <c r="AU76" s="56">
        <v>46255.9069675926</v>
      </c>
      <c r="AV76" s="30"/>
      <c r="AW76" s="30"/>
      <c r="AX76" s="30" t="s">
        <v>13078</v>
      </c>
      <c r="AY76" s="30"/>
    </row>
    <row r="77" spans="1:51">
      <c r="A77" s="25" t="s">
        <v>13115</v>
      </c>
      <c r="B77" s="25" t="s">
        <v>4398</v>
      </c>
      <c r="C77" s="25" t="s">
        <v>68</v>
      </c>
      <c r="D77" s="25" t="s">
        <v>13116</v>
      </c>
      <c r="E77" s="258" t="s">
        <v>13117</v>
      </c>
      <c r="F77" s="25" t="s">
        <v>13118</v>
      </c>
      <c r="G77" s="25" t="s">
        <v>11764</v>
      </c>
      <c r="H77" s="25" t="s">
        <v>11764</v>
      </c>
      <c r="I77" s="25" t="s">
        <v>4402</v>
      </c>
      <c r="J77" s="25" t="s">
        <v>11490</v>
      </c>
      <c r="K77" s="25">
        <v>8.2100000000000009</v>
      </c>
      <c r="L77" s="25" t="s">
        <v>73</v>
      </c>
      <c r="M77" s="25" t="s">
        <v>13119</v>
      </c>
      <c r="N77" s="25" t="s">
        <v>13120</v>
      </c>
      <c r="O77" t="s">
        <v>13121</v>
      </c>
      <c r="P77" s="28"/>
      <c r="Q77" s="53">
        <v>4</v>
      </c>
      <c r="R77" s="53">
        <v>16</v>
      </c>
      <c r="S77" s="53">
        <v>366.7</v>
      </c>
      <c r="T77" s="26" t="s">
        <v>138</v>
      </c>
      <c r="U77" s="30" t="s">
        <v>78</v>
      </c>
      <c r="V77" s="26" t="s">
        <v>139</v>
      </c>
      <c r="W77" s="38" t="s">
        <v>920</v>
      </c>
      <c r="X77" s="26" t="s">
        <v>11768</v>
      </c>
      <c r="Y77" s="26" t="s">
        <v>141</v>
      </c>
      <c r="Z77" s="26" t="s">
        <v>141</v>
      </c>
      <c r="AA77" s="26"/>
      <c r="AB77" s="31" t="s">
        <v>15</v>
      </c>
      <c r="AC77" s="30" t="s">
        <v>172</v>
      </c>
      <c r="AD77" s="25" t="s">
        <v>173</v>
      </c>
      <c r="AE77" s="25" t="s">
        <v>174</v>
      </c>
      <c r="AF77" s="26" t="s">
        <v>175</v>
      </c>
      <c r="AG77" s="32">
        <v>1</v>
      </c>
      <c r="AH77" s="32">
        <v>1</v>
      </c>
      <c r="AI77" s="32"/>
      <c r="AJ77" s="32">
        <v>1</v>
      </c>
      <c r="AK77" s="30">
        <v>1</v>
      </c>
      <c r="AL77" s="32">
        <f t="shared" si="3"/>
        <v>1</v>
      </c>
      <c r="AM77" s="30"/>
      <c r="AN77" s="32"/>
      <c r="AO77" s="32"/>
      <c r="AP77" s="32">
        <v>1</v>
      </c>
      <c r="AQ77" s="32">
        <v>1</v>
      </c>
      <c r="AR77" s="32"/>
      <c r="AS77" s="32"/>
      <c r="AT77" s="32">
        <v>1</v>
      </c>
      <c r="AU77" s="30"/>
      <c r="AV77" s="30"/>
      <c r="AW77" s="30"/>
      <c r="AX77" s="30" t="s">
        <v>13086</v>
      </c>
      <c r="AY77" s="30"/>
    </row>
    <row r="78" spans="1:51">
      <c r="A78" s="25" t="s">
        <v>13122</v>
      </c>
      <c r="B78" s="25" t="s">
        <v>4398</v>
      </c>
      <c r="C78" s="25" t="s">
        <v>68</v>
      </c>
      <c r="D78" s="25" t="s">
        <v>13123</v>
      </c>
      <c r="E78" s="258" t="s">
        <v>13124</v>
      </c>
      <c r="F78" s="25" t="s">
        <v>13125</v>
      </c>
      <c r="G78" s="25" t="s">
        <v>11764</v>
      </c>
      <c r="H78" s="25" t="s">
        <v>11764</v>
      </c>
      <c r="I78" s="25" t="s">
        <v>4402</v>
      </c>
      <c r="J78" s="25" t="s">
        <v>11490</v>
      </c>
      <c r="K78" s="25">
        <v>8.2100000000000009</v>
      </c>
      <c r="L78" s="25" t="s">
        <v>73</v>
      </c>
      <c r="M78" s="25" t="s">
        <v>13126</v>
      </c>
      <c r="N78" s="25" t="s">
        <v>13127</v>
      </c>
      <c r="O78" t="s">
        <v>13128</v>
      </c>
      <c r="P78" s="28"/>
      <c r="Q78" s="53">
        <v>4</v>
      </c>
      <c r="R78" s="53">
        <v>16</v>
      </c>
      <c r="S78" s="53">
        <v>286.31</v>
      </c>
      <c r="T78" s="26" t="s">
        <v>138</v>
      </c>
      <c r="U78" s="30" t="s">
        <v>78</v>
      </c>
      <c r="V78" s="26" t="s">
        <v>139</v>
      </c>
      <c r="W78" s="38" t="s">
        <v>920</v>
      </c>
      <c r="X78" s="26" t="s">
        <v>11768</v>
      </c>
      <c r="Y78" s="26" t="s">
        <v>141</v>
      </c>
      <c r="Z78" s="26" t="s">
        <v>141</v>
      </c>
      <c r="AA78" s="26"/>
      <c r="AB78" s="31" t="s">
        <v>15</v>
      </c>
      <c r="AC78" s="30" t="s">
        <v>172</v>
      </c>
      <c r="AD78" s="25" t="s">
        <v>173</v>
      </c>
      <c r="AE78" s="25" t="s">
        <v>174</v>
      </c>
      <c r="AF78" s="26" t="s">
        <v>175</v>
      </c>
      <c r="AG78" s="32">
        <v>1</v>
      </c>
      <c r="AH78" s="32">
        <v>1</v>
      </c>
      <c r="AI78" s="32"/>
      <c r="AJ78" s="32">
        <v>1</v>
      </c>
      <c r="AK78" s="30">
        <v>1</v>
      </c>
      <c r="AL78" s="32">
        <f t="shared" si="3"/>
        <v>1</v>
      </c>
      <c r="AM78" s="30"/>
      <c r="AN78" s="32"/>
      <c r="AO78" s="32"/>
      <c r="AP78" s="32">
        <v>1</v>
      </c>
      <c r="AQ78" s="32">
        <v>1</v>
      </c>
      <c r="AR78" s="32"/>
      <c r="AS78" s="32"/>
      <c r="AT78" s="32">
        <v>1</v>
      </c>
      <c r="AU78" s="30"/>
      <c r="AV78" s="30"/>
      <c r="AW78" s="30"/>
      <c r="AX78" s="30" t="s">
        <v>13112</v>
      </c>
      <c r="AY78" s="30"/>
    </row>
    <row r="79" spans="1:51">
      <c r="A79" s="25" t="s">
        <v>13129</v>
      </c>
      <c r="B79" s="25" t="s">
        <v>4398</v>
      </c>
      <c r="C79" s="25" t="s">
        <v>68</v>
      </c>
      <c r="D79" s="25" t="s">
        <v>13130</v>
      </c>
      <c r="E79" s="258" t="s">
        <v>13131</v>
      </c>
      <c r="F79" s="25" t="s">
        <v>13132</v>
      </c>
      <c r="G79" s="25" t="s">
        <v>11764</v>
      </c>
      <c r="H79" s="25" t="s">
        <v>11764</v>
      </c>
      <c r="I79" s="25" t="s">
        <v>4402</v>
      </c>
      <c r="J79" s="25" t="s">
        <v>11490</v>
      </c>
      <c r="K79" s="25">
        <v>8.2100000000000009</v>
      </c>
      <c r="L79" s="25" t="s">
        <v>73</v>
      </c>
      <c r="M79" s="25" t="s">
        <v>12697</v>
      </c>
      <c r="N79" s="25" t="s">
        <v>13133</v>
      </c>
      <c r="O79" t="s">
        <v>13134</v>
      </c>
      <c r="P79" s="28"/>
      <c r="Q79" s="53">
        <v>4</v>
      </c>
      <c r="R79" s="53">
        <v>16</v>
      </c>
      <c r="S79" s="53">
        <v>267.14</v>
      </c>
      <c r="T79" s="26" t="s">
        <v>138</v>
      </c>
      <c r="U79" s="30" t="s">
        <v>78</v>
      </c>
      <c r="V79" s="26" t="s">
        <v>139</v>
      </c>
      <c r="W79" s="38" t="s">
        <v>920</v>
      </c>
      <c r="X79" s="26" t="s">
        <v>11768</v>
      </c>
      <c r="Y79" s="26" t="s">
        <v>141</v>
      </c>
      <c r="Z79" s="26" t="s">
        <v>141</v>
      </c>
      <c r="AA79" s="26"/>
      <c r="AB79" s="36" t="s">
        <v>7</v>
      </c>
      <c r="AC79" s="30" t="s">
        <v>172</v>
      </c>
      <c r="AD79" s="25" t="s">
        <v>173</v>
      </c>
      <c r="AE79" s="25" t="s">
        <v>174</v>
      </c>
      <c r="AF79" s="26" t="s">
        <v>175</v>
      </c>
      <c r="AG79" s="32">
        <v>1</v>
      </c>
      <c r="AH79" s="32">
        <v>1</v>
      </c>
      <c r="AI79" s="32"/>
      <c r="AJ79" s="32"/>
      <c r="AK79" s="30"/>
      <c r="AL79" s="32">
        <f t="shared" si="3"/>
        <v>1</v>
      </c>
      <c r="AM79" s="30"/>
      <c r="AN79" s="25" t="s">
        <v>13041</v>
      </c>
      <c r="AO79" s="32"/>
      <c r="AP79" s="32">
        <v>1</v>
      </c>
      <c r="AQ79" s="32">
        <v>1</v>
      </c>
      <c r="AR79" s="32"/>
      <c r="AS79" s="32"/>
      <c r="AT79" s="32">
        <v>1</v>
      </c>
      <c r="AU79" s="30"/>
      <c r="AV79" s="30"/>
      <c r="AW79" s="30"/>
      <c r="AX79" s="30" t="s">
        <v>13119</v>
      </c>
      <c r="AY79" s="30"/>
    </row>
    <row r="80" spans="1:51">
      <c r="A80" s="25" t="s">
        <v>13135</v>
      </c>
      <c r="B80" s="25" t="s">
        <v>4398</v>
      </c>
      <c r="C80" s="25" t="s">
        <v>68</v>
      </c>
      <c r="D80" s="25" t="s">
        <v>13136</v>
      </c>
      <c r="E80" s="258" t="s">
        <v>13137</v>
      </c>
      <c r="F80" s="25" t="s">
        <v>13138</v>
      </c>
      <c r="G80" s="25" t="s">
        <v>11764</v>
      </c>
      <c r="H80" s="25" t="s">
        <v>11764</v>
      </c>
      <c r="I80" s="25" t="s">
        <v>4402</v>
      </c>
      <c r="J80" s="25" t="s">
        <v>11490</v>
      </c>
      <c r="K80" s="25">
        <v>8.2100000000000009</v>
      </c>
      <c r="L80" s="25" t="s">
        <v>73</v>
      </c>
      <c r="M80" s="25" t="s">
        <v>13139</v>
      </c>
      <c r="N80" s="25" t="s">
        <v>13140</v>
      </c>
      <c r="O80" t="s">
        <v>13141</v>
      </c>
      <c r="P80" s="28"/>
      <c r="Q80" s="53">
        <v>4</v>
      </c>
      <c r="R80" s="53">
        <v>16</v>
      </c>
      <c r="S80" s="53">
        <v>416.14</v>
      </c>
      <c r="T80" s="26" t="s">
        <v>138</v>
      </c>
      <c r="U80" s="30" t="s">
        <v>78</v>
      </c>
      <c r="V80" s="26" t="s">
        <v>139</v>
      </c>
      <c r="W80" s="38" t="s">
        <v>920</v>
      </c>
      <c r="X80" s="26" t="s">
        <v>11768</v>
      </c>
      <c r="Y80" s="26" t="s">
        <v>141</v>
      </c>
      <c r="Z80" s="26" t="s">
        <v>141</v>
      </c>
      <c r="AA80" s="26"/>
      <c r="AB80" s="31" t="s">
        <v>15</v>
      </c>
      <c r="AC80" s="30" t="s">
        <v>172</v>
      </c>
      <c r="AD80" s="25" t="s">
        <v>173</v>
      </c>
      <c r="AE80" s="25" t="s">
        <v>174</v>
      </c>
      <c r="AF80" s="26" t="s">
        <v>175</v>
      </c>
      <c r="AG80" s="32">
        <v>1</v>
      </c>
      <c r="AH80" s="32">
        <v>1</v>
      </c>
      <c r="AI80" s="32"/>
      <c r="AJ80" s="32">
        <v>1</v>
      </c>
      <c r="AK80" s="30">
        <v>1</v>
      </c>
      <c r="AL80" s="32">
        <f t="shared" si="3"/>
        <v>1</v>
      </c>
      <c r="AM80" s="30"/>
      <c r="AN80" s="32"/>
      <c r="AO80" s="32"/>
      <c r="AP80" s="32">
        <v>1</v>
      </c>
      <c r="AQ80" s="32">
        <v>1</v>
      </c>
      <c r="AR80" s="32"/>
      <c r="AS80" s="32"/>
      <c r="AT80" s="32">
        <v>1</v>
      </c>
      <c r="AU80" s="30"/>
      <c r="AV80" s="30"/>
      <c r="AW80" s="30"/>
      <c r="AX80" s="30" t="s">
        <v>13126</v>
      </c>
      <c r="AY80" s="30"/>
    </row>
    <row r="81" spans="1:51">
      <c r="A81" s="25" t="s">
        <v>13142</v>
      </c>
      <c r="B81" s="25" t="s">
        <v>4398</v>
      </c>
      <c r="C81" s="25" t="s">
        <v>73</v>
      </c>
      <c r="D81" s="25" t="s">
        <v>13143</v>
      </c>
      <c r="E81" s="258" t="s">
        <v>13144</v>
      </c>
      <c r="F81" s="25" t="s">
        <v>11862</v>
      </c>
      <c r="G81" s="25" t="s">
        <v>11764</v>
      </c>
      <c r="H81" s="25" t="s">
        <v>11764</v>
      </c>
      <c r="I81" s="25" t="s">
        <v>4402</v>
      </c>
      <c r="J81" s="25" t="s">
        <v>11490</v>
      </c>
      <c r="K81" s="25">
        <v>8.2100000000000009</v>
      </c>
      <c r="L81" s="25" t="s">
        <v>73</v>
      </c>
      <c r="M81" s="25" t="s">
        <v>12628</v>
      </c>
      <c r="N81" s="25" t="s">
        <v>13145</v>
      </c>
      <c r="O81" t="s">
        <v>13146</v>
      </c>
      <c r="P81" s="28"/>
      <c r="Q81" s="32">
        <v>4</v>
      </c>
      <c r="R81" s="32" t="s">
        <v>4409</v>
      </c>
      <c r="S81" s="32" t="s">
        <v>7857</v>
      </c>
      <c r="T81" s="26" t="s">
        <v>138</v>
      </c>
      <c r="U81" s="30" t="s">
        <v>78</v>
      </c>
      <c r="V81" s="26" t="s">
        <v>139</v>
      </c>
      <c r="W81" s="38" t="s">
        <v>920</v>
      </c>
      <c r="X81" s="26" t="s">
        <v>11768</v>
      </c>
      <c r="Y81" s="26" t="s">
        <v>141</v>
      </c>
      <c r="Z81" s="26" t="s">
        <v>141</v>
      </c>
      <c r="AA81" s="26"/>
      <c r="AB81" s="31" t="s">
        <v>15</v>
      </c>
      <c r="AC81" s="30" t="s">
        <v>172</v>
      </c>
      <c r="AD81" s="25" t="s">
        <v>4423</v>
      </c>
      <c r="AE81" s="25" t="s">
        <v>172</v>
      </c>
      <c r="AF81" s="26" t="s">
        <v>175</v>
      </c>
      <c r="AG81" s="32">
        <v>1</v>
      </c>
      <c r="AH81" s="32">
        <v>1</v>
      </c>
      <c r="AI81" s="32"/>
      <c r="AJ81" s="32">
        <v>1</v>
      </c>
      <c r="AK81" s="30">
        <v>1</v>
      </c>
      <c r="AL81" s="32">
        <f t="shared" si="3"/>
        <v>1</v>
      </c>
      <c r="AM81" s="30"/>
      <c r="AN81" s="32"/>
      <c r="AO81" s="32"/>
      <c r="AP81" s="32">
        <v>1</v>
      </c>
      <c r="AQ81" s="32">
        <v>1</v>
      </c>
      <c r="AR81" s="32"/>
      <c r="AS81" s="32"/>
      <c r="AT81" s="32">
        <v>1</v>
      </c>
      <c r="AU81" s="30"/>
      <c r="AV81" s="30"/>
      <c r="AW81" s="30"/>
      <c r="AX81" s="30" t="s">
        <v>13139</v>
      </c>
      <c r="AY81" s="30"/>
    </row>
    <row r="82" spans="1:51">
      <c r="A82" s="25" t="s">
        <v>13147</v>
      </c>
      <c r="B82" s="25" t="s">
        <v>4398</v>
      </c>
      <c r="C82" s="25" t="s">
        <v>68</v>
      </c>
      <c r="D82" s="25" t="s">
        <v>13148</v>
      </c>
      <c r="E82" s="258" t="s">
        <v>13149</v>
      </c>
      <c r="F82" s="25" t="s">
        <v>13150</v>
      </c>
      <c r="G82" s="25" t="s">
        <v>11764</v>
      </c>
      <c r="H82" s="25" t="s">
        <v>11764</v>
      </c>
      <c r="I82" s="25" t="s">
        <v>4402</v>
      </c>
      <c r="J82" s="25" t="s">
        <v>11490</v>
      </c>
      <c r="K82" s="25">
        <v>8.2100000000000009</v>
      </c>
      <c r="L82" s="25" t="s">
        <v>73</v>
      </c>
      <c r="M82" s="25" t="s">
        <v>12916</v>
      </c>
      <c r="N82" s="25" t="s">
        <v>13151</v>
      </c>
      <c r="O82" t="s">
        <v>13152</v>
      </c>
      <c r="P82" s="28"/>
      <c r="Q82" s="53">
        <v>4</v>
      </c>
      <c r="R82" s="53">
        <v>16</v>
      </c>
      <c r="S82" s="53">
        <v>266.13</v>
      </c>
      <c r="T82" s="26" t="s">
        <v>138</v>
      </c>
      <c r="U82" s="30" t="s">
        <v>78</v>
      </c>
      <c r="V82" s="26" t="s">
        <v>139</v>
      </c>
      <c r="W82" s="38" t="s">
        <v>920</v>
      </c>
      <c r="X82" s="26" t="s">
        <v>11768</v>
      </c>
      <c r="Y82" s="26" t="s">
        <v>141</v>
      </c>
      <c r="Z82" s="26" t="s">
        <v>141</v>
      </c>
      <c r="AA82" s="26"/>
      <c r="AB82" s="31" t="s">
        <v>15</v>
      </c>
      <c r="AC82" s="30" t="s">
        <v>172</v>
      </c>
      <c r="AD82" s="25" t="s">
        <v>173</v>
      </c>
      <c r="AE82" s="25" t="s">
        <v>174</v>
      </c>
      <c r="AF82" s="26" t="s">
        <v>175</v>
      </c>
      <c r="AG82" s="32">
        <v>1</v>
      </c>
      <c r="AH82" s="32">
        <v>1</v>
      </c>
      <c r="AI82" s="32"/>
      <c r="AJ82" s="32">
        <v>1</v>
      </c>
      <c r="AK82" s="30">
        <v>1</v>
      </c>
      <c r="AL82" s="32">
        <f t="shared" si="3"/>
        <v>1</v>
      </c>
      <c r="AM82" s="30"/>
      <c r="AN82" s="32"/>
      <c r="AO82" s="32"/>
      <c r="AP82" s="32">
        <v>1</v>
      </c>
      <c r="AQ82" s="32">
        <v>1</v>
      </c>
      <c r="AR82" s="32"/>
      <c r="AS82" s="32"/>
      <c r="AT82" s="32">
        <v>1</v>
      </c>
      <c r="AU82" s="30"/>
      <c r="AV82" s="30"/>
      <c r="AW82" s="30"/>
      <c r="AX82" s="30" t="s">
        <v>13153</v>
      </c>
      <c r="AY82" s="30"/>
    </row>
    <row r="83" spans="1:51">
      <c r="A83" s="25" t="s">
        <v>13154</v>
      </c>
      <c r="B83" s="25" t="s">
        <v>4398</v>
      </c>
      <c r="C83" s="25" t="s">
        <v>68</v>
      </c>
      <c r="D83" s="25" t="s">
        <v>13155</v>
      </c>
      <c r="E83" s="258" t="s">
        <v>13156</v>
      </c>
      <c r="F83" s="25" t="s">
        <v>13157</v>
      </c>
      <c r="G83" s="25" t="s">
        <v>11764</v>
      </c>
      <c r="H83" s="25" t="s">
        <v>11764</v>
      </c>
      <c r="I83" s="25" t="s">
        <v>4402</v>
      </c>
      <c r="J83" s="25" t="s">
        <v>11490</v>
      </c>
      <c r="K83" s="25">
        <v>8.2100000000000009</v>
      </c>
      <c r="L83" s="25" t="s">
        <v>73</v>
      </c>
      <c r="M83" s="25" t="s">
        <v>12924</v>
      </c>
      <c r="N83" s="25" t="s">
        <v>13158</v>
      </c>
      <c r="O83" t="s">
        <v>13159</v>
      </c>
      <c r="P83" s="28"/>
      <c r="Q83" s="53">
        <v>4</v>
      </c>
      <c r="R83" s="53">
        <v>16</v>
      </c>
      <c r="S83" s="53">
        <v>286.14</v>
      </c>
      <c r="T83" s="26" t="s">
        <v>138</v>
      </c>
      <c r="U83" s="30" t="s">
        <v>78</v>
      </c>
      <c r="V83" s="26" t="s">
        <v>139</v>
      </c>
      <c r="W83" s="38" t="s">
        <v>920</v>
      </c>
      <c r="X83" s="26" t="s">
        <v>11768</v>
      </c>
      <c r="Y83" s="26" t="s">
        <v>141</v>
      </c>
      <c r="Z83" s="26" t="s">
        <v>141</v>
      </c>
      <c r="AA83" s="26"/>
      <c r="AB83" s="36" t="s">
        <v>7</v>
      </c>
      <c r="AC83" s="30" t="s">
        <v>172</v>
      </c>
      <c r="AD83" s="25" t="s">
        <v>173</v>
      </c>
      <c r="AE83" s="25" t="s">
        <v>174</v>
      </c>
      <c r="AF83" s="26" t="s">
        <v>175</v>
      </c>
      <c r="AG83" s="32">
        <v>1</v>
      </c>
      <c r="AH83" s="32">
        <v>1</v>
      </c>
      <c r="AI83" s="32"/>
      <c r="AJ83" s="32"/>
      <c r="AK83" s="30"/>
      <c r="AL83" s="32">
        <f t="shared" si="3"/>
        <v>1</v>
      </c>
      <c r="AM83" s="30"/>
      <c r="AN83" s="25" t="s">
        <v>13160</v>
      </c>
      <c r="AO83" s="32"/>
      <c r="AP83" s="32">
        <v>1</v>
      </c>
      <c r="AQ83" s="32">
        <v>1</v>
      </c>
      <c r="AR83" s="32"/>
      <c r="AS83" s="32"/>
      <c r="AT83" s="32">
        <v>1</v>
      </c>
      <c r="AU83" s="30"/>
      <c r="AV83" s="30"/>
      <c r="AW83" s="30"/>
      <c r="AX83" s="30" t="s">
        <v>13161</v>
      </c>
      <c r="AY83" s="30"/>
    </row>
    <row r="84" spans="1:51">
      <c r="A84" s="25" t="s">
        <v>13162</v>
      </c>
      <c r="B84" s="25" t="s">
        <v>4398</v>
      </c>
      <c r="C84" s="25" t="s">
        <v>68</v>
      </c>
      <c r="D84" s="25" t="s">
        <v>13163</v>
      </c>
      <c r="E84" s="258" t="s">
        <v>13164</v>
      </c>
      <c r="F84" s="25" t="s">
        <v>13165</v>
      </c>
      <c r="G84" s="25" t="s">
        <v>11764</v>
      </c>
      <c r="H84" s="25" t="s">
        <v>11764</v>
      </c>
      <c r="I84" s="25" t="s">
        <v>4402</v>
      </c>
      <c r="J84" s="25" t="s">
        <v>11490</v>
      </c>
      <c r="K84" s="25">
        <v>8.2100000000000009</v>
      </c>
      <c r="L84" s="25" t="s">
        <v>73</v>
      </c>
      <c r="M84" s="25" t="s">
        <v>12636</v>
      </c>
      <c r="N84" s="25" t="s">
        <v>13166</v>
      </c>
      <c r="O84" t="s">
        <v>13167</v>
      </c>
      <c r="P84" s="28"/>
      <c r="Q84" s="53">
        <v>4</v>
      </c>
      <c r="R84" s="53">
        <v>16</v>
      </c>
      <c r="S84" s="53">
        <v>266.12</v>
      </c>
      <c r="T84" s="26" t="s">
        <v>138</v>
      </c>
      <c r="U84" s="30" t="s">
        <v>78</v>
      </c>
      <c r="V84" s="26" t="s">
        <v>139</v>
      </c>
      <c r="W84" s="38" t="s">
        <v>920</v>
      </c>
      <c r="X84" s="26" t="s">
        <v>11768</v>
      </c>
      <c r="Y84" s="26" t="s">
        <v>141</v>
      </c>
      <c r="Z84" s="26" t="s">
        <v>141</v>
      </c>
      <c r="AA84" s="26"/>
      <c r="AB84" s="31" t="s">
        <v>15</v>
      </c>
      <c r="AC84" s="30" t="s">
        <v>172</v>
      </c>
      <c r="AD84" s="25" t="s">
        <v>173</v>
      </c>
      <c r="AE84" s="25" t="s">
        <v>174</v>
      </c>
      <c r="AF84" s="26" t="s">
        <v>175</v>
      </c>
      <c r="AG84" s="32">
        <v>1</v>
      </c>
      <c r="AH84" s="32">
        <v>1</v>
      </c>
      <c r="AI84" s="32"/>
      <c r="AJ84" s="32">
        <v>1</v>
      </c>
      <c r="AK84" s="30">
        <v>1</v>
      </c>
      <c r="AL84" s="32">
        <f t="shared" si="3"/>
        <v>1</v>
      </c>
      <c r="AM84" s="30"/>
      <c r="AN84" s="32"/>
      <c r="AO84" s="32"/>
      <c r="AP84" s="32">
        <v>1</v>
      </c>
      <c r="AQ84" s="32">
        <v>1</v>
      </c>
      <c r="AR84" s="32"/>
      <c r="AS84" s="32"/>
      <c r="AT84" s="32">
        <v>1</v>
      </c>
      <c r="AU84" s="30"/>
      <c r="AV84" s="30"/>
      <c r="AW84" s="30"/>
      <c r="AX84" s="30" t="s">
        <v>13168</v>
      </c>
      <c r="AY84" s="30"/>
    </row>
    <row r="85" spans="1:51">
      <c r="A85" s="25" t="s">
        <v>13169</v>
      </c>
      <c r="B85" s="25" t="s">
        <v>4398</v>
      </c>
      <c r="C85" s="25" t="s">
        <v>68</v>
      </c>
      <c r="D85" s="25" t="s">
        <v>13170</v>
      </c>
      <c r="E85" s="258" t="s">
        <v>13171</v>
      </c>
      <c r="F85" s="25" t="s">
        <v>13172</v>
      </c>
      <c r="G85" s="25" t="s">
        <v>11764</v>
      </c>
      <c r="H85" s="25" t="s">
        <v>11764</v>
      </c>
      <c r="I85" s="25" t="s">
        <v>4402</v>
      </c>
      <c r="J85" s="25" t="s">
        <v>11490</v>
      </c>
      <c r="K85" s="25">
        <v>8.2100000000000009</v>
      </c>
      <c r="L85" s="25" t="s">
        <v>73</v>
      </c>
      <c r="M85" s="25" t="s">
        <v>12939</v>
      </c>
      <c r="N85" s="25" t="s">
        <v>13173</v>
      </c>
      <c r="O85" t="s">
        <v>13174</v>
      </c>
      <c r="P85" s="28"/>
      <c r="Q85" s="53">
        <v>4</v>
      </c>
      <c r="R85" s="53">
        <v>16</v>
      </c>
      <c r="S85" s="53">
        <v>266.10000000000002</v>
      </c>
      <c r="T85" s="26" t="s">
        <v>138</v>
      </c>
      <c r="U85" s="30" t="s">
        <v>78</v>
      </c>
      <c r="V85" s="26" t="s">
        <v>139</v>
      </c>
      <c r="W85" s="38" t="s">
        <v>920</v>
      </c>
      <c r="X85" s="26" t="s">
        <v>11768</v>
      </c>
      <c r="Y85" s="26" t="s">
        <v>141</v>
      </c>
      <c r="Z85" s="26" t="s">
        <v>141</v>
      </c>
      <c r="AA85" s="26"/>
      <c r="AB85" s="31" t="s">
        <v>15</v>
      </c>
      <c r="AC85" s="30" t="s">
        <v>172</v>
      </c>
      <c r="AD85" s="25" t="s">
        <v>173</v>
      </c>
      <c r="AE85" s="25" t="s">
        <v>174</v>
      </c>
      <c r="AF85" s="26" t="s">
        <v>175</v>
      </c>
      <c r="AG85" s="32">
        <v>1</v>
      </c>
      <c r="AH85" s="32">
        <v>1</v>
      </c>
      <c r="AI85" s="32"/>
      <c r="AJ85" s="32">
        <v>1</v>
      </c>
      <c r="AK85" s="30">
        <v>1</v>
      </c>
      <c r="AL85" s="32">
        <f t="shared" si="3"/>
        <v>1</v>
      </c>
      <c r="AM85" s="30"/>
      <c r="AN85" s="25"/>
      <c r="AO85" s="32"/>
      <c r="AP85" s="32">
        <v>1</v>
      </c>
      <c r="AQ85" s="32">
        <v>1</v>
      </c>
      <c r="AR85" s="32"/>
      <c r="AS85" s="32"/>
      <c r="AT85" s="32">
        <v>1</v>
      </c>
      <c r="AU85" s="30"/>
      <c r="AV85" s="30"/>
      <c r="AW85" s="30"/>
      <c r="AX85" s="30" t="s">
        <v>13175</v>
      </c>
      <c r="AY85" s="30"/>
    </row>
    <row r="86" spans="1:51">
      <c r="A86" s="25" t="s">
        <v>13176</v>
      </c>
      <c r="B86" s="25" t="s">
        <v>4398</v>
      </c>
      <c r="C86" s="25" t="s">
        <v>68</v>
      </c>
      <c r="D86" s="25" t="s">
        <v>13177</v>
      </c>
      <c r="E86" s="258" t="s">
        <v>13178</v>
      </c>
      <c r="F86" s="25" t="s">
        <v>13179</v>
      </c>
      <c r="G86" s="25" t="s">
        <v>11764</v>
      </c>
      <c r="H86" s="25" t="s">
        <v>11764</v>
      </c>
      <c r="I86" s="25" t="s">
        <v>4402</v>
      </c>
      <c r="J86" s="25" t="s">
        <v>11490</v>
      </c>
      <c r="K86" s="25">
        <v>8.2100000000000009</v>
      </c>
      <c r="L86" s="25" t="s">
        <v>73</v>
      </c>
      <c r="M86" s="25" t="s">
        <v>12947</v>
      </c>
      <c r="N86" s="25" t="s">
        <v>13180</v>
      </c>
      <c r="O86" t="s">
        <v>13181</v>
      </c>
      <c r="P86" s="28"/>
      <c r="Q86" s="53">
        <v>4</v>
      </c>
      <c r="R86" s="53">
        <v>16</v>
      </c>
      <c r="S86" s="53">
        <v>266.13</v>
      </c>
      <c r="T86" s="26" t="s">
        <v>138</v>
      </c>
      <c r="U86" s="30" t="s">
        <v>78</v>
      </c>
      <c r="V86" s="26" t="s">
        <v>139</v>
      </c>
      <c r="W86" s="38" t="s">
        <v>920</v>
      </c>
      <c r="X86" s="26" t="s">
        <v>11768</v>
      </c>
      <c r="Y86" s="26" t="s">
        <v>141</v>
      </c>
      <c r="Z86" s="26" t="s">
        <v>141</v>
      </c>
      <c r="AA86" s="26"/>
      <c r="AB86" s="31" t="s">
        <v>15</v>
      </c>
      <c r="AC86" s="30" t="s">
        <v>172</v>
      </c>
      <c r="AD86" s="25" t="s">
        <v>173</v>
      </c>
      <c r="AE86" s="25" t="s">
        <v>174</v>
      </c>
      <c r="AF86" s="26" t="s">
        <v>175</v>
      </c>
      <c r="AG86" s="32">
        <v>1</v>
      </c>
      <c r="AH86" s="32">
        <v>1</v>
      </c>
      <c r="AI86" s="32"/>
      <c r="AJ86" s="32">
        <v>1</v>
      </c>
      <c r="AK86" s="30">
        <v>1</v>
      </c>
      <c r="AL86" s="32">
        <f t="shared" si="3"/>
        <v>1</v>
      </c>
      <c r="AM86" s="30"/>
      <c r="AN86" s="32"/>
      <c r="AO86" s="32"/>
      <c r="AP86" s="32">
        <v>1</v>
      </c>
      <c r="AQ86" s="32">
        <v>1</v>
      </c>
      <c r="AR86" s="32"/>
      <c r="AS86" s="32"/>
      <c r="AT86" s="32">
        <v>1</v>
      </c>
      <c r="AU86" s="30"/>
      <c r="AV86" s="30"/>
      <c r="AW86" s="30"/>
      <c r="AX86" s="30" t="s">
        <v>13182</v>
      </c>
      <c r="AY86" s="30"/>
    </row>
    <row r="87" spans="1:51">
      <c r="A87" s="25" t="s">
        <v>13183</v>
      </c>
      <c r="B87" s="25" t="s">
        <v>4398</v>
      </c>
      <c r="C87" s="25" t="s">
        <v>68</v>
      </c>
      <c r="D87" s="25" t="s">
        <v>13184</v>
      </c>
      <c r="E87" s="258" t="s">
        <v>13185</v>
      </c>
      <c r="F87" s="25" t="s">
        <v>13186</v>
      </c>
      <c r="G87" s="25" t="s">
        <v>11764</v>
      </c>
      <c r="H87" s="25" t="s">
        <v>11764</v>
      </c>
      <c r="I87" s="25" t="s">
        <v>4402</v>
      </c>
      <c r="J87" s="25" t="s">
        <v>11490</v>
      </c>
      <c r="K87" s="25">
        <v>8.2100000000000009</v>
      </c>
      <c r="L87" s="25" t="s">
        <v>73</v>
      </c>
      <c r="M87" s="25" t="s">
        <v>13153</v>
      </c>
      <c r="N87" s="25" t="s">
        <v>13187</v>
      </c>
      <c r="O87" t="s">
        <v>13188</v>
      </c>
      <c r="P87" s="28"/>
      <c r="Q87" s="53">
        <v>4</v>
      </c>
      <c r="R87" s="53">
        <v>16</v>
      </c>
      <c r="S87" s="53">
        <v>267.85000000000002</v>
      </c>
      <c r="T87" s="26" t="s">
        <v>138</v>
      </c>
      <c r="U87" s="30" t="s">
        <v>78</v>
      </c>
      <c r="V87" s="26" t="s">
        <v>139</v>
      </c>
      <c r="W87" s="38" t="s">
        <v>920</v>
      </c>
      <c r="X87" s="26" t="s">
        <v>11768</v>
      </c>
      <c r="Y87" s="26" t="s">
        <v>141</v>
      </c>
      <c r="Z87" s="26" t="s">
        <v>141</v>
      </c>
      <c r="AA87" s="26"/>
      <c r="AB87" s="31" t="s">
        <v>15</v>
      </c>
      <c r="AC87" s="30" t="s">
        <v>172</v>
      </c>
      <c r="AD87" s="25" t="s">
        <v>173</v>
      </c>
      <c r="AE87" s="25" t="s">
        <v>174</v>
      </c>
      <c r="AF87" s="26" t="s">
        <v>175</v>
      </c>
      <c r="AG87" s="32">
        <v>1</v>
      </c>
      <c r="AH87" s="32">
        <v>1</v>
      </c>
      <c r="AI87" s="32"/>
      <c r="AJ87" s="32">
        <v>1</v>
      </c>
      <c r="AK87" s="30">
        <v>1</v>
      </c>
      <c r="AL87" s="32">
        <f t="shared" si="3"/>
        <v>1</v>
      </c>
      <c r="AM87" s="30"/>
      <c r="AN87" s="32"/>
      <c r="AO87" s="32"/>
      <c r="AP87" s="32">
        <v>1</v>
      </c>
      <c r="AQ87" s="32">
        <v>1</v>
      </c>
      <c r="AR87" s="32"/>
      <c r="AS87" s="32"/>
      <c r="AT87" s="32">
        <v>1</v>
      </c>
      <c r="AU87" s="30"/>
      <c r="AV87" s="30"/>
      <c r="AW87" s="30"/>
      <c r="AX87" s="30" t="s">
        <v>13189</v>
      </c>
      <c r="AY87" s="30"/>
    </row>
    <row r="88" spans="1:51">
      <c r="A88" s="25" t="s">
        <v>13190</v>
      </c>
      <c r="B88" s="25" t="s">
        <v>4398</v>
      </c>
      <c r="C88" s="25" t="s">
        <v>68</v>
      </c>
      <c r="D88" s="25" t="s">
        <v>13191</v>
      </c>
      <c r="E88" s="258" t="s">
        <v>13192</v>
      </c>
      <c r="F88" s="25" t="s">
        <v>13193</v>
      </c>
      <c r="G88" s="25" t="s">
        <v>11764</v>
      </c>
      <c r="H88" s="25" t="s">
        <v>11764</v>
      </c>
      <c r="I88" s="25" t="s">
        <v>4402</v>
      </c>
      <c r="J88" s="25" t="s">
        <v>11490</v>
      </c>
      <c r="K88" s="25">
        <v>8.2100000000000009</v>
      </c>
      <c r="L88" s="25" t="s">
        <v>73</v>
      </c>
      <c r="M88" s="25" t="s">
        <v>13161</v>
      </c>
      <c r="N88" s="25" t="s">
        <v>13194</v>
      </c>
      <c r="O88" t="s">
        <v>13195</v>
      </c>
      <c r="P88" s="28"/>
      <c r="Q88" s="53">
        <v>4</v>
      </c>
      <c r="R88" s="53">
        <v>16</v>
      </c>
      <c r="S88" s="53">
        <v>266.12</v>
      </c>
      <c r="T88" s="26" t="s">
        <v>138</v>
      </c>
      <c r="U88" s="30" t="s">
        <v>78</v>
      </c>
      <c r="V88" s="26" t="s">
        <v>139</v>
      </c>
      <c r="W88" s="38" t="s">
        <v>920</v>
      </c>
      <c r="X88" s="26" t="s">
        <v>11768</v>
      </c>
      <c r="Y88" s="26" t="s">
        <v>141</v>
      </c>
      <c r="Z88" s="26" t="s">
        <v>141</v>
      </c>
      <c r="AA88" s="26"/>
      <c r="AB88" s="31" t="s">
        <v>15</v>
      </c>
      <c r="AC88" s="30" t="s">
        <v>172</v>
      </c>
      <c r="AD88" s="25" t="s">
        <v>173</v>
      </c>
      <c r="AE88" s="25" t="s">
        <v>174</v>
      </c>
      <c r="AF88" s="26" t="s">
        <v>175</v>
      </c>
      <c r="AG88" s="32">
        <v>1</v>
      </c>
      <c r="AH88" s="32">
        <v>1</v>
      </c>
      <c r="AI88" s="32"/>
      <c r="AJ88" s="32">
        <v>1</v>
      </c>
      <c r="AK88" s="30">
        <v>1</v>
      </c>
      <c r="AL88" s="32">
        <f t="shared" si="3"/>
        <v>1</v>
      </c>
      <c r="AM88" s="30"/>
      <c r="AN88" s="32"/>
      <c r="AO88" s="32"/>
      <c r="AP88" s="32">
        <v>1</v>
      </c>
      <c r="AQ88" s="32">
        <v>1</v>
      </c>
      <c r="AR88" s="32"/>
      <c r="AS88" s="30"/>
      <c r="AT88" s="32">
        <v>1</v>
      </c>
      <c r="AU88" s="30"/>
      <c r="AV88" s="30"/>
      <c r="AW88" s="30"/>
      <c r="AX88" s="30" t="s">
        <v>13196</v>
      </c>
      <c r="AY88" s="30"/>
    </row>
    <row r="89" spans="1:51">
      <c r="A89" s="25" t="s">
        <v>13197</v>
      </c>
      <c r="B89" s="25" t="s">
        <v>4398</v>
      </c>
      <c r="C89" s="25" t="s">
        <v>68</v>
      </c>
      <c r="D89" s="25" t="s">
        <v>13198</v>
      </c>
      <c r="E89" s="258" t="s">
        <v>13199</v>
      </c>
      <c r="F89" s="25" t="s">
        <v>13200</v>
      </c>
      <c r="G89" s="25" t="s">
        <v>11764</v>
      </c>
      <c r="H89" s="25" t="s">
        <v>11764</v>
      </c>
      <c r="I89" s="25" t="s">
        <v>4402</v>
      </c>
      <c r="J89" s="25" t="s">
        <v>11490</v>
      </c>
      <c r="K89" s="25">
        <v>8.2100000000000009</v>
      </c>
      <c r="L89" s="25" t="s">
        <v>73</v>
      </c>
      <c r="M89" s="25" t="s">
        <v>13168</v>
      </c>
      <c r="N89" s="25" t="s">
        <v>13201</v>
      </c>
      <c r="O89" t="s">
        <v>13202</v>
      </c>
      <c r="P89" s="28"/>
      <c r="Q89" s="53">
        <v>4</v>
      </c>
      <c r="R89" s="53">
        <v>16</v>
      </c>
      <c r="S89" s="53">
        <v>267.83</v>
      </c>
      <c r="T89" s="26" t="s">
        <v>138</v>
      </c>
      <c r="U89" s="30" t="s">
        <v>78</v>
      </c>
      <c r="V89" s="26" t="s">
        <v>139</v>
      </c>
      <c r="W89" s="38" t="s">
        <v>920</v>
      </c>
      <c r="X89" s="26" t="s">
        <v>11768</v>
      </c>
      <c r="Y89" s="26" t="s">
        <v>141</v>
      </c>
      <c r="Z89" s="26" t="s">
        <v>141</v>
      </c>
      <c r="AA89" s="26"/>
      <c r="AB89" s="31" t="s">
        <v>15</v>
      </c>
      <c r="AC89" s="30" t="s">
        <v>172</v>
      </c>
      <c r="AD89" s="25" t="s">
        <v>173</v>
      </c>
      <c r="AE89" s="25" t="s">
        <v>174</v>
      </c>
      <c r="AF89" s="26" t="s">
        <v>175</v>
      </c>
      <c r="AG89" s="32">
        <v>1</v>
      </c>
      <c r="AH89" s="32">
        <v>1</v>
      </c>
      <c r="AI89" s="32"/>
      <c r="AJ89" s="32">
        <v>1</v>
      </c>
      <c r="AK89" s="30">
        <v>1</v>
      </c>
      <c r="AL89" s="32">
        <f t="shared" si="3"/>
        <v>1</v>
      </c>
      <c r="AM89" s="30"/>
      <c r="AN89" s="32"/>
      <c r="AO89" s="32"/>
      <c r="AP89" s="32">
        <v>1</v>
      </c>
      <c r="AQ89" s="32">
        <v>1</v>
      </c>
      <c r="AR89" s="32"/>
      <c r="AS89" s="32"/>
      <c r="AT89" s="32">
        <v>1</v>
      </c>
      <c r="AU89" s="30"/>
      <c r="AV89" s="30"/>
      <c r="AW89" s="30"/>
      <c r="AX89" s="30" t="s">
        <v>13203</v>
      </c>
      <c r="AY89" s="30"/>
    </row>
    <row r="90" spans="1:51">
      <c r="A90" s="25" t="s">
        <v>13204</v>
      </c>
      <c r="B90" s="25" t="s">
        <v>4398</v>
      </c>
      <c r="C90" s="25" t="s">
        <v>68</v>
      </c>
      <c r="D90" s="25" t="s">
        <v>13205</v>
      </c>
      <c r="E90" s="258" t="s">
        <v>13206</v>
      </c>
      <c r="F90" s="25" t="s">
        <v>13207</v>
      </c>
      <c r="G90" s="25" t="s">
        <v>11764</v>
      </c>
      <c r="H90" s="25" t="s">
        <v>11764</v>
      </c>
      <c r="I90" s="25" t="s">
        <v>4402</v>
      </c>
      <c r="J90" s="25" t="s">
        <v>11490</v>
      </c>
      <c r="K90" s="25">
        <v>8.2100000000000009</v>
      </c>
      <c r="L90" s="25" t="s">
        <v>73</v>
      </c>
      <c r="M90" s="25" t="s">
        <v>13175</v>
      </c>
      <c r="N90" s="25" t="s">
        <v>13208</v>
      </c>
      <c r="O90" t="s">
        <v>13209</v>
      </c>
      <c r="P90" s="28"/>
      <c r="Q90" s="53">
        <v>4</v>
      </c>
      <c r="R90" s="53">
        <v>16</v>
      </c>
      <c r="S90" s="53">
        <v>287.06</v>
      </c>
      <c r="T90" s="26" t="s">
        <v>138</v>
      </c>
      <c r="U90" s="30" t="s">
        <v>78</v>
      </c>
      <c r="V90" s="26" t="s">
        <v>139</v>
      </c>
      <c r="W90" s="38" t="s">
        <v>1095</v>
      </c>
      <c r="X90" s="26" t="s">
        <v>11768</v>
      </c>
      <c r="Y90" s="26" t="s">
        <v>141</v>
      </c>
      <c r="Z90" s="26" t="s">
        <v>141</v>
      </c>
      <c r="AA90" s="26"/>
      <c r="AB90" s="31" t="s">
        <v>17</v>
      </c>
      <c r="AC90" s="30" t="s">
        <v>172</v>
      </c>
      <c r="AD90" s="25" t="s">
        <v>173</v>
      </c>
      <c r="AE90" s="25" t="s">
        <v>174</v>
      </c>
      <c r="AF90" s="26" t="s">
        <v>175</v>
      </c>
      <c r="AG90" s="32">
        <v>1</v>
      </c>
      <c r="AH90" s="32">
        <v>1</v>
      </c>
      <c r="AI90" s="32"/>
      <c r="AJ90" s="32">
        <v>1</v>
      </c>
      <c r="AK90" s="30">
        <v>1</v>
      </c>
      <c r="AL90" s="32">
        <f t="shared" si="3"/>
        <v>1</v>
      </c>
      <c r="AM90" s="30"/>
      <c r="AN90" s="32"/>
      <c r="AO90" s="32"/>
      <c r="AP90" s="32">
        <v>1</v>
      </c>
      <c r="AQ90" s="32">
        <v>1</v>
      </c>
      <c r="AR90" s="32"/>
      <c r="AS90" s="32"/>
      <c r="AT90" s="32">
        <v>1</v>
      </c>
      <c r="AU90" s="30"/>
      <c r="AV90" s="30"/>
      <c r="AW90" s="30"/>
      <c r="AX90" s="30" t="s">
        <v>13210</v>
      </c>
      <c r="AY90" s="30"/>
    </row>
    <row r="91" spans="1:51">
      <c r="A91" s="25" t="s">
        <v>13211</v>
      </c>
      <c r="B91" s="25" t="s">
        <v>4398</v>
      </c>
      <c r="C91" s="25" t="s">
        <v>68</v>
      </c>
      <c r="D91" s="25" t="s">
        <v>13212</v>
      </c>
      <c r="E91" s="258" t="s">
        <v>13213</v>
      </c>
      <c r="F91" s="25" t="s">
        <v>13214</v>
      </c>
      <c r="G91" s="25" t="s">
        <v>11764</v>
      </c>
      <c r="H91" s="25" t="s">
        <v>11764</v>
      </c>
      <c r="I91" s="25" t="s">
        <v>4402</v>
      </c>
      <c r="J91" s="25" t="s">
        <v>11490</v>
      </c>
      <c r="K91" s="25">
        <v>8.2100000000000009</v>
      </c>
      <c r="L91" s="25" t="s">
        <v>73</v>
      </c>
      <c r="M91" s="25" t="s">
        <v>13182</v>
      </c>
      <c r="N91" s="25" t="s">
        <v>13215</v>
      </c>
      <c r="O91" t="s">
        <v>13216</v>
      </c>
      <c r="P91" s="28"/>
      <c r="Q91" s="53">
        <v>4</v>
      </c>
      <c r="R91" s="53">
        <v>16</v>
      </c>
      <c r="S91" s="53">
        <v>266.74</v>
      </c>
      <c r="T91" s="26" t="s">
        <v>138</v>
      </c>
      <c r="U91" s="30" t="s">
        <v>78</v>
      </c>
      <c r="V91" s="26" t="s">
        <v>139</v>
      </c>
      <c r="W91" s="38" t="s">
        <v>1095</v>
      </c>
      <c r="X91" s="26" t="s">
        <v>11768</v>
      </c>
      <c r="Y91" s="26" t="s">
        <v>141</v>
      </c>
      <c r="Z91" s="26" t="s">
        <v>141</v>
      </c>
      <c r="AA91" s="26"/>
      <c r="AB91" s="31" t="s">
        <v>17</v>
      </c>
      <c r="AC91" s="30" t="s">
        <v>172</v>
      </c>
      <c r="AD91" s="25" t="s">
        <v>173</v>
      </c>
      <c r="AE91" s="25" t="s">
        <v>174</v>
      </c>
      <c r="AF91" s="26" t="s">
        <v>175</v>
      </c>
      <c r="AG91" s="32">
        <v>1</v>
      </c>
      <c r="AH91" s="32">
        <v>1</v>
      </c>
      <c r="AI91" s="32"/>
      <c r="AJ91" s="32">
        <v>1</v>
      </c>
      <c r="AK91" s="30">
        <v>1</v>
      </c>
      <c r="AL91" s="32">
        <f t="shared" si="3"/>
        <v>1</v>
      </c>
      <c r="AM91" s="30"/>
      <c r="AN91" s="32"/>
      <c r="AO91" s="32"/>
      <c r="AP91" s="32">
        <v>1</v>
      </c>
      <c r="AQ91" s="32">
        <v>1</v>
      </c>
      <c r="AR91" s="32"/>
      <c r="AS91" s="32"/>
      <c r="AT91" s="32">
        <v>1</v>
      </c>
      <c r="AU91" s="30"/>
      <c r="AV91" s="30"/>
      <c r="AW91" s="30"/>
      <c r="AX91" s="30" t="s">
        <v>13217</v>
      </c>
      <c r="AY91" s="30"/>
    </row>
    <row r="92" spans="1:51">
      <c r="A92" s="25" t="s">
        <v>13218</v>
      </c>
      <c r="B92" s="25" t="s">
        <v>4398</v>
      </c>
      <c r="C92" s="25" t="s">
        <v>68</v>
      </c>
      <c r="D92" s="25" t="s">
        <v>13219</v>
      </c>
      <c r="E92" s="258" t="s">
        <v>13220</v>
      </c>
      <c r="F92" s="25" t="s">
        <v>11936</v>
      </c>
      <c r="G92" s="25" t="s">
        <v>11764</v>
      </c>
      <c r="H92" s="25" t="s">
        <v>11764</v>
      </c>
      <c r="I92" s="25" t="s">
        <v>4402</v>
      </c>
      <c r="J92" s="25" t="s">
        <v>11490</v>
      </c>
      <c r="K92" s="54" t="s">
        <v>11500</v>
      </c>
      <c r="L92" s="25" t="s">
        <v>73</v>
      </c>
      <c r="M92" s="25" t="s">
        <v>13221</v>
      </c>
      <c r="N92" s="25" t="s">
        <v>13222</v>
      </c>
      <c r="O92" t="s">
        <v>13223</v>
      </c>
      <c r="P92" s="55" t="s">
        <v>11500</v>
      </c>
      <c r="Q92" s="53">
        <v>4</v>
      </c>
      <c r="R92" s="53">
        <v>16</v>
      </c>
      <c r="S92" s="53">
        <v>267.69</v>
      </c>
      <c r="T92" s="26"/>
      <c r="U92" s="30"/>
      <c r="V92" s="26"/>
      <c r="W92" s="38"/>
      <c r="X92" s="26"/>
      <c r="Y92" s="26"/>
      <c r="Z92" s="26"/>
      <c r="AA92" s="26"/>
      <c r="AB92" s="31" t="s">
        <v>17</v>
      </c>
      <c r="AC92" s="30" t="s">
        <v>172</v>
      </c>
      <c r="AD92" s="25" t="s">
        <v>172</v>
      </c>
      <c r="AE92" s="25" t="s">
        <v>174</v>
      </c>
      <c r="AF92" s="26" t="s">
        <v>175</v>
      </c>
      <c r="AG92" s="32">
        <v>1</v>
      </c>
      <c r="AH92" s="32">
        <v>1</v>
      </c>
      <c r="AI92" s="32"/>
      <c r="AJ92" s="32"/>
      <c r="AK92" s="30"/>
      <c r="AL92" s="32"/>
      <c r="AM92" s="30"/>
      <c r="AN92" s="32"/>
      <c r="AO92" s="32"/>
      <c r="AP92" s="32"/>
      <c r="AQ92" s="32"/>
      <c r="AR92" s="32"/>
      <c r="AS92" s="32"/>
      <c r="AT92" s="32"/>
      <c r="AU92" s="30"/>
      <c r="AV92" s="30"/>
      <c r="AW92" s="30"/>
      <c r="AX92" s="30"/>
      <c r="AY92" s="30"/>
    </row>
    <row r="93" spans="1:51">
      <c r="A93" s="25" t="s">
        <v>13224</v>
      </c>
      <c r="B93" s="25" t="s">
        <v>4398</v>
      </c>
      <c r="C93" s="25" t="s">
        <v>68</v>
      </c>
      <c r="D93" s="25" t="s">
        <v>13225</v>
      </c>
      <c r="E93" s="258" t="s">
        <v>13226</v>
      </c>
      <c r="F93" s="25" t="s">
        <v>13227</v>
      </c>
      <c r="G93" s="25" t="s">
        <v>11764</v>
      </c>
      <c r="H93" s="25" t="s">
        <v>11764</v>
      </c>
      <c r="I93" s="25" t="s">
        <v>4402</v>
      </c>
      <c r="J93" s="25" t="s">
        <v>11490</v>
      </c>
      <c r="K93" s="25">
        <v>8.2100000000000009</v>
      </c>
      <c r="L93" s="25" t="s">
        <v>73</v>
      </c>
      <c r="M93" s="25" t="s">
        <v>13189</v>
      </c>
      <c r="N93" s="25" t="s">
        <v>13228</v>
      </c>
      <c r="O93" t="s">
        <v>13229</v>
      </c>
      <c r="P93" s="28"/>
      <c r="Q93" s="53">
        <v>4</v>
      </c>
      <c r="R93" s="53">
        <v>16</v>
      </c>
      <c r="S93" s="53">
        <v>506.19</v>
      </c>
      <c r="T93" s="26" t="s">
        <v>138</v>
      </c>
      <c r="U93" s="30" t="s">
        <v>78</v>
      </c>
      <c r="V93" s="26" t="s">
        <v>139</v>
      </c>
      <c r="W93" s="38" t="s">
        <v>1095</v>
      </c>
      <c r="X93" s="26" t="s">
        <v>11768</v>
      </c>
      <c r="Y93" s="26" t="s">
        <v>141</v>
      </c>
      <c r="Z93" s="26" t="s">
        <v>141</v>
      </c>
      <c r="AA93" s="26"/>
      <c r="AB93" s="31" t="s">
        <v>17</v>
      </c>
      <c r="AC93" s="30" t="s">
        <v>172</v>
      </c>
      <c r="AD93" s="25" t="s">
        <v>173</v>
      </c>
      <c r="AE93" s="25" t="s">
        <v>174</v>
      </c>
      <c r="AF93" s="26" t="s">
        <v>175</v>
      </c>
      <c r="AG93" s="32">
        <v>1</v>
      </c>
      <c r="AH93" s="32">
        <v>1</v>
      </c>
      <c r="AI93" s="32"/>
      <c r="AJ93" s="32">
        <v>1</v>
      </c>
      <c r="AK93" s="30">
        <v>1</v>
      </c>
      <c r="AL93" s="32">
        <f t="shared" ref="AL93:AL105" si="4">IF(COUNTIF(AX:AX,"*"&amp;M93&amp;"*")&gt;0,1,0)</f>
        <v>1</v>
      </c>
      <c r="AM93" s="30"/>
      <c r="AN93" s="25" t="s">
        <v>13230</v>
      </c>
      <c r="AO93" s="32"/>
      <c r="AP93" s="32">
        <v>1</v>
      </c>
      <c r="AQ93" s="32">
        <v>1</v>
      </c>
      <c r="AR93" s="32"/>
      <c r="AS93" s="34" t="s">
        <v>12248</v>
      </c>
      <c r="AT93" s="25">
        <v>1</v>
      </c>
      <c r="AU93" s="30"/>
      <c r="AV93" s="30"/>
      <c r="AW93" s="30"/>
      <c r="AX93" s="30" t="s">
        <v>13231</v>
      </c>
      <c r="AY93" s="30"/>
    </row>
    <row r="94" spans="1:51">
      <c r="A94" s="25" t="s">
        <v>13232</v>
      </c>
      <c r="B94" s="25" t="s">
        <v>4398</v>
      </c>
      <c r="C94" s="25" t="s">
        <v>68</v>
      </c>
      <c r="D94" s="25" t="s">
        <v>13233</v>
      </c>
      <c r="E94" s="258" t="s">
        <v>13234</v>
      </c>
      <c r="F94" s="25" t="s">
        <v>13235</v>
      </c>
      <c r="G94" s="25" t="s">
        <v>11764</v>
      </c>
      <c r="H94" s="25" t="s">
        <v>11764</v>
      </c>
      <c r="I94" s="25" t="s">
        <v>4402</v>
      </c>
      <c r="J94" s="25" t="s">
        <v>11490</v>
      </c>
      <c r="K94" s="25">
        <v>8.2100000000000009</v>
      </c>
      <c r="L94" s="25" t="s">
        <v>73</v>
      </c>
      <c r="M94" s="25" t="s">
        <v>12729</v>
      </c>
      <c r="N94" s="25" t="s">
        <v>13236</v>
      </c>
      <c r="O94" t="s">
        <v>13237</v>
      </c>
      <c r="P94" s="28"/>
      <c r="Q94" s="53">
        <v>8</v>
      </c>
      <c r="R94" s="53">
        <v>32</v>
      </c>
      <c r="S94" s="53">
        <v>303.64</v>
      </c>
      <c r="T94" s="26" t="s">
        <v>138</v>
      </c>
      <c r="U94" s="30" t="s">
        <v>78</v>
      </c>
      <c r="V94" s="26" t="s">
        <v>139</v>
      </c>
      <c r="W94" s="38" t="s">
        <v>1095</v>
      </c>
      <c r="X94" s="26" t="s">
        <v>11768</v>
      </c>
      <c r="Y94" s="26" t="s">
        <v>141</v>
      </c>
      <c r="Z94" s="26" t="s">
        <v>141</v>
      </c>
      <c r="AA94" s="26"/>
      <c r="AB94" s="31" t="s">
        <v>17</v>
      </c>
      <c r="AC94" s="30" t="s">
        <v>172</v>
      </c>
      <c r="AD94" s="25" t="s">
        <v>173</v>
      </c>
      <c r="AE94" s="25" t="s">
        <v>174</v>
      </c>
      <c r="AF94" s="26" t="s">
        <v>175</v>
      </c>
      <c r="AG94" s="32">
        <v>1</v>
      </c>
      <c r="AH94" s="32">
        <v>1</v>
      </c>
      <c r="AI94" s="32"/>
      <c r="AJ94" s="32">
        <v>1</v>
      </c>
      <c r="AK94" s="30">
        <v>1</v>
      </c>
      <c r="AL94" s="32">
        <f t="shared" si="4"/>
        <v>1</v>
      </c>
      <c r="AM94" s="30"/>
      <c r="AN94" s="32"/>
      <c r="AO94" s="32"/>
      <c r="AP94" s="32">
        <v>1</v>
      </c>
      <c r="AQ94" s="32">
        <v>1</v>
      </c>
      <c r="AR94" s="32"/>
      <c r="AS94" s="32"/>
      <c r="AT94" s="32">
        <v>1</v>
      </c>
      <c r="AU94" s="30"/>
      <c r="AV94" s="30"/>
      <c r="AW94" s="30"/>
      <c r="AX94" s="30" t="s">
        <v>12550</v>
      </c>
      <c r="AY94" s="30"/>
    </row>
    <row r="95" spans="1:51">
      <c r="A95" s="25" t="s">
        <v>13238</v>
      </c>
      <c r="B95" s="25" t="s">
        <v>4398</v>
      </c>
      <c r="C95" s="25" t="s">
        <v>68</v>
      </c>
      <c r="D95" s="25" t="s">
        <v>13239</v>
      </c>
      <c r="E95" s="258" t="s">
        <v>13240</v>
      </c>
      <c r="F95" s="25" t="s">
        <v>13241</v>
      </c>
      <c r="G95" s="25" t="s">
        <v>11764</v>
      </c>
      <c r="H95" s="25" t="s">
        <v>11764</v>
      </c>
      <c r="I95" s="25" t="s">
        <v>4402</v>
      </c>
      <c r="J95" s="25" t="s">
        <v>11490</v>
      </c>
      <c r="K95" s="25">
        <v>8.2100000000000009</v>
      </c>
      <c r="L95" s="25" t="s">
        <v>73</v>
      </c>
      <c r="M95" s="25" t="s">
        <v>13196</v>
      </c>
      <c r="N95" s="25" t="s">
        <v>13242</v>
      </c>
      <c r="O95" t="s">
        <v>13243</v>
      </c>
      <c r="P95" s="28"/>
      <c r="Q95" s="53">
        <v>4</v>
      </c>
      <c r="R95" s="53">
        <v>16</v>
      </c>
      <c r="S95" s="53">
        <v>266.68</v>
      </c>
      <c r="T95" s="26" t="s">
        <v>138</v>
      </c>
      <c r="U95" s="30" t="s">
        <v>78</v>
      </c>
      <c r="V95" s="26" t="s">
        <v>139</v>
      </c>
      <c r="W95" s="38" t="s">
        <v>1095</v>
      </c>
      <c r="X95" s="26" t="s">
        <v>11768</v>
      </c>
      <c r="Y95" s="26" t="s">
        <v>141</v>
      </c>
      <c r="Z95" s="26" t="s">
        <v>141</v>
      </c>
      <c r="AA95" s="26"/>
      <c r="AB95" s="31" t="s">
        <v>17</v>
      </c>
      <c r="AC95" s="30" t="s">
        <v>172</v>
      </c>
      <c r="AD95" s="25" t="s">
        <v>173</v>
      </c>
      <c r="AE95" s="25" t="s">
        <v>174</v>
      </c>
      <c r="AF95" s="26" t="s">
        <v>175</v>
      </c>
      <c r="AG95" s="32">
        <v>1</v>
      </c>
      <c r="AH95" s="32">
        <v>1</v>
      </c>
      <c r="AI95" s="32"/>
      <c r="AJ95" s="32">
        <v>1</v>
      </c>
      <c r="AK95" s="30">
        <v>1</v>
      </c>
      <c r="AL95" s="32">
        <f t="shared" si="4"/>
        <v>1</v>
      </c>
      <c r="AM95" s="30"/>
      <c r="AN95" s="25" t="s">
        <v>12705</v>
      </c>
      <c r="AO95" s="32"/>
      <c r="AP95" s="32">
        <v>0</v>
      </c>
      <c r="AQ95" s="32"/>
      <c r="AR95" s="32"/>
      <c r="AS95" s="32"/>
      <c r="AT95" s="25" t="s">
        <v>1211</v>
      </c>
      <c r="AU95" s="30"/>
      <c r="AV95" s="30"/>
      <c r="AW95" s="30"/>
      <c r="AX95" s="30" t="s">
        <v>12579</v>
      </c>
      <c r="AY95" s="30"/>
    </row>
    <row r="96" spans="1:51">
      <c r="A96" s="25" t="s">
        <v>13244</v>
      </c>
      <c r="B96" s="25" t="s">
        <v>4398</v>
      </c>
      <c r="C96" s="25" t="s">
        <v>68</v>
      </c>
      <c r="D96" s="25" t="s">
        <v>13245</v>
      </c>
      <c r="E96" s="258" t="s">
        <v>13246</v>
      </c>
      <c r="F96" s="25" t="s">
        <v>13247</v>
      </c>
      <c r="G96" s="25" t="s">
        <v>11764</v>
      </c>
      <c r="H96" s="25" t="s">
        <v>11764</v>
      </c>
      <c r="I96" s="25" t="s">
        <v>4402</v>
      </c>
      <c r="J96" s="25" t="s">
        <v>11490</v>
      </c>
      <c r="K96" s="25">
        <v>8.2100000000000009</v>
      </c>
      <c r="L96" s="25" t="s">
        <v>73</v>
      </c>
      <c r="M96" s="25" t="s">
        <v>13210</v>
      </c>
      <c r="N96" s="25" t="s">
        <v>13248</v>
      </c>
      <c r="O96" t="s">
        <v>13249</v>
      </c>
      <c r="P96" s="28"/>
      <c r="Q96" s="53">
        <v>4</v>
      </c>
      <c r="R96" s="53">
        <v>16</v>
      </c>
      <c r="S96" s="53">
        <v>416.12</v>
      </c>
      <c r="T96" s="26" t="s">
        <v>138</v>
      </c>
      <c r="U96" s="30" t="s">
        <v>78</v>
      </c>
      <c r="V96" s="26" t="s">
        <v>139</v>
      </c>
      <c r="W96" s="38" t="s">
        <v>1095</v>
      </c>
      <c r="X96" s="26" t="s">
        <v>11768</v>
      </c>
      <c r="Y96" s="26" t="s">
        <v>141</v>
      </c>
      <c r="Z96" s="26" t="s">
        <v>141</v>
      </c>
      <c r="AA96" s="26"/>
      <c r="AB96" s="31" t="s">
        <v>17</v>
      </c>
      <c r="AC96" s="30" t="s">
        <v>172</v>
      </c>
      <c r="AD96" s="25" t="s">
        <v>173</v>
      </c>
      <c r="AE96" s="25" t="s">
        <v>174</v>
      </c>
      <c r="AF96" s="26" t="s">
        <v>175</v>
      </c>
      <c r="AG96" s="32">
        <v>1</v>
      </c>
      <c r="AH96" s="32">
        <v>1</v>
      </c>
      <c r="AI96" s="32"/>
      <c r="AJ96" s="32">
        <v>1</v>
      </c>
      <c r="AK96" s="30">
        <v>1</v>
      </c>
      <c r="AL96" s="32">
        <f t="shared" si="4"/>
        <v>1</v>
      </c>
      <c r="AM96" s="30"/>
      <c r="AN96" s="32"/>
      <c r="AO96" s="32"/>
      <c r="AP96" s="32">
        <v>1</v>
      </c>
      <c r="AQ96" s="32">
        <v>1</v>
      </c>
      <c r="AR96" s="32"/>
      <c r="AS96" s="32"/>
      <c r="AT96" s="32">
        <v>1</v>
      </c>
      <c r="AU96" s="30"/>
      <c r="AV96" s="30"/>
      <c r="AW96" s="30"/>
      <c r="AX96" s="30" t="s">
        <v>12587</v>
      </c>
      <c r="AY96" s="30"/>
    </row>
    <row r="97" spans="1:51">
      <c r="A97" s="25" t="s">
        <v>13250</v>
      </c>
      <c r="B97" s="25" t="s">
        <v>4398</v>
      </c>
      <c r="C97" s="25" t="s">
        <v>68</v>
      </c>
      <c r="D97" s="25" t="s">
        <v>13251</v>
      </c>
      <c r="E97" s="258" t="s">
        <v>13252</v>
      </c>
      <c r="F97" s="25" t="s">
        <v>13253</v>
      </c>
      <c r="G97" s="25" t="s">
        <v>11764</v>
      </c>
      <c r="H97" s="25" t="s">
        <v>11764</v>
      </c>
      <c r="I97" s="25" t="s">
        <v>4402</v>
      </c>
      <c r="J97" s="25" t="s">
        <v>11490</v>
      </c>
      <c r="K97" s="25">
        <v>8.2100000000000009</v>
      </c>
      <c r="L97" s="25" t="s">
        <v>73</v>
      </c>
      <c r="M97" s="25" t="s">
        <v>13217</v>
      </c>
      <c r="N97" s="25" t="s">
        <v>13254</v>
      </c>
      <c r="O97" t="s">
        <v>13255</v>
      </c>
      <c r="P97" s="28"/>
      <c r="Q97" s="53">
        <v>8</v>
      </c>
      <c r="R97" s="53">
        <v>32</v>
      </c>
      <c r="S97" s="53">
        <v>413.24</v>
      </c>
      <c r="T97" s="26" t="s">
        <v>138</v>
      </c>
      <c r="U97" s="30" t="s">
        <v>78</v>
      </c>
      <c r="V97" s="26" t="s">
        <v>139</v>
      </c>
      <c r="W97" s="38" t="s">
        <v>1095</v>
      </c>
      <c r="X97" s="26" t="s">
        <v>11768</v>
      </c>
      <c r="Y97" s="26" t="s">
        <v>141</v>
      </c>
      <c r="Z97" s="26" t="s">
        <v>141</v>
      </c>
      <c r="AA97" s="26"/>
      <c r="AB97" s="31" t="s">
        <v>17</v>
      </c>
      <c r="AC97" s="30" t="s">
        <v>172</v>
      </c>
      <c r="AD97" s="25" t="s">
        <v>173</v>
      </c>
      <c r="AE97" s="25" t="s">
        <v>174</v>
      </c>
      <c r="AF97" s="26" t="s">
        <v>175</v>
      </c>
      <c r="AG97" s="32">
        <v>1</v>
      </c>
      <c r="AH97" s="32">
        <v>1</v>
      </c>
      <c r="AI97" s="32"/>
      <c r="AJ97" s="32">
        <v>1</v>
      </c>
      <c r="AK97" s="30">
        <v>1</v>
      </c>
      <c r="AL97" s="32">
        <f t="shared" si="4"/>
        <v>1</v>
      </c>
      <c r="AM97" s="30"/>
      <c r="AN97" s="32"/>
      <c r="AO97" s="32"/>
      <c r="AP97" s="32">
        <v>1</v>
      </c>
      <c r="AQ97" s="32">
        <v>1</v>
      </c>
      <c r="AR97" s="32"/>
      <c r="AS97" s="32"/>
      <c r="AT97" s="32">
        <v>1</v>
      </c>
      <c r="AU97" s="30"/>
      <c r="AV97" s="30"/>
      <c r="AW97" s="30"/>
      <c r="AX97" s="30" t="s">
        <v>12625</v>
      </c>
      <c r="AY97" s="30"/>
    </row>
    <row r="98" spans="1:51">
      <c r="A98" s="25" t="s">
        <v>13256</v>
      </c>
      <c r="B98" s="25" t="s">
        <v>4398</v>
      </c>
      <c r="C98" s="25" t="s">
        <v>68</v>
      </c>
      <c r="D98" s="25" t="s">
        <v>13257</v>
      </c>
      <c r="E98" s="258" t="s">
        <v>13258</v>
      </c>
      <c r="F98" s="25" t="s">
        <v>13259</v>
      </c>
      <c r="G98" s="25" t="s">
        <v>11764</v>
      </c>
      <c r="H98" s="25" t="s">
        <v>11764</v>
      </c>
      <c r="I98" s="25" t="s">
        <v>4402</v>
      </c>
      <c r="J98" s="25" t="s">
        <v>11490</v>
      </c>
      <c r="K98" s="25">
        <v>8.2100000000000009</v>
      </c>
      <c r="L98" s="25" t="s">
        <v>73</v>
      </c>
      <c r="M98" s="25" t="s">
        <v>13231</v>
      </c>
      <c r="N98" s="25" t="s">
        <v>13260</v>
      </c>
      <c r="O98" t="s">
        <v>13261</v>
      </c>
      <c r="P98" s="28"/>
      <c r="Q98" s="53">
        <v>4</v>
      </c>
      <c r="R98" s="53">
        <v>16</v>
      </c>
      <c r="S98" s="53">
        <v>347.15</v>
      </c>
      <c r="T98" s="26" t="s">
        <v>138</v>
      </c>
      <c r="U98" s="30" t="s">
        <v>78</v>
      </c>
      <c r="V98" s="26" t="s">
        <v>139</v>
      </c>
      <c r="W98" s="38" t="s">
        <v>1095</v>
      </c>
      <c r="X98" s="26" t="s">
        <v>11768</v>
      </c>
      <c r="Y98" s="26" t="s">
        <v>141</v>
      </c>
      <c r="Z98" s="26" t="s">
        <v>141</v>
      </c>
      <c r="AA98" s="26"/>
      <c r="AB98" s="31" t="s">
        <v>17</v>
      </c>
      <c r="AC98" s="30" t="s">
        <v>172</v>
      </c>
      <c r="AD98" s="25" t="s">
        <v>173</v>
      </c>
      <c r="AE98" s="25" t="s">
        <v>174</v>
      </c>
      <c r="AF98" s="26" t="s">
        <v>175</v>
      </c>
      <c r="AG98" s="32">
        <v>1</v>
      </c>
      <c r="AH98" s="32">
        <v>1</v>
      </c>
      <c r="AI98" s="32"/>
      <c r="AJ98" s="32">
        <v>1</v>
      </c>
      <c r="AK98" s="30">
        <v>1</v>
      </c>
      <c r="AL98" s="32">
        <f t="shared" si="4"/>
        <v>1</v>
      </c>
      <c r="AM98" s="30"/>
      <c r="AN98" s="32"/>
      <c r="AO98" s="32"/>
      <c r="AP98" s="32">
        <v>1</v>
      </c>
      <c r="AQ98" s="32">
        <v>1</v>
      </c>
      <c r="AR98" s="32"/>
      <c r="AS98" s="32"/>
      <c r="AT98" s="32">
        <v>1</v>
      </c>
      <c r="AU98" s="30"/>
      <c r="AV98" s="30"/>
      <c r="AW98" s="30"/>
      <c r="AX98" s="30" t="s">
        <v>12641</v>
      </c>
      <c r="AY98" s="30"/>
    </row>
    <row r="99" spans="1:51">
      <c r="A99" s="25" t="s">
        <v>13262</v>
      </c>
      <c r="B99" s="25" t="s">
        <v>4398</v>
      </c>
      <c r="C99" s="25" t="s">
        <v>68</v>
      </c>
      <c r="D99" s="25" t="s">
        <v>13263</v>
      </c>
      <c r="E99" s="258" t="s">
        <v>13264</v>
      </c>
      <c r="F99" s="25" t="s">
        <v>13265</v>
      </c>
      <c r="G99" s="25" t="s">
        <v>11764</v>
      </c>
      <c r="H99" s="25" t="s">
        <v>11764</v>
      </c>
      <c r="I99" s="25" t="s">
        <v>4402</v>
      </c>
      <c r="J99" s="25" t="s">
        <v>11490</v>
      </c>
      <c r="K99" s="25">
        <v>8.2100000000000009</v>
      </c>
      <c r="L99" s="25" t="s">
        <v>73</v>
      </c>
      <c r="M99" s="25" t="s">
        <v>13266</v>
      </c>
      <c r="N99" s="25" t="s">
        <v>13267</v>
      </c>
      <c r="O99" t="s">
        <v>13268</v>
      </c>
      <c r="P99" s="28"/>
      <c r="Q99" s="53">
        <v>8</v>
      </c>
      <c r="R99" s="53">
        <v>32</v>
      </c>
      <c r="S99" s="53">
        <v>403.97</v>
      </c>
      <c r="T99" s="26" t="s">
        <v>138</v>
      </c>
      <c r="U99" s="30" t="s">
        <v>78</v>
      </c>
      <c r="V99" s="26" t="s">
        <v>139</v>
      </c>
      <c r="W99" s="38" t="s">
        <v>1095</v>
      </c>
      <c r="X99" s="26" t="s">
        <v>11768</v>
      </c>
      <c r="Y99" s="26" t="s">
        <v>141</v>
      </c>
      <c r="Z99" s="26" t="s">
        <v>141</v>
      </c>
      <c r="AA99" s="26"/>
      <c r="AB99" s="31" t="s">
        <v>17</v>
      </c>
      <c r="AC99" s="30" t="s">
        <v>172</v>
      </c>
      <c r="AD99" s="25" t="s">
        <v>173</v>
      </c>
      <c r="AE99" s="25" t="s">
        <v>174</v>
      </c>
      <c r="AF99" s="26" t="s">
        <v>175</v>
      </c>
      <c r="AG99" s="32">
        <v>1</v>
      </c>
      <c r="AH99" s="32">
        <v>1</v>
      </c>
      <c r="AI99" s="32"/>
      <c r="AJ99" s="32">
        <v>1</v>
      </c>
      <c r="AK99" s="30">
        <v>1</v>
      </c>
      <c r="AL99" s="32">
        <f t="shared" si="4"/>
        <v>1</v>
      </c>
      <c r="AM99" s="30"/>
      <c r="AN99" s="32"/>
      <c r="AO99" s="32"/>
      <c r="AP99" s="32">
        <v>1</v>
      </c>
      <c r="AQ99" s="32">
        <v>1</v>
      </c>
      <c r="AR99" s="32"/>
      <c r="AS99" s="32"/>
      <c r="AT99" s="32">
        <v>1</v>
      </c>
      <c r="AU99" s="30"/>
      <c r="AV99" s="30"/>
      <c r="AW99" s="30"/>
      <c r="AX99" s="30" t="s">
        <v>12649</v>
      </c>
      <c r="AY99" s="30"/>
    </row>
    <row r="100" spans="1:51">
      <c r="A100" s="25" t="s">
        <v>13269</v>
      </c>
      <c r="B100" s="25" t="s">
        <v>4398</v>
      </c>
      <c r="C100" s="25" t="s">
        <v>68</v>
      </c>
      <c r="D100" s="25" t="s">
        <v>13270</v>
      </c>
      <c r="E100" s="258" t="s">
        <v>13271</v>
      </c>
      <c r="F100" s="25" t="s">
        <v>13272</v>
      </c>
      <c r="G100" s="25" t="s">
        <v>11764</v>
      </c>
      <c r="H100" s="25" t="s">
        <v>11764</v>
      </c>
      <c r="I100" s="25" t="s">
        <v>4402</v>
      </c>
      <c r="J100" s="25" t="s">
        <v>11490</v>
      </c>
      <c r="K100" s="25">
        <v>8.2100000000000009</v>
      </c>
      <c r="L100" s="25" t="s">
        <v>73</v>
      </c>
      <c r="M100" s="25" t="s">
        <v>13273</v>
      </c>
      <c r="N100" s="25" t="s">
        <v>13274</v>
      </c>
      <c r="O100" t="s">
        <v>13275</v>
      </c>
      <c r="P100" s="28"/>
      <c r="Q100" s="53">
        <v>4</v>
      </c>
      <c r="R100" s="53">
        <v>16</v>
      </c>
      <c r="S100" s="53">
        <v>266.17</v>
      </c>
      <c r="T100" s="26" t="s">
        <v>138</v>
      </c>
      <c r="U100" s="30" t="s">
        <v>78</v>
      </c>
      <c r="V100" s="26" t="s">
        <v>139</v>
      </c>
      <c r="W100" s="38" t="s">
        <v>1095</v>
      </c>
      <c r="X100" s="26" t="s">
        <v>11768</v>
      </c>
      <c r="Y100" s="26" t="s">
        <v>141</v>
      </c>
      <c r="Z100" s="26" t="s">
        <v>141</v>
      </c>
      <c r="AA100" s="26"/>
      <c r="AB100" s="31" t="s">
        <v>17</v>
      </c>
      <c r="AC100" s="30" t="s">
        <v>172</v>
      </c>
      <c r="AD100" s="25" t="s">
        <v>173</v>
      </c>
      <c r="AE100" s="25" t="s">
        <v>174</v>
      </c>
      <c r="AF100" s="26" t="s">
        <v>175</v>
      </c>
      <c r="AG100" s="32">
        <v>1</v>
      </c>
      <c r="AH100" s="32">
        <v>1</v>
      </c>
      <c r="AI100" s="32"/>
      <c r="AJ100" s="32">
        <v>1</v>
      </c>
      <c r="AK100" s="30">
        <v>1</v>
      </c>
      <c r="AL100" s="32">
        <f t="shared" si="4"/>
        <v>1</v>
      </c>
      <c r="AM100" s="30"/>
      <c r="AN100" s="32"/>
      <c r="AO100" s="32"/>
      <c r="AP100" s="32">
        <v>1</v>
      </c>
      <c r="AQ100" s="32">
        <v>1</v>
      </c>
      <c r="AR100" s="32"/>
      <c r="AS100" s="32"/>
      <c r="AT100" s="32">
        <v>1</v>
      </c>
      <c r="AU100" s="30"/>
      <c r="AV100" s="30"/>
      <c r="AW100" s="30"/>
      <c r="AX100" s="30" t="s">
        <v>12678</v>
      </c>
      <c r="AY100" s="30"/>
    </row>
    <row r="101" spans="1:51">
      <c r="A101" s="25" t="s">
        <v>13276</v>
      </c>
      <c r="B101" s="25" t="s">
        <v>4398</v>
      </c>
      <c r="C101" s="25" t="s">
        <v>68</v>
      </c>
      <c r="D101" s="25" t="s">
        <v>13277</v>
      </c>
      <c r="E101" s="258" t="s">
        <v>13278</v>
      </c>
      <c r="F101" s="25" t="s">
        <v>13279</v>
      </c>
      <c r="G101" s="25" t="s">
        <v>11764</v>
      </c>
      <c r="H101" s="25" t="s">
        <v>11764</v>
      </c>
      <c r="I101" s="25" t="s">
        <v>4402</v>
      </c>
      <c r="J101" s="25" t="s">
        <v>11490</v>
      </c>
      <c r="K101" s="25">
        <v>8.2100000000000009</v>
      </c>
      <c r="L101" s="25" t="s">
        <v>73</v>
      </c>
      <c r="M101" s="25" t="s">
        <v>12781</v>
      </c>
      <c r="N101" s="25" t="s">
        <v>13280</v>
      </c>
      <c r="O101" t="s">
        <v>13281</v>
      </c>
      <c r="P101" s="28"/>
      <c r="Q101" s="53">
        <v>4</v>
      </c>
      <c r="R101" s="53">
        <v>16</v>
      </c>
      <c r="S101" s="53">
        <v>306.72000000000003</v>
      </c>
      <c r="T101" s="26" t="s">
        <v>138</v>
      </c>
      <c r="U101" s="30" t="s">
        <v>78</v>
      </c>
      <c r="V101" s="26" t="s">
        <v>139</v>
      </c>
      <c r="W101" s="38" t="s">
        <v>1095</v>
      </c>
      <c r="X101" s="26" t="s">
        <v>11768</v>
      </c>
      <c r="Y101" s="26" t="s">
        <v>141</v>
      </c>
      <c r="Z101" s="26" t="s">
        <v>141</v>
      </c>
      <c r="AA101" s="26"/>
      <c r="AB101" s="31" t="s">
        <v>17</v>
      </c>
      <c r="AC101" s="30" t="s">
        <v>172</v>
      </c>
      <c r="AD101" s="25" t="s">
        <v>173</v>
      </c>
      <c r="AE101" s="25" t="s">
        <v>174</v>
      </c>
      <c r="AF101" s="26" t="s">
        <v>175</v>
      </c>
      <c r="AG101" s="32">
        <v>1</v>
      </c>
      <c r="AH101" s="32">
        <v>1</v>
      </c>
      <c r="AI101" s="32"/>
      <c r="AJ101" s="32">
        <v>1</v>
      </c>
      <c r="AK101" s="30">
        <v>1</v>
      </c>
      <c r="AL101" s="32">
        <f t="shared" si="4"/>
        <v>1</v>
      </c>
      <c r="AM101" s="30"/>
      <c r="AN101" s="32"/>
      <c r="AO101" s="32"/>
      <c r="AP101" s="32">
        <v>1</v>
      </c>
      <c r="AQ101" s="32">
        <v>1</v>
      </c>
      <c r="AR101" s="32"/>
      <c r="AS101" s="32"/>
      <c r="AT101" s="32">
        <v>1</v>
      </c>
      <c r="AU101" s="30"/>
      <c r="AV101" s="30"/>
      <c r="AW101" s="30"/>
      <c r="AX101" s="30" t="s">
        <v>12694</v>
      </c>
      <c r="AY101" s="30"/>
    </row>
    <row r="102" spans="1:51">
      <c r="A102" s="25" t="s">
        <v>13282</v>
      </c>
      <c r="B102" s="25" t="s">
        <v>4398</v>
      </c>
      <c r="C102" s="25" t="s">
        <v>68</v>
      </c>
      <c r="D102" s="25" t="s">
        <v>13283</v>
      </c>
      <c r="E102" s="258" t="s">
        <v>13284</v>
      </c>
      <c r="F102" s="25" t="s">
        <v>13285</v>
      </c>
      <c r="G102" s="25" t="s">
        <v>4336</v>
      </c>
      <c r="H102" s="25" t="s">
        <v>4336</v>
      </c>
      <c r="I102" s="25" t="s">
        <v>4402</v>
      </c>
      <c r="J102" s="25" t="s">
        <v>11490</v>
      </c>
      <c r="K102" s="25">
        <v>8.2100000000000009</v>
      </c>
      <c r="L102" s="25" t="s">
        <v>73</v>
      </c>
      <c r="M102" s="25" t="s">
        <v>12706</v>
      </c>
      <c r="N102" s="25" t="s">
        <v>13286</v>
      </c>
      <c r="O102" t="s">
        <v>13287</v>
      </c>
      <c r="P102" s="28"/>
      <c r="Q102" s="53">
        <v>4</v>
      </c>
      <c r="R102" s="53">
        <v>16</v>
      </c>
      <c r="S102" s="53">
        <v>266.12</v>
      </c>
      <c r="T102" s="26" t="s">
        <v>138</v>
      </c>
      <c r="U102" s="30" t="s">
        <v>78</v>
      </c>
      <c r="V102" s="26" t="s">
        <v>139</v>
      </c>
      <c r="W102" s="38" t="s">
        <v>1095</v>
      </c>
      <c r="X102" s="26" t="s">
        <v>11997</v>
      </c>
      <c r="Y102" s="26" t="s">
        <v>141</v>
      </c>
      <c r="Z102" s="26" t="s">
        <v>141</v>
      </c>
      <c r="AA102" s="26"/>
      <c r="AB102" s="31" t="s">
        <v>17</v>
      </c>
      <c r="AC102" s="30" t="s">
        <v>172</v>
      </c>
      <c r="AD102" s="25" t="s">
        <v>173</v>
      </c>
      <c r="AE102" s="25" t="s">
        <v>174</v>
      </c>
      <c r="AF102" s="26" t="s">
        <v>175</v>
      </c>
      <c r="AG102" s="32">
        <v>1</v>
      </c>
      <c r="AH102" s="32">
        <v>1</v>
      </c>
      <c r="AI102" s="32"/>
      <c r="AJ102" s="32">
        <v>1</v>
      </c>
      <c r="AK102" s="30">
        <v>1</v>
      </c>
      <c r="AL102" s="32">
        <f t="shared" si="4"/>
        <v>1</v>
      </c>
      <c r="AM102" s="30"/>
      <c r="AN102" s="32"/>
      <c r="AO102" s="32"/>
      <c r="AP102" s="32">
        <v>1</v>
      </c>
      <c r="AQ102" s="32">
        <v>1</v>
      </c>
      <c r="AR102" s="32"/>
      <c r="AS102" s="32"/>
      <c r="AT102" s="32">
        <v>1</v>
      </c>
      <c r="AU102" s="30"/>
      <c r="AV102" s="30"/>
      <c r="AW102" s="30"/>
      <c r="AX102" s="30" t="s">
        <v>12702</v>
      </c>
      <c r="AY102" s="30"/>
    </row>
    <row r="103" spans="1:51">
      <c r="A103" s="25" t="s">
        <v>13288</v>
      </c>
      <c r="B103" s="25" t="s">
        <v>4398</v>
      </c>
      <c r="C103" s="25" t="s">
        <v>68</v>
      </c>
      <c r="D103" s="25" t="s">
        <v>13289</v>
      </c>
      <c r="E103" s="258" t="s">
        <v>13290</v>
      </c>
      <c r="F103" s="25" t="s">
        <v>13291</v>
      </c>
      <c r="G103" s="25" t="s">
        <v>4336</v>
      </c>
      <c r="H103" s="25" t="s">
        <v>4336</v>
      </c>
      <c r="I103" s="25" t="s">
        <v>4402</v>
      </c>
      <c r="J103" s="25" t="s">
        <v>11490</v>
      </c>
      <c r="K103" s="25">
        <v>8.2100000000000009</v>
      </c>
      <c r="L103" s="25" t="s">
        <v>73</v>
      </c>
      <c r="M103" s="25" t="s">
        <v>12714</v>
      </c>
      <c r="N103" s="25" t="s">
        <v>13292</v>
      </c>
      <c r="O103" t="s">
        <v>13293</v>
      </c>
      <c r="P103" s="28"/>
      <c r="Q103" s="53">
        <v>4</v>
      </c>
      <c r="R103" s="53">
        <v>16</v>
      </c>
      <c r="S103" s="53">
        <v>266.55</v>
      </c>
      <c r="T103" s="26" t="s">
        <v>138</v>
      </c>
      <c r="U103" s="30" t="s">
        <v>78</v>
      </c>
      <c r="V103" s="26" t="s">
        <v>139</v>
      </c>
      <c r="W103" s="38" t="s">
        <v>1095</v>
      </c>
      <c r="X103" s="26" t="s">
        <v>11997</v>
      </c>
      <c r="Y103" s="26" t="s">
        <v>141</v>
      </c>
      <c r="Z103" s="26" t="s">
        <v>141</v>
      </c>
      <c r="AA103" s="26"/>
      <c r="AB103" s="31" t="s">
        <v>17</v>
      </c>
      <c r="AC103" s="30" t="s">
        <v>172</v>
      </c>
      <c r="AD103" s="25" t="s">
        <v>173</v>
      </c>
      <c r="AE103" s="25" t="s">
        <v>174</v>
      </c>
      <c r="AF103" s="26" t="s">
        <v>175</v>
      </c>
      <c r="AG103" s="32">
        <v>1</v>
      </c>
      <c r="AH103" s="32">
        <v>1</v>
      </c>
      <c r="AI103" s="32"/>
      <c r="AJ103" s="32">
        <v>1</v>
      </c>
      <c r="AK103" s="30">
        <v>1</v>
      </c>
      <c r="AL103" s="32">
        <f t="shared" si="4"/>
        <v>1</v>
      </c>
      <c r="AM103" s="30"/>
      <c r="AN103" s="32"/>
      <c r="AO103" s="32"/>
      <c r="AP103" s="32">
        <v>1</v>
      </c>
      <c r="AQ103" s="32">
        <v>1</v>
      </c>
      <c r="AR103" s="32"/>
      <c r="AS103" s="32"/>
      <c r="AT103" s="32">
        <v>1</v>
      </c>
      <c r="AU103" s="30"/>
      <c r="AV103" s="30"/>
      <c r="AW103" s="30"/>
      <c r="AX103" s="30" t="s">
        <v>12726</v>
      </c>
      <c r="AY103" s="30"/>
    </row>
    <row r="104" spans="1:51">
      <c r="A104" s="25" t="s">
        <v>13294</v>
      </c>
      <c r="B104" s="25" t="s">
        <v>4398</v>
      </c>
      <c r="C104" s="25" t="s">
        <v>68</v>
      </c>
      <c r="D104" s="25" t="s">
        <v>13295</v>
      </c>
      <c r="E104" s="258" t="s">
        <v>13296</v>
      </c>
      <c r="F104" s="25" t="s">
        <v>13297</v>
      </c>
      <c r="G104" s="25" t="s">
        <v>4336</v>
      </c>
      <c r="H104" s="25" t="s">
        <v>4336</v>
      </c>
      <c r="I104" s="25" t="s">
        <v>4402</v>
      </c>
      <c r="J104" s="25" t="s">
        <v>11490</v>
      </c>
      <c r="K104" s="25">
        <v>8.2100000000000009</v>
      </c>
      <c r="L104" s="25" t="s">
        <v>73</v>
      </c>
      <c r="M104" s="25" t="s">
        <v>13203</v>
      </c>
      <c r="N104" s="25" t="s">
        <v>13298</v>
      </c>
      <c r="O104" t="s">
        <v>13299</v>
      </c>
      <c r="P104" s="28"/>
      <c r="Q104" s="53">
        <v>4</v>
      </c>
      <c r="R104" s="53">
        <v>16</v>
      </c>
      <c r="S104" s="53">
        <v>266.25</v>
      </c>
      <c r="T104" s="26" t="s">
        <v>138</v>
      </c>
      <c r="U104" s="30" t="s">
        <v>78</v>
      </c>
      <c r="V104" s="26" t="s">
        <v>139</v>
      </c>
      <c r="W104" s="38" t="s">
        <v>1095</v>
      </c>
      <c r="X104" s="26" t="s">
        <v>11997</v>
      </c>
      <c r="Y104" s="26" t="s">
        <v>141</v>
      </c>
      <c r="Z104" s="26" t="s">
        <v>141</v>
      </c>
      <c r="AA104" s="26"/>
      <c r="AB104" s="31" t="s">
        <v>17</v>
      </c>
      <c r="AC104" s="30" t="s">
        <v>172</v>
      </c>
      <c r="AD104" s="25" t="s">
        <v>173</v>
      </c>
      <c r="AE104" s="25" t="s">
        <v>174</v>
      </c>
      <c r="AF104" s="26" t="s">
        <v>175</v>
      </c>
      <c r="AG104" s="32">
        <v>1</v>
      </c>
      <c r="AH104" s="32">
        <v>1</v>
      </c>
      <c r="AI104" s="32"/>
      <c r="AJ104" s="32">
        <v>1</v>
      </c>
      <c r="AK104" s="30">
        <v>1</v>
      </c>
      <c r="AL104" s="32">
        <f t="shared" si="4"/>
        <v>1</v>
      </c>
      <c r="AM104" s="30"/>
      <c r="AN104" s="32"/>
      <c r="AO104" s="32"/>
      <c r="AP104" s="32">
        <v>1</v>
      </c>
      <c r="AQ104" s="32">
        <v>1</v>
      </c>
      <c r="AR104" s="32"/>
      <c r="AS104" s="32"/>
      <c r="AT104" s="32">
        <v>1</v>
      </c>
      <c r="AU104" s="30"/>
      <c r="AV104" s="30"/>
      <c r="AW104" s="30"/>
      <c r="AX104" s="30" t="s">
        <v>12734</v>
      </c>
      <c r="AY104" s="30"/>
    </row>
    <row r="105" spans="1:51">
      <c r="A105" s="25" t="s">
        <v>13300</v>
      </c>
      <c r="B105" s="25" t="s">
        <v>4398</v>
      </c>
      <c r="C105" s="25" t="s">
        <v>68</v>
      </c>
      <c r="D105" s="25" t="s">
        <v>13301</v>
      </c>
      <c r="E105" s="258" t="s">
        <v>13302</v>
      </c>
      <c r="F105" s="25" t="s">
        <v>13303</v>
      </c>
      <c r="G105" s="25" t="s">
        <v>4336</v>
      </c>
      <c r="H105" s="25" t="s">
        <v>4336</v>
      </c>
      <c r="I105" s="25" t="s">
        <v>4402</v>
      </c>
      <c r="J105" s="25" t="s">
        <v>11490</v>
      </c>
      <c r="K105" s="25">
        <v>8.2100000000000009</v>
      </c>
      <c r="L105" s="25" t="s">
        <v>73</v>
      </c>
      <c r="M105" s="25" t="s">
        <v>12737</v>
      </c>
      <c r="N105" s="25" t="s">
        <v>13304</v>
      </c>
      <c r="O105" t="s">
        <v>13305</v>
      </c>
      <c r="P105" s="28"/>
      <c r="Q105" s="53">
        <v>4</v>
      </c>
      <c r="R105" s="53">
        <v>16</v>
      </c>
      <c r="S105" s="53">
        <v>266.32</v>
      </c>
      <c r="T105" s="26" t="s">
        <v>138</v>
      </c>
      <c r="U105" s="30" t="s">
        <v>78</v>
      </c>
      <c r="V105" s="26" t="s">
        <v>139</v>
      </c>
      <c r="W105" s="38" t="s">
        <v>1095</v>
      </c>
      <c r="X105" s="26" t="s">
        <v>11997</v>
      </c>
      <c r="Y105" s="26" t="s">
        <v>141</v>
      </c>
      <c r="Z105" s="26" t="s">
        <v>141</v>
      </c>
      <c r="AA105" s="26"/>
      <c r="AB105" s="31" t="s">
        <v>17</v>
      </c>
      <c r="AC105" s="30" t="s">
        <v>172</v>
      </c>
      <c r="AD105" s="25" t="s">
        <v>173</v>
      </c>
      <c r="AE105" s="25" t="s">
        <v>174</v>
      </c>
      <c r="AF105" s="26" t="s">
        <v>175</v>
      </c>
      <c r="AG105" s="32">
        <v>1</v>
      </c>
      <c r="AH105" s="32">
        <v>1</v>
      </c>
      <c r="AI105" s="32"/>
      <c r="AJ105" s="32">
        <v>1</v>
      </c>
      <c r="AK105" s="30">
        <v>1</v>
      </c>
      <c r="AL105" s="32">
        <f t="shared" si="4"/>
        <v>1</v>
      </c>
      <c r="AM105" s="30"/>
      <c r="AN105" s="32"/>
      <c r="AO105" s="32"/>
      <c r="AP105" s="32">
        <v>1</v>
      </c>
      <c r="AQ105" s="32">
        <v>1</v>
      </c>
      <c r="AR105" s="32"/>
      <c r="AS105" s="32"/>
      <c r="AT105" s="32">
        <v>1</v>
      </c>
      <c r="AU105" s="30"/>
      <c r="AV105" s="30"/>
      <c r="AW105" s="30"/>
      <c r="AX105" s="30" t="s">
        <v>12742</v>
      </c>
      <c r="AY105" s="30"/>
    </row>
    <row r="106" spans="1:51">
      <c r="A106" s="25" t="s">
        <v>13306</v>
      </c>
      <c r="B106" s="25" t="s">
        <v>4398</v>
      </c>
      <c r="C106" s="25" t="s">
        <v>68</v>
      </c>
      <c r="D106" s="25" t="s">
        <v>13307</v>
      </c>
      <c r="E106" s="258" t="s">
        <v>13308</v>
      </c>
      <c r="F106" s="25" t="s">
        <v>9815</v>
      </c>
      <c r="G106" s="25" t="s">
        <v>4336</v>
      </c>
      <c r="H106" s="25" t="s">
        <v>4336</v>
      </c>
      <c r="I106" s="25" t="s">
        <v>4402</v>
      </c>
      <c r="J106" s="25" t="s">
        <v>11490</v>
      </c>
      <c r="K106" s="54" t="s">
        <v>11500</v>
      </c>
      <c r="L106" s="25" t="s">
        <v>73</v>
      </c>
      <c r="M106" s="25" t="s">
        <v>13309</v>
      </c>
      <c r="N106" s="25" t="s">
        <v>13310</v>
      </c>
      <c r="O106" t="s">
        <v>13311</v>
      </c>
      <c r="P106" s="55" t="s">
        <v>11500</v>
      </c>
      <c r="Q106" s="53">
        <v>4</v>
      </c>
      <c r="R106" s="53">
        <v>16</v>
      </c>
      <c r="S106" s="53">
        <v>266.81</v>
      </c>
      <c r="T106" s="26"/>
      <c r="U106" s="30"/>
      <c r="V106" s="26"/>
      <c r="W106" s="38"/>
      <c r="X106" s="26"/>
      <c r="Y106" s="26"/>
      <c r="Z106" s="26"/>
      <c r="AA106" s="26"/>
      <c r="AB106" s="31" t="s">
        <v>17</v>
      </c>
      <c r="AC106" s="30" t="s">
        <v>172</v>
      </c>
      <c r="AD106" s="25" t="s">
        <v>173</v>
      </c>
      <c r="AE106" s="25" t="s">
        <v>174</v>
      </c>
      <c r="AF106" s="26" t="s">
        <v>175</v>
      </c>
      <c r="AG106" s="32">
        <v>1</v>
      </c>
      <c r="AH106" s="32">
        <v>1</v>
      </c>
      <c r="AI106" s="32"/>
      <c r="AJ106" s="32"/>
      <c r="AK106" s="30"/>
      <c r="AL106" s="32"/>
      <c r="AM106" s="30"/>
      <c r="AN106" s="32"/>
      <c r="AO106" s="32"/>
      <c r="AP106" s="32"/>
      <c r="AQ106" s="32"/>
      <c r="AR106" s="32"/>
      <c r="AS106" s="32"/>
      <c r="AT106" s="32"/>
      <c r="AU106" s="30"/>
      <c r="AV106" s="30"/>
      <c r="AW106" s="30"/>
      <c r="AX106" s="30"/>
      <c r="AY106" s="30"/>
    </row>
    <row r="107" spans="1:51">
      <c r="A107" s="25" t="s">
        <v>13312</v>
      </c>
      <c r="B107" s="25" t="s">
        <v>4398</v>
      </c>
      <c r="C107" s="25" t="s">
        <v>68</v>
      </c>
      <c r="D107" s="25" t="s">
        <v>13313</v>
      </c>
      <c r="E107" s="258" t="s">
        <v>13314</v>
      </c>
      <c r="F107" s="25" t="s">
        <v>13315</v>
      </c>
      <c r="G107" s="25" t="s">
        <v>4336</v>
      </c>
      <c r="H107" s="25" t="s">
        <v>4336</v>
      </c>
      <c r="I107" s="25" t="s">
        <v>4402</v>
      </c>
      <c r="J107" s="25" t="s">
        <v>11490</v>
      </c>
      <c r="K107" s="25">
        <v>8.2100000000000009</v>
      </c>
      <c r="L107" s="25" t="s">
        <v>73</v>
      </c>
      <c r="M107" s="25" t="s">
        <v>12773</v>
      </c>
      <c r="N107" s="25" t="s">
        <v>13316</v>
      </c>
      <c r="O107" t="s">
        <v>13317</v>
      </c>
      <c r="P107" s="28"/>
      <c r="Q107" s="53">
        <v>4</v>
      </c>
      <c r="R107" s="53">
        <v>16</v>
      </c>
      <c r="S107" s="53">
        <v>416.25</v>
      </c>
      <c r="T107" s="26" t="s">
        <v>138</v>
      </c>
      <c r="U107" s="30" t="s">
        <v>78</v>
      </c>
      <c r="V107" s="26" t="s">
        <v>139</v>
      </c>
      <c r="W107" s="38" t="s">
        <v>1095</v>
      </c>
      <c r="X107" s="26" t="s">
        <v>11997</v>
      </c>
      <c r="Y107" s="26" t="s">
        <v>141</v>
      </c>
      <c r="Z107" s="26" t="s">
        <v>141</v>
      </c>
      <c r="AA107" s="26"/>
      <c r="AB107" s="31" t="s">
        <v>17</v>
      </c>
      <c r="AC107" s="30" t="s">
        <v>172</v>
      </c>
      <c r="AD107" s="25" t="s">
        <v>173</v>
      </c>
      <c r="AE107" s="25" t="s">
        <v>174</v>
      </c>
      <c r="AF107" s="26" t="s">
        <v>175</v>
      </c>
      <c r="AG107" s="32">
        <v>1</v>
      </c>
      <c r="AH107" s="32">
        <v>1</v>
      </c>
      <c r="AI107" s="32"/>
      <c r="AJ107" s="32">
        <v>1</v>
      </c>
      <c r="AK107" s="30">
        <v>1</v>
      </c>
      <c r="AL107" s="32">
        <f t="shared" ref="AL107:AL115" si="5">IF(COUNTIF(AX:AX,"*"&amp;M107&amp;"*")&gt;0,1,0)</f>
        <v>1</v>
      </c>
      <c r="AM107" s="30"/>
      <c r="AN107" s="32"/>
      <c r="AO107" s="32"/>
      <c r="AP107" s="32">
        <v>1</v>
      </c>
      <c r="AQ107" s="32">
        <v>1</v>
      </c>
      <c r="AR107" s="32"/>
      <c r="AS107" s="25"/>
      <c r="AT107" s="32">
        <v>1</v>
      </c>
      <c r="AU107" s="30"/>
      <c r="AV107" s="30"/>
      <c r="AW107" s="39"/>
      <c r="AX107" s="30" t="s">
        <v>12756</v>
      </c>
      <c r="AY107" s="30"/>
    </row>
    <row r="108" spans="1:51">
      <c r="A108" s="25" t="s">
        <v>13318</v>
      </c>
      <c r="B108" s="25" t="s">
        <v>4398</v>
      </c>
      <c r="C108" s="25" t="s">
        <v>68</v>
      </c>
      <c r="D108" s="25" t="s">
        <v>13319</v>
      </c>
      <c r="E108" s="258" t="s">
        <v>13320</v>
      </c>
      <c r="F108" s="25" t="s">
        <v>13321</v>
      </c>
      <c r="G108" s="25" t="s">
        <v>4336</v>
      </c>
      <c r="H108" s="25" t="s">
        <v>4336</v>
      </c>
      <c r="I108" s="25" t="s">
        <v>4402</v>
      </c>
      <c r="J108" s="25" t="s">
        <v>11490</v>
      </c>
      <c r="K108" s="25">
        <v>8.2100000000000009</v>
      </c>
      <c r="L108" s="25" t="s">
        <v>73</v>
      </c>
      <c r="M108" s="25" t="s">
        <v>13322</v>
      </c>
      <c r="N108" s="25" t="s">
        <v>13323</v>
      </c>
      <c r="O108" t="s">
        <v>13324</v>
      </c>
      <c r="P108" s="28"/>
      <c r="Q108" s="53">
        <v>4</v>
      </c>
      <c r="R108" s="53">
        <v>16</v>
      </c>
      <c r="S108" s="53">
        <v>266.12</v>
      </c>
      <c r="T108" s="26" t="s">
        <v>138</v>
      </c>
      <c r="U108" s="30" t="s">
        <v>78</v>
      </c>
      <c r="V108" s="26" t="s">
        <v>139</v>
      </c>
      <c r="W108" s="38" t="s">
        <v>1095</v>
      </c>
      <c r="X108" s="26" t="s">
        <v>11997</v>
      </c>
      <c r="Y108" s="26" t="s">
        <v>141</v>
      </c>
      <c r="Z108" s="26" t="s">
        <v>141</v>
      </c>
      <c r="AA108" s="26"/>
      <c r="AB108" s="31" t="s">
        <v>17</v>
      </c>
      <c r="AC108" s="30" t="s">
        <v>172</v>
      </c>
      <c r="AD108" s="25" t="s">
        <v>173</v>
      </c>
      <c r="AE108" s="25" t="s">
        <v>174</v>
      </c>
      <c r="AF108" s="26" t="s">
        <v>175</v>
      </c>
      <c r="AG108" s="32">
        <v>1</v>
      </c>
      <c r="AH108" s="32">
        <v>1</v>
      </c>
      <c r="AI108" s="32"/>
      <c r="AJ108" s="32">
        <v>1</v>
      </c>
      <c r="AK108" s="30">
        <v>1</v>
      </c>
      <c r="AL108" s="32">
        <f t="shared" si="5"/>
        <v>1</v>
      </c>
      <c r="AM108" s="30"/>
      <c r="AN108" s="32"/>
      <c r="AO108" s="32"/>
      <c r="AP108" s="32">
        <v>1</v>
      </c>
      <c r="AQ108" s="32">
        <v>1</v>
      </c>
      <c r="AR108" s="32"/>
      <c r="AS108" s="32"/>
      <c r="AT108" s="32">
        <v>1</v>
      </c>
      <c r="AU108" s="30"/>
      <c r="AV108" s="30"/>
      <c r="AW108" s="30"/>
      <c r="AX108" s="30" t="s">
        <v>12770</v>
      </c>
      <c r="AY108" s="30"/>
    </row>
    <row r="109" spans="1:51">
      <c r="A109" s="25" t="s">
        <v>13325</v>
      </c>
      <c r="B109" s="25" t="s">
        <v>4398</v>
      </c>
      <c r="C109" s="25" t="s">
        <v>68</v>
      </c>
      <c r="D109" s="25" t="s">
        <v>13326</v>
      </c>
      <c r="E109" s="258" t="s">
        <v>13327</v>
      </c>
      <c r="F109" s="25" t="s">
        <v>13328</v>
      </c>
      <c r="G109" s="25" t="s">
        <v>4336</v>
      </c>
      <c r="H109" s="25" t="s">
        <v>4336</v>
      </c>
      <c r="I109" s="25" t="s">
        <v>4402</v>
      </c>
      <c r="J109" s="25" t="s">
        <v>11490</v>
      </c>
      <c r="K109" s="25">
        <v>8.2100000000000009</v>
      </c>
      <c r="L109" s="25" t="s">
        <v>73</v>
      </c>
      <c r="M109" s="25" t="s">
        <v>13018</v>
      </c>
      <c r="N109" s="25" t="s">
        <v>13329</v>
      </c>
      <c r="O109" t="s">
        <v>13330</v>
      </c>
      <c r="P109" s="28"/>
      <c r="Q109" s="53">
        <v>4</v>
      </c>
      <c r="R109" s="53">
        <v>16</v>
      </c>
      <c r="S109" s="53">
        <v>266.13</v>
      </c>
      <c r="T109" s="26" t="s">
        <v>138</v>
      </c>
      <c r="U109" s="30" t="s">
        <v>78</v>
      </c>
      <c r="V109" s="26" t="s">
        <v>139</v>
      </c>
      <c r="W109" s="38" t="s">
        <v>1282</v>
      </c>
      <c r="X109" s="26" t="s">
        <v>11997</v>
      </c>
      <c r="Y109" s="26" t="s">
        <v>141</v>
      </c>
      <c r="Z109" s="26" t="s">
        <v>141</v>
      </c>
      <c r="AA109" s="26"/>
      <c r="AB109" s="31" t="s">
        <v>19</v>
      </c>
      <c r="AC109" s="30" t="s">
        <v>172</v>
      </c>
      <c r="AD109" s="25" t="s">
        <v>173</v>
      </c>
      <c r="AE109" s="25" t="s">
        <v>174</v>
      </c>
      <c r="AF109" s="26" t="s">
        <v>175</v>
      </c>
      <c r="AG109" s="32">
        <v>1</v>
      </c>
      <c r="AH109" s="32">
        <v>1</v>
      </c>
      <c r="AI109" s="32"/>
      <c r="AJ109" s="32"/>
      <c r="AK109" s="30"/>
      <c r="AL109" s="32">
        <f t="shared" si="5"/>
        <v>1</v>
      </c>
      <c r="AM109" s="30"/>
      <c r="AN109" s="32"/>
      <c r="AO109" s="32"/>
      <c r="AP109" s="32">
        <v>1</v>
      </c>
      <c r="AQ109" s="32">
        <v>1</v>
      </c>
      <c r="AR109" s="32"/>
      <c r="AS109" s="32"/>
      <c r="AT109" s="32">
        <v>1</v>
      </c>
      <c r="AU109" s="30"/>
      <c r="AV109" s="30"/>
      <c r="AW109" s="30"/>
      <c r="AX109" s="30" t="s">
        <v>12778</v>
      </c>
      <c r="AY109" s="30"/>
    </row>
    <row r="110" spans="1:51">
      <c r="A110" s="25" t="s">
        <v>13331</v>
      </c>
      <c r="B110" s="25" t="s">
        <v>4398</v>
      </c>
      <c r="C110" s="25" t="s">
        <v>68</v>
      </c>
      <c r="D110" s="25" t="s">
        <v>13332</v>
      </c>
      <c r="E110" s="258" t="s">
        <v>13333</v>
      </c>
      <c r="F110" s="25" t="s">
        <v>13334</v>
      </c>
      <c r="G110" s="25" t="s">
        <v>4336</v>
      </c>
      <c r="H110" s="25" t="s">
        <v>4336</v>
      </c>
      <c r="I110" s="25" t="s">
        <v>4402</v>
      </c>
      <c r="J110" s="25" t="s">
        <v>11490</v>
      </c>
      <c r="K110" s="25">
        <v>8.2100000000000009</v>
      </c>
      <c r="L110" s="25" t="s">
        <v>73</v>
      </c>
      <c r="M110" s="25" t="s">
        <v>12790</v>
      </c>
      <c r="N110" s="25" t="s">
        <v>13335</v>
      </c>
      <c r="O110" t="s">
        <v>13336</v>
      </c>
      <c r="P110" s="28"/>
      <c r="Q110" s="53">
        <v>4</v>
      </c>
      <c r="R110" s="53">
        <v>16</v>
      </c>
      <c r="S110" s="53">
        <v>266.17</v>
      </c>
      <c r="T110" s="26" t="s">
        <v>138</v>
      </c>
      <c r="U110" s="30" t="s">
        <v>78</v>
      </c>
      <c r="V110" s="26" t="s">
        <v>139</v>
      </c>
      <c r="W110" s="38" t="s">
        <v>1282</v>
      </c>
      <c r="X110" s="26" t="s">
        <v>11997</v>
      </c>
      <c r="Y110" s="26" t="s">
        <v>141</v>
      </c>
      <c r="Z110" s="26" t="s">
        <v>141</v>
      </c>
      <c r="AA110" s="26"/>
      <c r="AB110" s="31" t="s">
        <v>19</v>
      </c>
      <c r="AC110" s="30" t="s">
        <v>172</v>
      </c>
      <c r="AD110" s="25" t="s">
        <v>173</v>
      </c>
      <c r="AE110" s="25" t="s">
        <v>174</v>
      </c>
      <c r="AF110" s="26" t="s">
        <v>175</v>
      </c>
      <c r="AG110" s="32">
        <v>1</v>
      </c>
      <c r="AH110" s="32">
        <v>1</v>
      </c>
      <c r="AI110" s="32"/>
      <c r="AJ110" s="32"/>
      <c r="AK110" s="30"/>
      <c r="AL110" s="32">
        <f t="shared" si="5"/>
        <v>1</v>
      </c>
      <c r="AM110" s="30"/>
      <c r="AN110" s="32"/>
      <c r="AO110" s="32"/>
      <c r="AP110" s="32">
        <v>1</v>
      </c>
      <c r="AQ110" s="32">
        <v>1</v>
      </c>
      <c r="AR110" s="32"/>
      <c r="AS110" s="32"/>
      <c r="AT110" s="32">
        <v>1</v>
      </c>
      <c r="AU110" s="30"/>
      <c r="AV110" s="30"/>
      <c r="AW110" s="30"/>
      <c r="AX110" s="30" t="s">
        <v>12786</v>
      </c>
      <c r="AY110" s="30"/>
    </row>
    <row r="111" spans="1:51">
      <c r="A111" s="25" t="s">
        <v>13337</v>
      </c>
      <c r="B111" s="25" t="s">
        <v>4398</v>
      </c>
      <c r="C111" s="25" t="s">
        <v>68</v>
      </c>
      <c r="D111" s="25" t="s">
        <v>13338</v>
      </c>
      <c r="E111" s="258" t="s">
        <v>13339</v>
      </c>
      <c r="F111" s="25" t="s">
        <v>13340</v>
      </c>
      <c r="G111" s="25" t="s">
        <v>4336</v>
      </c>
      <c r="H111" s="25" t="s">
        <v>4336</v>
      </c>
      <c r="I111" s="25" t="s">
        <v>4402</v>
      </c>
      <c r="J111" s="25" t="s">
        <v>11490</v>
      </c>
      <c r="K111" s="25">
        <v>8.2100000000000009</v>
      </c>
      <c r="L111" s="25" t="s">
        <v>73</v>
      </c>
      <c r="M111" s="25" t="s">
        <v>13026</v>
      </c>
      <c r="N111" s="25" t="s">
        <v>13341</v>
      </c>
      <c r="O111" t="s">
        <v>13342</v>
      </c>
      <c r="P111" s="28"/>
      <c r="Q111" s="53">
        <v>4</v>
      </c>
      <c r="R111" s="53">
        <v>16</v>
      </c>
      <c r="S111" s="53">
        <v>266.57</v>
      </c>
      <c r="T111" s="26" t="s">
        <v>138</v>
      </c>
      <c r="U111" s="30" t="s">
        <v>78</v>
      </c>
      <c r="V111" s="26" t="s">
        <v>139</v>
      </c>
      <c r="W111" s="38" t="s">
        <v>1282</v>
      </c>
      <c r="X111" s="26" t="s">
        <v>11997</v>
      </c>
      <c r="Y111" s="26" t="s">
        <v>141</v>
      </c>
      <c r="Z111" s="26" t="s">
        <v>141</v>
      </c>
      <c r="AA111" s="26"/>
      <c r="AB111" s="36" t="s">
        <v>7</v>
      </c>
      <c r="AC111" s="30" t="s">
        <v>172</v>
      </c>
      <c r="AD111" s="25" t="s">
        <v>173</v>
      </c>
      <c r="AE111" s="25" t="s">
        <v>174</v>
      </c>
      <c r="AF111" s="26" t="s">
        <v>175</v>
      </c>
      <c r="AG111" s="32">
        <v>1</v>
      </c>
      <c r="AH111" s="32">
        <v>1</v>
      </c>
      <c r="AI111" s="32"/>
      <c r="AJ111" s="32"/>
      <c r="AK111" s="30"/>
      <c r="AL111" s="32">
        <f t="shared" si="5"/>
        <v>1</v>
      </c>
      <c r="AM111" s="30"/>
      <c r="AN111" s="32"/>
      <c r="AO111" s="32"/>
      <c r="AP111" s="32">
        <v>1</v>
      </c>
      <c r="AQ111" s="32">
        <v>1</v>
      </c>
      <c r="AR111" s="32"/>
      <c r="AS111" s="32"/>
      <c r="AT111" s="32">
        <v>1</v>
      </c>
      <c r="AU111" s="30"/>
      <c r="AV111" s="30"/>
      <c r="AW111" s="30"/>
      <c r="AX111" s="30" t="s">
        <v>12795</v>
      </c>
      <c r="AY111" s="30"/>
    </row>
    <row r="112" spans="1:51">
      <c r="A112" s="25" t="s">
        <v>13343</v>
      </c>
      <c r="B112" s="25" t="s">
        <v>4398</v>
      </c>
      <c r="C112" s="25" t="s">
        <v>68</v>
      </c>
      <c r="D112" s="25" t="s">
        <v>13344</v>
      </c>
      <c r="E112" s="258" t="s">
        <v>13345</v>
      </c>
      <c r="F112" s="25" t="s">
        <v>13346</v>
      </c>
      <c r="G112" s="25" t="s">
        <v>4336</v>
      </c>
      <c r="H112" s="25" t="s">
        <v>4336</v>
      </c>
      <c r="I112" s="25" t="s">
        <v>4402</v>
      </c>
      <c r="J112" s="25" t="s">
        <v>11490</v>
      </c>
      <c r="K112" s="25">
        <v>8.2100000000000009</v>
      </c>
      <c r="L112" s="25" t="s">
        <v>73</v>
      </c>
      <c r="M112" s="25" t="s">
        <v>12798</v>
      </c>
      <c r="N112" s="25" t="s">
        <v>13347</v>
      </c>
      <c r="O112" t="s">
        <v>13348</v>
      </c>
      <c r="P112" s="28"/>
      <c r="Q112" s="53">
        <v>4</v>
      </c>
      <c r="R112" s="53">
        <v>16</v>
      </c>
      <c r="S112" s="53">
        <v>266.92</v>
      </c>
      <c r="T112" s="26" t="s">
        <v>138</v>
      </c>
      <c r="U112" s="30" t="s">
        <v>78</v>
      </c>
      <c r="V112" s="26" t="s">
        <v>139</v>
      </c>
      <c r="W112" s="38" t="s">
        <v>1282</v>
      </c>
      <c r="X112" s="26" t="s">
        <v>11997</v>
      </c>
      <c r="Y112" s="26" t="s">
        <v>141</v>
      </c>
      <c r="Z112" s="26" t="s">
        <v>141</v>
      </c>
      <c r="AA112" s="26"/>
      <c r="AB112" s="36" t="s">
        <v>7</v>
      </c>
      <c r="AC112" s="30" t="s">
        <v>172</v>
      </c>
      <c r="AD112" s="25" t="s">
        <v>173</v>
      </c>
      <c r="AE112" s="25" t="s">
        <v>174</v>
      </c>
      <c r="AF112" s="26" t="s">
        <v>175</v>
      </c>
      <c r="AG112" s="32">
        <v>1</v>
      </c>
      <c r="AH112" s="32">
        <v>1</v>
      </c>
      <c r="AI112" s="32"/>
      <c r="AJ112" s="32"/>
      <c r="AK112" s="30"/>
      <c r="AL112" s="32">
        <f t="shared" si="5"/>
        <v>1</v>
      </c>
      <c r="AM112" s="30"/>
      <c r="AN112" s="25" t="s">
        <v>13041</v>
      </c>
      <c r="AO112" s="32"/>
      <c r="AP112" s="32">
        <v>1</v>
      </c>
      <c r="AQ112" s="32">
        <v>1</v>
      </c>
      <c r="AR112" s="32"/>
      <c r="AS112" s="32"/>
      <c r="AT112" s="32">
        <v>1</v>
      </c>
      <c r="AU112" s="30"/>
      <c r="AV112" s="30"/>
      <c r="AW112" s="30"/>
      <c r="AX112" s="30" t="s">
        <v>12810</v>
      </c>
      <c r="AY112" s="30"/>
    </row>
    <row r="113" spans="1:51">
      <c r="A113" s="25" t="s">
        <v>13349</v>
      </c>
      <c r="B113" s="25" t="s">
        <v>4398</v>
      </c>
      <c r="C113" s="25" t="s">
        <v>68</v>
      </c>
      <c r="D113" s="25" t="s">
        <v>13350</v>
      </c>
      <c r="E113" s="259" t="s">
        <v>13351</v>
      </c>
      <c r="F113" s="48" t="s">
        <v>13352</v>
      </c>
      <c r="G113" s="25" t="s">
        <v>4336</v>
      </c>
      <c r="H113" s="25" t="s">
        <v>4336</v>
      </c>
      <c r="I113" s="25" t="s">
        <v>4402</v>
      </c>
      <c r="J113" s="25" t="s">
        <v>11490</v>
      </c>
      <c r="K113" s="25">
        <v>8.2100000000000009</v>
      </c>
      <c r="L113" s="25" t="s">
        <v>73</v>
      </c>
      <c r="M113" s="25" t="s">
        <v>12553</v>
      </c>
      <c r="N113" s="25" t="s">
        <v>13353</v>
      </c>
      <c r="O113" t="s">
        <v>13354</v>
      </c>
      <c r="P113" s="28"/>
      <c r="Q113" s="53">
        <v>4</v>
      </c>
      <c r="R113" s="53">
        <v>16</v>
      </c>
      <c r="S113" s="53">
        <v>266.24</v>
      </c>
      <c r="T113" s="26" t="s">
        <v>138</v>
      </c>
      <c r="U113" s="30" t="s">
        <v>78</v>
      </c>
      <c r="V113" s="26" t="s">
        <v>139</v>
      </c>
      <c r="W113" s="38" t="s">
        <v>1282</v>
      </c>
      <c r="X113" s="26" t="s">
        <v>11997</v>
      </c>
      <c r="Y113" s="26" t="s">
        <v>141</v>
      </c>
      <c r="Z113" s="26" t="s">
        <v>141</v>
      </c>
      <c r="AA113" s="26"/>
      <c r="AB113" s="31" t="s">
        <v>19</v>
      </c>
      <c r="AC113" s="30" t="s">
        <v>172</v>
      </c>
      <c r="AD113" s="25" t="s">
        <v>173</v>
      </c>
      <c r="AE113" s="25" t="s">
        <v>174</v>
      </c>
      <c r="AF113" s="26" t="s">
        <v>175</v>
      </c>
      <c r="AG113" s="32">
        <v>1</v>
      </c>
      <c r="AH113" s="32">
        <v>1</v>
      </c>
      <c r="AI113" s="32"/>
      <c r="AJ113" s="32"/>
      <c r="AK113" s="30"/>
      <c r="AL113" s="32">
        <f t="shared" si="5"/>
        <v>1</v>
      </c>
      <c r="AM113" s="30"/>
      <c r="AN113" s="32"/>
      <c r="AO113" s="32"/>
      <c r="AP113" s="32">
        <v>1</v>
      </c>
      <c r="AQ113" s="32">
        <v>1</v>
      </c>
      <c r="AR113" s="32">
        <v>1</v>
      </c>
      <c r="AS113" s="32"/>
      <c r="AT113" s="32">
        <v>1</v>
      </c>
      <c r="AU113" s="56">
        <v>46255.929965277799</v>
      </c>
      <c r="AV113" s="30"/>
      <c r="AW113" s="30"/>
      <c r="AX113" s="30" t="s">
        <v>12818</v>
      </c>
      <c r="AY113" s="30"/>
    </row>
    <row r="114" spans="1:51">
      <c r="A114" s="25" t="s">
        <v>13355</v>
      </c>
      <c r="B114" s="25" t="s">
        <v>4398</v>
      </c>
      <c r="C114" s="25" t="s">
        <v>68</v>
      </c>
      <c r="D114" s="25" t="s">
        <v>13356</v>
      </c>
      <c r="E114" s="259" t="s">
        <v>13357</v>
      </c>
      <c r="F114" s="48" t="s">
        <v>13358</v>
      </c>
      <c r="G114" s="25" t="s">
        <v>4336</v>
      </c>
      <c r="H114" s="25" t="s">
        <v>4336</v>
      </c>
      <c r="I114" s="25" t="s">
        <v>4402</v>
      </c>
      <c r="J114" s="25" t="s">
        <v>11490</v>
      </c>
      <c r="K114" s="25">
        <v>8.2100000000000009</v>
      </c>
      <c r="L114" s="25" t="s">
        <v>73</v>
      </c>
      <c r="M114" s="25" t="s">
        <v>12582</v>
      </c>
      <c r="N114" s="25" t="s">
        <v>13359</v>
      </c>
      <c r="O114" t="s">
        <v>13360</v>
      </c>
      <c r="P114" s="28"/>
      <c r="Q114" s="53">
        <v>4</v>
      </c>
      <c r="R114" s="53">
        <v>16</v>
      </c>
      <c r="S114" s="53">
        <v>266.60000000000002</v>
      </c>
      <c r="T114" s="26" t="s">
        <v>138</v>
      </c>
      <c r="U114" s="30" t="s">
        <v>78</v>
      </c>
      <c r="V114" s="26" t="s">
        <v>139</v>
      </c>
      <c r="W114" s="38" t="s">
        <v>1282</v>
      </c>
      <c r="X114" s="26" t="s">
        <v>11997</v>
      </c>
      <c r="Y114" s="26" t="s">
        <v>141</v>
      </c>
      <c r="Z114" s="26" t="s">
        <v>141</v>
      </c>
      <c r="AA114" s="26"/>
      <c r="AB114" s="31" t="s">
        <v>19</v>
      </c>
      <c r="AC114" s="30" t="s">
        <v>172</v>
      </c>
      <c r="AD114" s="25" t="s">
        <v>173</v>
      </c>
      <c r="AE114" s="25" t="s">
        <v>174</v>
      </c>
      <c r="AF114" s="26" t="s">
        <v>175</v>
      </c>
      <c r="AG114" s="32">
        <v>1</v>
      </c>
      <c r="AH114" s="32">
        <v>1</v>
      </c>
      <c r="AI114" s="32"/>
      <c r="AJ114" s="32"/>
      <c r="AK114" s="30"/>
      <c r="AL114" s="32">
        <f t="shared" si="5"/>
        <v>1</v>
      </c>
      <c r="AM114" s="30"/>
      <c r="AN114" s="32"/>
      <c r="AO114" s="32"/>
      <c r="AP114" s="32">
        <v>1</v>
      </c>
      <c r="AQ114" s="32">
        <v>1</v>
      </c>
      <c r="AR114" s="32">
        <v>1</v>
      </c>
      <c r="AS114" s="32"/>
      <c r="AT114" s="32">
        <v>1</v>
      </c>
      <c r="AU114" s="56">
        <v>46255.919907407399</v>
      </c>
      <c r="AV114" s="30"/>
      <c r="AW114" s="30"/>
      <c r="AX114" s="30" t="s">
        <v>12826</v>
      </c>
      <c r="AY114" s="30"/>
    </row>
    <row r="115" spans="1:51">
      <c r="A115" s="25" t="s">
        <v>13361</v>
      </c>
      <c r="B115" s="25" t="s">
        <v>4398</v>
      </c>
      <c r="C115" s="25" t="s">
        <v>73</v>
      </c>
      <c r="D115" s="25" t="s">
        <v>13362</v>
      </c>
      <c r="E115" s="258" t="s">
        <v>13363</v>
      </c>
      <c r="F115" s="25" t="s">
        <v>13364</v>
      </c>
      <c r="G115" s="25" t="s">
        <v>4336</v>
      </c>
      <c r="H115" s="25" t="s">
        <v>4336</v>
      </c>
      <c r="I115" s="25" t="s">
        <v>4402</v>
      </c>
      <c r="J115" s="25" t="s">
        <v>11490</v>
      </c>
      <c r="K115" s="25">
        <v>8.2100000000000009</v>
      </c>
      <c r="L115" s="25" t="s">
        <v>73</v>
      </c>
      <c r="M115" s="25" t="s">
        <v>12813</v>
      </c>
      <c r="N115" s="25" t="s">
        <v>13365</v>
      </c>
      <c r="O115" t="s">
        <v>13366</v>
      </c>
      <c r="P115" s="28"/>
      <c r="Q115" s="32">
        <v>4</v>
      </c>
      <c r="R115" s="32" t="s">
        <v>4409</v>
      </c>
      <c r="S115" s="32" t="s">
        <v>4440</v>
      </c>
      <c r="T115" s="26" t="s">
        <v>138</v>
      </c>
      <c r="U115" s="30" t="s">
        <v>78</v>
      </c>
      <c r="V115" s="26" t="s">
        <v>139</v>
      </c>
      <c r="W115" s="38" t="s">
        <v>1282</v>
      </c>
      <c r="X115" s="26" t="s">
        <v>11997</v>
      </c>
      <c r="Y115" s="26" t="s">
        <v>141</v>
      </c>
      <c r="Z115" s="26" t="s">
        <v>141</v>
      </c>
      <c r="AA115" s="26"/>
      <c r="AB115" s="31" t="s">
        <v>19</v>
      </c>
      <c r="AC115" s="30" t="s">
        <v>172</v>
      </c>
      <c r="AD115" s="25" t="s">
        <v>4423</v>
      </c>
      <c r="AE115" s="25" t="s">
        <v>172</v>
      </c>
      <c r="AF115" s="26" t="s">
        <v>175</v>
      </c>
      <c r="AG115" s="32">
        <v>1</v>
      </c>
      <c r="AH115" s="32">
        <v>1</v>
      </c>
      <c r="AI115" s="32"/>
      <c r="AJ115" s="32"/>
      <c r="AK115" s="30"/>
      <c r="AL115" s="32">
        <f t="shared" si="5"/>
        <v>1</v>
      </c>
      <c r="AM115" s="30"/>
      <c r="AN115" s="32"/>
      <c r="AO115" s="32"/>
      <c r="AP115" s="32">
        <v>1</v>
      </c>
      <c r="AQ115" s="32">
        <v>1</v>
      </c>
      <c r="AR115" s="32"/>
      <c r="AS115" s="32"/>
      <c r="AT115" s="32">
        <v>1</v>
      </c>
      <c r="AU115" s="30"/>
      <c r="AV115" s="30"/>
      <c r="AW115" s="30"/>
      <c r="AX115" s="30" t="s">
        <v>13266</v>
      </c>
      <c r="AY115" s="30"/>
    </row>
    <row r="116" spans="1:51">
      <c r="A116" s="25" t="s">
        <v>13367</v>
      </c>
      <c r="B116" s="25" t="s">
        <v>4398</v>
      </c>
      <c r="C116" s="25" t="s">
        <v>73</v>
      </c>
      <c r="D116" s="25" t="s">
        <v>13368</v>
      </c>
      <c r="E116" s="258" t="s">
        <v>13369</v>
      </c>
      <c r="F116" s="25" t="s">
        <v>13370</v>
      </c>
      <c r="G116" s="25" t="s">
        <v>4336</v>
      </c>
      <c r="H116" s="25" t="s">
        <v>4336</v>
      </c>
      <c r="I116" s="25" t="s">
        <v>4402</v>
      </c>
      <c r="J116" s="25" t="s">
        <v>11490</v>
      </c>
      <c r="K116" s="34" t="s">
        <v>3213</v>
      </c>
      <c r="L116" s="25" t="s">
        <v>73</v>
      </c>
      <c r="M116" s="25" t="s">
        <v>13371</v>
      </c>
      <c r="N116" s="25" t="s">
        <v>13372</v>
      </c>
      <c r="O116" t="s">
        <v>13373</v>
      </c>
      <c r="P116" s="28"/>
      <c r="Q116" s="32">
        <v>4</v>
      </c>
      <c r="R116" s="32" t="s">
        <v>4409</v>
      </c>
      <c r="S116" s="32" t="s">
        <v>7504</v>
      </c>
      <c r="T116" s="26" t="s">
        <v>138</v>
      </c>
      <c r="U116" s="30" t="s">
        <v>78</v>
      </c>
      <c r="V116" s="26" t="s">
        <v>139</v>
      </c>
      <c r="W116" s="38" t="s">
        <v>1282</v>
      </c>
      <c r="X116" s="26" t="s">
        <v>11997</v>
      </c>
      <c r="Y116" s="26" t="s">
        <v>141</v>
      </c>
      <c r="Z116" s="26" t="s">
        <v>141</v>
      </c>
      <c r="AA116" s="26"/>
      <c r="AB116" s="31" t="s">
        <v>19</v>
      </c>
      <c r="AC116" s="30" t="s">
        <v>172</v>
      </c>
      <c r="AD116" s="25" t="s">
        <v>4423</v>
      </c>
      <c r="AE116" s="25" t="s">
        <v>172</v>
      </c>
      <c r="AF116" s="26" t="s">
        <v>175</v>
      </c>
      <c r="AG116" s="32">
        <v>1</v>
      </c>
      <c r="AH116" s="32">
        <v>1</v>
      </c>
      <c r="AI116" s="32"/>
      <c r="AJ116" s="32"/>
      <c r="AK116" s="30"/>
      <c r="AL116" s="32"/>
      <c r="AM116" s="30"/>
      <c r="AN116" s="32"/>
      <c r="AO116" s="32"/>
      <c r="AP116" s="32"/>
      <c r="AQ116" s="32"/>
      <c r="AR116" s="32"/>
      <c r="AS116" s="32"/>
      <c r="AT116" s="32"/>
      <c r="AU116" s="30"/>
      <c r="AV116" s="30"/>
      <c r="AW116" s="30"/>
      <c r="AX116" s="30"/>
      <c r="AY116" s="30"/>
    </row>
    <row r="117" spans="1:51">
      <c r="A117" s="25" t="s">
        <v>13374</v>
      </c>
      <c r="B117" s="25" t="s">
        <v>4398</v>
      </c>
      <c r="C117" s="25" t="s">
        <v>73</v>
      </c>
      <c r="D117" s="25" t="s">
        <v>13375</v>
      </c>
      <c r="E117" s="258" t="s">
        <v>13376</v>
      </c>
      <c r="F117" s="25" t="s">
        <v>13377</v>
      </c>
      <c r="G117" s="25" t="s">
        <v>4336</v>
      </c>
      <c r="H117" s="25" t="s">
        <v>4336</v>
      </c>
      <c r="I117" s="25" t="s">
        <v>4402</v>
      </c>
      <c r="J117" s="25" t="s">
        <v>11490</v>
      </c>
      <c r="K117" s="25">
        <v>8.2100000000000009</v>
      </c>
      <c r="L117" s="25" t="s">
        <v>73</v>
      </c>
      <c r="M117" s="25" t="s">
        <v>13378</v>
      </c>
      <c r="N117" s="25" t="s">
        <v>13379</v>
      </c>
      <c r="O117" t="s">
        <v>13380</v>
      </c>
      <c r="P117" s="28"/>
      <c r="Q117" s="32">
        <v>4</v>
      </c>
      <c r="R117" s="32" t="s">
        <v>4409</v>
      </c>
      <c r="S117" s="32" t="s">
        <v>13381</v>
      </c>
      <c r="T117" s="26" t="s">
        <v>138</v>
      </c>
      <c r="U117" s="30" t="s">
        <v>78</v>
      </c>
      <c r="V117" s="26" t="s">
        <v>139</v>
      </c>
      <c r="W117" s="38" t="s">
        <v>1282</v>
      </c>
      <c r="X117" s="26" t="s">
        <v>11997</v>
      </c>
      <c r="Y117" s="26" t="s">
        <v>141</v>
      </c>
      <c r="Z117" s="26" t="s">
        <v>141</v>
      </c>
      <c r="AA117" s="26"/>
      <c r="AB117" s="31" t="s">
        <v>19</v>
      </c>
      <c r="AC117" s="30" t="s">
        <v>172</v>
      </c>
      <c r="AD117" s="25" t="s">
        <v>4423</v>
      </c>
      <c r="AE117" s="25" t="s">
        <v>172</v>
      </c>
      <c r="AF117" s="26" t="s">
        <v>175</v>
      </c>
      <c r="AG117" s="32">
        <v>1</v>
      </c>
      <c r="AH117" s="32">
        <v>1</v>
      </c>
      <c r="AI117" s="32"/>
      <c r="AJ117" s="32"/>
      <c r="AK117" s="30"/>
      <c r="AL117" s="32">
        <f t="shared" ref="AL117:AL148" si="6">IF(COUNTIF(AX:AX,"*"&amp;M117&amp;"*")&gt;0,1,0)</f>
        <v>1</v>
      </c>
      <c r="AM117" s="30"/>
      <c r="AN117" s="32"/>
      <c r="AO117" s="32"/>
      <c r="AP117" s="32">
        <v>1</v>
      </c>
      <c r="AQ117" s="32">
        <v>1</v>
      </c>
      <c r="AR117" s="32"/>
      <c r="AS117" s="32"/>
      <c r="AT117" s="32">
        <v>1</v>
      </c>
      <c r="AU117" s="30"/>
      <c r="AV117" s="30"/>
      <c r="AW117" s="30"/>
      <c r="AX117" s="30" t="s">
        <v>12834</v>
      </c>
      <c r="AY117" s="30"/>
    </row>
    <row r="118" spans="1:51">
      <c r="A118" s="25" t="s">
        <v>13382</v>
      </c>
      <c r="B118" s="25" t="s">
        <v>4398</v>
      </c>
      <c r="C118" s="25" t="s">
        <v>73</v>
      </c>
      <c r="D118" s="25" t="s">
        <v>13383</v>
      </c>
      <c r="E118" s="258" t="s">
        <v>13384</v>
      </c>
      <c r="F118" s="25" t="s">
        <v>13385</v>
      </c>
      <c r="G118" s="25" t="s">
        <v>4336</v>
      </c>
      <c r="H118" s="25" t="s">
        <v>4336</v>
      </c>
      <c r="I118" s="25" t="s">
        <v>4402</v>
      </c>
      <c r="J118" s="25" t="s">
        <v>11490</v>
      </c>
      <c r="K118" s="25">
        <v>8.2100000000000009</v>
      </c>
      <c r="L118" s="25" t="s">
        <v>73</v>
      </c>
      <c r="M118" s="25" t="s">
        <v>12821</v>
      </c>
      <c r="N118" s="25" t="s">
        <v>13386</v>
      </c>
      <c r="O118" t="s">
        <v>13387</v>
      </c>
      <c r="P118" s="28"/>
      <c r="Q118" s="32">
        <v>8</v>
      </c>
      <c r="R118" s="32" t="s">
        <v>9030</v>
      </c>
      <c r="S118" s="32" t="s">
        <v>13388</v>
      </c>
      <c r="T118" s="26" t="s">
        <v>138</v>
      </c>
      <c r="U118" s="30" t="s">
        <v>78</v>
      </c>
      <c r="V118" s="26" t="s">
        <v>139</v>
      </c>
      <c r="W118" s="38" t="s">
        <v>1282</v>
      </c>
      <c r="X118" s="26" t="s">
        <v>11997</v>
      </c>
      <c r="Y118" s="26" t="s">
        <v>141</v>
      </c>
      <c r="Z118" s="26" t="s">
        <v>141</v>
      </c>
      <c r="AA118" s="26"/>
      <c r="AB118" s="31" t="s">
        <v>19</v>
      </c>
      <c r="AC118" s="30" t="s">
        <v>172</v>
      </c>
      <c r="AD118" s="25" t="s">
        <v>4423</v>
      </c>
      <c r="AE118" s="25" t="s">
        <v>172</v>
      </c>
      <c r="AF118" s="26" t="s">
        <v>175</v>
      </c>
      <c r="AG118" s="32">
        <v>1</v>
      </c>
      <c r="AH118" s="32">
        <v>1</v>
      </c>
      <c r="AI118" s="32"/>
      <c r="AJ118" s="32"/>
      <c r="AK118" s="30"/>
      <c r="AL118" s="32">
        <f t="shared" si="6"/>
        <v>1</v>
      </c>
      <c r="AM118" s="30"/>
      <c r="AN118" s="32"/>
      <c r="AO118" s="32"/>
      <c r="AP118" s="32">
        <v>1</v>
      </c>
      <c r="AQ118" s="32">
        <v>1</v>
      </c>
      <c r="AR118" s="32"/>
      <c r="AS118" s="32"/>
      <c r="AT118" s="32">
        <v>1</v>
      </c>
      <c r="AU118" s="30"/>
      <c r="AV118" s="30"/>
      <c r="AW118" s="30"/>
      <c r="AX118" s="30" t="s">
        <v>12850</v>
      </c>
      <c r="AY118" s="30"/>
    </row>
    <row r="119" spans="1:51">
      <c r="A119" s="25" t="s">
        <v>13389</v>
      </c>
      <c r="B119" s="25" t="s">
        <v>4398</v>
      </c>
      <c r="C119" s="25" t="s">
        <v>73</v>
      </c>
      <c r="D119" s="25" t="s">
        <v>13390</v>
      </c>
      <c r="E119" s="258" t="s">
        <v>13391</v>
      </c>
      <c r="F119" s="25" t="s">
        <v>13392</v>
      </c>
      <c r="G119" s="25" t="s">
        <v>4336</v>
      </c>
      <c r="H119" s="25" t="s">
        <v>4336</v>
      </c>
      <c r="I119" s="25" t="s">
        <v>4402</v>
      </c>
      <c r="J119" s="25" t="s">
        <v>11490</v>
      </c>
      <c r="K119" s="25">
        <v>8.2100000000000009</v>
      </c>
      <c r="L119" s="25" t="s">
        <v>73</v>
      </c>
      <c r="M119" s="25" t="s">
        <v>13393</v>
      </c>
      <c r="N119" s="25" t="s">
        <v>13394</v>
      </c>
      <c r="O119" t="s">
        <v>13395</v>
      </c>
      <c r="P119" s="28"/>
      <c r="Q119" s="32">
        <v>4</v>
      </c>
      <c r="R119" s="32" t="s">
        <v>4409</v>
      </c>
      <c r="S119" s="32" t="s">
        <v>13396</v>
      </c>
      <c r="T119" s="26" t="s">
        <v>138</v>
      </c>
      <c r="U119" s="30" t="s">
        <v>78</v>
      </c>
      <c r="V119" s="26" t="s">
        <v>139</v>
      </c>
      <c r="W119" s="38" t="s">
        <v>1282</v>
      </c>
      <c r="X119" s="26" t="s">
        <v>11997</v>
      </c>
      <c r="Y119" s="26" t="s">
        <v>141</v>
      </c>
      <c r="Z119" s="26" t="s">
        <v>141</v>
      </c>
      <c r="AA119" s="26"/>
      <c r="AB119" s="31" t="s">
        <v>19</v>
      </c>
      <c r="AC119" s="30" t="s">
        <v>172</v>
      </c>
      <c r="AD119" s="25" t="s">
        <v>4423</v>
      </c>
      <c r="AE119" s="25" t="s">
        <v>172</v>
      </c>
      <c r="AF119" s="26" t="s">
        <v>175</v>
      </c>
      <c r="AG119" s="32">
        <v>1</v>
      </c>
      <c r="AH119" s="32">
        <v>1</v>
      </c>
      <c r="AI119" s="32"/>
      <c r="AJ119" s="32"/>
      <c r="AK119" s="30"/>
      <c r="AL119" s="32">
        <f t="shared" si="6"/>
        <v>1</v>
      </c>
      <c r="AM119" s="30"/>
      <c r="AN119" s="32"/>
      <c r="AO119" s="32"/>
      <c r="AP119" s="32">
        <v>1</v>
      </c>
      <c r="AQ119" s="32">
        <v>1</v>
      </c>
      <c r="AR119" s="32"/>
      <c r="AS119" s="32"/>
      <c r="AT119" s="32">
        <v>1</v>
      </c>
      <c r="AU119" s="30"/>
      <c r="AV119" s="30"/>
      <c r="AW119" s="30"/>
      <c r="AX119" s="30" t="s">
        <v>12858</v>
      </c>
      <c r="AY119" s="30"/>
    </row>
    <row r="120" spans="1:51">
      <c r="A120" s="25" t="s">
        <v>13397</v>
      </c>
      <c r="B120" s="25" t="s">
        <v>4398</v>
      </c>
      <c r="C120" s="25" t="s">
        <v>73</v>
      </c>
      <c r="D120" s="25" t="s">
        <v>13398</v>
      </c>
      <c r="E120" s="258" t="s">
        <v>13399</v>
      </c>
      <c r="F120" s="25" t="s">
        <v>13400</v>
      </c>
      <c r="G120" s="25" t="s">
        <v>4336</v>
      </c>
      <c r="H120" s="25" t="s">
        <v>4336</v>
      </c>
      <c r="I120" s="25" t="s">
        <v>4402</v>
      </c>
      <c r="J120" s="25" t="s">
        <v>11490</v>
      </c>
      <c r="K120" s="25">
        <v>8.2100000000000009</v>
      </c>
      <c r="L120" s="25" t="s">
        <v>73</v>
      </c>
      <c r="M120" s="25" t="s">
        <v>12829</v>
      </c>
      <c r="N120" s="25" t="s">
        <v>13401</v>
      </c>
      <c r="O120" t="s">
        <v>13402</v>
      </c>
      <c r="P120" s="28"/>
      <c r="Q120" s="32">
        <v>4</v>
      </c>
      <c r="R120" s="32" t="s">
        <v>4409</v>
      </c>
      <c r="S120" s="32" t="s">
        <v>13403</v>
      </c>
      <c r="T120" s="26" t="s">
        <v>138</v>
      </c>
      <c r="U120" s="30" t="s">
        <v>78</v>
      </c>
      <c r="V120" s="26" t="s">
        <v>139</v>
      </c>
      <c r="W120" s="38" t="s">
        <v>1282</v>
      </c>
      <c r="X120" s="26" t="s">
        <v>11997</v>
      </c>
      <c r="Y120" s="26" t="s">
        <v>141</v>
      </c>
      <c r="Z120" s="26" t="s">
        <v>141</v>
      </c>
      <c r="AA120" s="26"/>
      <c r="AB120" s="36" t="s">
        <v>7</v>
      </c>
      <c r="AC120" s="30" t="s">
        <v>172</v>
      </c>
      <c r="AD120" s="25" t="s">
        <v>4423</v>
      </c>
      <c r="AE120" s="25" t="s">
        <v>172</v>
      </c>
      <c r="AF120" s="26" t="s">
        <v>175</v>
      </c>
      <c r="AG120" s="32">
        <v>1</v>
      </c>
      <c r="AH120" s="32">
        <v>1</v>
      </c>
      <c r="AI120" s="32"/>
      <c r="AJ120" s="32"/>
      <c r="AK120" s="30"/>
      <c r="AL120" s="32">
        <f t="shared" si="6"/>
        <v>1</v>
      </c>
      <c r="AM120" s="30"/>
      <c r="AN120" s="32"/>
      <c r="AO120" s="32"/>
      <c r="AP120" s="32">
        <v>1</v>
      </c>
      <c r="AQ120" s="32">
        <v>1</v>
      </c>
      <c r="AR120" s="32"/>
      <c r="AS120" s="32"/>
      <c r="AT120" s="32">
        <v>1</v>
      </c>
      <c r="AU120" s="30"/>
      <c r="AV120" s="30"/>
      <c r="AW120" s="30"/>
      <c r="AX120" s="30" t="s">
        <v>12657</v>
      </c>
      <c r="AY120" s="30"/>
    </row>
    <row r="121" spans="1:51">
      <c r="A121" s="25" t="s">
        <v>13404</v>
      </c>
      <c r="B121" s="25" t="s">
        <v>4398</v>
      </c>
      <c r="C121" s="25" t="s">
        <v>73</v>
      </c>
      <c r="D121" s="25" t="s">
        <v>13405</v>
      </c>
      <c r="E121" s="258" t="s">
        <v>13406</v>
      </c>
      <c r="F121" s="25" t="s">
        <v>13407</v>
      </c>
      <c r="G121" s="25" t="s">
        <v>4336</v>
      </c>
      <c r="H121" s="25" t="s">
        <v>4336</v>
      </c>
      <c r="I121" s="25" t="s">
        <v>4402</v>
      </c>
      <c r="J121" s="25" t="s">
        <v>11490</v>
      </c>
      <c r="K121" s="25">
        <v>8.2100000000000009</v>
      </c>
      <c r="L121" s="25" t="s">
        <v>73</v>
      </c>
      <c r="M121" s="25" t="s">
        <v>12837</v>
      </c>
      <c r="N121" s="25" t="s">
        <v>13408</v>
      </c>
      <c r="O121" t="s">
        <v>13409</v>
      </c>
      <c r="P121" s="28"/>
      <c r="Q121" s="32">
        <v>4</v>
      </c>
      <c r="R121" s="32" t="s">
        <v>4409</v>
      </c>
      <c r="S121" s="32" t="s">
        <v>7829</v>
      </c>
      <c r="T121" s="26" t="s">
        <v>138</v>
      </c>
      <c r="U121" s="30" t="s">
        <v>78</v>
      </c>
      <c r="V121" s="26" t="s">
        <v>139</v>
      </c>
      <c r="W121" s="38" t="s">
        <v>1282</v>
      </c>
      <c r="X121" s="26" t="s">
        <v>11997</v>
      </c>
      <c r="Y121" s="26" t="s">
        <v>141</v>
      </c>
      <c r="Z121" s="26" t="s">
        <v>141</v>
      </c>
      <c r="AA121" s="26"/>
      <c r="AB121" s="31" t="s">
        <v>19</v>
      </c>
      <c r="AC121" s="30" t="s">
        <v>172</v>
      </c>
      <c r="AD121" s="25" t="s">
        <v>4423</v>
      </c>
      <c r="AE121" s="25" t="s">
        <v>172</v>
      </c>
      <c r="AF121" s="26" t="s">
        <v>175</v>
      </c>
      <c r="AG121" s="32">
        <v>1</v>
      </c>
      <c r="AH121" s="32">
        <v>1</v>
      </c>
      <c r="AI121" s="32"/>
      <c r="AJ121" s="32"/>
      <c r="AK121" s="30"/>
      <c r="AL121" s="32">
        <f t="shared" si="6"/>
        <v>1</v>
      </c>
      <c r="AM121" s="30"/>
      <c r="AN121" s="32"/>
      <c r="AO121" s="32"/>
      <c r="AP121" s="32">
        <v>1</v>
      </c>
      <c r="AQ121" s="32">
        <v>1</v>
      </c>
      <c r="AR121" s="32"/>
      <c r="AS121" s="25" t="s">
        <v>12286</v>
      </c>
      <c r="AT121" s="32">
        <v>1</v>
      </c>
      <c r="AU121" s="30"/>
      <c r="AV121" s="30"/>
      <c r="AW121" s="30"/>
      <c r="AX121" s="30" t="s">
        <v>12866</v>
      </c>
      <c r="AY121" s="30"/>
    </row>
    <row r="122" spans="1:51">
      <c r="A122" s="25" t="s">
        <v>13410</v>
      </c>
      <c r="B122" s="25" t="s">
        <v>4398</v>
      </c>
      <c r="C122" s="25" t="s">
        <v>73</v>
      </c>
      <c r="D122" s="25" t="s">
        <v>13411</v>
      </c>
      <c r="E122" s="258" t="s">
        <v>13412</v>
      </c>
      <c r="F122" s="25" t="s">
        <v>13413</v>
      </c>
      <c r="G122" s="25" t="s">
        <v>4336</v>
      </c>
      <c r="H122" s="25" t="s">
        <v>4336</v>
      </c>
      <c r="I122" s="25" t="s">
        <v>4402</v>
      </c>
      <c r="J122" s="25" t="s">
        <v>11490</v>
      </c>
      <c r="K122" s="25">
        <v>8.2100000000000009</v>
      </c>
      <c r="L122" s="25" t="s">
        <v>73</v>
      </c>
      <c r="M122" s="25" t="s">
        <v>12644</v>
      </c>
      <c r="N122" s="25" t="s">
        <v>13414</v>
      </c>
      <c r="O122" t="s">
        <v>13415</v>
      </c>
      <c r="P122" s="28"/>
      <c r="Q122" s="32">
        <v>4</v>
      </c>
      <c r="R122" s="32" t="s">
        <v>4409</v>
      </c>
      <c r="S122" s="32" t="s">
        <v>13416</v>
      </c>
      <c r="T122" s="26" t="s">
        <v>138</v>
      </c>
      <c r="U122" s="30" t="s">
        <v>78</v>
      </c>
      <c r="V122" s="26" t="s">
        <v>139</v>
      </c>
      <c r="W122" s="38" t="s">
        <v>1282</v>
      </c>
      <c r="X122" s="26" t="s">
        <v>11997</v>
      </c>
      <c r="Y122" s="26" t="s">
        <v>141</v>
      </c>
      <c r="Z122" s="26" t="s">
        <v>141</v>
      </c>
      <c r="AA122" s="26"/>
      <c r="AB122" s="31" t="s">
        <v>19</v>
      </c>
      <c r="AC122" s="30" t="s">
        <v>172</v>
      </c>
      <c r="AD122" s="25" t="s">
        <v>4423</v>
      </c>
      <c r="AE122" s="25" t="s">
        <v>172</v>
      </c>
      <c r="AF122" s="26" t="s">
        <v>175</v>
      </c>
      <c r="AG122" s="32">
        <v>1</v>
      </c>
      <c r="AH122" s="32">
        <v>1</v>
      </c>
      <c r="AI122" s="32"/>
      <c r="AJ122" s="32"/>
      <c r="AK122" s="30"/>
      <c r="AL122" s="32">
        <f t="shared" si="6"/>
        <v>1</v>
      </c>
      <c r="AM122" s="30"/>
      <c r="AN122" s="32"/>
      <c r="AO122" s="32"/>
      <c r="AP122" s="32">
        <v>1</v>
      </c>
      <c r="AQ122" s="32">
        <v>1</v>
      </c>
      <c r="AR122" s="32"/>
      <c r="AS122" s="32"/>
      <c r="AT122" s="32">
        <v>1</v>
      </c>
      <c r="AU122" s="30"/>
      <c r="AV122" s="30"/>
      <c r="AW122" s="30"/>
      <c r="AX122" s="30" t="s">
        <v>13322</v>
      </c>
      <c r="AY122" s="30"/>
    </row>
    <row r="123" spans="1:51">
      <c r="A123" s="25" t="s">
        <v>13417</v>
      </c>
      <c r="B123" s="25" t="s">
        <v>4398</v>
      </c>
      <c r="C123" s="25" t="s">
        <v>73</v>
      </c>
      <c r="D123" s="25" t="s">
        <v>13418</v>
      </c>
      <c r="E123" s="258" t="s">
        <v>13419</v>
      </c>
      <c r="F123" s="25" t="s">
        <v>13420</v>
      </c>
      <c r="G123" s="25" t="s">
        <v>4336</v>
      </c>
      <c r="H123" s="25" t="s">
        <v>4336</v>
      </c>
      <c r="I123" s="25" t="s">
        <v>4402</v>
      </c>
      <c r="J123" s="25" t="s">
        <v>11490</v>
      </c>
      <c r="K123" s="25">
        <v>8.2100000000000009</v>
      </c>
      <c r="L123" s="25" t="s">
        <v>73</v>
      </c>
      <c r="M123" s="25" t="s">
        <v>13421</v>
      </c>
      <c r="N123" s="25" t="s">
        <v>13422</v>
      </c>
      <c r="O123" t="s">
        <v>13423</v>
      </c>
      <c r="P123" s="28"/>
      <c r="Q123" s="32">
        <v>8</v>
      </c>
      <c r="R123" s="32" t="s">
        <v>9030</v>
      </c>
      <c r="S123" s="32" t="s">
        <v>13424</v>
      </c>
      <c r="T123" s="26" t="s">
        <v>138</v>
      </c>
      <c r="U123" s="30" t="s">
        <v>78</v>
      </c>
      <c r="V123" s="26" t="s">
        <v>139</v>
      </c>
      <c r="W123" s="38" t="s">
        <v>1282</v>
      </c>
      <c r="X123" s="26" t="s">
        <v>11997</v>
      </c>
      <c r="Y123" s="26" t="s">
        <v>141</v>
      </c>
      <c r="Z123" s="26" t="s">
        <v>141</v>
      </c>
      <c r="AA123" s="26"/>
      <c r="AB123" s="31" t="s">
        <v>19</v>
      </c>
      <c r="AC123" s="30" t="s">
        <v>172</v>
      </c>
      <c r="AD123" s="25" t="s">
        <v>10602</v>
      </c>
      <c r="AE123" s="25" t="s">
        <v>172</v>
      </c>
      <c r="AF123" s="26" t="s">
        <v>175</v>
      </c>
      <c r="AG123" s="32">
        <v>1</v>
      </c>
      <c r="AH123" s="32">
        <v>1</v>
      </c>
      <c r="AI123" s="32"/>
      <c r="AJ123" s="32"/>
      <c r="AK123" s="30"/>
      <c r="AL123" s="32">
        <f t="shared" si="6"/>
        <v>1</v>
      </c>
      <c r="AM123" s="30"/>
      <c r="AN123" s="32"/>
      <c r="AO123" s="32"/>
      <c r="AP123" s="32">
        <v>1</v>
      </c>
      <c r="AQ123" s="32">
        <v>1</v>
      </c>
      <c r="AR123" s="32"/>
      <c r="AS123" s="32"/>
      <c r="AT123" s="32">
        <v>1</v>
      </c>
      <c r="AU123" s="30"/>
      <c r="AV123" s="30"/>
      <c r="AW123" s="30"/>
      <c r="AX123" s="30" t="s">
        <v>13273</v>
      </c>
      <c r="AY123" s="30"/>
    </row>
    <row r="124" spans="1:51">
      <c r="A124" s="25" t="s">
        <v>13425</v>
      </c>
      <c r="B124" s="25" t="s">
        <v>4398</v>
      </c>
      <c r="C124" s="25" t="s">
        <v>73</v>
      </c>
      <c r="D124" s="25" t="s">
        <v>13426</v>
      </c>
      <c r="E124" s="258" t="s">
        <v>13427</v>
      </c>
      <c r="F124" s="25" t="s">
        <v>13428</v>
      </c>
      <c r="G124" s="25" t="s">
        <v>4336</v>
      </c>
      <c r="H124" s="25" t="s">
        <v>4336</v>
      </c>
      <c r="I124" s="25" t="s">
        <v>4402</v>
      </c>
      <c r="J124" s="25" t="s">
        <v>11490</v>
      </c>
      <c r="K124" s="25">
        <v>8.2100000000000009</v>
      </c>
      <c r="L124" s="25" t="s">
        <v>73</v>
      </c>
      <c r="M124" s="25" t="s">
        <v>13429</v>
      </c>
      <c r="N124" s="25" t="s">
        <v>13430</v>
      </c>
      <c r="O124" t="s">
        <v>13431</v>
      </c>
      <c r="P124" s="28"/>
      <c r="Q124" s="32">
        <v>8</v>
      </c>
      <c r="R124" s="32" t="s">
        <v>9030</v>
      </c>
      <c r="S124" s="32" t="s">
        <v>13432</v>
      </c>
      <c r="T124" s="26" t="s">
        <v>138</v>
      </c>
      <c r="U124" s="30" t="s">
        <v>78</v>
      </c>
      <c r="V124" s="26" t="s">
        <v>139</v>
      </c>
      <c r="W124" s="38" t="s">
        <v>1282</v>
      </c>
      <c r="X124" s="26" t="s">
        <v>11997</v>
      </c>
      <c r="Y124" s="26" t="s">
        <v>141</v>
      </c>
      <c r="Z124" s="26" t="s">
        <v>141</v>
      </c>
      <c r="AA124" s="26"/>
      <c r="AB124" s="31" t="s">
        <v>19</v>
      </c>
      <c r="AC124" s="30" t="s">
        <v>172</v>
      </c>
      <c r="AD124" s="25" t="s">
        <v>4423</v>
      </c>
      <c r="AE124" s="25" t="s">
        <v>172</v>
      </c>
      <c r="AF124" s="26" t="s">
        <v>175</v>
      </c>
      <c r="AG124" s="32">
        <v>1</v>
      </c>
      <c r="AH124" s="32">
        <v>1</v>
      </c>
      <c r="AI124" s="32"/>
      <c r="AJ124" s="32"/>
      <c r="AK124" s="30"/>
      <c r="AL124" s="32">
        <f t="shared" si="6"/>
        <v>1</v>
      </c>
      <c r="AM124" s="30"/>
      <c r="AN124" s="32"/>
      <c r="AO124" s="32"/>
      <c r="AP124" s="32">
        <v>1</v>
      </c>
      <c r="AQ124" s="32">
        <v>1</v>
      </c>
      <c r="AR124" s="32"/>
      <c r="AS124" s="32"/>
      <c r="AT124" s="32">
        <v>1</v>
      </c>
      <c r="AU124" s="30"/>
      <c r="AV124" s="30"/>
      <c r="AW124" s="30"/>
      <c r="AX124" s="30" t="s">
        <v>12882</v>
      </c>
      <c r="AY124" s="30"/>
    </row>
    <row r="125" spans="1:51">
      <c r="A125" s="25" t="s">
        <v>13433</v>
      </c>
      <c r="B125" s="25" t="s">
        <v>4398</v>
      </c>
      <c r="C125" s="25" t="s">
        <v>73</v>
      </c>
      <c r="D125" s="25" t="s">
        <v>13434</v>
      </c>
      <c r="E125" s="258" t="s">
        <v>13435</v>
      </c>
      <c r="F125" s="25" t="s">
        <v>13436</v>
      </c>
      <c r="G125" s="25" t="s">
        <v>4336</v>
      </c>
      <c r="H125" s="25" t="s">
        <v>4336</v>
      </c>
      <c r="I125" s="25" t="s">
        <v>4402</v>
      </c>
      <c r="J125" s="25" t="s">
        <v>11490</v>
      </c>
      <c r="K125" s="25">
        <v>8.2100000000000009</v>
      </c>
      <c r="L125" s="25" t="s">
        <v>73</v>
      </c>
      <c r="M125" s="25" t="s">
        <v>12861</v>
      </c>
      <c r="N125" s="25" t="s">
        <v>13437</v>
      </c>
      <c r="O125" t="s">
        <v>13438</v>
      </c>
      <c r="P125" s="28"/>
      <c r="Q125" s="32">
        <v>4</v>
      </c>
      <c r="R125" s="32" t="s">
        <v>4409</v>
      </c>
      <c r="S125" s="32" t="s">
        <v>9076</v>
      </c>
      <c r="T125" s="26" t="s">
        <v>138</v>
      </c>
      <c r="U125" s="30" t="s">
        <v>78</v>
      </c>
      <c r="V125" s="26" t="s">
        <v>139</v>
      </c>
      <c r="W125" s="38" t="s">
        <v>1282</v>
      </c>
      <c r="X125" s="26" t="s">
        <v>11997</v>
      </c>
      <c r="Y125" s="26" t="s">
        <v>141</v>
      </c>
      <c r="Z125" s="26" t="s">
        <v>141</v>
      </c>
      <c r="AA125" s="26"/>
      <c r="AB125" s="31" t="s">
        <v>19</v>
      </c>
      <c r="AC125" s="30" t="s">
        <v>172</v>
      </c>
      <c r="AD125" s="25" t="s">
        <v>4423</v>
      </c>
      <c r="AE125" s="25" t="s">
        <v>172</v>
      </c>
      <c r="AF125" s="26" t="s">
        <v>175</v>
      </c>
      <c r="AG125" s="32">
        <v>1</v>
      </c>
      <c r="AH125" s="32">
        <v>1</v>
      </c>
      <c r="AI125" s="32"/>
      <c r="AJ125" s="32"/>
      <c r="AK125" s="30"/>
      <c r="AL125" s="32">
        <f t="shared" si="6"/>
        <v>1</v>
      </c>
      <c r="AM125" s="30"/>
      <c r="AN125" s="32"/>
      <c r="AO125" s="32"/>
      <c r="AP125" s="32">
        <v>1</v>
      </c>
      <c r="AQ125" s="32">
        <v>1</v>
      </c>
      <c r="AR125" s="32"/>
      <c r="AS125" s="32"/>
      <c r="AT125" s="32">
        <v>1</v>
      </c>
      <c r="AU125" s="30"/>
      <c r="AV125" s="30"/>
      <c r="AW125" s="30"/>
      <c r="AX125" s="30" t="s">
        <v>12905</v>
      </c>
      <c r="AY125" s="30"/>
    </row>
    <row r="126" spans="1:51">
      <c r="A126" s="25" t="s">
        <v>13439</v>
      </c>
      <c r="B126" s="25" t="s">
        <v>4398</v>
      </c>
      <c r="C126" s="25" t="s">
        <v>73</v>
      </c>
      <c r="D126" s="25" t="s">
        <v>13440</v>
      </c>
      <c r="E126" s="258" t="s">
        <v>13441</v>
      </c>
      <c r="F126" s="25" t="s">
        <v>13442</v>
      </c>
      <c r="G126" s="25" t="s">
        <v>4336</v>
      </c>
      <c r="H126" s="25" t="s">
        <v>4336</v>
      </c>
      <c r="I126" s="25" t="s">
        <v>4402</v>
      </c>
      <c r="J126" s="25" t="s">
        <v>11490</v>
      </c>
      <c r="K126" s="25">
        <v>8.2100000000000009</v>
      </c>
      <c r="L126" s="25" t="s">
        <v>73</v>
      </c>
      <c r="M126" s="25" t="s">
        <v>13443</v>
      </c>
      <c r="N126" s="25" t="s">
        <v>13444</v>
      </c>
      <c r="O126" t="s">
        <v>13445</v>
      </c>
      <c r="P126" s="28"/>
      <c r="Q126" s="32">
        <v>8</v>
      </c>
      <c r="R126" s="32" t="s">
        <v>9030</v>
      </c>
      <c r="S126" s="32" t="s">
        <v>13446</v>
      </c>
      <c r="T126" s="26" t="s">
        <v>138</v>
      </c>
      <c r="U126" s="30" t="s">
        <v>78</v>
      </c>
      <c r="V126" s="26" t="s">
        <v>139</v>
      </c>
      <c r="W126" s="38" t="s">
        <v>1282</v>
      </c>
      <c r="X126" s="26" t="s">
        <v>11997</v>
      </c>
      <c r="Y126" s="26" t="s">
        <v>141</v>
      </c>
      <c r="Z126" s="26" t="s">
        <v>141</v>
      </c>
      <c r="AA126" s="26"/>
      <c r="AB126" s="31" t="s">
        <v>19</v>
      </c>
      <c r="AC126" s="30" t="s">
        <v>172</v>
      </c>
      <c r="AD126" s="25" t="s">
        <v>4423</v>
      </c>
      <c r="AE126" s="25" t="s">
        <v>172</v>
      </c>
      <c r="AF126" s="26" t="s">
        <v>175</v>
      </c>
      <c r="AG126" s="32">
        <v>1</v>
      </c>
      <c r="AH126" s="32">
        <v>1</v>
      </c>
      <c r="AI126" s="32"/>
      <c r="AJ126" s="32"/>
      <c r="AK126" s="30"/>
      <c r="AL126" s="32">
        <f t="shared" si="6"/>
        <v>1</v>
      </c>
      <c r="AM126" s="30"/>
      <c r="AN126" s="32"/>
      <c r="AO126" s="32"/>
      <c r="AP126" s="32">
        <v>1</v>
      </c>
      <c r="AQ126" s="32">
        <v>1</v>
      </c>
      <c r="AR126" s="32"/>
      <c r="AS126" s="32"/>
      <c r="AT126" s="32">
        <v>1</v>
      </c>
      <c r="AU126" s="30"/>
      <c r="AV126" s="30"/>
      <c r="AW126" s="30"/>
      <c r="AX126" s="30" t="s">
        <v>12921</v>
      </c>
      <c r="AY126" s="30"/>
    </row>
    <row r="127" spans="1:51">
      <c r="A127" s="25" t="s">
        <v>13447</v>
      </c>
      <c r="B127" s="25" t="s">
        <v>4398</v>
      </c>
      <c r="C127" s="25" t="s">
        <v>73</v>
      </c>
      <c r="D127" s="25" t="s">
        <v>13448</v>
      </c>
      <c r="E127" s="258" t="s">
        <v>13449</v>
      </c>
      <c r="F127" s="25" t="s">
        <v>13450</v>
      </c>
      <c r="G127" s="25" t="s">
        <v>4336</v>
      </c>
      <c r="H127" s="25" t="s">
        <v>4336</v>
      </c>
      <c r="I127" s="25" t="s">
        <v>4402</v>
      </c>
      <c r="J127" s="25" t="s">
        <v>11490</v>
      </c>
      <c r="K127" s="25">
        <v>8.2100000000000009</v>
      </c>
      <c r="L127" s="25" t="s">
        <v>73</v>
      </c>
      <c r="M127" s="25" t="s">
        <v>13065</v>
      </c>
      <c r="N127" s="25" t="s">
        <v>13451</v>
      </c>
      <c r="O127" t="s">
        <v>13452</v>
      </c>
      <c r="P127" s="28"/>
      <c r="Q127" s="32">
        <v>4</v>
      </c>
      <c r="R127" s="32" t="s">
        <v>4409</v>
      </c>
      <c r="S127" s="32" t="s">
        <v>13453</v>
      </c>
      <c r="T127" s="26" t="s">
        <v>138</v>
      </c>
      <c r="U127" s="30" t="s">
        <v>78</v>
      </c>
      <c r="V127" s="26" t="s">
        <v>139</v>
      </c>
      <c r="W127" s="38" t="s">
        <v>1461</v>
      </c>
      <c r="X127" s="26" t="s">
        <v>11997</v>
      </c>
      <c r="Y127" s="26" t="s">
        <v>141</v>
      </c>
      <c r="Z127" s="26" t="s">
        <v>141</v>
      </c>
      <c r="AA127" s="26"/>
      <c r="AB127" s="31" t="s">
        <v>21</v>
      </c>
      <c r="AC127" s="30" t="s">
        <v>172</v>
      </c>
      <c r="AD127" s="25" t="s">
        <v>4423</v>
      </c>
      <c r="AE127" s="25" t="s">
        <v>172</v>
      </c>
      <c r="AF127" s="26" t="s">
        <v>175</v>
      </c>
      <c r="AG127" s="32">
        <v>1</v>
      </c>
      <c r="AH127" s="32">
        <v>1</v>
      </c>
      <c r="AI127" s="32"/>
      <c r="AJ127" s="32"/>
      <c r="AK127" s="30"/>
      <c r="AL127" s="32">
        <f t="shared" si="6"/>
        <v>1</v>
      </c>
      <c r="AM127" s="30"/>
      <c r="AN127" s="32"/>
      <c r="AO127" s="32"/>
      <c r="AP127" s="32">
        <v>1</v>
      </c>
      <c r="AQ127" s="32">
        <v>1</v>
      </c>
      <c r="AR127" s="32"/>
      <c r="AS127" s="32"/>
      <c r="AT127" s="32">
        <v>1</v>
      </c>
      <c r="AU127" s="30"/>
      <c r="AV127" s="30"/>
      <c r="AW127" s="30"/>
      <c r="AX127" s="30" t="s">
        <v>12944</v>
      </c>
      <c r="AY127" s="30"/>
    </row>
    <row r="128" spans="1:51">
      <c r="A128" s="25" t="s">
        <v>13454</v>
      </c>
      <c r="B128" s="25" t="s">
        <v>4398</v>
      </c>
      <c r="C128" s="25" t="s">
        <v>73</v>
      </c>
      <c r="D128" s="25" t="s">
        <v>13455</v>
      </c>
      <c r="E128" s="258" t="s">
        <v>13456</v>
      </c>
      <c r="F128" s="25" t="s">
        <v>13457</v>
      </c>
      <c r="G128" s="25" t="s">
        <v>4336</v>
      </c>
      <c r="H128" s="25" t="s">
        <v>4336</v>
      </c>
      <c r="I128" s="25" t="s">
        <v>4402</v>
      </c>
      <c r="J128" s="25" t="s">
        <v>11490</v>
      </c>
      <c r="K128" s="25">
        <v>8.2100000000000009</v>
      </c>
      <c r="L128" s="25" t="s">
        <v>73</v>
      </c>
      <c r="M128" s="25" t="s">
        <v>13081</v>
      </c>
      <c r="N128" s="25" t="s">
        <v>13458</v>
      </c>
      <c r="O128" t="s">
        <v>13459</v>
      </c>
      <c r="P128" s="28"/>
      <c r="Q128" s="32">
        <v>4</v>
      </c>
      <c r="R128" s="32" t="s">
        <v>4409</v>
      </c>
      <c r="S128" s="32" t="s">
        <v>10612</v>
      </c>
      <c r="T128" s="26" t="s">
        <v>138</v>
      </c>
      <c r="U128" s="30" t="s">
        <v>78</v>
      </c>
      <c r="V128" s="26" t="s">
        <v>139</v>
      </c>
      <c r="W128" s="38" t="s">
        <v>1461</v>
      </c>
      <c r="X128" s="26" t="s">
        <v>11997</v>
      </c>
      <c r="Y128" s="26" t="s">
        <v>141</v>
      </c>
      <c r="Z128" s="26" t="s">
        <v>141</v>
      </c>
      <c r="AA128" s="26"/>
      <c r="AB128" s="31" t="s">
        <v>21</v>
      </c>
      <c r="AC128" s="30" t="s">
        <v>172</v>
      </c>
      <c r="AD128" s="25" t="s">
        <v>4423</v>
      </c>
      <c r="AE128" s="25" t="s">
        <v>172</v>
      </c>
      <c r="AF128" s="26" t="s">
        <v>175</v>
      </c>
      <c r="AG128" s="32">
        <v>1</v>
      </c>
      <c r="AH128" s="32">
        <v>1</v>
      </c>
      <c r="AI128" s="32"/>
      <c r="AJ128" s="32"/>
      <c r="AK128" s="30"/>
      <c r="AL128" s="32">
        <f t="shared" si="6"/>
        <v>1</v>
      </c>
      <c r="AM128" s="30"/>
      <c r="AN128" s="32"/>
      <c r="AO128" s="32"/>
      <c r="AP128" s="32">
        <v>1</v>
      </c>
      <c r="AQ128" s="32">
        <v>1</v>
      </c>
      <c r="AR128" s="32"/>
      <c r="AS128" s="32"/>
      <c r="AT128" s="32">
        <v>1</v>
      </c>
      <c r="AU128" s="30"/>
      <c r="AV128" s="30"/>
      <c r="AW128" s="30"/>
      <c r="AX128" s="30" t="s">
        <v>12973</v>
      </c>
      <c r="AY128" s="30"/>
    </row>
    <row r="129" spans="1:51">
      <c r="A129" s="25" t="s">
        <v>13460</v>
      </c>
      <c r="B129" s="25" t="s">
        <v>4398</v>
      </c>
      <c r="C129" s="25" t="s">
        <v>73</v>
      </c>
      <c r="D129" s="25" t="s">
        <v>13461</v>
      </c>
      <c r="E129" s="258" t="s">
        <v>13462</v>
      </c>
      <c r="F129" s="25" t="s">
        <v>13463</v>
      </c>
      <c r="G129" s="25" t="s">
        <v>4336</v>
      </c>
      <c r="H129" s="25" t="s">
        <v>4336</v>
      </c>
      <c r="I129" s="25" t="s">
        <v>4402</v>
      </c>
      <c r="J129" s="25" t="s">
        <v>11490</v>
      </c>
      <c r="K129" s="25">
        <v>8.2100000000000009</v>
      </c>
      <c r="L129" s="25" t="s">
        <v>73</v>
      </c>
      <c r="M129" s="25" t="s">
        <v>12652</v>
      </c>
      <c r="N129" s="25" t="s">
        <v>13464</v>
      </c>
      <c r="O129" t="s">
        <v>13465</v>
      </c>
      <c r="P129" s="28"/>
      <c r="Q129" s="32">
        <v>4</v>
      </c>
      <c r="R129" s="32" t="s">
        <v>4409</v>
      </c>
      <c r="S129" s="32" t="s">
        <v>13466</v>
      </c>
      <c r="T129" s="26" t="s">
        <v>138</v>
      </c>
      <c r="U129" s="30" t="s">
        <v>78</v>
      </c>
      <c r="V129" s="26" t="s">
        <v>139</v>
      </c>
      <c r="W129" s="38" t="s">
        <v>1461</v>
      </c>
      <c r="X129" s="26" t="s">
        <v>11997</v>
      </c>
      <c r="Y129" s="26" t="s">
        <v>141</v>
      </c>
      <c r="Z129" s="26" t="s">
        <v>141</v>
      </c>
      <c r="AA129" s="26"/>
      <c r="AB129" s="31" t="s">
        <v>21</v>
      </c>
      <c r="AC129" s="30" t="s">
        <v>172</v>
      </c>
      <c r="AD129" s="25" t="s">
        <v>4423</v>
      </c>
      <c r="AE129" s="25" t="s">
        <v>172</v>
      </c>
      <c r="AF129" s="26" t="s">
        <v>175</v>
      </c>
      <c r="AG129" s="32">
        <v>1</v>
      </c>
      <c r="AH129" s="32">
        <v>1</v>
      </c>
      <c r="AI129" s="32"/>
      <c r="AJ129" s="32"/>
      <c r="AK129" s="30"/>
      <c r="AL129" s="32">
        <f t="shared" si="6"/>
        <v>1</v>
      </c>
      <c r="AM129" s="30"/>
      <c r="AN129" s="32"/>
      <c r="AO129" s="32"/>
      <c r="AP129" s="32">
        <v>1</v>
      </c>
      <c r="AQ129" s="32">
        <v>1</v>
      </c>
      <c r="AR129" s="32"/>
      <c r="AS129" s="32"/>
      <c r="AT129" s="32">
        <v>1</v>
      </c>
      <c r="AU129" s="30"/>
      <c r="AV129" s="30"/>
      <c r="AW129" s="30"/>
      <c r="AX129" s="30" t="s">
        <v>12980</v>
      </c>
      <c r="AY129" s="30"/>
    </row>
    <row r="130" spans="1:51">
      <c r="A130" s="25" t="s">
        <v>13467</v>
      </c>
      <c r="B130" s="25" t="s">
        <v>4398</v>
      </c>
      <c r="C130" s="25" t="s">
        <v>73</v>
      </c>
      <c r="D130" s="25" t="s">
        <v>13468</v>
      </c>
      <c r="E130" s="258" t="s">
        <v>13469</v>
      </c>
      <c r="F130" s="25" t="s">
        <v>13470</v>
      </c>
      <c r="G130" s="25" t="s">
        <v>4336</v>
      </c>
      <c r="H130" s="25" t="s">
        <v>4336</v>
      </c>
      <c r="I130" s="25" t="s">
        <v>4402</v>
      </c>
      <c r="J130" s="25" t="s">
        <v>11490</v>
      </c>
      <c r="K130" s="25">
        <v>8.2100000000000009</v>
      </c>
      <c r="L130" s="25" t="s">
        <v>73</v>
      </c>
      <c r="M130" s="25" t="s">
        <v>12869</v>
      </c>
      <c r="N130" s="25" t="s">
        <v>13471</v>
      </c>
      <c r="O130" t="s">
        <v>13472</v>
      </c>
      <c r="P130" s="28"/>
      <c r="Q130" s="32">
        <v>4</v>
      </c>
      <c r="R130" s="32" t="s">
        <v>4409</v>
      </c>
      <c r="S130" s="32" t="s">
        <v>13473</v>
      </c>
      <c r="T130" s="26" t="s">
        <v>138</v>
      </c>
      <c r="U130" s="30" t="s">
        <v>78</v>
      </c>
      <c r="V130" s="26" t="s">
        <v>139</v>
      </c>
      <c r="W130" s="38" t="s">
        <v>1461</v>
      </c>
      <c r="X130" s="26" t="s">
        <v>11997</v>
      </c>
      <c r="Y130" s="26" t="s">
        <v>141</v>
      </c>
      <c r="Z130" s="26" t="s">
        <v>141</v>
      </c>
      <c r="AA130" s="26"/>
      <c r="AB130" s="31" t="s">
        <v>21</v>
      </c>
      <c r="AC130" s="30" t="s">
        <v>172</v>
      </c>
      <c r="AD130" s="25" t="s">
        <v>4423</v>
      </c>
      <c r="AE130" s="25" t="s">
        <v>172</v>
      </c>
      <c r="AF130" s="26" t="s">
        <v>175</v>
      </c>
      <c r="AG130" s="32">
        <v>1</v>
      </c>
      <c r="AH130" s="32">
        <v>1</v>
      </c>
      <c r="AI130" s="32"/>
      <c r="AJ130" s="32"/>
      <c r="AK130" s="30"/>
      <c r="AL130" s="32">
        <f t="shared" si="6"/>
        <v>1</v>
      </c>
      <c r="AM130" s="30"/>
      <c r="AN130" s="32"/>
      <c r="AO130" s="32"/>
      <c r="AP130" s="32">
        <v>1</v>
      </c>
      <c r="AQ130" s="32">
        <v>1</v>
      </c>
      <c r="AR130" s="32"/>
      <c r="AS130" s="32"/>
      <c r="AT130" s="32">
        <v>1</v>
      </c>
      <c r="AU130" s="30"/>
      <c r="AV130" s="30"/>
      <c r="AW130" s="30"/>
      <c r="AX130" s="30" t="s">
        <v>12987</v>
      </c>
      <c r="AY130" s="30"/>
    </row>
    <row r="131" spans="1:51">
      <c r="A131" s="25" t="s">
        <v>13474</v>
      </c>
      <c r="B131" s="25" t="s">
        <v>4398</v>
      </c>
      <c r="C131" s="25" t="s">
        <v>73</v>
      </c>
      <c r="D131" s="25" t="s">
        <v>13475</v>
      </c>
      <c r="E131" s="258" t="s">
        <v>13476</v>
      </c>
      <c r="F131" s="25" t="s">
        <v>13477</v>
      </c>
      <c r="G131" s="25" t="s">
        <v>4336</v>
      </c>
      <c r="H131" s="25" t="s">
        <v>4336</v>
      </c>
      <c r="I131" s="25" t="s">
        <v>4402</v>
      </c>
      <c r="J131" s="25" t="s">
        <v>11490</v>
      </c>
      <c r="K131" s="25">
        <v>8.2100000000000009</v>
      </c>
      <c r="L131" s="25" t="s">
        <v>73</v>
      </c>
      <c r="M131" s="25" t="s">
        <v>12877</v>
      </c>
      <c r="N131" s="25" t="s">
        <v>13478</v>
      </c>
      <c r="O131" t="s">
        <v>13479</v>
      </c>
      <c r="P131" s="28"/>
      <c r="Q131" s="32">
        <v>4</v>
      </c>
      <c r="R131" s="32" t="s">
        <v>4409</v>
      </c>
      <c r="S131" s="32" t="s">
        <v>13480</v>
      </c>
      <c r="T131" s="26" t="s">
        <v>138</v>
      </c>
      <c r="U131" s="30" t="s">
        <v>78</v>
      </c>
      <c r="V131" s="26" t="s">
        <v>139</v>
      </c>
      <c r="W131" s="38" t="s">
        <v>1461</v>
      </c>
      <c r="X131" s="26" t="s">
        <v>11997</v>
      </c>
      <c r="Y131" s="26" t="s">
        <v>141</v>
      </c>
      <c r="Z131" s="26" t="s">
        <v>141</v>
      </c>
      <c r="AA131" s="26"/>
      <c r="AB131" s="31" t="s">
        <v>21</v>
      </c>
      <c r="AC131" s="30" t="s">
        <v>172</v>
      </c>
      <c r="AD131" s="25" t="s">
        <v>4423</v>
      </c>
      <c r="AE131" s="25" t="s">
        <v>172</v>
      </c>
      <c r="AF131" s="26" t="s">
        <v>175</v>
      </c>
      <c r="AG131" s="32">
        <v>1</v>
      </c>
      <c r="AH131" s="32">
        <v>1</v>
      </c>
      <c r="AI131" s="32"/>
      <c r="AJ131" s="32"/>
      <c r="AK131" s="30"/>
      <c r="AL131" s="32">
        <f t="shared" si="6"/>
        <v>1</v>
      </c>
      <c r="AM131" s="30"/>
      <c r="AN131" s="32"/>
      <c r="AO131" s="32"/>
      <c r="AP131" s="32">
        <v>1</v>
      </c>
      <c r="AQ131" s="32">
        <v>1</v>
      </c>
      <c r="AR131" s="32"/>
      <c r="AS131" s="32"/>
      <c r="AT131" s="32">
        <v>1</v>
      </c>
      <c r="AU131" s="30"/>
      <c r="AV131" s="30"/>
      <c r="AW131" s="30"/>
      <c r="AX131" s="30" t="s">
        <v>12994</v>
      </c>
      <c r="AY131" s="30"/>
    </row>
    <row r="132" spans="1:51">
      <c r="A132" s="25" t="s">
        <v>13481</v>
      </c>
      <c r="B132" s="25" t="s">
        <v>4398</v>
      </c>
      <c r="C132" s="25" t="s">
        <v>73</v>
      </c>
      <c r="D132" s="25" t="s">
        <v>13482</v>
      </c>
      <c r="E132" s="258" t="s">
        <v>13483</v>
      </c>
      <c r="F132" s="25" t="s">
        <v>13484</v>
      </c>
      <c r="G132" s="25" t="s">
        <v>4336</v>
      </c>
      <c r="H132" s="25" t="s">
        <v>4336</v>
      </c>
      <c r="I132" s="25" t="s">
        <v>4402</v>
      </c>
      <c r="J132" s="25" t="s">
        <v>11490</v>
      </c>
      <c r="K132" s="25">
        <v>8.2100000000000009</v>
      </c>
      <c r="L132" s="25" t="s">
        <v>73</v>
      </c>
      <c r="M132" s="25" t="s">
        <v>13089</v>
      </c>
      <c r="N132" s="25" t="s">
        <v>13485</v>
      </c>
      <c r="O132" t="s">
        <v>13486</v>
      </c>
      <c r="P132" s="28"/>
      <c r="Q132" s="32">
        <v>4</v>
      </c>
      <c r="R132" s="32" t="s">
        <v>4409</v>
      </c>
      <c r="S132" s="32" t="s">
        <v>13487</v>
      </c>
      <c r="T132" s="26" t="s">
        <v>138</v>
      </c>
      <c r="U132" s="30" t="s">
        <v>78</v>
      </c>
      <c r="V132" s="26" t="s">
        <v>139</v>
      </c>
      <c r="W132" s="38" t="s">
        <v>1461</v>
      </c>
      <c r="X132" s="26" t="s">
        <v>11997</v>
      </c>
      <c r="Y132" s="26" t="s">
        <v>141</v>
      </c>
      <c r="Z132" s="26" t="s">
        <v>141</v>
      </c>
      <c r="AA132" s="26"/>
      <c r="AB132" s="31" t="s">
        <v>21</v>
      </c>
      <c r="AC132" s="30" t="s">
        <v>172</v>
      </c>
      <c r="AD132" s="25" t="s">
        <v>4423</v>
      </c>
      <c r="AE132" s="25" t="s">
        <v>172</v>
      </c>
      <c r="AF132" s="26" t="s">
        <v>175</v>
      </c>
      <c r="AG132" s="32">
        <v>1</v>
      </c>
      <c r="AH132" s="32">
        <v>1</v>
      </c>
      <c r="AI132" s="32"/>
      <c r="AJ132" s="32"/>
      <c r="AK132" s="30"/>
      <c r="AL132" s="32">
        <f t="shared" si="6"/>
        <v>1</v>
      </c>
      <c r="AM132" s="30"/>
      <c r="AN132" s="32"/>
      <c r="AO132" s="32"/>
      <c r="AP132" s="32">
        <v>1</v>
      </c>
      <c r="AQ132" s="32">
        <v>1</v>
      </c>
      <c r="AR132" s="32"/>
      <c r="AS132" s="32"/>
      <c r="AT132" s="32">
        <v>1</v>
      </c>
      <c r="AU132" s="30"/>
      <c r="AV132" s="30"/>
      <c r="AW132" s="30"/>
      <c r="AX132" s="30" t="s">
        <v>13001</v>
      </c>
      <c r="AY132" s="30"/>
    </row>
    <row r="133" spans="1:51">
      <c r="A133" s="25" t="s">
        <v>13488</v>
      </c>
      <c r="B133" s="25" t="s">
        <v>4398</v>
      </c>
      <c r="C133" s="25" t="s">
        <v>73</v>
      </c>
      <c r="D133" s="25" t="s">
        <v>13489</v>
      </c>
      <c r="E133" s="258" t="s">
        <v>13490</v>
      </c>
      <c r="F133" s="25" t="s">
        <v>13491</v>
      </c>
      <c r="G133" s="25" t="s">
        <v>2915</v>
      </c>
      <c r="H133" s="25" t="s">
        <v>2915</v>
      </c>
      <c r="I133" s="25" t="s">
        <v>4402</v>
      </c>
      <c r="J133" s="25" t="s">
        <v>11490</v>
      </c>
      <c r="K133" s="25">
        <v>8.2100000000000009</v>
      </c>
      <c r="L133" s="25" t="s">
        <v>73</v>
      </c>
      <c r="M133" s="25" t="s">
        <v>13492</v>
      </c>
      <c r="N133" s="25" t="s">
        <v>13493</v>
      </c>
      <c r="O133" t="s">
        <v>13494</v>
      </c>
      <c r="P133" s="28"/>
      <c r="Q133" s="32">
        <v>8</v>
      </c>
      <c r="R133" s="32" t="s">
        <v>9030</v>
      </c>
      <c r="S133" s="32" t="s">
        <v>13495</v>
      </c>
      <c r="T133" s="26" t="s">
        <v>138</v>
      </c>
      <c r="U133" s="30" t="s">
        <v>78</v>
      </c>
      <c r="V133" s="26" t="s">
        <v>139</v>
      </c>
      <c r="W133" s="38" t="s">
        <v>1461</v>
      </c>
      <c r="X133" s="26" t="s">
        <v>12241</v>
      </c>
      <c r="Y133" s="26" t="s">
        <v>141</v>
      </c>
      <c r="Z133" s="26" t="s">
        <v>141</v>
      </c>
      <c r="AA133" s="26"/>
      <c r="AB133" s="36" t="s">
        <v>7</v>
      </c>
      <c r="AC133" s="30" t="s">
        <v>172</v>
      </c>
      <c r="AD133" s="25" t="s">
        <v>4423</v>
      </c>
      <c r="AE133" s="25" t="s">
        <v>172</v>
      </c>
      <c r="AF133" s="26" t="s">
        <v>175</v>
      </c>
      <c r="AG133" s="32">
        <v>1</v>
      </c>
      <c r="AH133" s="32">
        <v>1</v>
      </c>
      <c r="AI133" s="32"/>
      <c r="AJ133" s="32"/>
      <c r="AK133" s="30"/>
      <c r="AL133" s="32">
        <f t="shared" si="6"/>
        <v>1</v>
      </c>
      <c r="AM133" s="30"/>
      <c r="AN133" s="25" t="s">
        <v>13041</v>
      </c>
      <c r="AO133" s="32"/>
      <c r="AP133" s="32">
        <v>1</v>
      </c>
      <c r="AQ133" s="32">
        <v>1</v>
      </c>
      <c r="AR133" s="32"/>
      <c r="AS133" s="32"/>
      <c r="AT133" s="32">
        <v>1</v>
      </c>
      <c r="AU133" s="30"/>
      <c r="AV133" s="30"/>
      <c r="AW133" s="30"/>
      <c r="AX133" s="30" t="s">
        <v>13007</v>
      </c>
      <c r="AY133" s="30"/>
    </row>
    <row r="134" spans="1:51">
      <c r="A134" s="25" t="s">
        <v>13496</v>
      </c>
      <c r="B134" s="25" t="s">
        <v>4398</v>
      </c>
      <c r="C134" s="25" t="s">
        <v>73</v>
      </c>
      <c r="D134" s="25" t="s">
        <v>13497</v>
      </c>
      <c r="E134" s="258" t="s">
        <v>13498</v>
      </c>
      <c r="F134" s="25" t="s">
        <v>13499</v>
      </c>
      <c r="G134" s="25" t="s">
        <v>2915</v>
      </c>
      <c r="H134" s="25" t="s">
        <v>2915</v>
      </c>
      <c r="I134" s="25" t="s">
        <v>4402</v>
      </c>
      <c r="J134" s="25" t="s">
        <v>11490</v>
      </c>
      <c r="K134" s="25">
        <v>8.2100000000000009</v>
      </c>
      <c r="L134" s="25" t="s">
        <v>73</v>
      </c>
      <c r="M134" s="25" t="s">
        <v>13042</v>
      </c>
      <c r="N134" s="25" t="s">
        <v>13500</v>
      </c>
      <c r="O134" t="s">
        <v>13501</v>
      </c>
      <c r="P134" s="28"/>
      <c r="Q134" s="32">
        <v>4</v>
      </c>
      <c r="R134" s="32" t="s">
        <v>4409</v>
      </c>
      <c r="S134" s="32" t="s">
        <v>13502</v>
      </c>
      <c r="T134" s="26" t="s">
        <v>138</v>
      </c>
      <c r="U134" s="30" t="s">
        <v>78</v>
      </c>
      <c r="V134" s="26" t="s">
        <v>139</v>
      </c>
      <c r="W134" s="38" t="s">
        <v>1461</v>
      </c>
      <c r="X134" s="26" t="s">
        <v>12241</v>
      </c>
      <c r="Y134" s="26" t="s">
        <v>141</v>
      </c>
      <c r="Z134" s="26" t="s">
        <v>141</v>
      </c>
      <c r="AA134" s="26"/>
      <c r="AB134" s="31" t="s">
        <v>21</v>
      </c>
      <c r="AC134" s="30" t="s">
        <v>172</v>
      </c>
      <c r="AD134" s="25" t="s">
        <v>4423</v>
      </c>
      <c r="AE134" s="25" t="s">
        <v>172</v>
      </c>
      <c r="AF134" s="26" t="s">
        <v>175</v>
      </c>
      <c r="AG134" s="32">
        <v>1</v>
      </c>
      <c r="AH134" s="32">
        <v>1</v>
      </c>
      <c r="AI134" s="32"/>
      <c r="AJ134" s="32"/>
      <c r="AK134" s="30"/>
      <c r="AL134" s="32">
        <f t="shared" si="6"/>
        <v>1</v>
      </c>
      <c r="AM134" s="30"/>
      <c r="AN134" s="32"/>
      <c r="AO134" s="32"/>
      <c r="AP134" s="32">
        <v>1</v>
      </c>
      <c r="AQ134" s="32">
        <v>1</v>
      </c>
      <c r="AR134" s="32"/>
      <c r="AS134" s="25" t="s">
        <v>12286</v>
      </c>
      <c r="AT134" s="32">
        <v>1</v>
      </c>
      <c r="AU134" s="30"/>
      <c r="AV134" s="30"/>
      <c r="AW134" s="30"/>
      <c r="AX134" s="30" t="s">
        <v>13015</v>
      </c>
      <c r="AY134" s="30"/>
    </row>
    <row r="135" spans="1:51">
      <c r="A135" s="25" t="s">
        <v>13503</v>
      </c>
      <c r="B135" s="25" t="s">
        <v>4398</v>
      </c>
      <c r="C135" s="25" t="s">
        <v>73</v>
      </c>
      <c r="D135" s="25" t="s">
        <v>13504</v>
      </c>
      <c r="E135" s="258" t="s">
        <v>13505</v>
      </c>
      <c r="F135" s="25" t="s">
        <v>13506</v>
      </c>
      <c r="G135" s="25" t="s">
        <v>2915</v>
      </c>
      <c r="H135" s="25" t="s">
        <v>2915</v>
      </c>
      <c r="I135" s="25" t="s">
        <v>4402</v>
      </c>
      <c r="J135" s="25" t="s">
        <v>11490</v>
      </c>
      <c r="K135" s="25">
        <v>8.2100000000000009</v>
      </c>
      <c r="L135" s="25" t="s">
        <v>73</v>
      </c>
      <c r="M135" s="25" t="s">
        <v>13049</v>
      </c>
      <c r="N135" s="25" t="s">
        <v>13507</v>
      </c>
      <c r="O135" t="s">
        <v>13508</v>
      </c>
      <c r="P135" s="28"/>
      <c r="Q135" s="32">
        <v>4</v>
      </c>
      <c r="R135" s="32" t="s">
        <v>4409</v>
      </c>
      <c r="S135" s="32" t="s">
        <v>11233</v>
      </c>
      <c r="T135" s="26" t="s">
        <v>138</v>
      </c>
      <c r="U135" s="30" t="s">
        <v>78</v>
      </c>
      <c r="V135" s="26" t="s">
        <v>139</v>
      </c>
      <c r="W135" s="38" t="s">
        <v>1461</v>
      </c>
      <c r="X135" s="26" t="s">
        <v>12241</v>
      </c>
      <c r="Y135" s="26" t="s">
        <v>141</v>
      </c>
      <c r="Z135" s="26" t="s">
        <v>141</v>
      </c>
      <c r="AA135" s="26"/>
      <c r="AB135" s="31" t="s">
        <v>21</v>
      </c>
      <c r="AC135" s="30" t="s">
        <v>172</v>
      </c>
      <c r="AD135" s="25" t="s">
        <v>4423</v>
      </c>
      <c r="AE135" s="25" t="s">
        <v>172</v>
      </c>
      <c r="AF135" s="26" t="s">
        <v>175</v>
      </c>
      <c r="AG135" s="32">
        <v>1</v>
      </c>
      <c r="AH135" s="32">
        <v>1</v>
      </c>
      <c r="AI135" s="32"/>
      <c r="AJ135" s="32"/>
      <c r="AK135" s="30"/>
      <c r="AL135" s="32">
        <f t="shared" si="6"/>
        <v>1</v>
      </c>
      <c r="AM135" s="30"/>
      <c r="AN135" s="32"/>
      <c r="AO135" s="32"/>
      <c r="AP135" s="32">
        <v>1</v>
      </c>
      <c r="AQ135" s="32">
        <v>1</v>
      </c>
      <c r="AR135" s="32"/>
      <c r="AS135" s="32"/>
      <c r="AT135" s="32">
        <v>1</v>
      </c>
      <c r="AU135" s="30"/>
      <c r="AV135" s="30"/>
      <c r="AW135" s="30"/>
      <c r="AX135" s="30" t="s">
        <v>13023</v>
      </c>
      <c r="AY135" s="30"/>
    </row>
    <row r="136" spans="1:51">
      <c r="A136" s="25" t="s">
        <v>13509</v>
      </c>
      <c r="B136" s="25" t="s">
        <v>4398</v>
      </c>
      <c r="C136" s="25" t="s">
        <v>73</v>
      </c>
      <c r="D136" s="25" t="s">
        <v>13510</v>
      </c>
      <c r="E136" s="258" t="s">
        <v>13511</v>
      </c>
      <c r="F136" s="25" t="s">
        <v>13512</v>
      </c>
      <c r="G136" s="25" t="s">
        <v>2915</v>
      </c>
      <c r="H136" s="25" t="s">
        <v>2915</v>
      </c>
      <c r="I136" s="25" t="s">
        <v>4402</v>
      </c>
      <c r="J136" s="25" t="s">
        <v>11490</v>
      </c>
      <c r="K136" s="25">
        <v>8.2100000000000009</v>
      </c>
      <c r="L136" s="25" t="s">
        <v>73</v>
      </c>
      <c r="M136" s="25" t="s">
        <v>13057</v>
      </c>
      <c r="N136" s="25" t="s">
        <v>13513</v>
      </c>
      <c r="O136" t="s">
        <v>13514</v>
      </c>
      <c r="P136" s="28"/>
      <c r="Q136" s="32">
        <v>4</v>
      </c>
      <c r="R136" s="32" t="s">
        <v>4409</v>
      </c>
      <c r="S136" s="32" t="s">
        <v>13515</v>
      </c>
      <c r="T136" s="26" t="s">
        <v>138</v>
      </c>
      <c r="U136" s="30" t="s">
        <v>78</v>
      </c>
      <c r="V136" s="26" t="s">
        <v>139</v>
      </c>
      <c r="W136" s="38" t="s">
        <v>1461</v>
      </c>
      <c r="X136" s="26" t="s">
        <v>12241</v>
      </c>
      <c r="Y136" s="26" t="s">
        <v>141</v>
      </c>
      <c r="Z136" s="26" t="s">
        <v>141</v>
      </c>
      <c r="AA136" s="26"/>
      <c r="AB136" s="31" t="s">
        <v>21</v>
      </c>
      <c r="AC136" s="30" t="s">
        <v>172</v>
      </c>
      <c r="AD136" s="25" t="s">
        <v>4423</v>
      </c>
      <c r="AE136" s="25" t="s">
        <v>172</v>
      </c>
      <c r="AF136" s="26" t="s">
        <v>175</v>
      </c>
      <c r="AG136" s="32">
        <v>1</v>
      </c>
      <c r="AH136" s="32">
        <v>1</v>
      </c>
      <c r="AI136" s="32"/>
      <c r="AJ136" s="32"/>
      <c r="AK136" s="30"/>
      <c r="AL136" s="32">
        <f t="shared" si="6"/>
        <v>1</v>
      </c>
      <c r="AM136" s="30"/>
      <c r="AN136" s="32"/>
      <c r="AO136" s="32"/>
      <c r="AP136" s="32">
        <v>1</v>
      </c>
      <c r="AQ136" s="32">
        <v>1</v>
      </c>
      <c r="AR136" s="32"/>
      <c r="AS136" s="32"/>
      <c r="AT136" s="32">
        <v>1</v>
      </c>
      <c r="AU136" s="30"/>
      <c r="AV136" s="30"/>
      <c r="AW136" s="30"/>
      <c r="AX136" s="30" t="s">
        <v>13038</v>
      </c>
      <c r="AY136" s="30"/>
    </row>
    <row r="137" spans="1:51">
      <c r="A137" s="25" t="s">
        <v>13516</v>
      </c>
      <c r="B137" s="25" t="s">
        <v>4398</v>
      </c>
      <c r="C137" s="25" t="s">
        <v>73</v>
      </c>
      <c r="D137" s="25" t="s">
        <v>13517</v>
      </c>
      <c r="E137" s="258" t="s">
        <v>13518</v>
      </c>
      <c r="F137" s="25" t="s">
        <v>13519</v>
      </c>
      <c r="G137" s="25" t="s">
        <v>2915</v>
      </c>
      <c r="H137" s="25" t="s">
        <v>2915</v>
      </c>
      <c r="I137" s="25" t="s">
        <v>4402</v>
      </c>
      <c r="J137" s="25" t="s">
        <v>11490</v>
      </c>
      <c r="K137" s="25">
        <v>8.2100000000000009</v>
      </c>
      <c r="L137" s="25" t="s">
        <v>73</v>
      </c>
      <c r="M137" s="25" t="s">
        <v>12845</v>
      </c>
      <c r="N137" s="25" t="s">
        <v>13520</v>
      </c>
      <c r="O137" t="s">
        <v>13521</v>
      </c>
      <c r="P137" s="28"/>
      <c r="Q137" s="32">
        <v>4</v>
      </c>
      <c r="R137" s="32" t="s">
        <v>4409</v>
      </c>
      <c r="S137" s="32" t="s">
        <v>13522</v>
      </c>
      <c r="T137" s="26" t="s">
        <v>138</v>
      </c>
      <c r="U137" s="30" t="s">
        <v>78</v>
      </c>
      <c r="V137" s="26" t="s">
        <v>139</v>
      </c>
      <c r="W137" s="38" t="s">
        <v>1461</v>
      </c>
      <c r="X137" s="26" t="s">
        <v>12241</v>
      </c>
      <c r="Y137" s="26" t="s">
        <v>141</v>
      </c>
      <c r="Z137" s="26" t="s">
        <v>141</v>
      </c>
      <c r="AA137" s="26"/>
      <c r="AB137" s="31" t="s">
        <v>21</v>
      </c>
      <c r="AC137" s="30" t="s">
        <v>172</v>
      </c>
      <c r="AD137" s="25" t="s">
        <v>4423</v>
      </c>
      <c r="AE137" s="25" t="s">
        <v>172</v>
      </c>
      <c r="AF137" s="26" t="s">
        <v>175</v>
      </c>
      <c r="AG137" s="32">
        <v>1</v>
      </c>
      <c r="AH137" s="32">
        <v>1</v>
      </c>
      <c r="AI137" s="32"/>
      <c r="AJ137" s="32"/>
      <c r="AK137" s="30"/>
      <c r="AL137" s="32">
        <f t="shared" si="6"/>
        <v>1</v>
      </c>
      <c r="AM137" s="30"/>
      <c r="AN137" s="32"/>
      <c r="AO137" s="32"/>
      <c r="AP137" s="32">
        <v>1</v>
      </c>
      <c r="AQ137" s="32">
        <v>1</v>
      </c>
      <c r="AR137" s="32"/>
      <c r="AS137" s="32"/>
      <c r="AT137" s="32">
        <v>1</v>
      </c>
      <c r="AU137" s="30"/>
      <c r="AV137" s="30"/>
      <c r="AW137" s="30"/>
      <c r="AX137" s="30" t="s">
        <v>13421</v>
      </c>
      <c r="AY137" s="30"/>
    </row>
    <row r="138" spans="1:51">
      <c r="A138" s="25" t="s">
        <v>13523</v>
      </c>
      <c r="B138" s="25" t="s">
        <v>4398</v>
      </c>
      <c r="C138" s="25" t="s">
        <v>73</v>
      </c>
      <c r="D138" s="25" t="s">
        <v>13524</v>
      </c>
      <c r="E138" s="258" t="s">
        <v>13525</v>
      </c>
      <c r="F138" s="25" t="s">
        <v>13526</v>
      </c>
      <c r="G138" s="25" t="s">
        <v>2915</v>
      </c>
      <c r="H138" s="25" t="s">
        <v>2915</v>
      </c>
      <c r="I138" s="25" t="s">
        <v>4402</v>
      </c>
      <c r="J138" s="25" t="s">
        <v>11490</v>
      </c>
      <c r="K138" s="25">
        <v>8.2100000000000009</v>
      </c>
      <c r="L138" s="25" t="s">
        <v>73</v>
      </c>
      <c r="M138" s="25" t="s">
        <v>12853</v>
      </c>
      <c r="N138" s="25" t="s">
        <v>13527</v>
      </c>
      <c r="O138" t="s">
        <v>13528</v>
      </c>
      <c r="P138" s="28"/>
      <c r="Q138" s="32">
        <v>4</v>
      </c>
      <c r="R138" s="32" t="s">
        <v>4409</v>
      </c>
      <c r="S138" s="32" t="s">
        <v>13529</v>
      </c>
      <c r="T138" s="26" t="s">
        <v>138</v>
      </c>
      <c r="U138" s="30" t="s">
        <v>78</v>
      </c>
      <c r="V138" s="26" t="s">
        <v>139</v>
      </c>
      <c r="W138" s="38" t="s">
        <v>1461</v>
      </c>
      <c r="X138" s="26" t="s">
        <v>12241</v>
      </c>
      <c r="Y138" s="26" t="s">
        <v>141</v>
      </c>
      <c r="Z138" s="26" t="s">
        <v>141</v>
      </c>
      <c r="AA138" s="26"/>
      <c r="AB138" s="31" t="s">
        <v>21</v>
      </c>
      <c r="AC138" s="30" t="s">
        <v>172</v>
      </c>
      <c r="AD138" s="25" t="s">
        <v>4423</v>
      </c>
      <c r="AE138" s="25" t="s">
        <v>172</v>
      </c>
      <c r="AF138" s="26" t="s">
        <v>175</v>
      </c>
      <c r="AG138" s="32">
        <v>1</v>
      </c>
      <c r="AH138" s="32">
        <v>1</v>
      </c>
      <c r="AI138" s="32"/>
      <c r="AJ138" s="32"/>
      <c r="AK138" s="30"/>
      <c r="AL138" s="32">
        <f t="shared" si="6"/>
        <v>1</v>
      </c>
      <c r="AM138" s="30"/>
      <c r="AN138" s="32"/>
      <c r="AO138" s="32"/>
      <c r="AP138" s="32">
        <v>1</v>
      </c>
      <c r="AQ138" s="32">
        <v>1</v>
      </c>
      <c r="AR138" s="32"/>
      <c r="AS138" s="32"/>
      <c r="AT138" s="32">
        <v>1</v>
      </c>
      <c r="AU138" s="30"/>
      <c r="AV138" s="30"/>
      <c r="AW138" s="30"/>
      <c r="AX138" s="30" t="s">
        <v>13492</v>
      </c>
      <c r="AY138" s="30"/>
    </row>
    <row r="139" spans="1:51">
      <c r="A139" s="25" t="s">
        <v>13530</v>
      </c>
      <c r="B139" s="25" t="s">
        <v>4398</v>
      </c>
      <c r="C139" s="25" t="s">
        <v>73</v>
      </c>
      <c r="D139" s="25" t="s">
        <v>13531</v>
      </c>
      <c r="E139" s="258" t="s">
        <v>13532</v>
      </c>
      <c r="F139" s="25" t="s">
        <v>13533</v>
      </c>
      <c r="G139" s="25" t="s">
        <v>2915</v>
      </c>
      <c r="H139" s="25" t="s">
        <v>2915</v>
      </c>
      <c r="I139" s="25" t="s">
        <v>4402</v>
      </c>
      <c r="J139" s="25" t="s">
        <v>11490</v>
      </c>
      <c r="K139" s="25">
        <v>8.2100000000000009</v>
      </c>
      <c r="L139" s="25" t="s">
        <v>73</v>
      </c>
      <c r="M139" s="25" t="s">
        <v>13534</v>
      </c>
      <c r="N139" s="25" t="s">
        <v>13535</v>
      </c>
      <c r="O139" t="s">
        <v>13536</v>
      </c>
      <c r="P139" s="28"/>
      <c r="Q139" s="32">
        <v>4</v>
      </c>
      <c r="R139" s="32" t="s">
        <v>4409</v>
      </c>
      <c r="S139" s="32" t="s">
        <v>13537</v>
      </c>
      <c r="T139" s="26" t="s">
        <v>138</v>
      </c>
      <c r="U139" s="30" t="s">
        <v>78</v>
      </c>
      <c r="V139" s="26" t="s">
        <v>139</v>
      </c>
      <c r="W139" s="38" t="s">
        <v>1461</v>
      </c>
      <c r="X139" s="26" t="s">
        <v>12241</v>
      </c>
      <c r="Y139" s="26" t="s">
        <v>141</v>
      </c>
      <c r="Z139" s="26" t="s">
        <v>141</v>
      </c>
      <c r="AA139" s="26"/>
      <c r="AB139" s="31" t="s">
        <v>21</v>
      </c>
      <c r="AC139" s="30" t="s">
        <v>172</v>
      </c>
      <c r="AD139" s="25" t="s">
        <v>4423</v>
      </c>
      <c r="AE139" s="25" t="s">
        <v>172</v>
      </c>
      <c r="AF139" s="26" t="s">
        <v>175</v>
      </c>
      <c r="AG139" s="32">
        <v>1</v>
      </c>
      <c r="AH139" s="32">
        <v>1</v>
      </c>
      <c r="AI139" s="32"/>
      <c r="AJ139" s="32"/>
      <c r="AK139" s="30"/>
      <c r="AL139" s="32">
        <f t="shared" si="6"/>
        <v>1</v>
      </c>
      <c r="AM139" s="30"/>
      <c r="AN139" s="32"/>
      <c r="AO139" s="32"/>
      <c r="AP139" s="32">
        <v>1</v>
      </c>
      <c r="AQ139" s="32">
        <v>1</v>
      </c>
      <c r="AR139" s="32"/>
      <c r="AS139" s="32"/>
      <c r="AT139" s="32">
        <v>1</v>
      </c>
      <c r="AU139" s="30"/>
      <c r="AV139" s="30"/>
      <c r="AW139" s="30"/>
      <c r="AX139" s="30" t="s">
        <v>13534</v>
      </c>
      <c r="AY139" s="30"/>
    </row>
    <row r="140" spans="1:51">
      <c r="A140" s="25" t="s">
        <v>13538</v>
      </c>
      <c r="B140" s="25" t="s">
        <v>4398</v>
      </c>
      <c r="C140" s="25" t="s">
        <v>73</v>
      </c>
      <c r="D140" s="25" t="s">
        <v>13539</v>
      </c>
      <c r="E140" s="258" t="s">
        <v>13540</v>
      </c>
      <c r="F140" s="25" t="s">
        <v>13541</v>
      </c>
      <c r="G140" s="25" t="s">
        <v>2915</v>
      </c>
      <c r="H140" s="25" t="s">
        <v>2915</v>
      </c>
      <c r="I140" s="25" t="s">
        <v>4402</v>
      </c>
      <c r="J140" s="25" t="s">
        <v>11490</v>
      </c>
      <c r="K140" s="25">
        <v>8.2100000000000009</v>
      </c>
      <c r="L140" s="25" t="s">
        <v>73</v>
      </c>
      <c r="M140" s="25" t="s">
        <v>13542</v>
      </c>
      <c r="N140" s="25" t="s">
        <v>13543</v>
      </c>
      <c r="O140" t="s">
        <v>13544</v>
      </c>
      <c r="P140" s="28"/>
      <c r="Q140" s="32">
        <v>4</v>
      </c>
      <c r="R140" s="32" t="s">
        <v>4409</v>
      </c>
      <c r="S140" s="32" t="s">
        <v>8191</v>
      </c>
      <c r="T140" s="26" t="s">
        <v>138</v>
      </c>
      <c r="U140" s="30" t="s">
        <v>78</v>
      </c>
      <c r="V140" s="26" t="s">
        <v>139</v>
      </c>
      <c r="W140" s="38" t="s">
        <v>1461</v>
      </c>
      <c r="X140" s="26" t="s">
        <v>12241</v>
      </c>
      <c r="Y140" s="26" t="s">
        <v>141</v>
      </c>
      <c r="Z140" s="26" t="s">
        <v>141</v>
      </c>
      <c r="AA140" s="26"/>
      <c r="AB140" s="31" t="s">
        <v>21</v>
      </c>
      <c r="AC140" s="30" t="s">
        <v>172</v>
      </c>
      <c r="AD140" s="25" t="s">
        <v>4423</v>
      </c>
      <c r="AE140" s="25" t="s">
        <v>172</v>
      </c>
      <c r="AF140" s="26" t="s">
        <v>175</v>
      </c>
      <c r="AG140" s="32">
        <v>1</v>
      </c>
      <c r="AH140" s="32">
        <v>1</v>
      </c>
      <c r="AI140" s="32"/>
      <c r="AJ140" s="32"/>
      <c r="AK140" s="30"/>
      <c r="AL140" s="32">
        <f t="shared" si="6"/>
        <v>1</v>
      </c>
      <c r="AM140" s="30"/>
      <c r="AN140" s="32"/>
      <c r="AO140" s="32"/>
      <c r="AP140" s="32">
        <v>1</v>
      </c>
      <c r="AQ140" s="32">
        <v>1</v>
      </c>
      <c r="AR140" s="32"/>
      <c r="AS140" s="32"/>
      <c r="AT140" s="32">
        <v>1</v>
      </c>
      <c r="AU140" s="30"/>
      <c r="AV140" s="30"/>
      <c r="AW140" s="30"/>
      <c r="AX140" s="30" t="s">
        <v>13542</v>
      </c>
      <c r="AY140" s="30"/>
    </row>
    <row r="141" spans="1:51">
      <c r="A141" s="25" t="s">
        <v>13545</v>
      </c>
      <c r="B141" s="25" t="s">
        <v>4398</v>
      </c>
      <c r="C141" s="25" t="s">
        <v>73</v>
      </c>
      <c r="D141" s="25" t="s">
        <v>13546</v>
      </c>
      <c r="E141" s="258" t="s">
        <v>13547</v>
      </c>
      <c r="F141" s="25" t="s">
        <v>13548</v>
      </c>
      <c r="G141" s="25" t="s">
        <v>2915</v>
      </c>
      <c r="H141" s="25" t="s">
        <v>2915</v>
      </c>
      <c r="I141" s="25" t="s">
        <v>4402</v>
      </c>
      <c r="J141" s="25" t="s">
        <v>11490</v>
      </c>
      <c r="K141" s="25">
        <v>8.2100000000000009</v>
      </c>
      <c r="L141" s="25" t="s">
        <v>73</v>
      </c>
      <c r="M141" s="25" t="s">
        <v>13549</v>
      </c>
      <c r="N141" s="25" t="s">
        <v>13550</v>
      </c>
      <c r="O141" t="s">
        <v>13551</v>
      </c>
      <c r="P141" s="28"/>
      <c r="Q141" s="32">
        <v>4</v>
      </c>
      <c r="R141" s="32" t="s">
        <v>4409</v>
      </c>
      <c r="S141" s="32" t="s">
        <v>13552</v>
      </c>
      <c r="T141" s="26" t="s">
        <v>138</v>
      </c>
      <c r="U141" s="30" t="s">
        <v>78</v>
      </c>
      <c r="V141" s="26" t="s">
        <v>139</v>
      </c>
      <c r="W141" s="38" t="s">
        <v>1461</v>
      </c>
      <c r="X141" s="26" t="s">
        <v>12241</v>
      </c>
      <c r="Y141" s="26" t="s">
        <v>141</v>
      </c>
      <c r="Z141" s="26" t="s">
        <v>141</v>
      </c>
      <c r="AA141" s="26"/>
      <c r="AB141" s="31" t="s">
        <v>21</v>
      </c>
      <c r="AC141" s="30" t="s">
        <v>172</v>
      </c>
      <c r="AD141" s="25" t="s">
        <v>4423</v>
      </c>
      <c r="AE141" s="25" t="s">
        <v>172</v>
      </c>
      <c r="AF141" s="26" t="s">
        <v>175</v>
      </c>
      <c r="AG141" s="32">
        <v>1</v>
      </c>
      <c r="AH141" s="32">
        <v>1</v>
      </c>
      <c r="AI141" s="32"/>
      <c r="AJ141" s="32"/>
      <c r="AK141" s="30"/>
      <c r="AL141" s="32">
        <f t="shared" si="6"/>
        <v>1</v>
      </c>
      <c r="AM141" s="30"/>
      <c r="AN141" s="32"/>
      <c r="AO141" s="32"/>
      <c r="AP141" s="32">
        <v>1</v>
      </c>
      <c r="AQ141" s="32">
        <v>1</v>
      </c>
      <c r="AR141" s="32"/>
      <c r="AS141" s="32"/>
      <c r="AT141" s="32">
        <v>1</v>
      </c>
      <c r="AU141" s="30"/>
      <c r="AV141" s="30"/>
      <c r="AW141" s="30"/>
      <c r="AX141" s="30" t="s">
        <v>13443</v>
      </c>
      <c r="AY141" s="30"/>
    </row>
    <row r="142" spans="1:51">
      <c r="A142" s="25" t="s">
        <v>13553</v>
      </c>
      <c r="B142" s="25" t="s">
        <v>4398</v>
      </c>
      <c r="C142" s="25" t="s">
        <v>73</v>
      </c>
      <c r="D142" s="25" t="s">
        <v>13554</v>
      </c>
      <c r="E142" s="258" t="s">
        <v>13555</v>
      </c>
      <c r="F142" s="25" t="s">
        <v>13556</v>
      </c>
      <c r="G142" s="25" t="s">
        <v>2915</v>
      </c>
      <c r="H142" s="25" t="s">
        <v>2915</v>
      </c>
      <c r="I142" s="25" t="s">
        <v>4402</v>
      </c>
      <c r="J142" s="25" t="s">
        <v>11490</v>
      </c>
      <c r="K142" s="25">
        <v>8.2100000000000009</v>
      </c>
      <c r="L142" s="25" t="s">
        <v>73</v>
      </c>
      <c r="M142" s="25" t="s">
        <v>13073</v>
      </c>
      <c r="N142" s="25" t="s">
        <v>13557</v>
      </c>
      <c r="O142" t="s">
        <v>13558</v>
      </c>
      <c r="P142" s="28"/>
      <c r="Q142" s="32">
        <v>4</v>
      </c>
      <c r="R142" s="32" t="s">
        <v>4409</v>
      </c>
      <c r="S142" s="32" t="s">
        <v>10601</v>
      </c>
      <c r="T142" s="26" t="s">
        <v>138</v>
      </c>
      <c r="U142" s="30" t="s">
        <v>78</v>
      </c>
      <c r="V142" s="26" t="s">
        <v>139</v>
      </c>
      <c r="W142" s="38" t="s">
        <v>1461</v>
      </c>
      <c r="X142" s="26" t="s">
        <v>12241</v>
      </c>
      <c r="Y142" s="26" t="s">
        <v>141</v>
      </c>
      <c r="Z142" s="26" t="s">
        <v>141</v>
      </c>
      <c r="AA142" s="26"/>
      <c r="AB142" s="31" t="s">
        <v>21</v>
      </c>
      <c r="AC142" s="30" t="s">
        <v>172</v>
      </c>
      <c r="AD142" s="25" t="s">
        <v>4423</v>
      </c>
      <c r="AE142" s="25" t="s">
        <v>172</v>
      </c>
      <c r="AF142" s="26" t="s">
        <v>175</v>
      </c>
      <c r="AG142" s="32">
        <v>1</v>
      </c>
      <c r="AH142" s="32">
        <v>1</v>
      </c>
      <c r="AI142" s="32"/>
      <c r="AJ142" s="32"/>
      <c r="AK142" s="30"/>
      <c r="AL142" s="32">
        <f t="shared" si="6"/>
        <v>1</v>
      </c>
      <c r="AM142" s="30"/>
      <c r="AN142" s="32"/>
      <c r="AO142" s="32"/>
      <c r="AP142" s="32">
        <v>1</v>
      </c>
      <c r="AQ142" s="32">
        <v>1</v>
      </c>
      <c r="AR142" s="32"/>
      <c r="AS142" s="32"/>
      <c r="AT142" s="32">
        <v>1</v>
      </c>
      <c r="AU142" s="30"/>
      <c r="AV142" s="30"/>
      <c r="AW142" s="30"/>
      <c r="AX142" s="30" t="s">
        <v>13549</v>
      </c>
      <c r="AY142" s="30"/>
    </row>
    <row r="143" spans="1:51">
      <c r="A143" s="25" t="s">
        <v>13559</v>
      </c>
      <c r="B143" s="25" t="s">
        <v>4398</v>
      </c>
      <c r="C143" s="25" t="s">
        <v>73</v>
      </c>
      <c r="D143" s="25" t="s">
        <v>13560</v>
      </c>
      <c r="E143" s="258" t="s">
        <v>13561</v>
      </c>
      <c r="F143" s="25" t="s">
        <v>13562</v>
      </c>
      <c r="G143" s="25" t="s">
        <v>2915</v>
      </c>
      <c r="H143" s="25" t="s">
        <v>2915</v>
      </c>
      <c r="I143" s="25" t="s">
        <v>4402</v>
      </c>
      <c r="J143" s="25" t="s">
        <v>11490</v>
      </c>
      <c r="K143" s="25">
        <v>8.2100000000000009</v>
      </c>
      <c r="L143" s="25" t="s">
        <v>73</v>
      </c>
      <c r="M143" s="25" t="s">
        <v>13563</v>
      </c>
      <c r="N143" s="25" t="s">
        <v>13564</v>
      </c>
      <c r="O143" t="s">
        <v>13565</v>
      </c>
      <c r="P143" s="28"/>
      <c r="Q143" s="32">
        <v>4</v>
      </c>
      <c r="R143" s="32" t="s">
        <v>4409</v>
      </c>
      <c r="S143" s="32" t="s">
        <v>7914</v>
      </c>
      <c r="T143" s="26" t="s">
        <v>138</v>
      </c>
      <c r="U143" s="30" t="s">
        <v>78</v>
      </c>
      <c r="V143" s="26" t="s">
        <v>139</v>
      </c>
      <c r="W143" s="38" t="s">
        <v>1461</v>
      </c>
      <c r="X143" s="26" t="s">
        <v>12241</v>
      </c>
      <c r="Y143" s="26" t="s">
        <v>141</v>
      </c>
      <c r="Z143" s="26" t="s">
        <v>141</v>
      </c>
      <c r="AA143" s="26"/>
      <c r="AB143" s="31" t="s">
        <v>21</v>
      </c>
      <c r="AC143" s="30" t="s">
        <v>172</v>
      </c>
      <c r="AD143" s="25" t="s">
        <v>4423</v>
      </c>
      <c r="AE143" s="25" t="s">
        <v>172</v>
      </c>
      <c r="AF143" s="26" t="s">
        <v>175</v>
      </c>
      <c r="AG143" s="32">
        <v>1</v>
      </c>
      <c r="AH143" s="32">
        <v>1</v>
      </c>
      <c r="AI143" s="32"/>
      <c r="AJ143" s="32"/>
      <c r="AK143" s="30"/>
      <c r="AL143" s="32">
        <f t="shared" si="6"/>
        <v>1</v>
      </c>
      <c r="AM143" s="30"/>
      <c r="AN143" s="32"/>
      <c r="AO143" s="32"/>
      <c r="AP143" s="32">
        <v>1</v>
      </c>
      <c r="AQ143" s="32">
        <v>1</v>
      </c>
      <c r="AR143" s="32"/>
      <c r="AS143" s="30"/>
      <c r="AT143" s="32">
        <v>1</v>
      </c>
      <c r="AU143" s="30"/>
      <c r="AV143" s="30"/>
      <c r="AW143" s="30"/>
      <c r="AX143" s="30" t="s">
        <v>13563</v>
      </c>
      <c r="AY143" s="30"/>
    </row>
    <row r="144" spans="1:51">
      <c r="A144" s="25" t="s">
        <v>13566</v>
      </c>
      <c r="B144" s="25" t="s">
        <v>4398</v>
      </c>
      <c r="C144" s="25" t="s">
        <v>73</v>
      </c>
      <c r="D144" s="25" t="s">
        <v>13567</v>
      </c>
      <c r="E144" s="259" t="s">
        <v>13568</v>
      </c>
      <c r="F144" s="48" t="s">
        <v>13569</v>
      </c>
      <c r="G144" s="25" t="s">
        <v>2915</v>
      </c>
      <c r="H144" s="25" t="s">
        <v>2915</v>
      </c>
      <c r="I144" s="25" t="s">
        <v>4402</v>
      </c>
      <c r="J144" s="25" t="s">
        <v>11490</v>
      </c>
      <c r="K144" s="25">
        <v>8.2100000000000009</v>
      </c>
      <c r="L144" s="25" t="s">
        <v>73</v>
      </c>
      <c r="M144" s="25" t="s">
        <v>12590</v>
      </c>
      <c r="N144" s="25" t="s">
        <v>13570</v>
      </c>
      <c r="O144" t="s">
        <v>13571</v>
      </c>
      <c r="P144" s="28"/>
      <c r="Q144" s="32">
        <v>4</v>
      </c>
      <c r="R144" s="32" t="s">
        <v>4409</v>
      </c>
      <c r="S144" s="32" t="s">
        <v>7768</v>
      </c>
      <c r="T144" s="26" t="s">
        <v>138</v>
      </c>
      <c r="U144" s="30" t="s">
        <v>78</v>
      </c>
      <c r="V144" s="26" t="s">
        <v>139</v>
      </c>
      <c r="W144" s="38" t="s">
        <v>1461</v>
      </c>
      <c r="X144" s="26" t="s">
        <v>12241</v>
      </c>
      <c r="Y144" s="26" t="s">
        <v>141</v>
      </c>
      <c r="Z144" s="26" t="s">
        <v>141</v>
      </c>
      <c r="AA144" s="26"/>
      <c r="AB144" s="31" t="s">
        <v>21</v>
      </c>
      <c r="AC144" s="30" t="s">
        <v>172</v>
      </c>
      <c r="AD144" s="25" t="s">
        <v>4423</v>
      </c>
      <c r="AE144" s="25" t="s">
        <v>172</v>
      </c>
      <c r="AF144" s="26" t="s">
        <v>175</v>
      </c>
      <c r="AG144" s="32">
        <v>1</v>
      </c>
      <c r="AH144" s="32">
        <v>1</v>
      </c>
      <c r="AI144" s="32"/>
      <c r="AJ144" s="32"/>
      <c r="AK144" s="30"/>
      <c r="AL144" s="32">
        <f t="shared" si="6"/>
        <v>1</v>
      </c>
      <c r="AM144" s="30"/>
      <c r="AN144" s="32"/>
      <c r="AO144" s="32"/>
      <c r="AP144" s="32">
        <v>1</v>
      </c>
      <c r="AQ144" s="32">
        <v>1</v>
      </c>
      <c r="AR144" s="32">
        <v>1</v>
      </c>
      <c r="AS144" s="32"/>
      <c r="AT144" s="32">
        <v>1</v>
      </c>
      <c r="AU144" s="57">
        <v>46255.9070138889</v>
      </c>
      <c r="AV144" s="30"/>
      <c r="AW144" s="30"/>
      <c r="AX144" s="30" t="s">
        <v>12633</v>
      </c>
      <c r="AY144" s="30"/>
    </row>
    <row r="145" spans="1:51">
      <c r="A145" s="25" t="s">
        <v>13572</v>
      </c>
      <c r="B145" s="25" t="s">
        <v>4398</v>
      </c>
      <c r="C145" s="25" t="s">
        <v>73</v>
      </c>
      <c r="D145" s="25" t="s">
        <v>13573</v>
      </c>
      <c r="E145" s="259" t="s">
        <v>13574</v>
      </c>
      <c r="F145" s="48" t="s">
        <v>13575</v>
      </c>
      <c r="G145" s="25" t="s">
        <v>2915</v>
      </c>
      <c r="H145" s="25" t="s">
        <v>2915</v>
      </c>
      <c r="I145" s="25" t="s">
        <v>4402</v>
      </c>
      <c r="J145" s="25" t="s">
        <v>11490</v>
      </c>
      <c r="K145" s="25">
        <v>8.2100000000000009</v>
      </c>
      <c r="L145" s="25" t="s">
        <v>73</v>
      </c>
      <c r="M145" s="25" t="s">
        <v>12660</v>
      </c>
      <c r="N145" s="25" t="s">
        <v>13576</v>
      </c>
      <c r="O145" t="s">
        <v>13577</v>
      </c>
      <c r="P145" s="28"/>
      <c r="Q145" s="32">
        <v>8</v>
      </c>
      <c r="R145" s="32" t="s">
        <v>9030</v>
      </c>
      <c r="S145" s="32" t="s">
        <v>13578</v>
      </c>
      <c r="T145" s="26" t="s">
        <v>138</v>
      </c>
      <c r="U145" s="30" t="s">
        <v>78</v>
      </c>
      <c r="V145" s="26" t="s">
        <v>139</v>
      </c>
      <c r="W145" s="38" t="s">
        <v>1461</v>
      </c>
      <c r="X145" s="26" t="s">
        <v>12241</v>
      </c>
      <c r="Y145" s="26" t="s">
        <v>141</v>
      </c>
      <c r="Z145" s="26" t="s">
        <v>141</v>
      </c>
      <c r="AA145" s="26"/>
      <c r="AB145" s="31" t="s">
        <v>21</v>
      </c>
      <c r="AC145" s="30" t="s">
        <v>172</v>
      </c>
      <c r="AD145" s="25" t="s">
        <v>10602</v>
      </c>
      <c r="AE145" s="25" t="s">
        <v>172</v>
      </c>
      <c r="AF145" s="26" t="s">
        <v>175</v>
      </c>
      <c r="AG145" s="32">
        <v>1</v>
      </c>
      <c r="AH145" s="32">
        <v>1</v>
      </c>
      <c r="AI145" s="32"/>
      <c r="AJ145" s="32"/>
      <c r="AK145" s="30"/>
      <c r="AL145" s="32">
        <f t="shared" si="6"/>
        <v>1</v>
      </c>
      <c r="AM145" s="30"/>
      <c r="AN145" s="32"/>
      <c r="AO145" s="32"/>
      <c r="AP145" s="32">
        <v>1</v>
      </c>
      <c r="AQ145" s="32">
        <v>1</v>
      </c>
      <c r="AR145" s="32">
        <v>1</v>
      </c>
      <c r="AS145" s="32"/>
      <c r="AT145" s="32">
        <v>1</v>
      </c>
      <c r="AU145" s="56">
        <v>46255.9308101852</v>
      </c>
      <c r="AV145" s="30"/>
      <c r="AW145" s="30"/>
      <c r="AX145" s="30" t="s">
        <v>12936</v>
      </c>
      <c r="AY145" s="30"/>
    </row>
    <row r="146" spans="1:51">
      <c r="A146" s="25" t="s">
        <v>13579</v>
      </c>
      <c r="B146" s="25" t="s">
        <v>4398</v>
      </c>
      <c r="C146" s="25" t="s">
        <v>73</v>
      </c>
      <c r="D146" s="25" t="s">
        <v>13580</v>
      </c>
      <c r="E146" s="259" t="s">
        <v>13581</v>
      </c>
      <c r="F146" s="48" t="s">
        <v>13582</v>
      </c>
      <c r="G146" s="25" t="s">
        <v>2915</v>
      </c>
      <c r="H146" s="25" t="s">
        <v>2915</v>
      </c>
      <c r="I146" s="25" t="s">
        <v>4402</v>
      </c>
      <c r="J146" s="25" t="s">
        <v>11490</v>
      </c>
      <c r="K146" s="25">
        <v>8.2100000000000009</v>
      </c>
      <c r="L146" s="25" t="s">
        <v>73</v>
      </c>
      <c r="M146" s="25" t="s">
        <v>12681</v>
      </c>
      <c r="N146" s="25" t="s">
        <v>13583</v>
      </c>
      <c r="O146" t="s">
        <v>13584</v>
      </c>
      <c r="P146" s="28"/>
      <c r="Q146" s="32">
        <v>4</v>
      </c>
      <c r="R146" s="32" t="s">
        <v>4409</v>
      </c>
      <c r="S146" s="32" t="s">
        <v>13585</v>
      </c>
      <c r="T146" s="26" t="s">
        <v>138</v>
      </c>
      <c r="U146" s="30" t="s">
        <v>78</v>
      </c>
      <c r="V146" s="26" t="s">
        <v>139</v>
      </c>
      <c r="W146" s="38" t="s">
        <v>1461</v>
      </c>
      <c r="X146" s="26" t="s">
        <v>12241</v>
      </c>
      <c r="Y146" s="26" t="s">
        <v>141</v>
      </c>
      <c r="Z146" s="26" t="s">
        <v>141</v>
      </c>
      <c r="AA146" s="26"/>
      <c r="AB146" s="31" t="s">
        <v>21</v>
      </c>
      <c r="AC146" s="30" t="s">
        <v>172</v>
      </c>
      <c r="AD146" s="25" t="s">
        <v>4423</v>
      </c>
      <c r="AE146" s="25" t="s">
        <v>172</v>
      </c>
      <c r="AF146" s="26" t="s">
        <v>175</v>
      </c>
      <c r="AG146" s="32">
        <v>1</v>
      </c>
      <c r="AH146" s="32">
        <v>1</v>
      </c>
      <c r="AI146" s="32"/>
      <c r="AJ146" s="32"/>
      <c r="AK146" s="30"/>
      <c r="AL146" s="32">
        <f t="shared" si="6"/>
        <v>1</v>
      </c>
      <c r="AM146" s="30"/>
      <c r="AN146" s="32"/>
      <c r="AO146" s="32"/>
      <c r="AP146" s="32">
        <v>1</v>
      </c>
      <c r="AQ146" s="32">
        <v>1</v>
      </c>
      <c r="AR146" s="32">
        <v>1</v>
      </c>
      <c r="AS146" s="32"/>
      <c r="AT146" s="32">
        <v>1</v>
      </c>
      <c r="AU146" s="56">
        <v>46255.908449074101</v>
      </c>
      <c r="AV146" s="30"/>
      <c r="AW146" s="30"/>
      <c r="AX146" s="30" t="s">
        <v>13393</v>
      </c>
      <c r="AY146" s="30"/>
    </row>
    <row r="147" spans="1:51">
      <c r="A147" s="25" t="s">
        <v>124</v>
      </c>
      <c r="B147" s="48" t="s">
        <v>125</v>
      </c>
      <c r="C147" s="25" t="s">
        <v>68</v>
      </c>
      <c r="D147" s="25" t="s">
        <v>83</v>
      </c>
      <c r="E147" s="48" t="s">
        <v>70</v>
      </c>
      <c r="F147" s="48" t="s">
        <v>70</v>
      </c>
      <c r="G147" s="25"/>
      <c r="H147" s="25"/>
      <c r="I147" s="25"/>
      <c r="J147" s="25" t="s">
        <v>11490</v>
      </c>
      <c r="K147" s="25">
        <v>8.2100000000000009</v>
      </c>
      <c r="L147" s="25" t="s">
        <v>73</v>
      </c>
      <c r="M147" s="25" t="s">
        <v>12885</v>
      </c>
      <c r="N147" s="25" t="s">
        <v>13586</v>
      </c>
      <c r="O147" t="s">
        <v>127</v>
      </c>
      <c r="P147" s="58" t="s">
        <v>125</v>
      </c>
      <c r="Q147" s="32"/>
      <c r="R147" s="32"/>
      <c r="S147" s="32"/>
      <c r="T147" s="26" t="s">
        <v>138</v>
      </c>
      <c r="U147" s="30" t="s">
        <v>78</v>
      </c>
      <c r="V147" s="26" t="s">
        <v>139</v>
      </c>
      <c r="W147" s="38" t="s">
        <v>1461</v>
      </c>
      <c r="X147" s="38" t="s">
        <v>12241</v>
      </c>
      <c r="Y147" s="26" t="s">
        <v>141</v>
      </c>
      <c r="Z147" s="26" t="s">
        <v>141</v>
      </c>
      <c r="AA147" s="26"/>
      <c r="AB147" s="31" t="s">
        <v>7</v>
      </c>
      <c r="AC147" s="30" t="s">
        <v>172</v>
      </c>
      <c r="AD147" s="25" t="s">
        <v>173</v>
      </c>
      <c r="AE147" s="25" t="s">
        <v>174</v>
      </c>
      <c r="AF147" s="26"/>
      <c r="AG147" s="32">
        <v>1</v>
      </c>
      <c r="AH147" s="32">
        <v>1</v>
      </c>
      <c r="AI147" s="32"/>
      <c r="AJ147" s="32"/>
      <c r="AK147" s="30"/>
      <c r="AL147" s="32">
        <f t="shared" si="6"/>
        <v>1</v>
      </c>
      <c r="AM147" s="30"/>
      <c r="AN147" s="32"/>
      <c r="AO147" s="32"/>
      <c r="AP147" s="32">
        <v>1</v>
      </c>
      <c r="AQ147" s="32">
        <v>1</v>
      </c>
      <c r="AR147" s="32">
        <v>1</v>
      </c>
      <c r="AS147" s="32"/>
      <c r="AT147" s="32">
        <v>1</v>
      </c>
      <c r="AU147" s="56">
        <v>46255.917488425897</v>
      </c>
      <c r="AV147" s="30"/>
      <c r="AW147" s="30"/>
      <c r="AX147" s="30" t="s">
        <v>13429</v>
      </c>
      <c r="AY147" s="30"/>
    </row>
    <row r="148" spans="1:51">
      <c r="A148" s="25" t="s">
        <v>133</v>
      </c>
      <c r="B148" s="48" t="s">
        <v>125</v>
      </c>
      <c r="C148" s="25" t="s">
        <v>73</v>
      </c>
      <c r="D148" s="25" t="s">
        <v>117</v>
      </c>
      <c r="E148" s="48" t="s">
        <v>134</v>
      </c>
      <c r="F148" s="48" t="s">
        <v>134</v>
      </c>
      <c r="G148" s="25"/>
      <c r="H148" s="25"/>
      <c r="I148" s="25"/>
      <c r="J148" s="25" t="s">
        <v>11490</v>
      </c>
      <c r="K148" s="25">
        <v>8.2100000000000009</v>
      </c>
      <c r="L148" s="25" t="s">
        <v>73</v>
      </c>
      <c r="M148" s="25" t="s">
        <v>12605</v>
      </c>
      <c r="N148" s="25" t="s">
        <v>13587</v>
      </c>
      <c r="O148" t="s">
        <v>136</v>
      </c>
      <c r="P148" s="58" t="s">
        <v>125</v>
      </c>
      <c r="Q148" s="32"/>
      <c r="R148" s="32"/>
      <c r="S148" s="32"/>
      <c r="T148" s="26" t="s">
        <v>138</v>
      </c>
      <c r="U148" s="30" t="s">
        <v>78</v>
      </c>
      <c r="V148" s="26" t="s">
        <v>139</v>
      </c>
      <c r="W148" s="38" t="s">
        <v>1461</v>
      </c>
      <c r="X148" s="38" t="s">
        <v>12241</v>
      </c>
      <c r="Y148" s="26" t="s">
        <v>141</v>
      </c>
      <c r="Z148" s="26" t="s">
        <v>141</v>
      </c>
      <c r="AA148" s="26"/>
      <c r="AB148" s="31" t="s">
        <v>7</v>
      </c>
      <c r="AC148" s="30" t="s">
        <v>172</v>
      </c>
      <c r="AD148" s="25"/>
      <c r="AE148" s="25" t="s">
        <v>172</v>
      </c>
      <c r="AF148" s="26"/>
      <c r="AG148" s="32">
        <v>1</v>
      </c>
      <c r="AH148" s="32">
        <v>1</v>
      </c>
      <c r="AI148" s="32"/>
      <c r="AJ148" s="32"/>
      <c r="AK148" s="30"/>
      <c r="AL148" s="32">
        <f t="shared" si="6"/>
        <v>1</v>
      </c>
      <c r="AM148" s="30"/>
      <c r="AN148" s="32"/>
      <c r="AO148" s="32"/>
      <c r="AP148" s="32">
        <v>1</v>
      </c>
      <c r="AQ148" s="32">
        <v>1</v>
      </c>
      <c r="AR148" s="32">
        <v>1</v>
      </c>
      <c r="AS148" s="32"/>
      <c r="AT148" s="32">
        <v>1</v>
      </c>
      <c r="AU148" s="56">
        <v>46255.915428240703</v>
      </c>
      <c r="AV148" s="30"/>
      <c r="AW148" s="30"/>
      <c r="AX148" s="30" t="s">
        <v>13378</v>
      </c>
      <c r="AY148" s="30"/>
    </row>
  </sheetData>
  <sheetProtection sheet="1" formatCells="0" formatColumns="0" formatRows="0" insertColumns="0" insertRows="0" insertHyperlinks="0" deleteColumns="0" deleteRows="0" sort="0" autoFilter="0" pivotTables="0"/>
  <protectedRanges>
    <protectedRange sqref="A1:P1048576" name="Range1"/>
  </protectedRanges>
  <autoFilter ref="A1:AV148" xr:uid="{00000000-0009-0000-0000-00000D000000}"/>
  <phoneticPr fontId="67" type="noConversion"/>
  <conditionalFormatting sqref="D2:D149">
    <cfRule type="expression" dxfId="2" priority="2">
      <formula>AND(SUMPRODUCT(IFERROR(1*(($D$2:$D$149&amp;"x")=(D2&amp;"x")),0))&gt;1,NOT(ISBLANK(D2)))</formula>
    </cfRule>
  </conditionalFormatting>
  <conditionalFormatting sqref="E2:E149">
    <cfRule type="expression" dxfId="1" priority="1">
      <formula>AND(SUMPRODUCT(IFERROR(1*(($E$2:$E$149&amp;"x")=(E2&amp;"x")),0))&gt;1,NOT(ISBLANK(E2)))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4472C4"/>
  </sheetPr>
  <dimension ref="A1:AY148"/>
  <sheetViews>
    <sheetView tabSelected="1" workbookViewId="0">
      <pane xSplit="6" ySplit="1" topLeftCell="G2" activePane="bottomRight" state="frozen"/>
      <selection pane="topRight"/>
      <selection pane="bottomLeft"/>
      <selection pane="bottomRight" activeCell="L4" sqref="L4"/>
    </sheetView>
  </sheetViews>
  <sheetFormatPr defaultColWidth="9" defaultRowHeight="14.5"/>
  <cols>
    <col min="1" max="1" width="10.453125" style="2" customWidth="1"/>
    <col min="2" max="2" width="7.36328125" style="2" customWidth="1"/>
    <col min="3" max="3" width="4.6328125" style="2" customWidth="1"/>
    <col min="4" max="4" width="12.26953125" style="2" customWidth="1"/>
    <col min="5" max="5" width="9.36328125" style="2" customWidth="1"/>
    <col min="6" max="6" width="9.453125" style="2" customWidth="1"/>
    <col min="7" max="8" width="14" style="3" customWidth="1"/>
    <col min="9" max="9" width="5.7265625" style="2" customWidth="1"/>
    <col min="10" max="10" width="9.36328125" style="2" customWidth="1"/>
    <col min="11" max="11" width="5" style="4" customWidth="1"/>
    <col min="12" max="12" width="6.54296875" style="2" customWidth="1"/>
    <col min="13" max="13" width="9.36328125" style="2" customWidth="1"/>
    <col min="14" max="14" width="12.26953125" style="2" customWidth="1"/>
    <col min="15" max="15" width="17.90625" style="2" customWidth="1"/>
    <col min="16" max="16" width="8.6328125" style="2" customWidth="1"/>
    <col min="17" max="17" width="5.08984375" style="4" customWidth="1"/>
    <col min="18" max="18" width="6.36328125" style="4" customWidth="1"/>
    <col min="19" max="19" width="8.36328125" style="4" customWidth="1"/>
    <col min="20" max="21" width="12.7265625" style="2" customWidth="1"/>
    <col min="22" max="22" width="17" style="2" customWidth="1"/>
    <col min="23" max="23" width="19.6328125" style="2" customWidth="1"/>
    <col min="24" max="24" width="9.90625" style="2" customWidth="1"/>
    <col min="25" max="26" width="19.7265625" style="2" customWidth="1"/>
    <col min="27" max="27" width="7.36328125" style="2" customWidth="1"/>
    <col min="28" max="28" width="13.90625" style="4" customWidth="1"/>
    <col min="29" max="29" width="7" style="2" customWidth="1"/>
    <col min="30" max="30" width="7" style="4" customWidth="1"/>
    <col min="31" max="31" width="6.90625" style="4" customWidth="1"/>
    <col min="32" max="32" width="7.36328125" style="2" customWidth="1"/>
    <col min="33" max="33" width="6.453125" style="4" customWidth="1"/>
    <col min="34" max="36" width="9" style="4"/>
    <col min="37" max="37" width="7.90625" style="2" customWidth="1"/>
    <col min="38" max="38" width="9" style="4"/>
    <col min="39" max="39" width="9" style="2"/>
    <col min="40" max="45" width="9" style="4"/>
    <col min="46" max="46" width="8.1796875" style="4" customWidth="1"/>
    <col min="47" max="47" width="23.7265625" style="2" customWidth="1"/>
    <col min="48" max="50" width="9" style="2"/>
    <col min="51" max="51" width="10.36328125" style="2" customWidth="1"/>
    <col min="52" max="16384" width="9" style="2"/>
  </cols>
  <sheetData>
    <row r="1" spans="1:51" s="1" customFormat="1" ht="65.5" customHeight="1">
      <c r="A1" s="5" t="s">
        <v>25</v>
      </c>
      <c r="B1" s="5" t="s">
        <v>26</v>
      </c>
      <c r="C1" s="5" t="s">
        <v>27</v>
      </c>
      <c r="D1" s="5" t="s">
        <v>28</v>
      </c>
      <c r="E1" s="5" t="s">
        <v>29</v>
      </c>
      <c r="F1" s="5" t="s">
        <v>30</v>
      </c>
      <c r="G1" s="6" t="s">
        <v>31</v>
      </c>
      <c r="H1" s="6" t="s">
        <v>4389</v>
      </c>
      <c r="I1" s="5" t="s">
        <v>4390</v>
      </c>
      <c r="J1" s="5" t="s">
        <v>32</v>
      </c>
      <c r="K1" s="7" t="s">
        <v>33</v>
      </c>
      <c r="L1" s="5" t="s">
        <v>34</v>
      </c>
      <c r="M1" s="5" t="s">
        <v>35</v>
      </c>
      <c r="N1" s="5" t="s">
        <v>36</v>
      </c>
      <c r="O1" s="8" t="s">
        <v>37</v>
      </c>
      <c r="P1" s="9" t="s">
        <v>38</v>
      </c>
      <c r="Q1" s="10" t="s">
        <v>4392</v>
      </c>
      <c r="R1" s="10" t="s">
        <v>5290</v>
      </c>
      <c r="S1" s="10" t="s">
        <v>5291</v>
      </c>
      <c r="T1" s="11" t="s">
        <v>39</v>
      </c>
      <c r="U1" s="11" t="s">
        <v>40</v>
      </c>
      <c r="V1" s="11" t="s">
        <v>41</v>
      </c>
      <c r="W1" s="11" t="s">
        <v>42</v>
      </c>
      <c r="X1" s="11" t="s">
        <v>43</v>
      </c>
      <c r="Y1" s="11" t="s">
        <v>44</v>
      </c>
      <c r="Z1" s="11" t="s">
        <v>45</v>
      </c>
      <c r="AA1" s="12" t="s">
        <v>6888</v>
      </c>
      <c r="AB1" s="13" t="s">
        <v>46</v>
      </c>
      <c r="AC1" s="14" t="s">
        <v>47</v>
      </c>
      <c r="AD1" s="15" t="s">
        <v>48</v>
      </c>
      <c r="AE1" s="15" t="s">
        <v>49</v>
      </c>
      <c r="AF1" s="15" t="s">
        <v>50</v>
      </c>
      <c r="AG1" s="16" t="s">
        <v>51</v>
      </c>
      <c r="AH1" s="16" t="s">
        <v>52</v>
      </c>
      <c r="AI1" s="16" t="s">
        <v>4395</v>
      </c>
      <c r="AJ1" s="17" t="s">
        <v>54</v>
      </c>
      <c r="AK1" s="16" t="s">
        <v>4396</v>
      </c>
      <c r="AL1" s="18" t="s">
        <v>57</v>
      </c>
      <c r="AM1" s="19" t="s">
        <v>58</v>
      </c>
      <c r="AN1" s="19" t="s">
        <v>59</v>
      </c>
      <c r="AO1" s="20" t="s">
        <v>60</v>
      </c>
      <c r="AP1" s="20" t="s">
        <v>61</v>
      </c>
      <c r="AQ1" s="17" t="s">
        <v>62</v>
      </c>
      <c r="AR1" s="17" t="s">
        <v>63</v>
      </c>
      <c r="AS1" s="17" t="s">
        <v>155</v>
      </c>
      <c r="AT1" s="17" t="s">
        <v>65</v>
      </c>
      <c r="AU1" s="21" t="s">
        <v>6889</v>
      </c>
      <c r="AV1" s="17" t="s">
        <v>66</v>
      </c>
      <c r="AW1" s="22"/>
      <c r="AX1" s="23" t="s">
        <v>1680</v>
      </c>
      <c r="AY1" s="24" t="s">
        <v>3133</v>
      </c>
    </row>
    <row r="2" spans="1:51">
      <c r="A2" s="25" t="s">
        <v>13588</v>
      </c>
      <c r="B2" s="25" t="s">
        <v>4398</v>
      </c>
      <c r="C2" s="25" t="s">
        <v>68</v>
      </c>
      <c r="D2" s="25" t="s">
        <v>13589</v>
      </c>
      <c r="E2" s="258" t="s">
        <v>13590</v>
      </c>
      <c r="F2" s="25" t="s">
        <v>13591</v>
      </c>
      <c r="G2" s="25" t="s">
        <v>5516</v>
      </c>
      <c r="H2" s="25" t="s">
        <v>11489</v>
      </c>
      <c r="I2" s="26" t="s">
        <v>4402</v>
      </c>
      <c r="J2" s="25" t="s">
        <v>13592</v>
      </c>
      <c r="K2" s="25">
        <v>9.1999999999999993</v>
      </c>
      <c r="L2" s="26" t="s">
        <v>73</v>
      </c>
      <c r="M2" s="26" t="s">
        <v>13593</v>
      </c>
      <c r="N2" s="26" t="s">
        <v>13594</v>
      </c>
      <c r="O2" s="27" t="s">
        <v>13595</v>
      </c>
      <c r="P2" s="28"/>
      <c r="Q2" s="29">
        <v>4</v>
      </c>
      <c r="R2" s="29">
        <v>16</v>
      </c>
      <c r="S2" s="29">
        <v>266.14</v>
      </c>
      <c r="T2" s="26" t="s">
        <v>146</v>
      </c>
      <c r="U2" s="30" t="s">
        <v>78</v>
      </c>
      <c r="V2" s="26" t="s">
        <v>129</v>
      </c>
      <c r="W2" s="26" t="s">
        <v>147</v>
      </c>
      <c r="X2" s="26" t="s">
        <v>131</v>
      </c>
      <c r="Y2" s="26" t="s">
        <v>91</v>
      </c>
      <c r="Z2" s="26" t="s">
        <v>91</v>
      </c>
      <c r="AA2" s="26"/>
      <c r="AB2" s="31" t="s">
        <v>7</v>
      </c>
      <c r="AC2" s="30" t="s">
        <v>172</v>
      </c>
      <c r="AD2" s="25" t="s">
        <v>173</v>
      </c>
      <c r="AE2" s="25" t="s">
        <v>174</v>
      </c>
      <c r="AF2" s="26" t="s">
        <v>175</v>
      </c>
      <c r="AG2" s="32">
        <v>1</v>
      </c>
      <c r="AH2" s="32"/>
      <c r="AI2" s="32"/>
      <c r="AJ2" s="32"/>
      <c r="AK2" s="30"/>
      <c r="AL2" s="32">
        <f>IF(COUNTIF(AX:AX,"*"&amp;M2&amp;"*")&gt;0,1,0)</f>
        <v>0</v>
      </c>
      <c r="AM2" s="30"/>
      <c r="AN2" s="32"/>
      <c r="AO2" s="32"/>
      <c r="AP2" s="32"/>
      <c r="AQ2" s="32"/>
      <c r="AR2" s="32"/>
      <c r="AS2" s="32"/>
      <c r="AT2" s="32"/>
      <c r="AU2" s="30"/>
      <c r="AV2" s="30"/>
      <c r="AW2" s="30"/>
      <c r="AX2" s="25"/>
      <c r="AY2" s="30"/>
    </row>
    <row r="3" spans="1:51">
      <c r="A3" s="25" t="s">
        <v>13596</v>
      </c>
      <c r="B3" s="25" t="s">
        <v>4398</v>
      </c>
      <c r="C3" s="25" t="s">
        <v>68</v>
      </c>
      <c r="D3" s="25" t="s">
        <v>13597</v>
      </c>
      <c r="E3" s="258" t="s">
        <v>13598</v>
      </c>
      <c r="F3" s="25" t="s">
        <v>13599</v>
      </c>
      <c r="G3" s="25" t="s">
        <v>5516</v>
      </c>
      <c r="H3" s="25" t="s">
        <v>11489</v>
      </c>
      <c r="I3" s="26" t="s">
        <v>4402</v>
      </c>
      <c r="J3" s="25" t="s">
        <v>13592</v>
      </c>
      <c r="K3" s="25">
        <v>9.1999999999999993</v>
      </c>
      <c r="L3" s="26" t="s">
        <v>73</v>
      </c>
      <c r="M3" s="269" t="s">
        <v>14590</v>
      </c>
      <c r="N3" s="26" t="s">
        <v>13600</v>
      </c>
      <c r="O3" s="27" t="s">
        <v>13601</v>
      </c>
      <c r="P3" s="28"/>
      <c r="Q3" s="29">
        <v>4</v>
      </c>
      <c r="R3" s="29">
        <v>16</v>
      </c>
      <c r="S3" s="29">
        <v>516.71</v>
      </c>
      <c r="T3" s="26" t="s">
        <v>146</v>
      </c>
      <c r="U3" s="30" t="s">
        <v>78</v>
      </c>
      <c r="V3" s="26" t="s">
        <v>129</v>
      </c>
      <c r="W3" s="26" t="s">
        <v>147</v>
      </c>
      <c r="X3" s="26" t="s">
        <v>131</v>
      </c>
      <c r="Y3" s="26" t="s">
        <v>91</v>
      </c>
      <c r="Z3" s="26" t="s">
        <v>91</v>
      </c>
      <c r="AA3" s="26"/>
      <c r="AB3" s="31" t="s">
        <v>7</v>
      </c>
      <c r="AC3" s="30" t="s">
        <v>172</v>
      </c>
      <c r="AD3" s="25" t="s">
        <v>173</v>
      </c>
      <c r="AE3" s="25" t="s">
        <v>174</v>
      </c>
      <c r="AF3" s="26" t="s">
        <v>175</v>
      </c>
      <c r="AG3" s="32">
        <v>1</v>
      </c>
      <c r="AH3" s="32"/>
      <c r="AI3" s="32"/>
      <c r="AJ3" s="32"/>
      <c r="AK3" s="30"/>
      <c r="AL3" s="32">
        <f t="shared" ref="AL3:AL34" si="0">IF(COUNTIF(AX:AX,"*"&amp;M3&amp;"*")&gt;0,1,0)</f>
        <v>0</v>
      </c>
      <c r="AM3" s="30"/>
      <c r="AN3" s="32"/>
      <c r="AO3" s="32"/>
      <c r="AP3" s="32"/>
      <c r="AQ3" s="32"/>
      <c r="AR3" s="32"/>
      <c r="AS3" s="32"/>
      <c r="AT3" s="32"/>
      <c r="AU3" s="30"/>
      <c r="AV3" s="30"/>
      <c r="AW3" s="30"/>
      <c r="AX3" s="30"/>
      <c r="AY3" s="30"/>
    </row>
    <row r="4" spans="1:51">
      <c r="A4" s="25" t="s">
        <v>13602</v>
      </c>
      <c r="B4" s="25" t="s">
        <v>4398</v>
      </c>
      <c r="C4" s="25" t="s">
        <v>68</v>
      </c>
      <c r="D4" s="25" t="s">
        <v>13603</v>
      </c>
      <c r="E4" s="258" t="s">
        <v>13604</v>
      </c>
      <c r="F4" s="25" t="s">
        <v>13605</v>
      </c>
      <c r="G4" s="25" t="s">
        <v>5516</v>
      </c>
      <c r="H4" s="25" t="s">
        <v>11489</v>
      </c>
      <c r="I4" s="26" t="s">
        <v>4402</v>
      </c>
      <c r="J4" s="25" t="s">
        <v>13592</v>
      </c>
      <c r="K4" s="270" t="s">
        <v>14591</v>
      </c>
      <c r="L4" s="26" t="s">
        <v>73</v>
      </c>
      <c r="M4" s="269" t="s">
        <v>14589</v>
      </c>
      <c r="N4" s="26" t="s">
        <v>13606</v>
      </c>
      <c r="O4" s="33" t="s">
        <v>13607</v>
      </c>
      <c r="P4" s="28" t="s">
        <v>11500</v>
      </c>
      <c r="Q4" s="29">
        <v>4</v>
      </c>
      <c r="R4" s="29">
        <v>16</v>
      </c>
      <c r="S4" s="29">
        <v>336.3</v>
      </c>
      <c r="T4" s="30"/>
      <c r="U4" s="30"/>
      <c r="V4" s="30"/>
      <c r="W4" s="26"/>
      <c r="X4" s="26"/>
      <c r="Y4" s="26"/>
      <c r="Z4" s="26"/>
      <c r="AA4" s="26"/>
      <c r="AB4" s="31"/>
      <c r="AC4" s="30" t="s">
        <v>172</v>
      </c>
      <c r="AD4" s="25" t="s">
        <v>173</v>
      </c>
      <c r="AE4" s="25" t="s">
        <v>174</v>
      </c>
      <c r="AF4" s="26" t="s">
        <v>175</v>
      </c>
      <c r="AG4" s="32"/>
      <c r="AH4" s="32"/>
      <c r="AI4" s="32"/>
      <c r="AJ4" s="32"/>
      <c r="AK4" s="30"/>
      <c r="AL4" s="32">
        <f t="shared" si="0"/>
        <v>0</v>
      </c>
      <c r="AM4" s="30"/>
      <c r="AN4" s="32"/>
      <c r="AO4" s="32"/>
      <c r="AP4" s="32"/>
      <c r="AQ4" s="32"/>
      <c r="AR4" s="32"/>
      <c r="AS4" s="32"/>
      <c r="AT4" s="32"/>
      <c r="AU4" s="30"/>
      <c r="AV4" s="30"/>
      <c r="AW4" s="30"/>
      <c r="AX4" s="30"/>
      <c r="AY4" s="30"/>
    </row>
    <row r="5" spans="1:51">
      <c r="A5" s="25" t="s">
        <v>13608</v>
      </c>
      <c r="B5" s="25" t="s">
        <v>4398</v>
      </c>
      <c r="C5" s="25" t="s">
        <v>68</v>
      </c>
      <c r="D5" s="25" t="s">
        <v>13609</v>
      </c>
      <c r="E5" s="258" t="s">
        <v>13610</v>
      </c>
      <c r="F5" s="25" t="s">
        <v>13611</v>
      </c>
      <c r="G5" s="25" t="s">
        <v>5516</v>
      </c>
      <c r="H5" s="25" t="s">
        <v>11489</v>
      </c>
      <c r="I5" s="26" t="s">
        <v>4402</v>
      </c>
      <c r="J5" s="25" t="s">
        <v>13592</v>
      </c>
      <c r="K5" s="25">
        <v>9.1999999999999993</v>
      </c>
      <c r="L5" s="26" t="s">
        <v>73</v>
      </c>
      <c r="M5" s="269" t="s">
        <v>14588</v>
      </c>
      <c r="N5" s="26" t="s">
        <v>13612</v>
      </c>
      <c r="O5" s="27" t="s">
        <v>13613</v>
      </c>
      <c r="P5" s="28"/>
      <c r="Q5" s="29">
        <v>4</v>
      </c>
      <c r="R5" s="29">
        <v>16</v>
      </c>
      <c r="S5" s="29">
        <v>266.22000000000003</v>
      </c>
      <c r="T5" s="26" t="s">
        <v>146</v>
      </c>
      <c r="U5" s="30" t="s">
        <v>78</v>
      </c>
      <c r="V5" s="26" t="s">
        <v>129</v>
      </c>
      <c r="W5" s="26" t="s">
        <v>147</v>
      </c>
      <c r="X5" s="26" t="s">
        <v>131</v>
      </c>
      <c r="Y5" s="26" t="s">
        <v>91</v>
      </c>
      <c r="Z5" s="26" t="s">
        <v>91</v>
      </c>
      <c r="AA5" s="26"/>
      <c r="AB5" s="31" t="s">
        <v>7</v>
      </c>
      <c r="AC5" s="30" t="s">
        <v>172</v>
      </c>
      <c r="AD5" s="25" t="s">
        <v>173</v>
      </c>
      <c r="AE5" s="25" t="s">
        <v>174</v>
      </c>
      <c r="AF5" s="26" t="s">
        <v>175</v>
      </c>
      <c r="AG5" s="32">
        <v>1</v>
      </c>
      <c r="AH5" s="32"/>
      <c r="AI5" s="32"/>
      <c r="AJ5" s="32"/>
      <c r="AK5" s="30"/>
      <c r="AL5" s="32">
        <f t="shared" si="0"/>
        <v>0</v>
      </c>
      <c r="AM5" s="30"/>
      <c r="AN5" s="32"/>
      <c r="AO5" s="32"/>
      <c r="AP5" s="32"/>
      <c r="AQ5" s="32"/>
      <c r="AR5" s="32"/>
      <c r="AS5" s="32"/>
      <c r="AT5" s="32"/>
      <c r="AU5" s="30"/>
      <c r="AV5" s="30"/>
      <c r="AW5" s="30"/>
      <c r="AX5" s="30"/>
      <c r="AY5" s="30"/>
    </row>
    <row r="6" spans="1:51">
      <c r="A6" s="25" t="s">
        <v>13614</v>
      </c>
      <c r="B6" s="25" t="s">
        <v>4398</v>
      </c>
      <c r="C6" s="25" t="s">
        <v>68</v>
      </c>
      <c r="D6" s="25" t="s">
        <v>13615</v>
      </c>
      <c r="E6" s="258" t="s">
        <v>13616</v>
      </c>
      <c r="F6" s="25" t="s">
        <v>13617</v>
      </c>
      <c r="G6" s="25" t="s">
        <v>5516</v>
      </c>
      <c r="H6" s="25" t="s">
        <v>11489</v>
      </c>
      <c r="I6" s="26" t="s">
        <v>4402</v>
      </c>
      <c r="J6" s="25" t="s">
        <v>13592</v>
      </c>
      <c r="K6" s="25">
        <v>9.1999999999999993</v>
      </c>
      <c r="L6" s="26" t="s">
        <v>73</v>
      </c>
      <c r="M6" s="269" t="s">
        <v>14587</v>
      </c>
      <c r="N6" s="26" t="s">
        <v>13618</v>
      </c>
      <c r="O6" s="27" t="s">
        <v>13619</v>
      </c>
      <c r="P6" s="28"/>
      <c r="Q6" s="29">
        <v>4</v>
      </c>
      <c r="R6" s="29">
        <v>16</v>
      </c>
      <c r="S6" s="29">
        <v>286.12</v>
      </c>
      <c r="T6" s="26" t="s">
        <v>146</v>
      </c>
      <c r="U6" s="30" t="s">
        <v>78</v>
      </c>
      <c r="V6" s="26" t="s">
        <v>129</v>
      </c>
      <c r="W6" s="26" t="s">
        <v>147</v>
      </c>
      <c r="X6" s="26" t="s">
        <v>131</v>
      </c>
      <c r="Y6" s="26" t="s">
        <v>91</v>
      </c>
      <c r="Z6" s="26" t="s">
        <v>91</v>
      </c>
      <c r="AA6" s="26"/>
      <c r="AB6" s="31" t="s">
        <v>7</v>
      </c>
      <c r="AC6" s="30" t="s">
        <v>172</v>
      </c>
      <c r="AD6" s="25" t="s">
        <v>173</v>
      </c>
      <c r="AE6" s="25" t="s">
        <v>174</v>
      </c>
      <c r="AF6" s="26" t="s">
        <v>175</v>
      </c>
      <c r="AG6" s="32">
        <v>1</v>
      </c>
      <c r="AH6" s="32"/>
      <c r="AI6" s="32"/>
      <c r="AJ6" s="32"/>
      <c r="AK6" s="30"/>
      <c r="AL6" s="32">
        <f t="shared" si="0"/>
        <v>0</v>
      </c>
      <c r="AM6" s="30"/>
      <c r="AN6" s="32"/>
      <c r="AO6" s="32"/>
      <c r="AP6" s="32"/>
      <c r="AQ6" s="32"/>
      <c r="AR6" s="32"/>
      <c r="AS6" s="32"/>
      <c r="AT6" s="32"/>
      <c r="AU6" s="30"/>
      <c r="AV6" s="30"/>
      <c r="AW6" s="30"/>
      <c r="AX6" s="30"/>
      <c r="AY6" s="30"/>
    </row>
    <row r="7" spans="1:51">
      <c r="A7" s="25" t="s">
        <v>13620</v>
      </c>
      <c r="B7" s="25" t="s">
        <v>4398</v>
      </c>
      <c r="C7" s="25" t="s">
        <v>68</v>
      </c>
      <c r="D7" s="25" t="s">
        <v>13621</v>
      </c>
      <c r="E7" s="258" t="s">
        <v>13622</v>
      </c>
      <c r="F7" s="25" t="s">
        <v>13623</v>
      </c>
      <c r="G7" s="25" t="s">
        <v>5516</v>
      </c>
      <c r="H7" s="25" t="s">
        <v>11489</v>
      </c>
      <c r="I7" s="26" t="s">
        <v>4402</v>
      </c>
      <c r="J7" s="25" t="s">
        <v>13592</v>
      </c>
      <c r="K7" s="25">
        <v>9.1999999999999993</v>
      </c>
      <c r="L7" s="26" t="s">
        <v>73</v>
      </c>
      <c r="M7" s="26" t="s">
        <v>13624</v>
      </c>
      <c r="N7" s="26" t="s">
        <v>13625</v>
      </c>
      <c r="O7" s="27" t="s">
        <v>13626</v>
      </c>
      <c r="P7" s="28"/>
      <c r="Q7" s="29">
        <v>4</v>
      </c>
      <c r="R7" s="29">
        <v>16</v>
      </c>
      <c r="S7" s="29">
        <v>286.62</v>
      </c>
      <c r="T7" s="26" t="s">
        <v>146</v>
      </c>
      <c r="U7" s="30" t="s">
        <v>78</v>
      </c>
      <c r="V7" s="26" t="s">
        <v>129</v>
      </c>
      <c r="W7" s="26" t="s">
        <v>147</v>
      </c>
      <c r="X7" s="26" t="s">
        <v>131</v>
      </c>
      <c r="Y7" s="26" t="s">
        <v>91</v>
      </c>
      <c r="Z7" s="26" t="s">
        <v>91</v>
      </c>
      <c r="AA7" s="26"/>
      <c r="AB7" s="31" t="s">
        <v>7</v>
      </c>
      <c r="AC7" s="30" t="s">
        <v>172</v>
      </c>
      <c r="AD7" s="25" t="s">
        <v>173</v>
      </c>
      <c r="AE7" s="25" t="s">
        <v>174</v>
      </c>
      <c r="AF7" s="26" t="s">
        <v>175</v>
      </c>
      <c r="AG7" s="32">
        <v>1</v>
      </c>
      <c r="AH7" s="32"/>
      <c r="AI7" s="32"/>
      <c r="AJ7" s="32"/>
      <c r="AK7" s="30"/>
      <c r="AL7" s="32">
        <f t="shared" si="0"/>
        <v>0</v>
      </c>
      <c r="AM7" s="30"/>
      <c r="AN7" s="32"/>
      <c r="AO7" s="32"/>
      <c r="AP7" s="32"/>
      <c r="AQ7" s="32"/>
      <c r="AR7" s="32"/>
      <c r="AS7" s="32"/>
      <c r="AT7" s="32"/>
      <c r="AU7" s="30"/>
      <c r="AV7" s="30"/>
      <c r="AW7" s="30"/>
      <c r="AX7" s="30"/>
      <c r="AY7" s="30"/>
    </row>
    <row r="8" spans="1:51">
      <c r="A8" s="25" t="s">
        <v>13627</v>
      </c>
      <c r="B8" s="25" t="s">
        <v>4398</v>
      </c>
      <c r="C8" s="25" t="s">
        <v>68</v>
      </c>
      <c r="D8" s="25" t="s">
        <v>13628</v>
      </c>
      <c r="E8" s="258" t="s">
        <v>13629</v>
      </c>
      <c r="F8" s="25" t="s">
        <v>6713</v>
      </c>
      <c r="G8" s="25" t="s">
        <v>5516</v>
      </c>
      <c r="H8" s="25" t="s">
        <v>11489</v>
      </c>
      <c r="I8" s="26" t="s">
        <v>4402</v>
      </c>
      <c r="J8" s="25" t="s">
        <v>13592</v>
      </c>
      <c r="K8" s="25">
        <v>9.1999999999999993</v>
      </c>
      <c r="L8" s="26" t="s">
        <v>73</v>
      </c>
      <c r="M8" s="26" t="s">
        <v>13630</v>
      </c>
      <c r="N8" s="26" t="s">
        <v>13631</v>
      </c>
      <c r="O8" s="27" t="s">
        <v>13632</v>
      </c>
      <c r="P8" s="28"/>
      <c r="Q8" s="29">
        <v>4</v>
      </c>
      <c r="R8" s="29">
        <v>16</v>
      </c>
      <c r="S8" s="29">
        <v>416.12</v>
      </c>
      <c r="T8" s="26" t="s">
        <v>146</v>
      </c>
      <c r="U8" s="30" t="s">
        <v>78</v>
      </c>
      <c r="V8" s="26" t="s">
        <v>129</v>
      </c>
      <c r="W8" s="26" t="s">
        <v>147</v>
      </c>
      <c r="X8" s="26" t="s">
        <v>131</v>
      </c>
      <c r="Y8" s="26" t="s">
        <v>91</v>
      </c>
      <c r="Z8" s="26" t="s">
        <v>91</v>
      </c>
      <c r="AA8" s="26"/>
      <c r="AB8" s="31" t="s">
        <v>7</v>
      </c>
      <c r="AC8" s="30" t="s">
        <v>172</v>
      </c>
      <c r="AD8" s="25" t="s">
        <v>173</v>
      </c>
      <c r="AE8" s="25" t="s">
        <v>174</v>
      </c>
      <c r="AF8" s="26" t="s">
        <v>175</v>
      </c>
      <c r="AG8" s="32">
        <v>1</v>
      </c>
      <c r="AH8" s="32"/>
      <c r="AI8" s="32"/>
      <c r="AJ8" s="32"/>
      <c r="AK8" s="30"/>
      <c r="AL8" s="32">
        <f t="shared" si="0"/>
        <v>0</v>
      </c>
      <c r="AM8" s="30"/>
      <c r="AN8" s="32"/>
      <c r="AO8" s="32"/>
      <c r="AP8" s="32"/>
      <c r="AQ8" s="32"/>
      <c r="AR8" s="32"/>
      <c r="AS8" s="32"/>
      <c r="AT8" s="32"/>
      <c r="AU8" s="30"/>
      <c r="AV8" s="30"/>
      <c r="AW8" s="30"/>
      <c r="AX8" s="30"/>
      <c r="AY8" s="30"/>
    </row>
    <row r="9" spans="1:51">
      <c r="A9" s="25" t="s">
        <v>13633</v>
      </c>
      <c r="B9" s="25" t="s">
        <v>4398</v>
      </c>
      <c r="C9" s="25" t="s">
        <v>68</v>
      </c>
      <c r="D9" s="25" t="s">
        <v>13634</v>
      </c>
      <c r="E9" s="258" t="s">
        <v>13635</v>
      </c>
      <c r="F9" s="25" t="s">
        <v>13636</v>
      </c>
      <c r="G9" s="25" t="s">
        <v>5516</v>
      </c>
      <c r="H9" s="25" t="s">
        <v>11489</v>
      </c>
      <c r="I9" s="26" t="s">
        <v>4402</v>
      </c>
      <c r="J9" s="25" t="s">
        <v>13592</v>
      </c>
      <c r="K9" s="25">
        <v>9.1999999999999993</v>
      </c>
      <c r="L9" s="26" t="s">
        <v>73</v>
      </c>
      <c r="M9" s="26" t="s">
        <v>13637</v>
      </c>
      <c r="N9" s="26" t="s">
        <v>13638</v>
      </c>
      <c r="O9" s="27" t="s">
        <v>13639</v>
      </c>
      <c r="P9" s="28"/>
      <c r="Q9" s="29">
        <v>4</v>
      </c>
      <c r="R9" s="29">
        <v>16</v>
      </c>
      <c r="S9" s="29">
        <v>366.5</v>
      </c>
      <c r="T9" s="26" t="s">
        <v>146</v>
      </c>
      <c r="U9" s="30" t="s">
        <v>78</v>
      </c>
      <c r="V9" s="26" t="s">
        <v>129</v>
      </c>
      <c r="W9" s="26" t="s">
        <v>147</v>
      </c>
      <c r="X9" s="26" t="s">
        <v>131</v>
      </c>
      <c r="Y9" s="26" t="s">
        <v>91</v>
      </c>
      <c r="Z9" s="26" t="s">
        <v>91</v>
      </c>
      <c r="AA9" s="26"/>
      <c r="AB9" s="31" t="s">
        <v>7</v>
      </c>
      <c r="AC9" s="30" t="s">
        <v>172</v>
      </c>
      <c r="AD9" s="25" t="s">
        <v>173</v>
      </c>
      <c r="AE9" s="25" t="s">
        <v>174</v>
      </c>
      <c r="AF9" s="26" t="s">
        <v>175</v>
      </c>
      <c r="AG9" s="32">
        <v>1</v>
      </c>
      <c r="AH9" s="32"/>
      <c r="AI9" s="32"/>
      <c r="AJ9" s="32"/>
      <c r="AK9" s="30"/>
      <c r="AL9" s="32">
        <f t="shared" si="0"/>
        <v>0</v>
      </c>
      <c r="AM9" s="30"/>
      <c r="AN9" s="32"/>
      <c r="AO9" s="32"/>
      <c r="AP9" s="32"/>
      <c r="AQ9" s="32"/>
      <c r="AR9" s="32"/>
      <c r="AS9" s="32"/>
      <c r="AT9" s="32"/>
      <c r="AU9" s="30"/>
      <c r="AV9" s="30"/>
      <c r="AW9" s="30"/>
      <c r="AX9" s="30"/>
      <c r="AY9" s="30"/>
    </row>
    <row r="10" spans="1:51">
      <c r="A10" s="25" t="s">
        <v>13640</v>
      </c>
      <c r="B10" s="25" t="s">
        <v>4398</v>
      </c>
      <c r="C10" s="25" t="s">
        <v>68</v>
      </c>
      <c r="D10" s="25" t="s">
        <v>13641</v>
      </c>
      <c r="E10" s="258" t="s">
        <v>13642</v>
      </c>
      <c r="F10" s="25" t="s">
        <v>13643</v>
      </c>
      <c r="G10" s="25" t="s">
        <v>5516</v>
      </c>
      <c r="H10" s="25" t="s">
        <v>11489</v>
      </c>
      <c r="I10" s="26" t="s">
        <v>4402</v>
      </c>
      <c r="J10" s="25" t="s">
        <v>13592</v>
      </c>
      <c r="K10" s="25">
        <v>9.1999999999999993</v>
      </c>
      <c r="L10" s="26" t="s">
        <v>73</v>
      </c>
      <c r="M10" s="26" t="s">
        <v>13644</v>
      </c>
      <c r="N10" s="26" t="s">
        <v>13645</v>
      </c>
      <c r="O10" s="27" t="s">
        <v>13646</v>
      </c>
      <c r="P10" s="28"/>
      <c r="Q10" s="29">
        <v>4</v>
      </c>
      <c r="R10" s="29">
        <v>16</v>
      </c>
      <c r="S10" s="29">
        <v>267.08999999999997</v>
      </c>
      <c r="T10" s="26" t="s">
        <v>146</v>
      </c>
      <c r="U10" s="30" t="s">
        <v>78</v>
      </c>
      <c r="V10" s="26" t="s">
        <v>129</v>
      </c>
      <c r="W10" s="26" t="s">
        <v>147</v>
      </c>
      <c r="X10" s="26" t="s">
        <v>131</v>
      </c>
      <c r="Y10" s="26" t="s">
        <v>91</v>
      </c>
      <c r="Z10" s="26" t="s">
        <v>91</v>
      </c>
      <c r="AA10" s="26"/>
      <c r="AB10" s="31" t="s">
        <v>7</v>
      </c>
      <c r="AC10" s="30" t="s">
        <v>172</v>
      </c>
      <c r="AD10" s="25" t="s">
        <v>173</v>
      </c>
      <c r="AE10" s="25" t="s">
        <v>174</v>
      </c>
      <c r="AF10" s="26" t="s">
        <v>175</v>
      </c>
      <c r="AG10" s="32">
        <v>1</v>
      </c>
      <c r="AH10" s="32"/>
      <c r="AI10" s="32"/>
      <c r="AJ10" s="32"/>
      <c r="AK10" s="30"/>
      <c r="AL10" s="32">
        <f t="shared" si="0"/>
        <v>0</v>
      </c>
      <c r="AM10" s="30"/>
      <c r="AN10" s="32"/>
      <c r="AO10" s="32"/>
      <c r="AP10" s="32"/>
      <c r="AQ10" s="32"/>
      <c r="AR10" s="32"/>
      <c r="AS10" s="32"/>
      <c r="AT10" s="32"/>
      <c r="AU10" s="30"/>
      <c r="AV10" s="30"/>
      <c r="AW10" s="30"/>
      <c r="AX10" s="30"/>
      <c r="AY10" s="30"/>
    </row>
    <row r="11" spans="1:51">
      <c r="A11" s="25" t="s">
        <v>13647</v>
      </c>
      <c r="B11" s="25" t="s">
        <v>4398</v>
      </c>
      <c r="C11" s="25" t="s">
        <v>68</v>
      </c>
      <c r="D11" s="25" t="s">
        <v>13648</v>
      </c>
      <c r="E11" s="258" t="s">
        <v>13649</v>
      </c>
      <c r="F11" s="25" t="s">
        <v>6810</v>
      </c>
      <c r="G11" s="25" t="s">
        <v>5516</v>
      </c>
      <c r="H11" s="25" t="s">
        <v>11489</v>
      </c>
      <c r="I11" s="26" t="s">
        <v>4402</v>
      </c>
      <c r="J11" s="25" t="s">
        <v>13592</v>
      </c>
      <c r="K11" s="25">
        <v>9.1999999999999993</v>
      </c>
      <c r="L11" s="26" t="s">
        <v>73</v>
      </c>
      <c r="M11" s="26" t="s">
        <v>13650</v>
      </c>
      <c r="N11" s="26" t="s">
        <v>13651</v>
      </c>
      <c r="O11" s="27" t="s">
        <v>13652</v>
      </c>
      <c r="P11" s="28"/>
      <c r="Q11" s="29">
        <v>4</v>
      </c>
      <c r="R11" s="29">
        <v>16</v>
      </c>
      <c r="S11" s="29">
        <v>317.86</v>
      </c>
      <c r="T11" s="26" t="s">
        <v>146</v>
      </c>
      <c r="U11" s="30" t="s">
        <v>78</v>
      </c>
      <c r="V11" s="26" t="s">
        <v>129</v>
      </c>
      <c r="W11" s="26" t="s">
        <v>147</v>
      </c>
      <c r="X11" s="26" t="s">
        <v>131</v>
      </c>
      <c r="Y11" s="26" t="s">
        <v>91</v>
      </c>
      <c r="Z11" s="26" t="s">
        <v>91</v>
      </c>
      <c r="AA11" s="26"/>
      <c r="AB11" s="31" t="s">
        <v>7</v>
      </c>
      <c r="AC11" s="30" t="s">
        <v>172</v>
      </c>
      <c r="AD11" s="25" t="s">
        <v>173</v>
      </c>
      <c r="AE11" s="25" t="s">
        <v>174</v>
      </c>
      <c r="AF11" s="26" t="s">
        <v>175</v>
      </c>
      <c r="AG11" s="32">
        <v>1</v>
      </c>
      <c r="AH11" s="32"/>
      <c r="AI11" s="32"/>
      <c r="AJ11" s="32"/>
      <c r="AK11" s="30"/>
      <c r="AL11" s="32">
        <f t="shared" si="0"/>
        <v>0</v>
      </c>
      <c r="AM11" s="30"/>
      <c r="AN11" s="32"/>
      <c r="AO11" s="32"/>
      <c r="AP11" s="32"/>
      <c r="AQ11" s="32"/>
      <c r="AR11" s="32"/>
      <c r="AS11" s="32"/>
      <c r="AT11" s="32"/>
      <c r="AU11" s="30"/>
      <c r="AV11" s="30"/>
      <c r="AW11" s="30"/>
      <c r="AX11" s="30"/>
      <c r="AY11" s="30"/>
    </row>
    <row r="12" spans="1:51">
      <c r="A12" s="25" t="s">
        <v>13653</v>
      </c>
      <c r="B12" s="25" t="s">
        <v>4398</v>
      </c>
      <c r="C12" s="25" t="s">
        <v>68</v>
      </c>
      <c r="D12" s="25" t="s">
        <v>13654</v>
      </c>
      <c r="E12" s="258" t="s">
        <v>13655</v>
      </c>
      <c r="F12" s="25" t="s">
        <v>13656</v>
      </c>
      <c r="G12" s="25" t="s">
        <v>5516</v>
      </c>
      <c r="H12" s="25" t="s">
        <v>11489</v>
      </c>
      <c r="I12" s="26" t="s">
        <v>4402</v>
      </c>
      <c r="J12" s="25" t="s">
        <v>13592</v>
      </c>
      <c r="K12" s="25">
        <v>9.1999999999999993</v>
      </c>
      <c r="L12" s="26" t="s">
        <v>73</v>
      </c>
      <c r="M12" s="26" t="s">
        <v>13657</v>
      </c>
      <c r="N12" s="26" t="s">
        <v>13658</v>
      </c>
      <c r="O12" s="27" t="s">
        <v>13659</v>
      </c>
      <c r="P12" s="28"/>
      <c r="Q12" s="29">
        <v>4</v>
      </c>
      <c r="R12" s="29">
        <v>16</v>
      </c>
      <c r="S12" s="29">
        <v>266.26</v>
      </c>
      <c r="T12" s="26" t="s">
        <v>146</v>
      </c>
      <c r="U12" s="30" t="s">
        <v>78</v>
      </c>
      <c r="V12" s="26" t="s">
        <v>129</v>
      </c>
      <c r="W12" s="26" t="s">
        <v>147</v>
      </c>
      <c r="X12" s="26" t="s">
        <v>131</v>
      </c>
      <c r="Y12" s="26" t="s">
        <v>91</v>
      </c>
      <c r="Z12" s="26" t="s">
        <v>91</v>
      </c>
      <c r="AA12" s="26"/>
      <c r="AB12" s="31" t="s">
        <v>7</v>
      </c>
      <c r="AC12" s="30" t="s">
        <v>172</v>
      </c>
      <c r="AD12" s="25" t="s">
        <v>173</v>
      </c>
      <c r="AE12" s="25" t="s">
        <v>174</v>
      </c>
      <c r="AF12" s="26" t="s">
        <v>175</v>
      </c>
      <c r="AG12" s="32">
        <v>1</v>
      </c>
      <c r="AH12" s="32"/>
      <c r="AI12" s="32"/>
      <c r="AJ12" s="32"/>
      <c r="AK12" s="30"/>
      <c r="AL12" s="32">
        <f t="shared" si="0"/>
        <v>0</v>
      </c>
      <c r="AM12" s="30"/>
      <c r="AN12" s="32"/>
      <c r="AO12" s="32"/>
      <c r="AP12" s="32"/>
      <c r="AQ12" s="32"/>
      <c r="AR12" s="32"/>
      <c r="AS12" s="32"/>
      <c r="AT12" s="32"/>
      <c r="AU12" s="30"/>
      <c r="AV12" s="30"/>
      <c r="AW12" s="30"/>
      <c r="AX12" s="30"/>
      <c r="AY12" s="30"/>
    </row>
    <row r="13" spans="1:51">
      <c r="A13" s="25" t="s">
        <v>13660</v>
      </c>
      <c r="B13" s="25" t="s">
        <v>4398</v>
      </c>
      <c r="C13" s="25" t="s">
        <v>68</v>
      </c>
      <c r="D13" s="25" t="s">
        <v>13661</v>
      </c>
      <c r="E13" s="258" t="s">
        <v>13662</v>
      </c>
      <c r="F13" s="25" t="s">
        <v>13663</v>
      </c>
      <c r="G13" s="25" t="s">
        <v>5516</v>
      </c>
      <c r="H13" s="25" t="s">
        <v>11489</v>
      </c>
      <c r="I13" s="26" t="s">
        <v>4402</v>
      </c>
      <c r="J13" s="25" t="s">
        <v>13592</v>
      </c>
      <c r="K13" s="25">
        <v>9.1999999999999993</v>
      </c>
      <c r="L13" s="26" t="s">
        <v>73</v>
      </c>
      <c r="M13" s="26" t="s">
        <v>13664</v>
      </c>
      <c r="N13" s="26" t="s">
        <v>13665</v>
      </c>
      <c r="O13" s="27" t="s">
        <v>13666</v>
      </c>
      <c r="P13" s="28"/>
      <c r="Q13" s="29">
        <v>4</v>
      </c>
      <c r="R13" s="29">
        <v>16</v>
      </c>
      <c r="S13" s="29">
        <v>267.62</v>
      </c>
      <c r="T13" s="26" t="s">
        <v>146</v>
      </c>
      <c r="U13" s="30" t="s">
        <v>78</v>
      </c>
      <c r="V13" s="26" t="s">
        <v>129</v>
      </c>
      <c r="W13" s="26" t="s">
        <v>147</v>
      </c>
      <c r="X13" s="26" t="s">
        <v>131</v>
      </c>
      <c r="Y13" s="26" t="s">
        <v>91</v>
      </c>
      <c r="Z13" s="26" t="s">
        <v>91</v>
      </c>
      <c r="AA13" s="26"/>
      <c r="AB13" s="31" t="s">
        <v>7</v>
      </c>
      <c r="AC13" s="30" t="s">
        <v>172</v>
      </c>
      <c r="AD13" s="25" t="s">
        <v>173</v>
      </c>
      <c r="AE13" s="25" t="s">
        <v>174</v>
      </c>
      <c r="AF13" s="26" t="s">
        <v>175</v>
      </c>
      <c r="AG13" s="32">
        <v>1</v>
      </c>
      <c r="AH13" s="32"/>
      <c r="AI13" s="32"/>
      <c r="AJ13" s="32"/>
      <c r="AK13" s="30"/>
      <c r="AL13" s="32">
        <f t="shared" si="0"/>
        <v>0</v>
      </c>
      <c r="AM13" s="30"/>
      <c r="AN13" s="32"/>
      <c r="AO13" s="32"/>
      <c r="AP13" s="32"/>
      <c r="AQ13" s="32"/>
      <c r="AR13" s="32"/>
      <c r="AS13" s="32"/>
      <c r="AT13" s="32"/>
      <c r="AU13" s="30"/>
      <c r="AV13" s="30"/>
      <c r="AW13" s="30"/>
      <c r="AX13" s="30"/>
      <c r="AY13" s="30"/>
    </row>
    <row r="14" spans="1:51">
      <c r="A14" s="25" t="s">
        <v>13667</v>
      </c>
      <c r="B14" s="25" t="s">
        <v>4398</v>
      </c>
      <c r="C14" s="25" t="s">
        <v>68</v>
      </c>
      <c r="D14" s="25" t="s">
        <v>13668</v>
      </c>
      <c r="E14" s="258" t="s">
        <v>13669</v>
      </c>
      <c r="F14" s="25" t="s">
        <v>13670</v>
      </c>
      <c r="G14" s="25" t="s">
        <v>5516</v>
      </c>
      <c r="H14" s="25" t="s">
        <v>11489</v>
      </c>
      <c r="I14" s="26" t="s">
        <v>4402</v>
      </c>
      <c r="J14" s="25" t="s">
        <v>13592</v>
      </c>
      <c r="K14" s="25" t="s">
        <v>11500</v>
      </c>
      <c r="L14" s="26" t="s">
        <v>73</v>
      </c>
      <c r="M14" s="26" t="s">
        <v>13671</v>
      </c>
      <c r="N14" s="26" t="s">
        <v>13672</v>
      </c>
      <c r="O14" s="33" t="s">
        <v>13673</v>
      </c>
      <c r="P14" s="28" t="s">
        <v>11500</v>
      </c>
      <c r="Q14" s="29">
        <v>4</v>
      </c>
      <c r="R14" s="29">
        <v>16</v>
      </c>
      <c r="S14" s="29">
        <v>306.11</v>
      </c>
      <c r="T14" s="30"/>
      <c r="U14" s="30"/>
      <c r="V14" s="30"/>
      <c r="W14" s="26"/>
      <c r="X14" s="26"/>
      <c r="Y14" s="26"/>
      <c r="Z14" s="26"/>
      <c r="AA14" s="26"/>
      <c r="AB14" s="31"/>
      <c r="AC14" s="30" t="s">
        <v>172</v>
      </c>
      <c r="AD14" s="25" t="s">
        <v>173</v>
      </c>
      <c r="AE14" s="25" t="s">
        <v>174</v>
      </c>
      <c r="AF14" s="26" t="s">
        <v>175</v>
      </c>
      <c r="AG14" s="32"/>
      <c r="AH14" s="32"/>
      <c r="AI14" s="32"/>
      <c r="AJ14" s="32"/>
      <c r="AK14" s="30"/>
      <c r="AL14" s="32">
        <f t="shared" si="0"/>
        <v>0</v>
      </c>
      <c r="AM14" s="30"/>
      <c r="AN14" s="32"/>
      <c r="AO14" s="32"/>
      <c r="AP14" s="32"/>
      <c r="AQ14" s="32"/>
      <c r="AR14" s="32"/>
      <c r="AS14" s="34"/>
      <c r="AT14" s="32"/>
      <c r="AU14" s="30"/>
      <c r="AV14" s="30"/>
      <c r="AW14" s="30"/>
      <c r="AX14" s="30"/>
      <c r="AY14" s="30"/>
    </row>
    <row r="15" spans="1:51">
      <c r="A15" s="25" t="s">
        <v>13674</v>
      </c>
      <c r="B15" s="25" t="s">
        <v>4398</v>
      </c>
      <c r="C15" s="25" t="s">
        <v>68</v>
      </c>
      <c r="D15" s="25" t="s">
        <v>13675</v>
      </c>
      <c r="E15" s="258" t="s">
        <v>13676</v>
      </c>
      <c r="F15" s="25" t="s">
        <v>13677</v>
      </c>
      <c r="G15" s="25" t="s">
        <v>5516</v>
      </c>
      <c r="H15" s="25" t="s">
        <v>11489</v>
      </c>
      <c r="I15" s="26" t="s">
        <v>4402</v>
      </c>
      <c r="J15" s="25" t="s">
        <v>13592</v>
      </c>
      <c r="K15" s="25">
        <v>9.1999999999999993</v>
      </c>
      <c r="L15" s="26" t="s">
        <v>73</v>
      </c>
      <c r="M15" s="26" t="s">
        <v>13678</v>
      </c>
      <c r="N15" s="26" t="s">
        <v>13679</v>
      </c>
      <c r="O15" s="27" t="s">
        <v>13680</v>
      </c>
      <c r="P15" s="28"/>
      <c r="Q15" s="29">
        <v>4</v>
      </c>
      <c r="R15" s="29">
        <v>16</v>
      </c>
      <c r="S15" s="29">
        <v>266.63</v>
      </c>
      <c r="T15" s="26" t="s">
        <v>146</v>
      </c>
      <c r="U15" s="30" t="s">
        <v>78</v>
      </c>
      <c r="V15" s="26" t="s">
        <v>129</v>
      </c>
      <c r="W15" s="26" t="s">
        <v>147</v>
      </c>
      <c r="X15" s="26" t="s">
        <v>131</v>
      </c>
      <c r="Y15" s="26" t="s">
        <v>91</v>
      </c>
      <c r="Z15" s="26" t="s">
        <v>91</v>
      </c>
      <c r="AA15" s="26"/>
      <c r="AB15" s="31" t="s">
        <v>7</v>
      </c>
      <c r="AC15" s="30" t="s">
        <v>172</v>
      </c>
      <c r="AD15" s="25" t="s">
        <v>173</v>
      </c>
      <c r="AE15" s="25" t="s">
        <v>174</v>
      </c>
      <c r="AF15" s="26" t="s">
        <v>175</v>
      </c>
      <c r="AG15" s="32">
        <v>1</v>
      </c>
      <c r="AH15" s="32"/>
      <c r="AI15" s="32"/>
      <c r="AJ15" s="32"/>
      <c r="AK15" s="30"/>
      <c r="AL15" s="32">
        <f t="shared" si="0"/>
        <v>0</v>
      </c>
      <c r="AM15" s="30"/>
      <c r="AN15" s="32"/>
      <c r="AO15" s="32"/>
      <c r="AP15" s="32"/>
      <c r="AQ15" s="32"/>
      <c r="AR15" s="32"/>
      <c r="AS15" s="32"/>
      <c r="AT15" s="32"/>
      <c r="AU15" s="30"/>
      <c r="AV15" s="30"/>
      <c r="AW15" s="30"/>
      <c r="AX15" s="30"/>
      <c r="AY15" s="30"/>
    </row>
    <row r="16" spans="1:51">
      <c r="A16" s="25" t="s">
        <v>13681</v>
      </c>
      <c r="B16" s="25" t="s">
        <v>4398</v>
      </c>
      <c r="C16" s="25" t="s">
        <v>68</v>
      </c>
      <c r="D16" s="25" t="s">
        <v>13682</v>
      </c>
      <c r="E16" s="258" t="s">
        <v>13683</v>
      </c>
      <c r="F16" s="25" t="s">
        <v>13684</v>
      </c>
      <c r="G16" s="25" t="s">
        <v>5516</v>
      </c>
      <c r="H16" s="25" t="s">
        <v>11489</v>
      </c>
      <c r="I16" s="26" t="s">
        <v>4402</v>
      </c>
      <c r="J16" s="25" t="s">
        <v>13592</v>
      </c>
      <c r="K16" s="25">
        <v>9.1999999999999993</v>
      </c>
      <c r="L16" s="26" t="s">
        <v>73</v>
      </c>
      <c r="M16" s="26" t="s">
        <v>13685</v>
      </c>
      <c r="N16" s="26" t="s">
        <v>13686</v>
      </c>
      <c r="O16" s="27" t="s">
        <v>13687</v>
      </c>
      <c r="P16" s="28"/>
      <c r="Q16" s="29">
        <v>8</v>
      </c>
      <c r="R16" s="29">
        <v>32</v>
      </c>
      <c r="S16" s="29">
        <v>383.26</v>
      </c>
      <c r="T16" s="26" t="s">
        <v>146</v>
      </c>
      <c r="U16" s="30" t="s">
        <v>78</v>
      </c>
      <c r="V16" s="26" t="s">
        <v>129</v>
      </c>
      <c r="W16" s="26" t="s">
        <v>147</v>
      </c>
      <c r="X16" s="26" t="s">
        <v>131</v>
      </c>
      <c r="Y16" s="26" t="s">
        <v>91</v>
      </c>
      <c r="Z16" s="26" t="s">
        <v>91</v>
      </c>
      <c r="AA16" s="26"/>
      <c r="AB16" s="31" t="s">
        <v>7</v>
      </c>
      <c r="AC16" s="30" t="s">
        <v>172</v>
      </c>
      <c r="AD16" s="25" t="s">
        <v>173</v>
      </c>
      <c r="AE16" s="25" t="s">
        <v>174</v>
      </c>
      <c r="AF16" s="26" t="s">
        <v>175</v>
      </c>
      <c r="AG16" s="32">
        <v>1</v>
      </c>
      <c r="AH16" s="32"/>
      <c r="AI16" s="32"/>
      <c r="AJ16" s="32"/>
      <c r="AK16" s="30"/>
      <c r="AL16" s="32">
        <f t="shared" si="0"/>
        <v>0</v>
      </c>
      <c r="AM16" s="30"/>
      <c r="AN16" s="32"/>
      <c r="AO16" s="32"/>
      <c r="AP16" s="32"/>
      <c r="AQ16" s="32"/>
      <c r="AR16" s="32"/>
      <c r="AS16" s="32"/>
      <c r="AT16" s="32"/>
      <c r="AU16" s="30"/>
      <c r="AV16" s="30"/>
      <c r="AW16" s="30"/>
      <c r="AX16" s="30"/>
      <c r="AY16" s="30"/>
    </row>
    <row r="17" spans="1:51">
      <c r="A17" s="25" t="s">
        <v>13688</v>
      </c>
      <c r="B17" s="25" t="s">
        <v>4398</v>
      </c>
      <c r="C17" s="25" t="s">
        <v>68</v>
      </c>
      <c r="D17" s="25" t="s">
        <v>13689</v>
      </c>
      <c r="E17" s="258" t="s">
        <v>13690</v>
      </c>
      <c r="F17" s="25" t="s">
        <v>13691</v>
      </c>
      <c r="G17" s="25" t="s">
        <v>5516</v>
      </c>
      <c r="H17" s="25" t="s">
        <v>11489</v>
      </c>
      <c r="I17" s="26" t="s">
        <v>4402</v>
      </c>
      <c r="J17" s="25" t="s">
        <v>13592</v>
      </c>
      <c r="K17" s="25">
        <v>9.1999999999999993</v>
      </c>
      <c r="L17" s="26" t="s">
        <v>73</v>
      </c>
      <c r="M17" s="26" t="s">
        <v>13692</v>
      </c>
      <c r="N17" s="26" t="s">
        <v>13693</v>
      </c>
      <c r="O17" s="27" t="s">
        <v>13694</v>
      </c>
      <c r="P17" s="28"/>
      <c r="Q17" s="29">
        <v>4</v>
      </c>
      <c r="R17" s="29">
        <v>16</v>
      </c>
      <c r="S17" s="29">
        <v>266.18</v>
      </c>
      <c r="T17" s="26" t="s">
        <v>146</v>
      </c>
      <c r="U17" s="30" t="s">
        <v>78</v>
      </c>
      <c r="V17" s="26" t="s">
        <v>129</v>
      </c>
      <c r="W17" s="26" t="s">
        <v>147</v>
      </c>
      <c r="X17" s="26" t="s">
        <v>131</v>
      </c>
      <c r="Y17" s="26" t="s">
        <v>91</v>
      </c>
      <c r="Z17" s="26" t="s">
        <v>91</v>
      </c>
      <c r="AA17" s="26"/>
      <c r="AB17" s="31" t="s">
        <v>7</v>
      </c>
      <c r="AC17" s="30" t="s">
        <v>172</v>
      </c>
      <c r="AD17" s="25" t="s">
        <v>173</v>
      </c>
      <c r="AE17" s="25" t="s">
        <v>174</v>
      </c>
      <c r="AF17" s="26" t="s">
        <v>175</v>
      </c>
      <c r="AG17" s="32">
        <v>1</v>
      </c>
      <c r="AH17" s="32"/>
      <c r="AI17" s="32"/>
      <c r="AJ17" s="32"/>
      <c r="AK17" s="30"/>
      <c r="AL17" s="32">
        <f t="shared" si="0"/>
        <v>0</v>
      </c>
      <c r="AM17" s="30"/>
      <c r="AN17" s="32"/>
      <c r="AO17" s="32"/>
      <c r="AP17" s="32"/>
      <c r="AQ17" s="32"/>
      <c r="AR17" s="32"/>
      <c r="AS17" s="32"/>
      <c r="AT17" s="32"/>
      <c r="AU17" s="30"/>
      <c r="AV17" s="30"/>
      <c r="AW17" s="30"/>
      <c r="AX17" s="30"/>
      <c r="AY17" s="30"/>
    </row>
    <row r="18" spans="1:51">
      <c r="A18" s="25" t="s">
        <v>13695</v>
      </c>
      <c r="B18" s="25" t="s">
        <v>4398</v>
      </c>
      <c r="C18" s="25" t="s">
        <v>68</v>
      </c>
      <c r="D18" s="25" t="s">
        <v>13696</v>
      </c>
      <c r="E18" s="258" t="s">
        <v>13697</v>
      </c>
      <c r="F18" s="25" t="s">
        <v>13698</v>
      </c>
      <c r="G18" s="25" t="s">
        <v>5516</v>
      </c>
      <c r="H18" s="25" t="s">
        <v>11489</v>
      </c>
      <c r="I18" s="26" t="s">
        <v>4402</v>
      </c>
      <c r="J18" s="25" t="s">
        <v>13592</v>
      </c>
      <c r="K18" s="25">
        <v>9.1999999999999993</v>
      </c>
      <c r="L18" s="26" t="s">
        <v>73</v>
      </c>
      <c r="M18" s="26" t="s">
        <v>13699</v>
      </c>
      <c r="N18" s="26" t="s">
        <v>13700</v>
      </c>
      <c r="O18" s="27" t="s">
        <v>13701</v>
      </c>
      <c r="P18" s="28"/>
      <c r="Q18" s="29">
        <v>4</v>
      </c>
      <c r="R18" s="29">
        <v>16</v>
      </c>
      <c r="S18" s="29">
        <v>286.14999999999998</v>
      </c>
      <c r="T18" s="26" t="s">
        <v>146</v>
      </c>
      <c r="U18" s="30" t="s">
        <v>78</v>
      </c>
      <c r="V18" s="26" t="s">
        <v>129</v>
      </c>
      <c r="W18" s="26" t="s">
        <v>3233</v>
      </c>
      <c r="X18" s="26" t="s">
        <v>131</v>
      </c>
      <c r="Y18" s="26" t="s">
        <v>91</v>
      </c>
      <c r="Z18" s="26" t="s">
        <v>91</v>
      </c>
      <c r="AA18" s="26"/>
      <c r="AB18" s="31" t="s">
        <v>9</v>
      </c>
      <c r="AC18" s="30" t="s">
        <v>172</v>
      </c>
      <c r="AD18" s="25" t="s">
        <v>173</v>
      </c>
      <c r="AE18" s="25" t="s">
        <v>174</v>
      </c>
      <c r="AF18" s="26" t="s">
        <v>175</v>
      </c>
      <c r="AG18" s="32">
        <v>1</v>
      </c>
      <c r="AH18" s="32"/>
      <c r="AI18" s="32"/>
      <c r="AJ18" s="32"/>
      <c r="AK18" s="30"/>
      <c r="AL18" s="32">
        <f t="shared" si="0"/>
        <v>0</v>
      </c>
      <c r="AM18" s="30"/>
      <c r="AN18" s="32"/>
      <c r="AO18" s="32"/>
      <c r="AP18" s="32"/>
      <c r="AQ18" s="32"/>
      <c r="AR18" s="32"/>
      <c r="AS18" s="32"/>
      <c r="AT18" s="32"/>
      <c r="AU18" s="30"/>
      <c r="AV18" s="30"/>
      <c r="AW18" s="30"/>
      <c r="AX18" s="30"/>
      <c r="AY18" s="30"/>
    </row>
    <row r="19" spans="1:51">
      <c r="A19" s="25" t="s">
        <v>13702</v>
      </c>
      <c r="B19" s="25" t="s">
        <v>4398</v>
      </c>
      <c r="C19" s="25" t="s">
        <v>68</v>
      </c>
      <c r="D19" s="25" t="s">
        <v>13703</v>
      </c>
      <c r="E19" s="258" t="s">
        <v>13704</v>
      </c>
      <c r="F19" s="25" t="s">
        <v>13705</v>
      </c>
      <c r="G19" s="25" t="s">
        <v>5516</v>
      </c>
      <c r="H19" s="25" t="s">
        <v>11489</v>
      </c>
      <c r="I19" s="26" t="s">
        <v>4402</v>
      </c>
      <c r="J19" s="25" t="s">
        <v>13592</v>
      </c>
      <c r="K19" s="25" t="s">
        <v>11500</v>
      </c>
      <c r="L19" s="26" t="s">
        <v>73</v>
      </c>
      <c r="M19" s="26" t="s">
        <v>13706</v>
      </c>
      <c r="N19" s="26" t="s">
        <v>13707</v>
      </c>
      <c r="O19" s="33" t="s">
        <v>13708</v>
      </c>
      <c r="P19" s="28" t="s">
        <v>11500</v>
      </c>
      <c r="Q19" s="29">
        <v>4</v>
      </c>
      <c r="R19" s="29">
        <v>16</v>
      </c>
      <c r="S19" s="29">
        <v>266.11</v>
      </c>
      <c r="T19" s="30"/>
      <c r="U19" s="30"/>
      <c r="V19" s="30"/>
      <c r="W19" s="26"/>
      <c r="X19" s="26"/>
      <c r="Y19" s="26"/>
      <c r="Z19" s="26"/>
      <c r="AA19" s="26"/>
      <c r="AB19" s="31"/>
      <c r="AC19" s="30" t="s">
        <v>172</v>
      </c>
      <c r="AD19" s="25" t="s">
        <v>173</v>
      </c>
      <c r="AE19" s="25" t="s">
        <v>174</v>
      </c>
      <c r="AF19" s="26" t="s">
        <v>175</v>
      </c>
      <c r="AG19" s="32"/>
      <c r="AH19" s="32"/>
      <c r="AI19" s="32"/>
      <c r="AJ19" s="32"/>
      <c r="AK19" s="30"/>
      <c r="AL19" s="32">
        <f t="shared" si="0"/>
        <v>0</v>
      </c>
      <c r="AM19" s="30"/>
      <c r="AN19" s="32"/>
      <c r="AO19" s="32"/>
      <c r="AP19" s="32"/>
      <c r="AQ19" s="32"/>
      <c r="AR19" s="32"/>
      <c r="AS19" s="32"/>
      <c r="AT19" s="32"/>
      <c r="AU19" s="30"/>
      <c r="AV19" s="30"/>
      <c r="AW19" s="30"/>
      <c r="AX19" s="30"/>
      <c r="AY19" s="30"/>
    </row>
    <row r="20" spans="1:51">
      <c r="A20" s="25" t="s">
        <v>13709</v>
      </c>
      <c r="B20" s="25" t="s">
        <v>4398</v>
      </c>
      <c r="C20" s="25" t="s">
        <v>68</v>
      </c>
      <c r="D20" s="25" t="s">
        <v>13710</v>
      </c>
      <c r="E20" s="258" t="s">
        <v>13711</v>
      </c>
      <c r="F20" s="25" t="s">
        <v>13712</v>
      </c>
      <c r="G20" s="25" t="s">
        <v>5516</v>
      </c>
      <c r="H20" s="25" t="s">
        <v>11489</v>
      </c>
      <c r="I20" s="26" t="s">
        <v>4402</v>
      </c>
      <c r="J20" s="25" t="s">
        <v>13592</v>
      </c>
      <c r="K20" s="25">
        <v>9.1999999999999993</v>
      </c>
      <c r="L20" s="26" t="s">
        <v>73</v>
      </c>
      <c r="M20" s="26" t="s">
        <v>13713</v>
      </c>
      <c r="N20" s="26" t="s">
        <v>13714</v>
      </c>
      <c r="O20" s="27" t="s">
        <v>13715</v>
      </c>
      <c r="P20" s="28"/>
      <c r="Q20" s="29">
        <v>8</v>
      </c>
      <c r="R20" s="29">
        <v>32</v>
      </c>
      <c r="S20" s="29">
        <v>303.24</v>
      </c>
      <c r="T20" s="26" t="s">
        <v>146</v>
      </c>
      <c r="U20" s="30" t="s">
        <v>78</v>
      </c>
      <c r="V20" s="26" t="s">
        <v>129</v>
      </c>
      <c r="W20" s="26" t="s">
        <v>3233</v>
      </c>
      <c r="X20" s="26" t="s">
        <v>131</v>
      </c>
      <c r="Y20" s="26" t="s">
        <v>91</v>
      </c>
      <c r="Z20" s="26" t="s">
        <v>91</v>
      </c>
      <c r="AA20" s="26"/>
      <c r="AB20" s="31" t="s">
        <v>9</v>
      </c>
      <c r="AC20" s="30" t="s">
        <v>172</v>
      </c>
      <c r="AD20" s="25" t="s">
        <v>173</v>
      </c>
      <c r="AE20" s="25" t="s">
        <v>174</v>
      </c>
      <c r="AF20" s="26" t="s">
        <v>175</v>
      </c>
      <c r="AG20" s="32">
        <v>1</v>
      </c>
      <c r="AH20" s="32"/>
      <c r="AI20" s="32"/>
      <c r="AJ20" s="32"/>
      <c r="AK20" s="30"/>
      <c r="AL20" s="32">
        <f t="shared" si="0"/>
        <v>0</v>
      </c>
      <c r="AM20" s="30"/>
      <c r="AN20" s="32"/>
      <c r="AO20" s="32"/>
      <c r="AP20" s="32"/>
      <c r="AQ20" s="32"/>
      <c r="AR20" s="32"/>
      <c r="AS20" s="32"/>
      <c r="AT20" s="32"/>
      <c r="AU20" s="30"/>
      <c r="AV20" s="30"/>
      <c r="AW20" s="30"/>
      <c r="AX20" s="30"/>
      <c r="AY20" s="30"/>
    </row>
    <row r="21" spans="1:51">
      <c r="A21" s="25" t="s">
        <v>13716</v>
      </c>
      <c r="B21" s="25" t="s">
        <v>4398</v>
      </c>
      <c r="C21" s="25" t="s">
        <v>68</v>
      </c>
      <c r="D21" s="25" t="s">
        <v>13717</v>
      </c>
      <c r="E21" s="258" t="s">
        <v>13718</v>
      </c>
      <c r="F21" s="25" t="s">
        <v>13719</v>
      </c>
      <c r="G21" s="25" t="s">
        <v>5516</v>
      </c>
      <c r="H21" s="25" t="s">
        <v>11489</v>
      </c>
      <c r="I21" s="26" t="s">
        <v>4402</v>
      </c>
      <c r="J21" s="25" t="s">
        <v>13592</v>
      </c>
      <c r="K21" s="25">
        <v>9.1999999999999993</v>
      </c>
      <c r="L21" s="26" t="s">
        <v>73</v>
      </c>
      <c r="M21" s="26" t="s">
        <v>13720</v>
      </c>
      <c r="N21" s="26" t="s">
        <v>13721</v>
      </c>
      <c r="O21" s="27" t="s">
        <v>13722</v>
      </c>
      <c r="P21" s="28"/>
      <c r="Q21" s="29">
        <v>4</v>
      </c>
      <c r="R21" s="29">
        <v>16</v>
      </c>
      <c r="S21" s="29">
        <v>266.12</v>
      </c>
      <c r="T21" s="26" t="s">
        <v>146</v>
      </c>
      <c r="U21" s="30" t="s">
        <v>78</v>
      </c>
      <c r="V21" s="26" t="s">
        <v>129</v>
      </c>
      <c r="W21" s="26" t="s">
        <v>3233</v>
      </c>
      <c r="X21" s="26" t="s">
        <v>131</v>
      </c>
      <c r="Y21" s="26" t="s">
        <v>91</v>
      </c>
      <c r="Z21" s="26" t="s">
        <v>91</v>
      </c>
      <c r="AA21" s="26"/>
      <c r="AB21" s="31" t="s">
        <v>9</v>
      </c>
      <c r="AC21" s="30" t="s">
        <v>172</v>
      </c>
      <c r="AD21" s="25" t="s">
        <v>173</v>
      </c>
      <c r="AE21" s="25" t="s">
        <v>174</v>
      </c>
      <c r="AF21" s="26" t="s">
        <v>175</v>
      </c>
      <c r="AG21" s="32">
        <v>1</v>
      </c>
      <c r="AH21" s="32"/>
      <c r="AI21" s="32"/>
      <c r="AJ21" s="32"/>
      <c r="AK21" s="30"/>
      <c r="AL21" s="32">
        <f t="shared" si="0"/>
        <v>0</v>
      </c>
      <c r="AM21" s="30"/>
      <c r="AN21" s="32"/>
      <c r="AO21" s="32"/>
      <c r="AP21" s="32"/>
      <c r="AQ21" s="32"/>
      <c r="AR21" s="32"/>
      <c r="AS21" s="32"/>
      <c r="AT21" s="32"/>
      <c r="AU21" s="30"/>
      <c r="AV21" s="30"/>
      <c r="AW21" s="30"/>
      <c r="AX21" s="30"/>
      <c r="AY21" s="30"/>
    </row>
    <row r="22" spans="1:51">
      <c r="A22" s="25" t="s">
        <v>13723</v>
      </c>
      <c r="B22" s="25" t="s">
        <v>4398</v>
      </c>
      <c r="C22" s="25" t="s">
        <v>68</v>
      </c>
      <c r="D22" s="25" t="s">
        <v>13724</v>
      </c>
      <c r="E22" s="258" t="s">
        <v>13725</v>
      </c>
      <c r="F22" s="25" t="s">
        <v>13726</v>
      </c>
      <c r="G22" s="25" t="s">
        <v>5516</v>
      </c>
      <c r="H22" s="25" t="s">
        <v>11489</v>
      </c>
      <c r="I22" s="26" t="s">
        <v>4402</v>
      </c>
      <c r="J22" s="25" t="s">
        <v>13592</v>
      </c>
      <c r="K22" s="25">
        <v>9.1999999999999993</v>
      </c>
      <c r="L22" s="26" t="s">
        <v>73</v>
      </c>
      <c r="M22" s="26" t="s">
        <v>13727</v>
      </c>
      <c r="N22" s="26" t="s">
        <v>13728</v>
      </c>
      <c r="O22" s="27" t="s">
        <v>13729</v>
      </c>
      <c r="P22" s="28"/>
      <c r="Q22" s="29">
        <v>4</v>
      </c>
      <c r="R22" s="29">
        <v>16</v>
      </c>
      <c r="S22" s="29">
        <v>266.23</v>
      </c>
      <c r="T22" s="26" t="s">
        <v>146</v>
      </c>
      <c r="U22" s="30" t="s">
        <v>78</v>
      </c>
      <c r="V22" s="26" t="s">
        <v>129</v>
      </c>
      <c r="W22" s="26" t="s">
        <v>3233</v>
      </c>
      <c r="X22" s="26" t="s">
        <v>131</v>
      </c>
      <c r="Y22" s="26" t="s">
        <v>91</v>
      </c>
      <c r="Z22" s="26" t="s">
        <v>91</v>
      </c>
      <c r="AA22" s="26"/>
      <c r="AB22" s="31" t="s">
        <v>9</v>
      </c>
      <c r="AC22" s="30" t="s">
        <v>172</v>
      </c>
      <c r="AD22" s="25" t="s">
        <v>173</v>
      </c>
      <c r="AE22" s="25" t="s">
        <v>174</v>
      </c>
      <c r="AF22" s="26" t="s">
        <v>175</v>
      </c>
      <c r="AG22" s="32">
        <v>1</v>
      </c>
      <c r="AH22" s="32"/>
      <c r="AI22" s="32"/>
      <c r="AJ22" s="32"/>
      <c r="AK22" s="30"/>
      <c r="AL22" s="32">
        <f t="shared" si="0"/>
        <v>0</v>
      </c>
      <c r="AM22" s="30"/>
      <c r="AN22" s="32"/>
      <c r="AO22" s="32"/>
      <c r="AP22" s="32"/>
      <c r="AQ22" s="32"/>
      <c r="AR22" s="32"/>
      <c r="AS22" s="32"/>
      <c r="AT22" s="32"/>
      <c r="AU22" s="30"/>
      <c r="AV22" s="30"/>
      <c r="AW22" s="30"/>
      <c r="AX22" s="30"/>
      <c r="AY22" s="30"/>
    </row>
    <row r="23" spans="1:51">
      <c r="A23" s="25" t="s">
        <v>13730</v>
      </c>
      <c r="B23" s="25" t="s">
        <v>4398</v>
      </c>
      <c r="C23" s="25" t="s">
        <v>68</v>
      </c>
      <c r="D23" s="25" t="s">
        <v>13731</v>
      </c>
      <c r="E23" s="258" t="s">
        <v>13732</v>
      </c>
      <c r="F23" s="25" t="s">
        <v>13733</v>
      </c>
      <c r="G23" s="25" t="s">
        <v>5516</v>
      </c>
      <c r="H23" s="25" t="s">
        <v>11489</v>
      </c>
      <c r="I23" s="26" t="s">
        <v>4402</v>
      </c>
      <c r="J23" s="25" t="s">
        <v>13592</v>
      </c>
      <c r="K23" s="25">
        <v>9.1999999999999993</v>
      </c>
      <c r="L23" s="26" t="s">
        <v>73</v>
      </c>
      <c r="M23" s="26" t="s">
        <v>13734</v>
      </c>
      <c r="N23" s="26" t="s">
        <v>13735</v>
      </c>
      <c r="O23" s="27" t="s">
        <v>13736</v>
      </c>
      <c r="P23" s="28"/>
      <c r="Q23" s="29">
        <v>4</v>
      </c>
      <c r="R23" s="29">
        <v>16</v>
      </c>
      <c r="S23" s="29">
        <v>416.12</v>
      </c>
      <c r="T23" s="26" t="s">
        <v>146</v>
      </c>
      <c r="U23" s="30" t="s">
        <v>78</v>
      </c>
      <c r="V23" s="26" t="s">
        <v>129</v>
      </c>
      <c r="W23" s="26" t="s">
        <v>3233</v>
      </c>
      <c r="X23" s="26" t="s">
        <v>131</v>
      </c>
      <c r="Y23" s="26" t="s">
        <v>91</v>
      </c>
      <c r="Z23" s="26" t="s">
        <v>91</v>
      </c>
      <c r="AA23" s="26"/>
      <c r="AB23" s="31" t="s">
        <v>9</v>
      </c>
      <c r="AC23" s="30" t="s">
        <v>172</v>
      </c>
      <c r="AD23" s="25" t="s">
        <v>173</v>
      </c>
      <c r="AE23" s="25" t="s">
        <v>174</v>
      </c>
      <c r="AF23" s="26" t="s">
        <v>175</v>
      </c>
      <c r="AG23" s="32">
        <v>1</v>
      </c>
      <c r="AH23" s="32"/>
      <c r="AI23" s="32"/>
      <c r="AJ23" s="32"/>
      <c r="AK23" s="30"/>
      <c r="AL23" s="32">
        <f t="shared" si="0"/>
        <v>0</v>
      </c>
      <c r="AM23" s="30"/>
      <c r="AN23" s="32"/>
      <c r="AO23" s="32"/>
      <c r="AP23" s="32"/>
      <c r="AQ23" s="32"/>
      <c r="AR23" s="32"/>
      <c r="AS23" s="32"/>
      <c r="AT23" s="32"/>
      <c r="AU23" s="30"/>
      <c r="AV23" s="30"/>
      <c r="AW23" s="30"/>
      <c r="AX23" s="30"/>
      <c r="AY23" s="30"/>
    </row>
    <row r="24" spans="1:51">
      <c r="A24" s="25" t="s">
        <v>13737</v>
      </c>
      <c r="B24" s="25" t="s">
        <v>4398</v>
      </c>
      <c r="C24" s="25" t="s">
        <v>68</v>
      </c>
      <c r="D24" s="25" t="s">
        <v>13738</v>
      </c>
      <c r="E24" s="258" t="s">
        <v>13739</v>
      </c>
      <c r="F24" s="25" t="s">
        <v>13740</v>
      </c>
      <c r="G24" s="25" t="s">
        <v>5516</v>
      </c>
      <c r="H24" s="25" t="s">
        <v>11489</v>
      </c>
      <c r="I24" s="26" t="s">
        <v>4402</v>
      </c>
      <c r="J24" s="25" t="s">
        <v>13592</v>
      </c>
      <c r="K24" s="25">
        <v>9.1999999999999993</v>
      </c>
      <c r="L24" s="26" t="s">
        <v>73</v>
      </c>
      <c r="M24" s="26" t="s">
        <v>13741</v>
      </c>
      <c r="N24" s="26" t="s">
        <v>13742</v>
      </c>
      <c r="O24" s="27" t="s">
        <v>13743</v>
      </c>
      <c r="P24" s="28"/>
      <c r="Q24" s="29">
        <v>4</v>
      </c>
      <c r="R24" s="29">
        <v>16</v>
      </c>
      <c r="S24" s="29">
        <v>266.17</v>
      </c>
      <c r="T24" s="26" t="s">
        <v>146</v>
      </c>
      <c r="U24" s="30" t="s">
        <v>78</v>
      </c>
      <c r="V24" s="26" t="s">
        <v>129</v>
      </c>
      <c r="W24" s="26" t="s">
        <v>3233</v>
      </c>
      <c r="X24" s="26" t="s">
        <v>131</v>
      </c>
      <c r="Y24" s="26" t="s">
        <v>91</v>
      </c>
      <c r="Z24" s="26" t="s">
        <v>91</v>
      </c>
      <c r="AA24" s="26"/>
      <c r="AB24" s="31" t="s">
        <v>9</v>
      </c>
      <c r="AC24" s="30" t="s">
        <v>172</v>
      </c>
      <c r="AD24" s="25" t="s">
        <v>173</v>
      </c>
      <c r="AE24" s="25" t="s">
        <v>174</v>
      </c>
      <c r="AF24" s="26" t="s">
        <v>175</v>
      </c>
      <c r="AG24" s="32">
        <v>1</v>
      </c>
      <c r="AH24" s="32"/>
      <c r="AI24" s="32"/>
      <c r="AJ24" s="32"/>
      <c r="AK24" s="30"/>
      <c r="AL24" s="32">
        <f t="shared" si="0"/>
        <v>0</v>
      </c>
      <c r="AM24" s="30"/>
      <c r="AN24" s="32"/>
      <c r="AO24" s="32"/>
      <c r="AP24" s="32"/>
      <c r="AQ24" s="32"/>
      <c r="AR24" s="32"/>
      <c r="AS24" s="32"/>
      <c r="AT24" s="32"/>
      <c r="AU24" s="30"/>
      <c r="AV24" s="30"/>
      <c r="AW24" s="30"/>
      <c r="AX24" s="30"/>
      <c r="AY24" s="30"/>
    </row>
    <row r="25" spans="1:51">
      <c r="A25" s="25" t="s">
        <v>13744</v>
      </c>
      <c r="B25" s="25" t="s">
        <v>4398</v>
      </c>
      <c r="C25" s="25" t="s">
        <v>68</v>
      </c>
      <c r="D25" s="25" t="s">
        <v>13745</v>
      </c>
      <c r="E25" s="258" t="s">
        <v>13746</v>
      </c>
      <c r="F25" s="25" t="s">
        <v>13747</v>
      </c>
      <c r="G25" s="25" t="s">
        <v>5516</v>
      </c>
      <c r="H25" s="25" t="s">
        <v>11489</v>
      </c>
      <c r="I25" s="26" t="s">
        <v>4402</v>
      </c>
      <c r="J25" s="25" t="s">
        <v>13592</v>
      </c>
      <c r="K25" s="25">
        <v>9.1999999999999993</v>
      </c>
      <c r="L25" s="26" t="s">
        <v>73</v>
      </c>
      <c r="M25" s="26" t="s">
        <v>13748</v>
      </c>
      <c r="N25" s="26" t="s">
        <v>13749</v>
      </c>
      <c r="O25" s="27" t="s">
        <v>13750</v>
      </c>
      <c r="P25" s="28"/>
      <c r="Q25" s="29">
        <v>4</v>
      </c>
      <c r="R25" s="29">
        <v>16</v>
      </c>
      <c r="S25" s="29">
        <v>286.11</v>
      </c>
      <c r="T25" s="26" t="s">
        <v>146</v>
      </c>
      <c r="U25" s="30" t="s">
        <v>78</v>
      </c>
      <c r="V25" s="26" t="s">
        <v>129</v>
      </c>
      <c r="W25" s="26" t="s">
        <v>3233</v>
      </c>
      <c r="X25" s="26" t="s">
        <v>131</v>
      </c>
      <c r="Y25" s="26" t="s">
        <v>91</v>
      </c>
      <c r="Z25" s="26" t="s">
        <v>91</v>
      </c>
      <c r="AA25" s="26"/>
      <c r="AB25" s="31" t="s">
        <v>9</v>
      </c>
      <c r="AC25" s="30" t="s">
        <v>172</v>
      </c>
      <c r="AD25" s="25" t="s">
        <v>173</v>
      </c>
      <c r="AE25" s="25" t="s">
        <v>174</v>
      </c>
      <c r="AF25" s="26" t="s">
        <v>175</v>
      </c>
      <c r="AG25" s="32">
        <v>1</v>
      </c>
      <c r="AH25" s="32"/>
      <c r="AI25" s="32"/>
      <c r="AJ25" s="32"/>
      <c r="AK25" s="30"/>
      <c r="AL25" s="32">
        <f t="shared" si="0"/>
        <v>0</v>
      </c>
      <c r="AM25" s="30"/>
      <c r="AN25" s="32"/>
      <c r="AO25" s="32"/>
      <c r="AP25" s="32"/>
      <c r="AQ25" s="32"/>
      <c r="AR25" s="32"/>
      <c r="AS25" s="32"/>
      <c r="AT25" s="32"/>
      <c r="AU25" s="30"/>
      <c r="AV25" s="30"/>
      <c r="AW25" s="30"/>
      <c r="AX25" s="30"/>
      <c r="AY25" s="30"/>
    </row>
    <row r="26" spans="1:51">
      <c r="A26" s="25" t="s">
        <v>13751</v>
      </c>
      <c r="B26" s="25" t="s">
        <v>4398</v>
      </c>
      <c r="C26" s="25" t="s">
        <v>68</v>
      </c>
      <c r="D26" s="25" t="s">
        <v>13752</v>
      </c>
      <c r="E26" s="258" t="s">
        <v>13753</v>
      </c>
      <c r="F26" s="25" t="s">
        <v>13754</v>
      </c>
      <c r="G26" s="25" t="s">
        <v>5516</v>
      </c>
      <c r="H26" s="25" t="s">
        <v>11489</v>
      </c>
      <c r="I26" s="26" t="s">
        <v>4402</v>
      </c>
      <c r="J26" s="25" t="s">
        <v>13592</v>
      </c>
      <c r="K26" s="25">
        <v>9.1999999999999993</v>
      </c>
      <c r="L26" s="26" t="s">
        <v>73</v>
      </c>
      <c r="M26" s="26" t="s">
        <v>13755</v>
      </c>
      <c r="N26" s="26" t="s">
        <v>13756</v>
      </c>
      <c r="O26" s="27" t="s">
        <v>13757</v>
      </c>
      <c r="P26" s="28"/>
      <c r="Q26" s="29">
        <v>4</v>
      </c>
      <c r="R26" s="29">
        <v>16</v>
      </c>
      <c r="S26" s="29">
        <v>267.82</v>
      </c>
      <c r="T26" s="26" t="s">
        <v>146</v>
      </c>
      <c r="U26" s="30" t="s">
        <v>78</v>
      </c>
      <c r="V26" s="26" t="s">
        <v>129</v>
      </c>
      <c r="W26" s="26" t="s">
        <v>3233</v>
      </c>
      <c r="X26" s="26" t="s">
        <v>131</v>
      </c>
      <c r="Y26" s="26" t="s">
        <v>91</v>
      </c>
      <c r="Z26" s="26" t="s">
        <v>91</v>
      </c>
      <c r="AA26" s="26"/>
      <c r="AB26" s="31" t="s">
        <v>9</v>
      </c>
      <c r="AC26" s="30" t="s">
        <v>172</v>
      </c>
      <c r="AD26" s="25" t="s">
        <v>173</v>
      </c>
      <c r="AE26" s="25" t="s">
        <v>174</v>
      </c>
      <c r="AF26" s="26" t="s">
        <v>175</v>
      </c>
      <c r="AG26" s="32">
        <v>1</v>
      </c>
      <c r="AH26" s="32"/>
      <c r="AI26" s="32"/>
      <c r="AJ26" s="32"/>
      <c r="AK26" s="30"/>
      <c r="AL26" s="32">
        <f t="shared" si="0"/>
        <v>0</v>
      </c>
      <c r="AM26" s="30"/>
      <c r="AN26" s="32"/>
      <c r="AO26" s="32"/>
      <c r="AP26" s="32"/>
      <c r="AQ26" s="32"/>
      <c r="AR26" s="32"/>
      <c r="AS26" s="32"/>
      <c r="AT26" s="32"/>
      <c r="AU26" s="30"/>
      <c r="AV26" s="30"/>
      <c r="AW26" s="30"/>
      <c r="AX26" s="30"/>
      <c r="AY26" s="30"/>
    </row>
    <row r="27" spans="1:51">
      <c r="A27" s="25" t="s">
        <v>13758</v>
      </c>
      <c r="B27" s="25" t="s">
        <v>4398</v>
      </c>
      <c r="C27" s="25" t="s">
        <v>68</v>
      </c>
      <c r="D27" s="25" t="s">
        <v>13759</v>
      </c>
      <c r="E27" s="258" t="s">
        <v>13760</v>
      </c>
      <c r="F27" s="25" t="s">
        <v>13761</v>
      </c>
      <c r="G27" s="25" t="s">
        <v>5516</v>
      </c>
      <c r="H27" s="25" t="s">
        <v>11489</v>
      </c>
      <c r="I27" s="26" t="s">
        <v>4402</v>
      </c>
      <c r="J27" s="25" t="s">
        <v>13592</v>
      </c>
      <c r="K27" s="25">
        <v>9.1999999999999993</v>
      </c>
      <c r="L27" s="26" t="s">
        <v>73</v>
      </c>
      <c r="M27" s="26" t="s">
        <v>13762</v>
      </c>
      <c r="N27" s="26" t="s">
        <v>13763</v>
      </c>
      <c r="O27" s="27" t="s">
        <v>13764</v>
      </c>
      <c r="P27" s="28"/>
      <c r="Q27" s="29">
        <v>4</v>
      </c>
      <c r="R27" s="29">
        <v>16</v>
      </c>
      <c r="S27" s="29">
        <v>517.01</v>
      </c>
      <c r="T27" s="26" t="s">
        <v>146</v>
      </c>
      <c r="U27" s="30" t="s">
        <v>78</v>
      </c>
      <c r="V27" s="26" t="s">
        <v>129</v>
      </c>
      <c r="W27" s="26" t="s">
        <v>3233</v>
      </c>
      <c r="X27" s="26" t="s">
        <v>131</v>
      </c>
      <c r="Y27" s="26" t="s">
        <v>91</v>
      </c>
      <c r="Z27" s="26" t="s">
        <v>91</v>
      </c>
      <c r="AA27" s="26"/>
      <c r="AB27" s="31" t="s">
        <v>9</v>
      </c>
      <c r="AC27" s="30" t="s">
        <v>172</v>
      </c>
      <c r="AD27" s="25" t="s">
        <v>173</v>
      </c>
      <c r="AE27" s="25" t="s">
        <v>174</v>
      </c>
      <c r="AF27" s="26" t="s">
        <v>175</v>
      </c>
      <c r="AG27" s="32">
        <v>1</v>
      </c>
      <c r="AH27" s="32"/>
      <c r="AI27" s="32"/>
      <c r="AJ27" s="32"/>
      <c r="AK27" s="30"/>
      <c r="AL27" s="32">
        <f t="shared" si="0"/>
        <v>0</v>
      </c>
      <c r="AM27" s="30"/>
      <c r="AN27" s="32"/>
      <c r="AO27" s="32"/>
      <c r="AP27" s="32"/>
      <c r="AQ27" s="32"/>
      <c r="AR27" s="32"/>
      <c r="AS27" s="32"/>
      <c r="AT27" s="32"/>
      <c r="AU27" s="30"/>
      <c r="AV27" s="30"/>
      <c r="AW27" s="30"/>
      <c r="AX27" s="30"/>
      <c r="AY27" s="30"/>
    </row>
    <row r="28" spans="1:51">
      <c r="A28" s="25" t="s">
        <v>13765</v>
      </c>
      <c r="B28" s="25" t="s">
        <v>4398</v>
      </c>
      <c r="C28" s="25" t="s">
        <v>68</v>
      </c>
      <c r="D28" s="25" t="s">
        <v>13766</v>
      </c>
      <c r="E28" s="258" t="s">
        <v>13767</v>
      </c>
      <c r="F28" s="25" t="s">
        <v>13768</v>
      </c>
      <c r="G28" s="25" t="s">
        <v>5516</v>
      </c>
      <c r="H28" s="25" t="s">
        <v>11489</v>
      </c>
      <c r="I28" s="26" t="s">
        <v>4402</v>
      </c>
      <c r="J28" s="25" t="s">
        <v>13592</v>
      </c>
      <c r="K28" s="25">
        <v>9.1999999999999993</v>
      </c>
      <c r="L28" s="26" t="s">
        <v>73</v>
      </c>
      <c r="M28" s="26" t="s">
        <v>13769</v>
      </c>
      <c r="N28" s="26" t="s">
        <v>13770</v>
      </c>
      <c r="O28" s="27" t="s">
        <v>13771</v>
      </c>
      <c r="P28" s="28"/>
      <c r="Q28" s="29">
        <v>4</v>
      </c>
      <c r="R28" s="29">
        <v>16</v>
      </c>
      <c r="S28" s="29">
        <v>267.99</v>
      </c>
      <c r="T28" s="26" t="s">
        <v>146</v>
      </c>
      <c r="U28" s="30" t="s">
        <v>78</v>
      </c>
      <c r="V28" s="26" t="s">
        <v>129</v>
      </c>
      <c r="W28" s="26" t="s">
        <v>3233</v>
      </c>
      <c r="X28" s="26" t="s">
        <v>131</v>
      </c>
      <c r="Y28" s="26" t="s">
        <v>91</v>
      </c>
      <c r="Z28" s="26" t="s">
        <v>91</v>
      </c>
      <c r="AA28" s="26"/>
      <c r="AB28" s="31" t="s">
        <v>9</v>
      </c>
      <c r="AC28" s="30" t="s">
        <v>172</v>
      </c>
      <c r="AD28" s="25" t="s">
        <v>173</v>
      </c>
      <c r="AE28" s="25" t="s">
        <v>174</v>
      </c>
      <c r="AF28" s="26" t="s">
        <v>175</v>
      </c>
      <c r="AG28" s="32">
        <v>1</v>
      </c>
      <c r="AH28" s="32"/>
      <c r="AI28" s="32"/>
      <c r="AJ28" s="32"/>
      <c r="AK28" s="30"/>
      <c r="AL28" s="32">
        <f t="shared" si="0"/>
        <v>0</v>
      </c>
      <c r="AM28" s="30"/>
      <c r="AN28" s="32"/>
      <c r="AO28" s="32"/>
      <c r="AP28" s="32"/>
      <c r="AQ28" s="32"/>
      <c r="AR28" s="32"/>
      <c r="AS28" s="32"/>
      <c r="AT28" s="32"/>
      <c r="AU28" s="30"/>
      <c r="AV28" s="30"/>
      <c r="AW28" s="30"/>
      <c r="AX28" s="30"/>
      <c r="AY28" s="30"/>
    </row>
    <row r="29" spans="1:51">
      <c r="A29" s="25" t="s">
        <v>13772</v>
      </c>
      <c r="B29" s="25" t="s">
        <v>4398</v>
      </c>
      <c r="C29" s="25" t="s">
        <v>68</v>
      </c>
      <c r="D29" s="25" t="s">
        <v>13773</v>
      </c>
      <c r="E29" s="258" t="s">
        <v>13774</v>
      </c>
      <c r="F29" s="25" t="s">
        <v>13775</v>
      </c>
      <c r="G29" s="25" t="s">
        <v>5516</v>
      </c>
      <c r="H29" s="25" t="s">
        <v>11489</v>
      </c>
      <c r="I29" s="26" t="s">
        <v>4402</v>
      </c>
      <c r="J29" s="25" t="s">
        <v>13592</v>
      </c>
      <c r="K29" s="25">
        <v>9.1999999999999993</v>
      </c>
      <c r="L29" s="26" t="s">
        <v>73</v>
      </c>
      <c r="M29" s="26" t="s">
        <v>13776</v>
      </c>
      <c r="N29" s="26" t="s">
        <v>13777</v>
      </c>
      <c r="O29" s="27" t="s">
        <v>13778</v>
      </c>
      <c r="P29" s="28"/>
      <c r="Q29" s="29">
        <v>4</v>
      </c>
      <c r="R29" s="29">
        <v>16</v>
      </c>
      <c r="S29" s="29">
        <v>286.22000000000003</v>
      </c>
      <c r="T29" s="26" t="s">
        <v>146</v>
      </c>
      <c r="U29" s="30" t="s">
        <v>78</v>
      </c>
      <c r="V29" s="26" t="s">
        <v>129</v>
      </c>
      <c r="W29" s="26" t="s">
        <v>3233</v>
      </c>
      <c r="X29" s="26" t="s">
        <v>131</v>
      </c>
      <c r="Y29" s="26" t="s">
        <v>91</v>
      </c>
      <c r="Z29" s="26" t="s">
        <v>91</v>
      </c>
      <c r="AA29" s="26"/>
      <c r="AB29" s="31" t="s">
        <v>9</v>
      </c>
      <c r="AC29" s="30" t="s">
        <v>172</v>
      </c>
      <c r="AD29" s="25" t="s">
        <v>173</v>
      </c>
      <c r="AE29" s="25" t="s">
        <v>174</v>
      </c>
      <c r="AF29" s="26" t="s">
        <v>175</v>
      </c>
      <c r="AG29" s="32">
        <v>1</v>
      </c>
      <c r="AH29" s="32"/>
      <c r="AI29" s="32"/>
      <c r="AJ29" s="32"/>
      <c r="AK29" s="30"/>
      <c r="AL29" s="32">
        <f t="shared" si="0"/>
        <v>0</v>
      </c>
      <c r="AM29" s="30"/>
      <c r="AN29" s="32"/>
      <c r="AO29" s="32"/>
      <c r="AP29" s="32"/>
      <c r="AQ29" s="32"/>
      <c r="AR29" s="32"/>
      <c r="AS29" s="32"/>
      <c r="AT29" s="32"/>
      <c r="AU29" s="30"/>
      <c r="AV29" s="30"/>
      <c r="AW29" s="30"/>
      <c r="AX29" s="30"/>
      <c r="AY29" s="30"/>
    </row>
    <row r="30" spans="1:51">
      <c r="A30" s="25" t="s">
        <v>13779</v>
      </c>
      <c r="B30" s="25" t="s">
        <v>4398</v>
      </c>
      <c r="C30" s="25" t="s">
        <v>68</v>
      </c>
      <c r="D30" s="25" t="s">
        <v>13780</v>
      </c>
      <c r="E30" s="258" t="s">
        <v>13781</v>
      </c>
      <c r="F30" s="25" t="s">
        <v>13782</v>
      </c>
      <c r="G30" s="25" t="s">
        <v>5516</v>
      </c>
      <c r="H30" s="25" t="s">
        <v>11489</v>
      </c>
      <c r="I30" s="26" t="s">
        <v>4402</v>
      </c>
      <c r="J30" s="25" t="s">
        <v>13592</v>
      </c>
      <c r="K30" s="25">
        <v>9.1999999999999993</v>
      </c>
      <c r="L30" s="26" t="s">
        <v>73</v>
      </c>
      <c r="M30" s="26" t="s">
        <v>13783</v>
      </c>
      <c r="N30" s="26" t="s">
        <v>13784</v>
      </c>
      <c r="O30" s="27" t="s">
        <v>13785</v>
      </c>
      <c r="P30" s="28"/>
      <c r="Q30" s="29">
        <v>4</v>
      </c>
      <c r="R30" s="29">
        <v>16</v>
      </c>
      <c r="S30" s="29">
        <v>286.64999999999998</v>
      </c>
      <c r="T30" s="26" t="s">
        <v>146</v>
      </c>
      <c r="U30" s="30" t="s">
        <v>78</v>
      </c>
      <c r="V30" s="26" t="s">
        <v>129</v>
      </c>
      <c r="W30" s="26" t="s">
        <v>3233</v>
      </c>
      <c r="X30" s="26" t="s">
        <v>131</v>
      </c>
      <c r="Y30" s="26" t="s">
        <v>91</v>
      </c>
      <c r="Z30" s="26" t="s">
        <v>91</v>
      </c>
      <c r="AA30" s="26"/>
      <c r="AB30" s="31" t="s">
        <v>9</v>
      </c>
      <c r="AC30" s="30" t="s">
        <v>172</v>
      </c>
      <c r="AD30" s="25" t="s">
        <v>173</v>
      </c>
      <c r="AE30" s="25" t="s">
        <v>174</v>
      </c>
      <c r="AF30" s="26" t="s">
        <v>175</v>
      </c>
      <c r="AG30" s="32">
        <v>1</v>
      </c>
      <c r="AH30" s="32"/>
      <c r="AI30" s="32"/>
      <c r="AJ30" s="32"/>
      <c r="AK30" s="30"/>
      <c r="AL30" s="32">
        <f t="shared" si="0"/>
        <v>0</v>
      </c>
      <c r="AM30" s="30"/>
      <c r="AN30" s="32"/>
      <c r="AO30" s="32"/>
      <c r="AP30" s="32"/>
      <c r="AQ30" s="32"/>
      <c r="AR30" s="32"/>
      <c r="AS30" s="32"/>
      <c r="AT30" s="32"/>
      <c r="AU30" s="30"/>
      <c r="AV30" s="30"/>
      <c r="AW30" s="30"/>
      <c r="AX30" s="30"/>
      <c r="AY30" s="30"/>
    </row>
    <row r="31" spans="1:51">
      <c r="A31" s="25" t="s">
        <v>13786</v>
      </c>
      <c r="B31" s="25" t="s">
        <v>4398</v>
      </c>
      <c r="C31" s="25" t="s">
        <v>68</v>
      </c>
      <c r="D31" s="25" t="s">
        <v>13787</v>
      </c>
      <c r="E31" s="258" t="s">
        <v>13788</v>
      </c>
      <c r="F31" s="25" t="s">
        <v>13789</v>
      </c>
      <c r="G31" s="25" t="s">
        <v>5516</v>
      </c>
      <c r="H31" s="25" t="s">
        <v>11489</v>
      </c>
      <c r="I31" s="26" t="s">
        <v>4402</v>
      </c>
      <c r="J31" s="25" t="s">
        <v>13592</v>
      </c>
      <c r="K31" s="25">
        <v>9.1999999999999993</v>
      </c>
      <c r="L31" s="26" t="s">
        <v>73</v>
      </c>
      <c r="M31" s="26" t="s">
        <v>13790</v>
      </c>
      <c r="N31" s="26" t="s">
        <v>13791</v>
      </c>
      <c r="O31" s="27" t="s">
        <v>13792</v>
      </c>
      <c r="P31" s="28"/>
      <c r="Q31" s="29">
        <v>4</v>
      </c>
      <c r="R31" s="29">
        <v>16</v>
      </c>
      <c r="S31" s="29">
        <v>267.2</v>
      </c>
      <c r="T31" s="26" t="s">
        <v>146</v>
      </c>
      <c r="U31" s="30" t="s">
        <v>78</v>
      </c>
      <c r="V31" s="26" t="s">
        <v>129</v>
      </c>
      <c r="W31" s="26" t="s">
        <v>3233</v>
      </c>
      <c r="X31" s="26" t="s">
        <v>131</v>
      </c>
      <c r="Y31" s="26" t="s">
        <v>91</v>
      </c>
      <c r="Z31" s="26" t="s">
        <v>91</v>
      </c>
      <c r="AA31" s="26"/>
      <c r="AB31" s="31" t="s">
        <v>9</v>
      </c>
      <c r="AC31" s="30" t="s">
        <v>172</v>
      </c>
      <c r="AD31" s="25" t="s">
        <v>173</v>
      </c>
      <c r="AE31" s="25" t="s">
        <v>174</v>
      </c>
      <c r="AF31" s="26" t="s">
        <v>175</v>
      </c>
      <c r="AG31" s="32">
        <v>1</v>
      </c>
      <c r="AH31" s="32"/>
      <c r="AI31" s="32"/>
      <c r="AJ31" s="32"/>
      <c r="AK31" s="30"/>
      <c r="AL31" s="32">
        <f t="shared" si="0"/>
        <v>0</v>
      </c>
      <c r="AM31" s="30"/>
      <c r="AN31" s="32"/>
      <c r="AO31" s="32"/>
      <c r="AP31" s="32"/>
      <c r="AQ31" s="32"/>
      <c r="AR31" s="32"/>
      <c r="AS31" s="32"/>
      <c r="AT31" s="32"/>
      <c r="AU31" s="30"/>
      <c r="AV31" s="30"/>
      <c r="AW31" s="30"/>
      <c r="AX31" s="30"/>
      <c r="AY31" s="30"/>
    </row>
    <row r="32" spans="1:51">
      <c r="A32" s="25" t="s">
        <v>13793</v>
      </c>
      <c r="B32" s="25" t="s">
        <v>4398</v>
      </c>
      <c r="C32" s="25" t="s">
        <v>68</v>
      </c>
      <c r="D32" s="25" t="s">
        <v>13794</v>
      </c>
      <c r="E32" s="258" t="s">
        <v>13795</v>
      </c>
      <c r="F32" s="25" t="s">
        <v>13796</v>
      </c>
      <c r="G32" s="25" t="s">
        <v>5516</v>
      </c>
      <c r="H32" s="25" t="s">
        <v>11489</v>
      </c>
      <c r="I32" s="26" t="s">
        <v>4402</v>
      </c>
      <c r="J32" s="25" t="s">
        <v>13592</v>
      </c>
      <c r="K32" s="25" t="s">
        <v>11500</v>
      </c>
      <c r="L32" s="26" t="s">
        <v>73</v>
      </c>
      <c r="M32" s="26" t="s">
        <v>13797</v>
      </c>
      <c r="N32" s="26" t="s">
        <v>13798</v>
      </c>
      <c r="O32" s="33" t="s">
        <v>13799</v>
      </c>
      <c r="P32" s="28" t="s">
        <v>11500</v>
      </c>
      <c r="Q32" s="29">
        <v>4</v>
      </c>
      <c r="R32" s="29">
        <v>16</v>
      </c>
      <c r="S32" s="29">
        <v>286.18</v>
      </c>
      <c r="T32" s="30"/>
      <c r="U32" s="30"/>
      <c r="V32" s="30"/>
      <c r="W32" s="26"/>
      <c r="X32" s="26"/>
      <c r="Y32" s="26"/>
      <c r="Z32" s="26"/>
      <c r="AA32" s="26"/>
      <c r="AB32" s="31"/>
      <c r="AC32" s="30" t="s">
        <v>172</v>
      </c>
      <c r="AD32" s="25" t="s">
        <v>173</v>
      </c>
      <c r="AE32" s="25" t="s">
        <v>174</v>
      </c>
      <c r="AF32" s="26" t="s">
        <v>175</v>
      </c>
      <c r="AG32" s="32"/>
      <c r="AH32" s="32"/>
      <c r="AI32" s="32"/>
      <c r="AJ32" s="32"/>
      <c r="AK32" s="30"/>
      <c r="AL32" s="32">
        <f t="shared" si="0"/>
        <v>0</v>
      </c>
      <c r="AM32" s="30"/>
      <c r="AN32" s="32"/>
      <c r="AO32" s="32"/>
      <c r="AP32" s="32"/>
      <c r="AQ32" s="32"/>
      <c r="AR32" s="32"/>
      <c r="AS32" s="32"/>
      <c r="AT32" s="32"/>
      <c r="AU32" s="30"/>
      <c r="AV32" s="30"/>
      <c r="AW32" s="30"/>
      <c r="AX32" s="30"/>
      <c r="AY32" s="30"/>
    </row>
    <row r="33" spans="1:51">
      <c r="A33" s="25" t="s">
        <v>13800</v>
      </c>
      <c r="B33" s="25" t="s">
        <v>4398</v>
      </c>
      <c r="C33" s="25" t="s">
        <v>68</v>
      </c>
      <c r="D33" s="25" t="s">
        <v>13801</v>
      </c>
      <c r="E33" s="258" t="s">
        <v>13802</v>
      </c>
      <c r="F33" s="25" t="s">
        <v>12321</v>
      </c>
      <c r="G33" s="25" t="s">
        <v>5516</v>
      </c>
      <c r="H33" s="25" t="s">
        <v>11489</v>
      </c>
      <c r="I33" s="26" t="s">
        <v>4402</v>
      </c>
      <c r="J33" s="25" t="s">
        <v>13592</v>
      </c>
      <c r="K33" s="25">
        <v>9.1999999999999993</v>
      </c>
      <c r="L33" s="26" t="s">
        <v>73</v>
      </c>
      <c r="M33" s="26" t="s">
        <v>13803</v>
      </c>
      <c r="N33" s="26" t="s">
        <v>13804</v>
      </c>
      <c r="O33" s="27" t="s">
        <v>13805</v>
      </c>
      <c r="P33" s="28"/>
      <c r="Q33" s="29">
        <v>4</v>
      </c>
      <c r="R33" s="29">
        <v>16</v>
      </c>
      <c r="S33" s="29">
        <v>266.17</v>
      </c>
      <c r="T33" s="26" t="s">
        <v>146</v>
      </c>
      <c r="U33" s="30" t="s">
        <v>78</v>
      </c>
      <c r="V33" s="26" t="s">
        <v>129</v>
      </c>
      <c r="W33" s="26" t="s">
        <v>3233</v>
      </c>
      <c r="X33" s="26" t="s">
        <v>131</v>
      </c>
      <c r="Y33" s="26" t="s">
        <v>91</v>
      </c>
      <c r="Z33" s="26" t="s">
        <v>91</v>
      </c>
      <c r="AA33" s="26"/>
      <c r="AB33" s="31" t="s">
        <v>9</v>
      </c>
      <c r="AC33" s="30" t="s">
        <v>172</v>
      </c>
      <c r="AD33" s="25" t="s">
        <v>173</v>
      </c>
      <c r="AE33" s="25" t="s">
        <v>174</v>
      </c>
      <c r="AF33" s="26" t="s">
        <v>175</v>
      </c>
      <c r="AG33" s="32">
        <v>1</v>
      </c>
      <c r="AH33" s="32"/>
      <c r="AI33" s="32"/>
      <c r="AJ33" s="32"/>
      <c r="AK33" s="30"/>
      <c r="AL33" s="32">
        <f t="shared" si="0"/>
        <v>0</v>
      </c>
      <c r="AM33" s="30"/>
      <c r="AN33" s="32"/>
      <c r="AO33" s="32"/>
      <c r="AP33" s="32"/>
      <c r="AQ33" s="32"/>
      <c r="AR33" s="35"/>
      <c r="AS33" s="34"/>
      <c r="AT33" s="32"/>
      <c r="AU33" s="30"/>
      <c r="AV33" s="30"/>
      <c r="AW33" s="36"/>
      <c r="AX33" s="30"/>
      <c r="AY33" s="30"/>
    </row>
    <row r="34" spans="1:51">
      <c r="A34" s="25" t="s">
        <v>13806</v>
      </c>
      <c r="B34" s="25" t="s">
        <v>4398</v>
      </c>
      <c r="C34" s="25" t="s">
        <v>68</v>
      </c>
      <c r="D34" s="25" t="s">
        <v>13807</v>
      </c>
      <c r="E34" s="258" t="s">
        <v>13808</v>
      </c>
      <c r="F34" s="25" t="s">
        <v>13809</v>
      </c>
      <c r="G34" s="25" t="s">
        <v>5516</v>
      </c>
      <c r="H34" s="25" t="s">
        <v>11489</v>
      </c>
      <c r="I34" s="26" t="s">
        <v>4402</v>
      </c>
      <c r="J34" s="25" t="s">
        <v>13592</v>
      </c>
      <c r="K34" s="25">
        <v>9.1999999999999993</v>
      </c>
      <c r="L34" s="26" t="s">
        <v>73</v>
      </c>
      <c r="M34" s="26" t="s">
        <v>13810</v>
      </c>
      <c r="N34" s="26" t="s">
        <v>13811</v>
      </c>
      <c r="O34" s="27" t="s">
        <v>13812</v>
      </c>
      <c r="P34" s="28"/>
      <c r="Q34" s="29">
        <v>4</v>
      </c>
      <c r="R34" s="29">
        <v>16</v>
      </c>
      <c r="S34" s="29">
        <v>286.16000000000003</v>
      </c>
      <c r="T34" s="26" t="s">
        <v>146</v>
      </c>
      <c r="U34" s="30" t="s">
        <v>78</v>
      </c>
      <c r="V34" s="26" t="s">
        <v>129</v>
      </c>
      <c r="W34" s="26" t="s">
        <v>3323</v>
      </c>
      <c r="X34" s="26" t="s">
        <v>131</v>
      </c>
      <c r="Y34" s="26" t="s">
        <v>91</v>
      </c>
      <c r="Z34" s="26" t="s">
        <v>91</v>
      </c>
      <c r="AA34" s="26"/>
      <c r="AB34" s="31" t="s">
        <v>11</v>
      </c>
      <c r="AC34" s="30" t="s">
        <v>172</v>
      </c>
      <c r="AD34" s="25" t="s">
        <v>173</v>
      </c>
      <c r="AE34" s="25" t="s">
        <v>174</v>
      </c>
      <c r="AF34" s="26" t="s">
        <v>175</v>
      </c>
      <c r="AG34" s="32">
        <v>1</v>
      </c>
      <c r="AH34" s="32"/>
      <c r="AI34" s="32"/>
      <c r="AJ34" s="32"/>
      <c r="AK34" s="30"/>
      <c r="AL34" s="32">
        <f t="shared" si="0"/>
        <v>0</v>
      </c>
      <c r="AM34" s="30"/>
      <c r="AN34" s="32"/>
      <c r="AO34" s="32"/>
      <c r="AP34" s="32"/>
      <c r="AQ34" s="32"/>
      <c r="AR34" s="32"/>
      <c r="AS34" s="32"/>
      <c r="AT34" s="32"/>
      <c r="AU34" s="30"/>
      <c r="AV34" s="30"/>
      <c r="AW34" s="30"/>
      <c r="AX34" s="30"/>
      <c r="AY34" s="30"/>
    </row>
    <row r="35" spans="1:51">
      <c r="A35" s="25" t="s">
        <v>13813</v>
      </c>
      <c r="B35" s="25" t="s">
        <v>4398</v>
      </c>
      <c r="C35" s="25" t="s">
        <v>68</v>
      </c>
      <c r="D35" s="25" t="s">
        <v>13814</v>
      </c>
      <c r="E35" s="258" t="s">
        <v>13815</v>
      </c>
      <c r="F35" s="25" t="s">
        <v>13816</v>
      </c>
      <c r="G35" s="25" t="s">
        <v>5516</v>
      </c>
      <c r="H35" s="25" t="s">
        <v>11489</v>
      </c>
      <c r="I35" s="26" t="s">
        <v>4402</v>
      </c>
      <c r="J35" s="25" t="s">
        <v>13592</v>
      </c>
      <c r="K35" s="25">
        <v>9.1999999999999993</v>
      </c>
      <c r="L35" s="26" t="s">
        <v>73</v>
      </c>
      <c r="M35" s="26" t="s">
        <v>13817</v>
      </c>
      <c r="N35" s="26" t="s">
        <v>13818</v>
      </c>
      <c r="O35" s="27" t="s">
        <v>13819</v>
      </c>
      <c r="P35" s="28"/>
      <c r="Q35" s="29">
        <v>4</v>
      </c>
      <c r="R35" s="29">
        <v>16</v>
      </c>
      <c r="S35" s="29">
        <v>286.13</v>
      </c>
      <c r="T35" s="26" t="s">
        <v>146</v>
      </c>
      <c r="U35" s="30" t="s">
        <v>78</v>
      </c>
      <c r="V35" s="26" t="s">
        <v>129</v>
      </c>
      <c r="W35" s="26" t="s">
        <v>3323</v>
      </c>
      <c r="X35" s="26" t="s">
        <v>131</v>
      </c>
      <c r="Y35" s="26" t="s">
        <v>91</v>
      </c>
      <c r="Z35" s="26" t="s">
        <v>91</v>
      </c>
      <c r="AA35" s="26"/>
      <c r="AB35" s="31" t="s">
        <v>11</v>
      </c>
      <c r="AC35" s="30" t="s">
        <v>172</v>
      </c>
      <c r="AD35" s="25" t="s">
        <v>173</v>
      </c>
      <c r="AE35" s="25" t="s">
        <v>174</v>
      </c>
      <c r="AF35" s="26" t="s">
        <v>175</v>
      </c>
      <c r="AG35" s="32">
        <v>1</v>
      </c>
      <c r="AH35" s="32"/>
      <c r="AI35" s="32"/>
      <c r="AJ35" s="32"/>
      <c r="AK35" s="30"/>
      <c r="AL35" s="32">
        <f t="shared" ref="AL35:AL66" si="1">IF(COUNTIF(AX:AX,"*"&amp;M35&amp;"*")&gt;0,1,0)</f>
        <v>0</v>
      </c>
      <c r="AM35" s="30"/>
      <c r="AN35" s="25"/>
      <c r="AO35" s="32"/>
      <c r="AP35" s="37"/>
      <c r="AQ35" s="32"/>
      <c r="AR35" s="32"/>
      <c r="AS35" s="32"/>
      <c r="AT35" s="32"/>
      <c r="AU35" s="30"/>
      <c r="AV35" s="30"/>
      <c r="AW35" s="30"/>
      <c r="AX35" s="30"/>
      <c r="AY35" s="30"/>
    </row>
    <row r="36" spans="1:51">
      <c r="A36" s="25" t="s">
        <v>13820</v>
      </c>
      <c r="B36" s="25" t="s">
        <v>4398</v>
      </c>
      <c r="C36" s="25" t="s">
        <v>68</v>
      </c>
      <c r="D36" s="25" t="s">
        <v>13821</v>
      </c>
      <c r="E36" s="258" t="s">
        <v>13822</v>
      </c>
      <c r="F36" s="25" t="s">
        <v>13823</v>
      </c>
      <c r="G36" s="25" t="s">
        <v>5516</v>
      </c>
      <c r="H36" s="25" t="s">
        <v>11489</v>
      </c>
      <c r="I36" s="26" t="s">
        <v>4402</v>
      </c>
      <c r="J36" s="25" t="s">
        <v>13592</v>
      </c>
      <c r="K36" s="25" t="s">
        <v>11500</v>
      </c>
      <c r="L36" s="26" t="s">
        <v>73</v>
      </c>
      <c r="M36" s="26" t="s">
        <v>13824</v>
      </c>
      <c r="N36" s="26" t="s">
        <v>13825</v>
      </c>
      <c r="O36" s="33" t="s">
        <v>13826</v>
      </c>
      <c r="P36" s="28" t="s">
        <v>11500</v>
      </c>
      <c r="Q36" s="29">
        <v>4</v>
      </c>
      <c r="R36" s="29">
        <v>16</v>
      </c>
      <c r="S36" s="29">
        <v>316.11</v>
      </c>
      <c r="T36" s="30"/>
      <c r="U36" s="30"/>
      <c r="V36" s="30"/>
      <c r="W36" s="26"/>
      <c r="X36" s="26"/>
      <c r="Y36" s="26"/>
      <c r="Z36" s="26"/>
      <c r="AA36" s="26"/>
      <c r="AB36" s="31"/>
      <c r="AC36" s="30" t="s">
        <v>172</v>
      </c>
      <c r="AD36" s="25" t="s">
        <v>173</v>
      </c>
      <c r="AE36" s="25" t="s">
        <v>174</v>
      </c>
      <c r="AF36" s="26" t="s">
        <v>175</v>
      </c>
      <c r="AG36" s="32"/>
      <c r="AH36" s="32"/>
      <c r="AI36" s="32"/>
      <c r="AJ36" s="32"/>
      <c r="AK36" s="30"/>
      <c r="AL36" s="32">
        <f t="shared" si="1"/>
        <v>0</v>
      </c>
      <c r="AM36" s="30"/>
      <c r="AN36" s="32"/>
      <c r="AO36" s="32"/>
      <c r="AP36" s="32"/>
      <c r="AQ36" s="32"/>
      <c r="AR36" s="32"/>
      <c r="AS36" s="32"/>
      <c r="AT36" s="32"/>
      <c r="AU36" s="30"/>
      <c r="AV36" s="30"/>
      <c r="AW36" s="30"/>
      <c r="AX36" s="30"/>
      <c r="AY36" s="30"/>
    </row>
    <row r="37" spans="1:51">
      <c r="A37" s="25" t="s">
        <v>13827</v>
      </c>
      <c r="B37" s="25" t="s">
        <v>4398</v>
      </c>
      <c r="C37" s="25" t="s">
        <v>68</v>
      </c>
      <c r="D37" s="25" t="s">
        <v>13828</v>
      </c>
      <c r="E37" s="258" t="s">
        <v>13829</v>
      </c>
      <c r="F37" s="25" t="s">
        <v>12809</v>
      </c>
      <c r="G37" s="25" t="s">
        <v>5516</v>
      </c>
      <c r="H37" s="25" t="s">
        <v>11489</v>
      </c>
      <c r="I37" s="26" t="s">
        <v>4402</v>
      </c>
      <c r="J37" s="25" t="s">
        <v>13592</v>
      </c>
      <c r="K37" s="25">
        <v>9.1999999999999993</v>
      </c>
      <c r="L37" s="26" t="s">
        <v>73</v>
      </c>
      <c r="M37" s="26" t="s">
        <v>13830</v>
      </c>
      <c r="N37" s="26" t="s">
        <v>13831</v>
      </c>
      <c r="O37" s="27" t="s">
        <v>13832</v>
      </c>
      <c r="P37" s="28"/>
      <c r="Q37" s="29">
        <v>4</v>
      </c>
      <c r="R37" s="29">
        <v>16</v>
      </c>
      <c r="S37" s="29">
        <v>286.13</v>
      </c>
      <c r="T37" s="26" t="s">
        <v>146</v>
      </c>
      <c r="U37" s="30" t="s">
        <v>78</v>
      </c>
      <c r="V37" s="26" t="s">
        <v>129</v>
      </c>
      <c r="W37" s="26" t="s">
        <v>3323</v>
      </c>
      <c r="X37" s="26" t="s">
        <v>131</v>
      </c>
      <c r="Y37" s="26" t="s">
        <v>91</v>
      </c>
      <c r="Z37" s="26" t="s">
        <v>91</v>
      </c>
      <c r="AA37" s="26"/>
      <c r="AB37" s="36" t="s">
        <v>7</v>
      </c>
      <c r="AC37" s="30" t="s">
        <v>172</v>
      </c>
      <c r="AD37" s="25" t="s">
        <v>173</v>
      </c>
      <c r="AE37" s="25" t="s">
        <v>174</v>
      </c>
      <c r="AF37" s="26" t="s">
        <v>175</v>
      </c>
      <c r="AG37" s="32">
        <v>1</v>
      </c>
      <c r="AH37" s="32"/>
      <c r="AI37" s="32"/>
      <c r="AJ37" s="32"/>
      <c r="AK37" s="30"/>
      <c r="AL37" s="32">
        <f t="shared" si="1"/>
        <v>0</v>
      </c>
      <c r="AM37" s="30"/>
      <c r="AN37" s="32"/>
      <c r="AO37" s="32"/>
      <c r="AP37" s="32"/>
      <c r="AQ37" s="32"/>
      <c r="AR37" s="32"/>
      <c r="AS37" s="32"/>
      <c r="AT37" s="32"/>
      <c r="AU37" s="30"/>
      <c r="AV37" s="30"/>
      <c r="AW37" s="30"/>
      <c r="AX37" s="30"/>
      <c r="AY37" s="30"/>
    </row>
    <row r="38" spans="1:51">
      <c r="A38" s="25" t="s">
        <v>13833</v>
      </c>
      <c r="B38" s="25" t="s">
        <v>4398</v>
      </c>
      <c r="C38" s="25" t="s">
        <v>68</v>
      </c>
      <c r="D38" s="25" t="s">
        <v>13834</v>
      </c>
      <c r="E38" s="258" t="s">
        <v>13835</v>
      </c>
      <c r="F38" s="25" t="s">
        <v>13836</v>
      </c>
      <c r="G38" s="25" t="s">
        <v>5516</v>
      </c>
      <c r="H38" s="25" t="s">
        <v>11489</v>
      </c>
      <c r="I38" s="26" t="s">
        <v>4402</v>
      </c>
      <c r="J38" s="25" t="s">
        <v>13592</v>
      </c>
      <c r="K38" s="25">
        <v>9.1999999999999993</v>
      </c>
      <c r="L38" s="26" t="s">
        <v>73</v>
      </c>
      <c r="M38" s="26" t="s">
        <v>13837</v>
      </c>
      <c r="N38" s="26" t="s">
        <v>13838</v>
      </c>
      <c r="O38" s="27" t="s">
        <v>13839</v>
      </c>
      <c r="P38" s="28"/>
      <c r="Q38" s="29">
        <v>4</v>
      </c>
      <c r="R38" s="29">
        <v>16</v>
      </c>
      <c r="S38" s="29">
        <v>266.26</v>
      </c>
      <c r="T38" s="26" t="s">
        <v>146</v>
      </c>
      <c r="U38" s="30" t="s">
        <v>78</v>
      </c>
      <c r="V38" s="26" t="s">
        <v>129</v>
      </c>
      <c r="W38" s="26" t="s">
        <v>3323</v>
      </c>
      <c r="X38" s="26" t="s">
        <v>131</v>
      </c>
      <c r="Y38" s="26" t="s">
        <v>91</v>
      </c>
      <c r="Z38" s="26" t="s">
        <v>91</v>
      </c>
      <c r="AA38" s="26"/>
      <c r="AB38" s="31" t="s">
        <v>11</v>
      </c>
      <c r="AC38" s="30" t="s">
        <v>172</v>
      </c>
      <c r="AD38" s="25" t="s">
        <v>173</v>
      </c>
      <c r="AE38" s="25" t="s">
        <v>174</v>
      </c>
      <c r="AF38" s="26" t="s">
        <v>175</v>
      </c>
      <c r="AG38" s="32">
        <v>1</v>
      </c>
      <c r="AH38" s="32"/>
      <c r="AI38" s="32"/>
      <c r="AJ38" s="32"/>
      <c r="AK38" s="30"/>
      <c r="AL38" s="32">
        <f t="shared" si="1"/>
        <v>0</v>
      </c>
      <c r="AM38" s="30"/>
      <c r="AN38" s="32"/>
      <c r="AO38" s="32"/>
      <c r="AP38" s="32"/>
      <c r="AQ38" s="32"/>
      <c r="AR38" s="32"/>
      <c r="AS38" s="32"/>
      <c r="AT38" s="32"/>
      <c r="AU38" s="30"/>
      <c r="AV38" s="30"/>
      <c r="AW38" s="30"/>
      <c r="AX38" s="30"/>
      <c r="AY38" s="30"/>
    </row>
    <row r="39" spans="1:51">
      <c r="A39" s="25" t="s">
        <v>13840</v>
      </c>
      <c r="B39" s="25" t="s">
        <v>4398</v>
      </c>
      <c r="C39" s="25" t="s">
        <v>68</v>
      </c>
      <c r="D39" s="25" t="s">
        <v>13841</v>
      </c>
      <c r="E39" s="258" t="s">
        <v>13842</v>
      </c>
      <c r="F39" s="25" t="s">
        <v>13843</v>
      </c>
      <c r="G39" s="25" t="s">
        <v>5516</v>
      </c>
      <c r="H39" s="25" t="s">
        <v>11489</v>
      </c>
      <c r="I39" s="26" t="s">
        <v>4402</v>
      </c>
      <c r="J39" s="25" t="s">
        <v>13592</v>
      </c>
      <c r="K39" s="25">
        <v>9.1999999999999993</v>
      </c>
      <c r="L39" s="26" t="s">
        <v>73</v>
      </c>
      <c r="M39" s="26" t="s">
        <v>13844</v>
      </c>
      <c r="N39" s="26" t="s">
        <v>13845</v>
      </c>
      <c r="O39" s="27" t="s">
        <v>13846</v>
      </c>
      <c r="P39" s="28"/>
      <c r="Q39" s="29">
        <v>4</v>
      </c>
      <c r="R39" s="29">
        <v>16</v>
      </c>
      <c r="S39" s="29">
        <v>267.25</v>
      </c>
      <c r="T39" s="26" t="s">
        <v>146</v>
      </c>
      <c r="U39" s="30" t="s">
        <v>78</v>
      </c>
      <c r="V39" s="26" t="s">
        <v>129</v>
      </c>
      <c r="W39" s="38" t="s">
        <v>3323</v>
      </c>
      <c r="X39" s="26" t="s">
        <v>131</v>
      </c>
      <c r="Y39" s="26" t="s">
        <v>91</v>
      </c>
      <c r="Z39" s="26" t="s">
        <v>91</v>
      </c>
      <c r="AA39" s="26"/>
      <c r="AB39" s="31" t="s">
        <v>11</v>
      </c>
      <c r="AC39" s="30" t="s">
        <v>172</v>
      </c>
      <c r="AD39" s="25" t="s">
        <v>173</v>
      </c>
      <c r="AE39" s="25" t="s">
        <v>174</v>
      </c>
      <c r="AF39" s="26" t="s">
        <v>175</v>
      </c>
      <c r="AG39" s="32">
        <v>1</v>
      </c>
      <c r="AH39" s="32"/>
      <c r="AI39" s="32"/>
      <c r="AJ39" s="32"/>
      <c r="AK39" s="30"/>
      <c r="AL39" s="32">
        <f t="shared" si="1"/>
        <v>0</v>
      </c>
      <c r="AM39" s="30"/>
      <c r="AN39" s="32"/>
      <c r="AO39" s="32"/>
      <c r="AP39" s="32"/>
      <c r="AQ39" s="32"/>
      <c r="AR39" s="32"/>
      <c r="AS39" s="32"/>
      <c r="AT39" s="32"/>
      <c r="AU39" s="30"/>
      <c r="AV39" s="30"/>
      <c r="AW39" s="30"/>
      <c r="AX39" s="30"/>
      <c r="AY39" s="30"/>
    </row>
    <row r="40" spans="1:51">
      <c r="A40" s="25" t="s">
        <v>13847</v>
      </c>
      <c r="B40" s="25" t="s">
        <v>4398</v>
      </c>
      <c r="C40" s="25" t="s">
        <v>68</v>
      </c>
      <c r="D40" s="25" t="s">
        <v>13848</v>
      </c>
      <c r="E40" s="258" t="s">
        <v>13849</v>
      </c>
      <c r="F40" s="25" t="s">
        <v>13850</v>
      </c>
      <c r="G40" s="25" t="s">
        <v>5516</v>
      </c>
      <c r="H40" s="25" t="s">
        <v>11489</v>
      </c>
      <c r="I40" s="26" t="s">
        <v>4402</v>
      </c>
      <c r="J40" s="25" t="s">
        <v>13592</v>
      </c>
      <c r="K40" s="25">
        <v>9.1999999999999993</v>
      </c>
      <c r="L40" s="26" t="s">
        <v>73</v>
      </c>
      <c r="M40" s="26" t="s">
        <v>13851</v>
      </c>
      <c r="N40" s="26" t="s">
        <v>13852</v>
      </c>
      <c r="O40" s="27" t="s">
        <v>13853</v>
      </c>
      <c r="P40" s="28"/>
      <c r="Q40" s="29">
        <v>4</v>
      </c>
      <c r="R40" s="29">
        <v>16</v>
      </c>
      <c r="S40" s="29">
        <v>266.25</v>
      </c>
      <c r="T40" s="26" t="s">
        <v>146</v>
      </c>
      <c r="U40" s="30" t="s">
        <v>78</v>
      </c>
      <c r="V40" s="26" t="s">
        <v>129</v>
      </c>
      <c r="W40" s="38" t="s">
        <v>3323</v>
      </c>
      <c r="X40" s="26" t="s">
        <v>131</v>
      </c>
      <c r="Y40" s="26" t="s">
        <v>91</v>
      </c>
      <c r="Z40" s="26" t="s">
        <v>91</v>
      </c>
      <c r="AA40" s="26"/>
      <c r="AB40" s="31" t="s">
        <v>11</v>
      </c>
      <c r="AC40" s="30" t="s">
        <v>172</v>
      </c>
      <c r="AD40" s="25" t="s">
        <v>173</v>
      </c>
      <c r="AE40" s="25" t="s">
        <v>174</v>
      </c>
      <c r="AF40" s="26" t="s">
        <v>175</v>
      </c>
      <c r="AG40" s="32">
        <v>1</v>
      </c>
      <c r="AH40" s="32"/>
      <c r="AI40" s="32"/>
      <c r="AJ40" s="32"/>
      <c r="AK40" s="30"/>
      <c r="AL40" s="32">
        <f t="shared" si="1"/>
        <v>0</v>
      </c>
      <c r="AM40" s="30"/>
      <c r="AN40" s="32"/>
      <c r="AO40" s="32"/>
      <c r="AP40" s="32"/>
      <c r="AQ40" s="32"/>
      <c r="AR40" s="32"/>
      <c r="AS40" s="32"/>
      <c r="AT40" s="32"/>
      <c r="AU40" s="30"/>
      <c r="AV40" s="30"/>
      <c r="AW40" s="30"/>
      <c r="AX40" s="30"/>
      <c r="AY40" s="30"/>
    </row>
    <row r="41" spans="1:51">
      <c r="A41" s="25" t="s">
        <v>13854</v>
      </c>
      <c r="B41" s="25" t="s">
        <v>4398</v>
      </c>
      <c r="C41" s="25" t="s">
        <v>68</v>
      </c>
      <c r="D41" s="25" t="s">
        <v>13855</v>
      </c>
      <c r="E41" s="258" t="s">
        <v>13856</v>
      </c>
      <c r="F41" s="25" t="s">
        <v>13857</v>
      </c>
      <c r="G41" s="25" t="s">
        <v>5516</v>
      </c>
      <c r="H41" s="25" t="s">
        <v>11489</v>
      </c>
      <c r="I41" s="26" t="s">
        <v>4402</v>
      </c>
      <c r="J41" s="25" t="s">
        <v>13592</v>
      </c>
      <c r="K41" s="25">
        <v>9.1999999999999993</v>
      </c>
      <c r="L41" s="26" t="s">
        <v>73</v>
      </c>
      <c r="M41" s="26" t="s">
        <v>13858</v>
      </c>
      <c r="N41" s="26" t="s">
        <v>13859</v>
      </c>
      <c r="O41" s="27" t="s">
        <v>13860</v>
      </c>
      <c r="P41" s="28"/>
      <c r="Q41" s="29">
        <v>4</v>
      </c>
      <c r="R41" s="29">
        <v>16</v>
      </c>
      <c r="S41" s="29">
        <v>266.19</v>
      </c>
      <c r="T41" s="26" t="s">
        <v>146</v>
      </c>
      <c r="U41" s="30" t="s">
        <v>78</v>
      </c>
      <c r="V41" s="26" t="s">
        <v>129</v>
      </c>
      <c r="W41" s="38" t="s">
        <v>3323</v>
      </c>
      <c r="X41" s="26" t="s">
        <v>131</v>
      </c>
      <c r="Y41" s="26" t="s">
        <v>91</v>
      </c>
      <c r="Z41" s="26" t="s">
        <v>91</v>
      </c>
      <c r="AA41" s="26"/>
      <c r="AB41" s="31" t="s">
        <v>11</v>
      </c>
      <c r="AC41" s="30" t="s">
        <v>172</v>
      </c>
      <c r="AD41" s="25" t="s">
        <v>173</v>
      </c>
      <c r="AE41" s="25" t="s">
        <v>174</v>
      </c>
      <c r="AF41" s="26" t="s">
        <v>175</v>
      </c>
      <c r="AG41" s="32">
        <v>1</v>
      </c>
      <c r="AH41" s="32"/>
      <c r="AI41" s="32"/>
      <c r="AJ41" s="32"/>
      <c r="AK41" s="30"/>
      <c r="AL41" s="32">
        <f t="shared" si="1"/>
        <v>0</v>
      </c>
      <c r="AM41" s="30"/>
      <c r="AN41" s="32"/>
      <c r="AO41" s="32"/>
      <c r="AP41" s="32"/>
      <c r="AQ41" s="32"/>
      <c r="AR41" s="32"/>
      <c r="AS41" s="32"/>
      <c r="AT41" s="32"/>
      <c r="AU41" s="30"/>
      <c r="AV41" s="30"/>
      <c r="AW41" s="30"/>
      <c r="AX41" s="30"/>
      <c r="AY41" s="30"/>
    </row>
    <row r="42" spans="1:51">
      <c r="A42" s="25" t="s">
        <v>13861</v>
      </c>
      <c r="B42" s="25" t="s">
        <v>4398</v>
      </c>
      <c r="C42" s="25" t="s">
        <v>68</v>
      </c>
      <c r="D42" s="25" t="s">
        <v>13862</v>
      </c>
      <c r="E42" s="258" t="s">
        <v>13863</v>
      </c>
      <c r="F42" s="25" t="s">
        <v>13864</v>
      </c>
      <c r="G42" s="25" t="s">
        <v>5516</v>
      </c>
      <c r="H42" s="25" t="s">
        <v>11489</v>
      </c>
      <c r="I42" s="26" t="s">
        <v>4402</v>
      </c>
      <c r="J42" s="25" t="s">
        <v>13592</v>
      </c>
      <c r="K42" s="25">
        <v>9.1999999999999993</v>
      </c>
      <c r="L42" s="26" t="s">
        <v>73</v>
      </c>
      <c r="M42" s="26" t="s">
        <v>13865</v>
      </c>
      <c r="N42" s="26" t="s">
        <v>13866</v>
      </c>
      <c r="O42" s="27" t="s">
        <v>13867</v>
      </c>
      <c r="P42" s="28"/>
      <c r="Q42" s="29">
        <v>4</v>
      </c>
      <c r="R42" s="29">
        <v>16</v>
      </c>
      <c r="S42" s="29">
        <v>266.63</v>
      </c>
      <c r="T42" s="26" t="s">
        <v>146</v>
      </c>
      <c r="U42" s="30" t="s">
        <v>78</v>
      </c>
      <c r="V42" s="26" t="s">
        <v>129</v>
      </c>
      <c r="W42" s="38" t="s">
        <v>3323</v>
      </c>
      <c r="X42" s="26" t="s">
        <v>131</v>
      </c>
      <c r="Y42" s="26" t="s">
        <v>91</v>
      </c>
      <c r="Z42" s="26" t="s">
        <v>91</v>
      </c>
      <c r="AA42" s="26"/>
      <c r="AB42" s="31" t="s">
        <v>11</v>
      </c>
      <c r="AC42" s="30" t="s">
        <v>172</v>
      </c>
      <c r="AD42" s="25" t="s">
        <v>173</v>
      </c>
      <c r="AE42" s="25" t="s">
        <v>174</v>
      </c>
      <c r="AF42" s="26" t="s">
        <v>175</v>
      </c>
      <c r="AG42" s="32">
        <v>1</v>
      </c>
      <c r="AH42" s="32"/>
      <c r="AI42" s="32"/>
      <c r="AJ42" s="32"/>
      <c r="AK42" s="30"/>
      <c r="AL42" s="32">
        <f t="shared" si="1"/>
        <v>0</v>
      </c>
      <c r="AM42" s="30"/>
      <c r="AN42" s="32"/>
      <c r="AO42" s="32"/>
      <c r="AP42" s="32"/>
      <c r="AQ42" s="32"/>
      <c r="AR42" s="32"/>
      <c r="AS42" s="32"/>
      <c r="AT42" s="32"/>
      <c r="AU42" s="30"/>
      <c r="AV42" s="30"/>
      <c r="AW42" s="30"/>
      <c r="AX42" s="30"/>
      <c r="AY42" s="30"/>
    </row>
    <row r="43" spans="1:51">
      <c r="A43" s="25" t="s">
        <v>13868</v>
      </c>
      <c r="B43" s="25" t="s">
        <v>4398</v>
      </c>
      <c r="C43" s="25" t="s">
        <v>68</v>
      </c>
      <c r="D43" s="25" t="s">
        <v>13869</v>
      </c>
      <c r="E43" s="258" t="s">
        <v>13870</v>
      </c>
      <c r="F43" s="25" t="s">
        <v>13871</v>
      </c>
      <c r="G43" s="25" t="s">
        <v>5516</v>
      </c>
      <c r="H43" s="25" t="s">
        <v>11489</v>
      </c>
      <c r="I43" s="26" t="s">
        <v>4402</v>
      </c>
      <c r="J43" s="25" t="s">
        <v>13592</v>
      </c>
      <c r="K43" s="25">
        <v>9.1999999999999993</v>
      </c>
      <c r="L43" s="26" t="s">
        <v>73</v>
      </c>
      <c r="M43" s="26" t="s">
        <v>13872</v>
      </c>
      <c r="N43" s="26" t="s">
        <v>13873</v>
      </c>
      <c r="O43" s="27" t="s">
        <v>13874</v>
      </c>
      <c r="P43" s="28"/>
      <c r="Q43" s="29">
        <v>4</v>
      </c>
      <c r="R43" s="29">
        <v>16</v>
      </c>
      <c r="S43" s="29">
        <v>266.19</v>
      </c>
      <c r="T43" s="26" t="s">
        <v>146</v>
      </c>
      <c r="U43" s="30" t="s">
        <v>78</v>
      </c>
      <c r="V43" s="26" t="s">
        <v>129</v>
      </c>
      <c r="W43" s="38" t="s">
        <v>3323</v>
      </c>
      <c r="X43" s="26" t="s">
        <v>131</v>
      </c>
      <c r="Y43" s="26" t="s">
        <v>91</v>
      </c>
      <c r="Z43" s="26" t="s">
        <v>91</v>
      </c>
      <c r="AA43" s="26"/>
      <c r="AB43" s="31" t="s">
        <v>11</v>
      </c>
      <c r="AC43" s="30" t="s">
        <v>172</v>
      </c>
      <c r="AD43" s="25" t="s">
        <v>173</v>
      </c>
      <c r="AE43" s="25" t="s">
        <v>174</v>
      </c>
      <c r="AF43" s="26" t="s">
        <v>175</v>
      </c>
      <c r="AG43" s="32">
        <v>1</v>
      </c>
      <c r="AH43" s="32"/>
      <c r="AI43" s="32"/>
      <c r="AJ43" s="32"/>
      <c r="AK43" s="30"/>
      <c r="AL43" s="32">
        <f t="shared" si="1"/>
        <v>0</v>
      </c>
      <c r="AM43" s="30"/>
      <c r="AN43" s="32"/>
      <c r="AO43" s="32"/>
      <c r="AP43" s="32"/>
      <c r="AQ43" s="32"/>
      <c r="AR43" s="32"/>
      <c r="AS43" s="32"/>
      <c r="AT43" s="32"/>
      <c r="AU43" s="30"/>
      <c r="AV43" s="30"/>
      <c r="AW43" s="30"/>
      <c r="AX43" s="30"/>
      <c r="AY43" s="30"/>
    </row>
    <row r="44" spans="1:51">
      <c r="A44" s="25" t="s">
        <v>13875</v>
      </c>
      <c r="B44" s="25" t="s">
        <v>4398</v>
      </c>
      <c r="C44" s="25" t="s">
        <v>68</v>
      </c>
      <c r="D44" s="25" t="s">
        <v>13876</v>
      </c>
      <c r="E44" s="258" t="s">
        <v>13877</v>
      </c>
      <c r="F44" s="25" t="s">
        <v>13878</v>
      </c>
      <c r="G44" s="25" t="s">
        <v>5516</v>
      </c>
      <c r="H44" s="25" t="s">
        <v>11489</v>
      </c>
      <c r="I44" s="26" t="s">
        <v>4402</v>
      </c>
      <c r="J44" s="25" t="s">
        <v>13592</v>
      </c>
      <c r="K44" s="25">
        <v>9.1999999999999993</v>
      </c>
      <c r="L44" s="26" t="s">
        <v>73</v>
      </c>
      <c r="M44" s="26" t="s">
        <v>13879</v>
      </c>
      <c r="N44" s="26" t="s">
        <v>13880</v>
      </c>
      <c r="O44" s="27" t="s">
        <v>13881</v>
      </c>
      <c r="P44" s="28"/>
      <c r="Q44" s="29">
        <v>4</v>
      </c>
      <c r="R44" s="29">
        <v>16</v>
      </c>
      <c r="S44" s="29">
        <v>416.41</v>
      </c>
      <c r="T44" s="26" t="s">
        <v>146</v>
      </c>
      <c r="U44" s="30" t="s">
        <v>78</v>
      </c>
      <c r="V44" s="26" t="s">
        <v>129</v>
      </c>
      <c r="W44" s="38" t="s">
        <v>3323</v>
      </c>
      <c r="X44" s="26" t="s">
        <v>131</v>
      </c>
      <c r="Y44" s="26" t="s">
        <v>91</v>
      </c>
      <c r="Z44" s="26" t="s">
        <v>91</v>
      </c>
      <c r="AA44" s="26"/>
      <c r="AB44" s="31" t="s">
        <v>11</v>
      </c>
      <c r="AC44" s="30" t="s">
        <v>172</v>
      </c>
      <c r="AD44" s="25" t="s">
        <v>173</v>
      </c>
      <c r="AE44" s="25" t="s">
        <v>174</v>
      </c>
      <c r="AF44" s="26" t="s">
        <v>175</v>
      </c>
      <c r="AG44" s="32">
        <v>1</v>
      </c>
      <c r="AH44" s="32"/>
      <c r="AI44" s="32"/>
      <c r="AJ44" s="32"/>
      <c r="AK44" s="30"/>
      <c r="AL44" s="32">
        <f t="shared" si="1"/>
        <v>0</v>
      </c>
      <c r="AM44" s="30"/>
      <c r="AN44" s="32"/>
      <c r="AO44" s="32"/>
      <c r="AP44" s="32"/>
      <c r="AQ44" s="32"/>
      <c r="AR44" s="32"/>
      <c r="AS44" s="32"/>
      <c r="AT44" s="32"/>
      <c r="AU44" s="30"/>
      <c r="AV44" s="30"/>
      <c r="AW44" s="30"/>
      <c r="AX44" s="30"/>
      <c r="AY44" s="30"/>
    </row>
    <row r="45" spans="1:51">
      <c r="A45" s="25" t="s">
        <v>13882</v>
      </c>
      <c r="B45" s="25" t="s">
        <v>4398</v>
      </c>
      <c r="C45" s="25" t="s">
        <v>68</v>
      </c>
      <c r="D45" s="25" t="s">
        <v>13883</v>
      </c>
      <c r="E45" s="258" t="s">
        <v>13884</v>
      </c>
      <c r="F45" s="25" t="s">
        <v>13885</v>
      </c>
      <c r="G45" s="25" t="s">
        <v>5516</v>
      </c>
      <c r="H45" s="25" t="s">
        <v>11489</v>
      </c>
      <c r="I45" s="26" t="s">
        <v>4402</v>
      </c>
      <c r="J45" s="25" t="s">
        <v>13592</v>
      </c>
      <c r="K45" s="25">
        <v>9.1999999999999993</v>
      </c>
      <c r="L45" s="26" t="s">
        <v>73</v>
      </c>
      <c r="M45" s="26" t="s">
        <v>13886</v>
      </c>
      <c r="N45" s="26" t="s">
        <v>13887</v>
      </c>
      <c r="O45" s="27" t="s">
        <v>13888</v>
      </c>
      <c r="P45" s="28"/>
      <c r="Q45" s="29">
        <v>4</v>
      </c>
      <c r="R45" s="29">
        <v>16</v>
      </c>
      <c r="S45" s="29">
        <v>286.63</v>
      </c>
      <c r="T45" s="26" t="s">
        <v>146</v>
      </c>
      <c r="U45" s="30" t="s">
        <v>78</v>
      </c>
      <c r="V45" s="26" t="s">
        <v>129</v>
      </c>
      <c r="W45" s="38" t="s">
        <v>3323</v>
      </c>
      <c r="X45" s="26" t="s">
        <v>131</v>
      </c>
      <c r="Y45" s="26" t="s">
        <v>91</v>
      </c>
      <c r="Z45" s="26" t="s">
        <v>91</v>
      </c>
      <c r="AA45" s="26"/>
      <c r="AB45" s="31" t="s">
        <v>11</v>
      </c>
      <c r="AC45" s="30" t="s">
        <v>172</v>
      </c>
      <c r="AD45" s="25" t="s">
        <v>173</v>
      </c>
      <c r="AE45" s="25" t="s">
        <v>174</v>
      </c>
      <c r="AF45" s="26" t="s">
        <v>175</v>
      </c>
      <c r="AG45" s="32">
        <v>1</v>
      </c>
      <c r="AH45" s="32"/>
      <c r="AI45" s="32"/>
      <c r="AJ45" s="32"/>
      <c r="AK45" s="30"/>
      <c r="AL45" s="32">
        <f t="shared" si="1"/>
        <v>0</v>
      </c>
      <c r="AM45" s="30"/>
      <c r="AN45" s="32"/>
      <c r="AO45" s="32"/>
      <c r="AP45" s="32"/>
      <c r="AQ45" s="32"/>
      <c r="AR45" s="32"/>
      <c r="AS45" s="30"/>
      <c r="AT45" s="32"/>
      <c r="AU45" s="30"/>
      <c r="AV45" s="30"/>
      <c r="AW45" s="30"/>
      <c r="AX45" s="30"/>
      <c r="AY45" s="30"/>
    </row>
    <row r="46" spans="1:51">
      <c r="A46" s="25" t="s">
        <v>13889</v>
      </c>
      <c r="B46" s="25" t="s">
        <v>4398</v>
      </c>
      <c r="C46" s="25" t="s">
        <v>68</v>
      </c>
      <c r="D46" s="25" t="s">
        <v>13890</v>
      </c>
      <c r="E46" s="258" t="s">
        <v>13891</v>
      </c>
      <c r="F46" s="25" t="s">
        <v>13892</v>
      </c>
      <c r="G46" s="25" t="s">
        <v>5516</v>
      </c>
      <c r="H46" s="25" t="s">
        <v>11489</v>
      </c>
      <c r="I46" s="26" t="s">
        <v>4402</v>
      </c>
      <c r="J46" s="25" t="s">
        <v>13592</v>
      </c>
      <c r="K46" s="25">
        <v>9.1999999999999993</v>
      </c>
      <c r="L46" s="26" t="s">
        <v>73</v>
      </c>
      <c r="M46" s="26" t="s">
        <v>13893</v>
      </c>
      <c r="N46" s="26" t="s">
        <v>13894</v>
      </c>
      <c r="O46" s="27" t="s">
        <v>13895</v>
      </c>
      <c r="P46" s="28"/>
      <c r="Q46" s="29">
        <v>4</v>
      </c>
      <c r="R46" s="29">
        <v>16</v>
      </c>
      <c r="S46" s="29">
        <v>516.15</v>
      </c>
      <c r="T46" s="26" t="s">
        <v>146</v>
      </c>
      <c r="U46" s="30" t="s">
        <v>78</v>
      </c>
      <c r="V46" s="26" t="s">
        <v>129</v>
      </c>
      <c r="W46" s="38" t="s">
        <v>3323</v>
      </c>
      <c r="X46" s="26" t="s">
        <v>131</v>
      </c>
      <c r="Y46" s="26" t="s">
        <v>91</v>
      </c>
      <c r="Z46" s="26" t="s">
        <v>91</v>
      </c>
      <c r="AA46" s="26"/>
      <c r="AB46" s="31" t="s">
        <v>11</v>
      </c>
      <c r="AC46" s="30" t="s">
        <v>172</v>
      </c>
      <c r="AD46" s="25" t="s">
        <v>173</v>
      </c>
      <c r="AE46" s="25" t="s">
        <v>174</v>
      </c>
      <c r="AF46" s="26" t="s">
        <v>175</v>
      </c>
      <c r="AG46" s="32">
        <v>1</v>
      </c>
      <c r="AH46" s="32"/>
      <c r="AI46" s="32"/>
      <c r="AJ46" s="32"/>
      <c r="AK46" s="30"/>
      <c r="AL46" s="32">
        <f t="shared" si="1"/>
        <v>0</v>
      </c>
      <c r="AM46" s="30"/>
      <c r="AN46" s="32"/>
      <c r="AO46" s="32"/>
      <c r="AP46" s="32"/>
      <c r="AQ46" s="32"/>
      <c r="AR46" s="32"/>
      <c r="AS46" s="32"/>
      <c r="AT46" s="32"/>
      <c r="AU46" s="30"/>
      <c r="AV46" s="30"/>
      <c r="AW46" s="30"/>
      <c r="AX46" s="30"/>
      <c r="AY46" s="30"/>
    </row>
    <row r="47" spans="1:51">
      <c r="A47" s="25" t="s">
        <v>13896</v>
      </c>
      <c r="B47" s="25" t="s">
        <v>4398</v>
      </c>
      <c r="C47" s="25" t="s">
        <v>68</v>
      </c>
      <c r="D47" s="25" t="s">
        <v>13897</v>
      </c>
      <c r="E47" s="258" t="s">
        <v>13898</v>
      </c>
      <c r="F47" s="25" t="s">
        <v>13899</v>
      </c>
      <c r="G47" s="25" t="s">
        <v>5516</v>
      </c>
      <c r="H47" s="25" t="s">
        <v>11489</v>
      </c>
      <c r="I47" s="26" t="s">
        <v>4402</v>
      </c>
      <c r="J47" s="25" t="s">
        <v>13592</v>
      </c>
      <c r="K47" s="25">
        <v>9.1999999999999993</v>
      </c>
      <c r="L47" s="26" t="s">
        <v>73</v>
      </c>
      <c r="M47" s="26" t="s">
        <v>13900</v>
      </c>
      <c r="N47" s="26" t="s">
        <v>13901</v>
      </c>
      <c r="O47" s="27" t="s">
        <v>13902</v>
      </c>
      <c r="P47" s="28"/>
      <c r="Q47" s="29">
        <v>4</v>
      </c>
      <c r="R47" s="29">
        <v>16</v>
      </c>
      <c r="S47" s="29">
        <v>286.56</v>
      </c>
      <c r="T47" s="26" t="s">
        <v>146</v>
      </c>
      <c r="U47" s="30" t="s">
        <v>78</v>
      </c>
      <c r="V47" s="26" t="s">
        <v>129</v>
      </c>
      <c r="W47" s="38" t="s">
        <v>3323</v>
      </c>
      <c r="X47" s="26" t="s">
        <v>131</v>
      </c>
      <c r="Y47" s="26" t="s">
        <v>91</v>
      </c>
      <c r="Z47" s="26" t="s">
        <v>91</v>
      </c>
      <c r="AA47" s="26"/>
      <c r="AB47" s="31" t="s">
        <v>11</v>
      </c>
      <c r="AC47" s="30" t="s">
        <v>172</v>
      </c>
      <c r="AD47" s="25" t="s">
        <v>173</v>
      </c>
      <c r="AE47" s="25" t="s">
        <v>174</v>
      </c>
      <c r="AF47" s="26" t="s">
        <v>175</v>
      </c>
      <c r="AG47" s="32">
        <v>1</v>
      </c>
      <c r="AH47" s="32"/>
      <c r="AI47" s="32"/>
      <c r="AJ47" s="32"/>
      <c r="AK47" s="30"/>
      <c r="AL47" s="32">
        <f t="shared" si="1"/>
        <v>0</v>
      </c>
      <c r="AM47" s="30"/>
      <c r="AN47" s="32"/>
      <c r="AO47" s="32"/>
      <c r="AP47" s="32"/>
      <c r="AQ47" s="32"/>
      <c r="AR47" s="32"/>
      <c r="AS47" s="32"/>
      <c r="AT47" s="32"/>
      <c r="AU47" s="30"/>
      <c r="AV47" s="30"/>
      <c r="AW47" s="30"/>
      <c r="AX47" s="30"/>
      <c r="AY47" s="30"/>
    </row>
    <row r="48" spans="1:51">
      <c r="A48" s="25" t="s">
        <v>13903</v>
      </c>
      <c r="B48" s="25" t="s">
        <v>4398</v>
      </c>
      <c r="C48" s="25" t="s">
        <v>68</v>
      </c>
      <c r="D48" s="25" t="s">
        <v>13904</v>
      </c>
      <c r="E48" s="258" t="s">
        <v>13905</v>
      </c>
      <c r="F48" s="25" t="s">
        <v>13906</v>
      </c>
      <c r="G48" s="25" t="s">
        <v>5516</v>
      </c>
      <c r="H48" s="25" t="s">
        <v>11489</v>
      </c>
      <c r="I48" s="26" t="s">
        <v>4402</v>
      </c>
      <c r="J48" s="25" t="s">
        <v>13592</v>
      </c>
      <c r="K48" s="25">
        <v>9.1999999999999993</v>
      </c>
      <c r="L48" s="26" t="s">
        <v>73</v>
      </c>
      <c r="M48" s="26" t="s">
        <v>13907</v>
      </c>
      <c r="N48" s="26" t="s">
        <v>13908</v>
      </c>
      <c r="O48" s="27" t="s">
        <v>13909</v>
      </c>
      <c r="P48" s="28"/>
      <c r="Q48" s="29">
        <v>4</v>
      </c>
      <c r="R48" s="29">
        <v>16</v>
      </c>
      <c r="S48" s="29">
        <v>286.12</v>
      </c>
      <c r="T48" s="26" t="s">
        <v>146</v>
      </c>
      <c r="U48" s="30" t="s">
        <v>78</v>
      </c>
      <c r="V48" s="26" t="s">
        <v>129</v>
      </c>
      <c r="W48" s="38" t="s">
        <v>3323</v>
      </c>
      <c r="X48" s="26" t="s">
        <v>131</v>
      </c>
      <c r="Y48" s="26" t="s">
        <v>91</v>
      </c>
      <c r="Z48" s="26" t="s">
        <v>91</v>
      </c>
      <c r="AA48" s="26"/>
      <c r="AB48" s="31" t="s">
        <v>11</v>
      </c>
      <c r="AC48" s="30" t="s">
        <v>172</v>
      </c>
      <c r="AD48" s="25" t="s">
        <v>173</v>
      </c>
      <c r="AE48" s="25" t="s">
        <v>174</v>
      </c>
      <c r="AF48" s="26" t="s">
        <v>175</v>
      </c>
      <c r="AG48" s="32">
        <v>1</v>
      </c>
      <c r="AH48" s="32"/>
      <c r="AI48" s="32"/>
      <c r="AJ48" s="32"/>
      <c r="AK48" s="30"/>
      <c r="AL48" s="32">
        <f t="shared" si="1"/>
        <v>0</v>
      </c>
      <c r="AM48" s="30"/>
      <c r="AN48" s="32"/>
      <c r="AO48" s="32"/>
      <c r="AP48" s="32"/>
      <c r="AQ48" s="32"/>
      <c r="AR48" s="32"/>
      <c r="AS48" s="32"/>
      <c r="AT48" s="32"/>
      <c r="AU48" s="30"/>
      <c r="AV48" s="30"/>
      <c r="AW48" s="30"/>
      <c r="AX48" s="30"/>
      <c r="AY48" s="30"/>
    </row>
    <row r="49" spans="1:51">
      <c r="A49" s="25" t="s">
        <v>13910</v>
      </c>
      <c r="B49" s="25" t="s">
        <v>4398</v>
      </c>
      <c r="C49" s="25" t="s">
        <v>68</v>
      </c>
      <c r="D49" s="25" t="s">
        <v>13911</v>
      </c>
      <c r="E49" s="258" t="s">
        <v>13912</v>
      </c>
      <c r="F49" s="25" t="s">
        <v>13913</v>
      </c>
      <c r="G49" s="25" t="s">
        <v>5516</v>
      </c>
      <c r="H49" s="25" t="s">
        <v>11489</v>
      </c>
      <c r="I49" s="26" t="s">
        <v>4402</v>
      </c>
      <c r="J49" s="25" t="s">
        <v>13592</v>
      </c>
      <c r="K49" s="25">
        <v>9.1999999999999993</v>
      </c>
      <c r="L49" s="26" t="s">
        <v>73</v>
      </c>
      <c r="M49" s="26" t="s">
        <v>13914</v>
      </c>
      <c r="N49" s="26" t="s">
        <v>13915</v>
      </c>
      <c r="O49" s="27" t="s">
        <v>13916</v>
      </c>
      <c r="P49" s="28"/>
      <c r="Q49" s="29">
        <v>4</v>
      </c>
      <c r="R49" s="29">
        <v>16</v>
      </c>
      <c r="S49" s="29">
        <v>266.11</v>
      </c>
      <c r="T49" s="26" t="s">
        <v>146</v>
      </c>
      <c r="U49" s="30" t="s">
        <v>78</v>
      </c>
      <c r="V49" s="26" t="s">
        <v>129</v>
      </c>
      <c r="W49" s="38" t="s">
        <v>3405</v>
      </c>
      <c r="X49" s="26" t="s">
        <v>131</v>
      </c>
      <c r="Y49" s="26" t="s">
        <v>91</v>
      </c>
      <c r="Z49" s="26" t="s">
        <v>91</v>
      </c>
      <c r="AA49" s="26"/>
      <c r="AB49" s="31" t="s">
        <v>13</v>
      </c>
      <c r="AC49" s="30" t="s">
        <v>172</v>
      </c>
      <c r="AD49" s="25" t="s">
        <v>173</v>
      </c>
      <c r="AE49" s="25" t="s">
        <v>174</v>
      </c>
      <c r="AF49" s="26" t="s">
        <v>175</v>
      </c>
      <c r="AG49" s="32">
        <v>1</v>
      </c>
      <c r="AH49" s="32"/>
      <c r="AI49" s="32"/>
      <c r="AJ49" s="32"/>
      <c r="AK49" s="30"/>
      <c r="AL49" s="32">
        <f t="shared" si="1"/>
        <v>0</v>
      </c>
      <c r="AM49" s="30"/>
      <c r="AN49" s="32"/>
      <c r="AO49" s="32"/>
      <c r="AP49" s="32"/>
      <c r="AQ49" s="32"/>
      <c r="AR49" s="32"/>
      <c r="AS49" s="32"/>
      <c r="AT49" s="32"/>
      <c r="AU49" s="30"/>
      <c r="AV49" s="30"/>
      <c r="AW49" s="30"/>
      <c r="AX49" s="30"/>
      <c r="AY49" s="30"/>
    </row>
    <row r="50" spans="1:51">
      <c r="A50" s="25" t="s">
        <v>13917</v>
      </c>
      <c r="B50" s="25" t="s">
        <v>4398</v>
      </c>
      <c r="C50" s="25" t="s">
        <v>68</v>
      </c>
      <c r="D50" s="25" t="s">
        <v>13918</v>
      </c>
      <c r="E50" s="258" t="s">
        <v>13919</v>
      </c>
      <c r="F50" s="25" t="s">
        <v>13920</v>
      </c>
      <c r="G50" s="25" t="s">
        <v>5516</v>
      </c>
      <c r="H50" s="25" t="s">
        <v>11489</v>
      </c>
      <c r="I50" s="26" t="s">
        <v>4402</v>
      </c>
      <c r="J50" s="25" t="s">
        <v>13592</v>
      </c>
      <c r="K50" s="25">
        <v>9.1999999999999993</v>
      </c>
      <c r="L50" s="26" t="s">
        <v>73</v>
      </c>
      <c r="M50" s="26" t="s">
        <v>13921</v>
      </c>
      <c r="N50" s="26" t="s">
        <v>13922</v>
      </c>
      <c r="O50" s="27" t="s">
        <v>13923</v>
      </c>
      <c r="P50" s="28"/>
      <c r="Q50" s="29">
        <v>4</v>
      </c>
      <c r="R50" s="29">
        <v>16</v>
      </c>
      <c r="S50" s="29">
        <v>286.12</v>
      </c>
      <c r="T50" s="26" t="s">
        <v>146</v>
      </c>
      <c r="U50" s="30" t="s">
        <v>78</v>
      </c>
      <c r="V50" s="26" t="s">
        <v>129</v>
      </c>
      <c r="W50" s="38" t="s">
        <v>3405</v>
      </c>
      <c r="X50" s="26" t="s">
        <v>131</v>
      </c>
      <c r="Y50" s="26" t="s">
        <v>91</v>
      </c>
      <c r="Z50" s="26" t="s">
        <v>91</v>
      </c>
      <c r="AA50" s="26"/>
      <c r="AB50" s="31" t="s">
        <v>13</v>
      </c>
      <c r="AC50" s="30" t="s">
        <v>172</v>
      </c>
      <c r="AD50" s="25" t="s">
        <v>173</v>
      </c>
      <c r="AE50" s="25" t="s">
        <v>174</v>
      </c>
      <c r="AF50" s="26" t="s">
        <v>175</v>
      </c>
      <c r="AG50" s="32">
        <v>1</v>
      </c>
      <c r="AH50" s="32"/>
      <c r="AI50" s="32"/>
      <c r="AJ50" s="32"/>
      <c r="AK50" s="30"/>
      <c r="AL50" s="32">
        <f t="shared" si="1"/>
        <v>0</v>
      </c>
      <c r="AM50" s="30"/>
      <c r="AN50" s="32"/>
      <c r="AO50" s="32"/>
      <c r="AP50" s="32"/>
      <c r="AQ50" s="32"/>
      <c r="AR50" s="32"/>
      <c r="AS50" s="32"/>
      <c r="AT50" s="32"/>
      <c r="AU50" s="30"/>
      <c r="AV50" s="30"/>
      <c r="AW50" s="30"/>
      <c r="AX50" s="30"/>
      <c r="AY50" s="30"/>
    </row>
    <row r="51" spans="1:51">
      <c r="A51" s="25" t="s">
        <v>13924</v>
      </c>
      <c r="B51" s="25" t="s">
        <v>4398</v>
      </c>
      <c r="C51" s="25" t="s">
        <v>68</v>
      </c>
      <c r="D51" s="25" t="s">
        <v>13925</v>
      </c>
      <c r="E51" s="258" t="s">
        <v>13926</v>
      </c>
      <c r="F51" s="25" t="s">
        <v>13927</v>
      </c>
      <c r="G51" s="25" t="s">
        <v>5516</v>
      </c>
      <c r="H51" s="25" t="s">
        <v>11489</v>
      </c>
      <c r="I51" s="26" t="s">
        <v>4402</v>
      </c>
      <c r="J51" s="25" t="s">
        <v>13592</v>
      </c>
      <c r="K51" s="25">
        <v>9.1999999999999993</v>
      </c>
      <c r="L51" s="26" t="s">
        <v>73</v>
      </c>
      <c r="M51" s="26" t="s">
        <v>13928</v>
      </c>
      <c r="N51" s="26" t="s">
        <v>13929</v>
      </c>
      <c r="O51" s="27" t="s">
        <v>13930</v>
      </c>
      <c r="P51" s="28"/>
      <c r="Q51" s="29">
        <v>4</v>
      </c>
      <c r="R51" s="29">
        <v>16</v>
      </c>
      <c r="S51" s="29">
        <v>266.5</v>
      </c>
      <c r="T51" s="26" t="s">
        <v>146</v>
      </c>
      <c r="U51" s="30" t="s">
        <v>78</v>
      </c>
      <c r="V51" s="26" t="s">
        <v>129</v>
      </c>
      <c r="W51" s="38" t="s">
        <v>3405</v>
      </c>
      <c r="X51" s="26" t="s">
        <v>131</v>
      </c>
      <c r="Y51" s="26" t="s">
        <v>91</v>
      </c>
      <c r="Z51" s="26" t="s">
        <v>91</v>
      </c>
      <c r="AA51" s="26"/>
      <c r="AB51" s="31" t="s">
        <v>13</v>
      </c>
      <c r="AC51" s="30" t="s">
        <v>172</v>
      </c>
      <c r="AD51" s="25" t="s">
        <v>173</v>
      </c>
      <c r="AE51" s="25" t="s">
        <v>174</v>
      </c>
      <c r="AF51" s="26" t="s">
        <v>175</v>
      </c>
      <c r="AG51" s="32">
        <v>1</v>
      </c>
      <c r="AH51" s="32"/>
      <c r="AI51" s="32"/>
      <c r="AJ51" s="32"/>
      <c r="AK51" s="30"/>
      <c r="AL51" s="32">
        <f t="shared" si="1"/>
        <v>0</v>
      </c>
      <c r="AM51" s="30"/>
      <c r="AN51" s="32"/>
      <c r="AO51" s="32"/>
      <c r="AP51" s="32"/>
      <c r="AQ51" s="32"/>
      <c r="AR51" s="32"/>
      <c r="AS51" s="32"/>
      <c r="AT51" s="32"/>
      <c r="AU51" s="30"/>
      <c r="AV51" s="30"/>
      <c r="AW51" s="30"/>
      <c r="AX51" s="30"/>
      <c r="AY51" s="30"/>
    </row>
    <row r="52" spans="1:51">
      <c r="A52" s="25" t="s">
        <v>13931</v>
      </c>
      <c r="B52" s="25" t="s">
        <v>4398</v>
      </c>
      <c r="C52" s="25" t="s">
        <v>68</v>
      </c>
      <c r="D52" s="25" t="s">
        <v>13932</v>
      </c>
      <c r="E52" s="258" t="s">
        <v>13933</v>
      </c>
      <c r="F52" s="25" t="s">
        <v>13934</v>
      </c>
      <c r="G52" s="25" t="s">
        <v>5516</v>
      </c>
      <c r="H52" s="25" t="s">
        <v>11489</v>
      </c>
      <c r="I52" s="26" t="s">
        <v>4402</v>
      </c>
      <c r="J52" s="25" t="s">
        <v>13592</v>
      </c>
      <c r="K52" s="25">
        <v>9.1999999999999993</v>
      </c>
      <c r="L52" s="26" t="s">
        <v>73</v>
      </c>
      <c r="M52" s="26" t="s">
        <v>13935</v>
      </c>
      <c r="N52" s="26" t="s">
        <v>13936</v>
      </c>
      <c r="O52" s="27" t="s">
        <v>13937</v>
      </c>
      <c r="P52" s="28"/>
      <c r="Q52" s="29">
        <v>4</v>
      </c>
      <c r="R52" s="29">
        <v>16</v>
      </c>
      <c r="S52" s="29">
        <v>266.52999999999997</v>
      </c>
      <c r="T52" s="26" t="s">
        <v>146</v>
      </c>
      <c r="U52" s="30" t="s">
        <v>78</v>
      </c>
      <c r="V52" s="26" t="s">
        <v>129</v>
      </c>
      <c r="W52" s="38" t="s">
        <v>3405</v>
      </c>
      <c r="X52" s="26" t="s">
        <v>131</v>
      </c>
      <c r="Y52" s="26" t="s">
        <v>91</v>
      </c>
      <c r="Z52" s="26" t="s">
        <v>91</v>
      </c>
      <c r="AA52" s="26"/>
      <c r="AB52" s="31" t="s">
        <v>13</v>
      </c>
      <c r="AC52" s="30" t="s">
        <v>172</v>
      </c>
      <c r="AD52" s="25" t="s">
        <v>173</v>
      </c>
      <c r="AE52" s="25" t="s">
        <v>174</v>
      </c>
      <c r="AF52" s="26" t="s">
        <v>175</v>
      </c>
      <c r="AG52" s="32">
        <v>1</v>
      </c>
      <c r="AH52" s="32"/>
      <c r="AI52" s="32"/>
      <c r="AJ52" s="32"/>
      <c r="AK52" s="30"/>
      <c r="AL52" s="32">
        <f t="shared" si="1"/>
        <v>0</v>
      </c>
      <c r="AM52" s="30"/>
      <c r="AN52" s="32"/>
      <c r="AO52" s="32"/>
      <c r="AP52" s="32"/>
      <c r="AQ52" s="32"/>
      <c r="AR52" s="32"/>
      <c r="AS52" s="32"/>
      <c r="AT52" s="32"/>
      <c r="AU52" s="30"/>
      <c r="AV52" s="30"/>
      <c r="AW52" s="30"/>
      <c r="AX52" s="30"/>
      <c r="AY52" s="30"/>
    </row>
    <row r="53" spans="1:51">
      <c r="A53" s="25" t="s">
        <v>13938</v>
      </c>
      <c r="B53" s="25" t="s">
        <v>4398</v>
      </c>
      <c r="C53" s="25" t="s">
        <v>68</v>
      </c>
      <c r="D53" s="25" t="s">
        <v>13939</v>
      </c>
      <c r="E53" s="258" t="s">
        <v>13940</v>
      </c>
      <c r="F53" s="25" t="s">
        <v>13941</v>
      </c>
      <c r="G53" s="25" t="s">
        <v>5516</v>
      </c>
      <c r="H53" s="25" t="s">
        <v>11489</v>
      </c>
      <c r="I53" s="26" t="s">
        <v>4402</v>
      </c>
      <c r="J53" s="25" t="s">
        <v>13592</v>
      </c>
      <c r="K53" s="25">
        <v>9.1999999999999993</v>
      </c>
      <c r="L53" s="26" t="s">
        <v>73</v>
      </c>
      <c r="M53" s="26" t="s">
        <v>13942</v>
      </c>
      <c r="N53" s="26" t="s">
        <v>13943</v>
      </c>
      <c r="O53" s="27" t="s">
        <v>13944</v>
      </c>
      <c r="P53" s="28"/>
      <c r="Q53" s="29">
        <v>8</v>
      </c>
      <c r="R53" s="29">
        <v>32</v>
      </c>
      <c r="S53" s="29">
        <v>383.83</v>
      </c>
      <c r="T53" s="26" t="s">
        <v>146</v>
      </c>
      <c r="U53" s="30" t="s">
        <v>78</v>
      </c>
      <c r="V53" s="26" t="s">
        <v>129</v>
      </c>
      <c r="W53" s="38" t="s">
        <v>3405</v>
      </c>
      <c r="X53" s="26" t="s">
        <v>131</v>
      </c>
      <c r="Y53" s="26" t="s">
        <v>91</v>
      </c>
      <c r="Z53" s="26" t="s">
        <v>91</v>
      </c>
      <c r="AA53" s="26"/>
      <c r="AB53" s="31" t="s">
        <v>13</v>
      </c>
      <c r="AC53" s="30" t="s">
        <v>172</v>
      </c>
      <c r="AD53" s="25" t="s">
        <v>173</v>
      </c>
      <c r="AE53" s="25" t="s">
        <v>174</v>
      </c>
      <c r="AF53" s="26" t="s">
        <v>175</v>
      </c>
      <c r="AG53" s="32">
        <v>1</v>
      </c>
      <c r="AH53" s="32"/>
      <c r="AI53" s="32"/>
      <c r="AJ53" s="32"/>
      <c r="AK53" s="30"/>
      <c r="AL53" s="32">
        <f t="shared" si="1"/>
        <v>0</v>
      </c>
      <c r="AM53" s="30"/>
      <c r="AN53" s="32"/>
      <c r="AO53" s="32"/>
      <c r="AP53" s="32"/>
      <c r="AQ53" s="32"/>
      <c r="AR53" s="32"/>
      <c r="AS53" s="32"/>
      <c r="AT53" s="32"/>
      <c r="AU53" s="30"/>
      <c r="AV53" s="30"/>
      <c r="AW53" s="30"/>
      <c r="AX53" s="30"/>
      <c r="AY53" s="30"/>
    </row>
    <row r="54" spans="1:51">
      <c r="A54" s="25" t="s">
        <v>13945</v>
      </c>
      <c r="B54" s="25" t="s">
        <v>4398</v>
      </c>
      <c r="C54" s="25" t="s">
        <v>68</v>
      </c>
      <c r="D54" s="25" t="s">
        <v>13946</v>
      </c>
      <c r="E54" s="258" t="s">
        <v>13947</v>
      </c>
      <c r="F54" s="25" t="s">
        <v>13948</v>
      </c>
      <c r="G54" s="25" t="s">
        <v>5516</v>
      </c>
      <c r="H54" s="25" t="s">
        <v>11489</v>
      </c>
      <c r="I54" s="26" t="s">
        <v>4402</v>
      </c>
      <c r="J54" s="25" t="s">
        <v>13592</v>
      </c>
      <c r="K54" s="25">
        <v>9.1999999999999993</v>
      </c>
      <c r="L54" s="26" t="s">
        <v>73</v>
      </c>
      <c r="M54" s="26" t="s">
        <v>13949</v>
      </c>
      <c r="N54" s="26" t="s">
        <v>13950</v>
      </c>
      <c r="O54" s="27" t="s">
        <v>13951</v>
      </c>
      <c r="P54" s="28"/>
      <c r="Q54" s="29">
        <v>4</v>
      </c>
      <c r="R54" s="29">
        <v>16</v>
      </c>
      <c r="S54" s="29">
        <v>266.14</v>
      </c>
      <c r="T54" s="26" t="s">
        <v>146</v>
      </c>
      <c r="U54" s="30" t="s">
        <v>78</v>
      </c>
      <c r="V54" s="26" t="s">
        <v>129</v>
      </c>
      <c r="W54" s="38" t="s">
        <v>3405</v>
      </c>
      <c r="X54" s="26" t="s">
        <v>131</v>
      </c>
      <c r="Y54" s="26" t="s">
        <v>91</v>
      </c>
      <c r="Z54" s="26" t="s">
        <v>91</v>
      </c>
      <c r="AA54" s="26"/>
      <c r="AB54" s="31" t="s">
        <v>13</v>
      </c>
      <c r="AC54" s="30" t="s">
        <v>172</v>
      </c>
      <c r="AD54" s="25" t="s">
        <v>173</v>
      </c>
      <c r="AE54" s="25" t="s">
        <v>174</v>
      </c>
      <c r="AF54" s="26" t="s">
        <v>175</v>
      </c>
      <c r="AG54" s="32">
        <v>1</v>
      </c>
      <c r="AH54" s="32"/>
      <c r="AI54" s="32"/>
      <c r="AJ54" s="32"/>
      <c r="AK54" s="30"/>
      <c r="AL54" s="32">
        <f t="shared" si="1"/>
        <v>0</v>
      </c>
      <c r="AM54" s="30"/>
      <c r="AN54" s="32"/>
      <c r="AO54" s="32"/>
      <c r="AP54" s="32"/>
      <c r="AQ54" s="32"/>
      <c r="AR54" s="32"/>
      <c r="AS54" s="32"/>
      <c r="AT54" s="32"/>
      <c r="AU54" s="30"/>
      <c r="AV54" s="30"/>
      <c r="AW54" s="30"/>
      <c r="AX54" s="30"/>
      <c r="AY54" s="30"/>
    </row>
    <row r="55" spans="1:51">
      <c r="A55" s="25" t="s">
        <v>13952</v>
      </c>
      <c r="B55" s="25" t="s">
        <v>4398</v>
      </c>
      <c r="C55" s="25" t="s">
        <v>68</v>
      </c>
      <c r="D55" s="25" t="s">
        <v>13953</v>
      </c>
      <c r="E55" s="258" t="s">
        <v>13954</v>
      </c>
      <c r="F55" s="25" t="s">
        <v>13955</v>
      </c>
      <c r="G55" s="25" t="s">
        <v>5516</v>
      </c>
      <c r="H55" s="25" t="s">
        <v>11489</v>
      </c>
      <c r="I55" s="26" t="s">
        <v>4402</v>
      </c>
      <c r="J55" s="25" t="s">
        <v>13592</v>
      </c>
      <c r="K55" s="25">
        <v>9.1999999999999993</v>
      </c>
      <c r="L55" s="26" t="s">
        <v>73</v>
      </c>
      <c r="M55" s="26" t="s">
        <v>13956</v>
      </c>
      <c r="N55" s="26" t="s">
        <v>13957</v>
      </c>
      <c r="O55" s="27" t="s">
        <v>13958</v>
      </c>
      <c r="P55" s="28"/>
      <c r="Q55" s="29">
        <v>4</v>
      </c>
      <c r="R55" s="29">
        <v>16</v>
      </c>
      <c r="S55" s="29">
        <v>266.41000000000003</v>
      </c>
      <c r="T55" s="26" t="s">
        <v>146</v>
      </c>
      <c r="U55" s="30" t="s">
        <v>78</v>
      </c>
      <c r="V55" s="26" t="s">
        <v>129</v>
      </c>
      <c r="W55" s="38" t="s">
        <v>3405</v>
      </c>
      <c r="X55" s="26" t="s">
        <v>131</v>
      </c>
      <c r="Y55" s="26" t="s">
        <v>91</v>
      </c>
      <c r="Z55" s="26" t="s">
        <v>91</v>
      </c>
      <c r="AA55" s="26"/>
      <c r="AB55" s="31" t="s">
        <v>13</v>
      </c>
      <c r="AC55" s="30" t="s">
        <v>172</v>
      </c>
      <c r="AD55" s="25" t="s">
        <v>173</v>
      </c>
      <c r="AE55" s="25" t="s">
        <v>174</v>
      </c>
      <c r="AF55" s="26" t="s">
        <v>175</v>
      </c>
      <c r="AG55" s="32">
        <v>1</v>
      </c>
      <c r="AH55" s="32"/>
      <c r="AI55" s="32"/>
      <c r="AJ55" s="32"/>
      <c r="AK55" s="30"/>
      <c r="AL55" s="32">
        <f t="shared" si="1"/>
        <v>0</v>
      </c>
      <c r="AM55" s="30"/>
      <c r="AN55" s="32"/>
      <c r="AO55" s="32"/>
      <c r="AP55" s="32"/>
      <c r="AQ55" s="32"/>
      <c r="AR55" s="32"/>
      <c r="AS55" s="32"/>
      <c r="AT55" s="32"/>
      <c r="AU55" s="30"/>
      <c r="AV55" s="30"/>
      <c r="AW55" s="30"/>
      <c r="AX55" s="30"/>
      <c r="AY55" s="30"/>
    </row>
    <row r="56" spans="1:51">
      <c r="A56" s="25" t="s">
        <v>13959</v>
      </c>
      <c r="B56" s="25" t="s">
        <v>4398</v>
      </c>
      <c r="C56" s="25" t="s">
        <v>68</v>
      </c>
      <c r="D56" s="25" t="s">
        <v>13960</v>
      </c>
      <c r="E56" s="258" t="s">
        <v>13961</v>
      </c>
      <c r="F56" s="25" t="s">
        <v>13962</v>
      </c>
      <c r="G56" s="25" t="s">
        <v>5516</v>
      </c>
      <c r="H56" s="25" t="s">
        <v>11489</v>
      </c>
      <c r="I56" s="26" t="s">
        <v>4402</v>
      </c>
      <c r="J56" s="25" t="s">
        <v>13592</v>
      </c>
      <c r="K56" s="25" t="s">
        <v>11500</v>
      </c>
      <c r="L56" s="26" t="s">
        <v>73</v>
      </c>
      <c r="M56" s="26" t="s">
        <v>13963</v>
      </c>
      <c r="N56" s="26" t="s">
        <v>13964</v>
      </c>
      <c r="O56" s="33" t="s">
        <v>13965</v>
      </c>
      <c r="P56" s="28" t="s">
        <v>11500</v>
      </c>
      <c r="Q56" s="29">
        <v>4</v>
      </c>
      <c r="R56" s="29">
        <v>16</v>
      </c>
      <c r="S56" s="29">
        <v>266.12</v>
      </c>
      <c r="T56" s="30"/>
      <c r="U56" s="30"/>
      <c r="V56" s="30"/>
      <c r="W56" s="38"/>
      <c r="X56" s="26"/>
      <c r="Y56" s="26"/>
      <c r="Z56" s="26"/>
      <c r="AA56" s="26"/>
      <c r="AB56" s="31"/>
      <c r="AC56" s="30" t="s">
        <v>172</v>
      </c>
      <c r="AD56" s="25" t="s">
        <v>173</v>
      </c>
      <c r="AE56" s="25" t="s">
        <v>174</v>
      </c>
      <c r="AF56" s="26" t="s">
        <v>175</v>
      </c>
      <c r="AG56" s="32"/>
      <c r="AH56" s="32"/>
      <c r="AI56" s="32"/>
      <c r="AJ56" s="32"/>
      <c r="AK56" s="30"/>
      <c r="AL56" s="32">
        <f t="shared" si="1"/>
        <v>0</v>
      </c>
      <c r="AM56" s="30"/>
      <c r="AN56" s="32"/>
      <c r="AO56" s="32"/>
      <c r="AP56" s="32"/>
      <c r="AQ56" s="32"/>
      <c r="AR56" s="32"/>
      <c r="AS56" s="32"/>
      <c r="AT56" s="32"/>
      <c r="AU56" s="30"/>
      <c r="AV56" s="30"/>
      <c r="AW56" s="30"/>
      <c r="AX56" s="30"/>
      <c r="AY56" s="30"/>
    </row>
    <row r="57" spans="1:51">
      <c r="A57" s="25" t="s">
        <v>13966</v>
      </c>
      <c r="B57" s="25" t="s">
        <v>4398</v>
      </c>
      <c r="C57" s="25" t="s">
        <v>68</v>
      </c>
      <c r="D57" s="25" t="s">
        <v>13967</v>
      </c>
      <c r="E57" s="258" t="s">
        <v>13968</v>
      </c>
      <c r="F57" s="25" t="s">
        <v>13969</v>
      </c>
      <c r="G57" s="25" t="s">
        <v>5516</v>
      </c>
      <c r="H57" s="25" t="s">
        <v>11489</v>
      </c>
      <c r="I57" s="26" t="s">
        <v>4402</v>
      </c>
      <c r="J57" s="25" t="s">
        <v>13592</v>
      </c>
      <c r="K57" s="25">
        <v>9.1999999999999993</v>
      </c>
      <c r="L57" s="26" t="s">
        <v>73</v>
      </c>
      <c r="M57" s="26" t="s">
        <v>13970</v>
      </c>
      <c r="N57" s="26" t="s">
        <v>13971</v>
      </c>
      <c r="O57" s="27" t="s">
        <v>13972</v>
      </c>
      <c r="P57" s="28"/>
      <c r="Q57" s="29">
        <v>4</v>
      </c>
      <c r="R57" s="29">
        <v>16</v>
      </c>
      <c r="S57" s="29">
        <v>266.36</v>
      </c>
      <c r="T57" s="26" t="s">
        <v>146</v>
      </c>
      <c r="U57" s="30" t="s">
        <v>78</v>
      </c>
      <c r="V57" s="26" t="s">
        <v>129</v>
      </c>
      <c r="W57" s="38" t="s">
        <v>3405</v>
      </c>
      <c r="X57" s="26" t="s">
        <v>131</v>
      </c>
      <c r="Y57" s="26" t="s">
        <v>91</v>
      </c>
      <c r="Z57" s="26" t="s">
        <v>91</v>
      </c>
      <c r="AA57" s="26"/>
      <c r="AB57" s="31" t="s">
        <v>13</v>
      </c>
      <c r="AC57" s="30" t="s">
        <v>172</v>
      </c>
      <c r="AD57" s="25" t="s">
        <v>173</v>
      </c>
      <c r="AE57" s="25" t="s">
        <v>174</v>
      </c>
      <c r="AF57" s="26" t="s">
        <v>175</v>
      </c>
      <c r="AG57" s="32">
        <v>1</v>
      </c>
      <c r="AH57" s="32"/>
      <c r="AI57" s="32"/>
      <c r="AJ57" s="32"/>
      <c r="AK57" s="30"/>
      <c r="AL57" s="32">
        <f t="shared" si="1"/>
        <v>0</v>
      </c>
      <c r="AM57" s="30"/>
      <c r="AN57" s="32"/>
      <c r="AO57" s="32"/>
      <c r="AP57" s="32"/>
      <c r="AQ57" s="32"/>
      <c r="AR57" s="32"/>
      <c r="AS57" s="32"/>
      <c r="AT57" s="32"/>
      <c r="AU57" s="30"/>
      <c r="AV57" s="30"/>
      <c r="AW57" s="30"/>
      <c r="AX57" s="30"/>
      <c r="AY57" s="30"/>
    </row>
    <row r="58" spans="1:51">
      <c r="A58" s="25" t="s">
        <v>13973</v>
      </c>
      <c r="B58" s="25" t="s">
        <v>4398</v>
      </c>
      <c r="C58" s="25" t="s">
        <v>68</v>
      </c>
      <c r="D58" s="25" t="s">
        <v>13974</v>
      </c>
      <c r="E58" s="258" t="s">
        <v>13975</v>
      </c>
      <c r="F58" s="25" t="s">
        <v>13976</v>
      </c>
      <c r="G58" s="25" t="s">
        <v>5516</v>
      </c>
      <c r="H58" s="25" t="s">
        <v>11489</v>
      </c>
      <c r="I58" s="26" t="s">
        <v>4402</v>
      </c>
      <c r="J58" s="25" t="s">
        <v>13592</v>
      </c>
      <c r="K58" s="25" t="s">
        <v>11500</v>
      </c>
      <c r="L58" s="26" t="s">
        <v>73</v>
      </c>
      <c r="M58" s="26" t="s">
        <v>13977</v>
      </c>
      <c r="N58" s="26" t="s">
        <v>13978</v>
      </c>
      <c r="O58" s="33" t="s">
        <v>13979</v>
      </c>
      <c r="P58" s="28" t="s">
        <v>11500</v>
      </c>
      <c r="Q58" s="29">
        <v>8</v>
      </c>
      <c r="R58" s="29">
        <v>32</v>
      </c>
      <c r="S58" s="29">
        <v>312.16000000000003</v>
      </c>
      <c r="T58" s="30"/>
      <c r="U58" s="30"/>
      <c r="V58" s="30"/>
      <c r="W58" s="38"/>
      <c r="X58" s="26"/>
      <c r="Y58" s="26"/>
      <c r="Z58" s="26"/>
      <c r="AA58" s="26"/>
      <c r="AB58" s="31"/>
      <c r="AC58" s="30" t="s">
        <v>172</v>
      </c>
      <c r="AD58" s="25" t="s">
        <v>173</v>
      </c>
      <c r="AE58" s="25" t="s">
        <v>174</v>
      </c>
      <c r="AF58" s="26" t="s">
        <v>175</v>
      </c>
      <c r="AG58" s="32"/>
      <c r="AH58" s="32"/>
      <c r="AI58" s="32"/>
      <c r="AJ58" s="32"/>
      <c r="AK58" s="30"/>
      <c r="AL58" s="32">
        <f t="shared" si="1"/>
        <v>0</v>
      </c>
      <c r="AM58" s="30"/>
      <c r="AN58" s="32"/>
      <c r="AO58" s="32"/>
      <c r="AP58" s="32"/>
      <c r="AQ58" s="32"/>
      <c r="AR58" s="25"/>
      <c r="AS58" s="34"/>
      <c r="AT58" s="32"/>
      <c r="AU58" s="30"/>
      <c r="AV58" s="30"/>
      <c r="AW58" s="30"/>
      <c r="AX58" s="30"/>
      <c r="AY58" s="30"/>
    </row>
    <row r="59" spans="1:51">
      <c r="A59" s="25" t="s">
        <v>13980</v>
      </c>
      <c r="B59" s="25" t="s">
        <v>4398</v>
      </c>
      <c r="C59" s="25" t="s">
        <v>68</v>
      </c>
      <c r="D59" s="25" t="s">
        <v>13981</v>
      </c>
      <c r="E59" s="258" t="s">
        <v>13982</v>
      </c>
      <c r="F59" s="25" t="s">
        <v>13983</v>
      </c>
      <c r="G59" s="25" t="s">
        <v>5516</v>
      </c>
      <c r="H59" s="25" t="s">
        <v>11489</v>
      </c>
      <c r="I59" s="26" t="s">
        <v>4402</v>
      </c>
      <c r="J59" s="25" t="s">
        <v>13592</v>
      </c>
      <c r="K59" s="25">
        <v>9.1999999999999993</v>
      </c>
      <c r="L59" s="26" t="s">
        <v>73</v>
      </c>
      <c r="M59" s="26" t="s">
        <v>13984</v>
      </c>
      <c r="N59" s="26" t="s">
        <v>13985</v>
      </c>
      <c r="O59" s="27" t="s">
        <v>13986</v>
      </c>
      <c r="P59" s="28"/>
      <c r="Q59" s="29">
        <v>4</v>
      </c>
      <c r="R59" s="29">
        <v>16</v>
      </c>
      <c r="S59" s="29">
        <v>306.13</v>
      </c>
      <c r="T59" s="26" t="s">
        <v>146</v>
      </c>
      <c r="U59" s="30" t="s">
        <v>78</v>
      </c>
      <c r="V59" s="26" t="s">
        <v>129</v>
      </c>
      <c r="W59" s="38" t="s">
        <v>3405</v>
      </c>
      <c r="X59" s="26" t="s">
        <v>131</v>
      </c>
      <c r="Y59" s="26" t="s">
        <v>91</v>
      </c>
      <c r="Z59" s="26" t="s">
        <v>91</v>
      </c>
      <c r="AA59" s="26"/>
      <c r="AB59" s="31" t="s">
        <v>13</v>
      </c>
      <c r="AC59" s="30" t="s">
        <v>172</v>
      </c>
      <c r="AD59" s="25" t="s">
        <v>173</v>
      </c>
      <c r="AE59" s="25" t="s">
        <v>174</v>
      </c>
      <c r="AF59" s="26" t="s">
        <v>175</v>
      </c>
      <c r="AG59" s="32">
        <v>1</v>
      </c>
      <c r="AH59" s="32"/>
      <c r="AI59" s="32"/>
      <c r="AJ59" s="32"/>
      <c r="AK59" s="30"/>
      <c r="AL59" s="32">
        <f t="shared" si="1"/>
        <v>0</v>
      </c>
      <c r="AM59" s="30"/>
      <c r="AN59" s="32"/>
      <c r="AO59" s="32"/>
      <c r="AP59" s="32"/>
      <c r="AQ59" s="32"/>
      <c r="AR59" s="32"/>
      <c r="AS59" s="32"/>
      <c r="AT59" s="32"/>
      <c r="AU59" s="30"/>
      <c r="AV59" s="30"/>
      <c r="AW59" s="30"/>
      <c r="AX59" s="30"/>
      <c r="AY59" s="30"/>
    </row>
    <row r="60" spans="1:51">
      <c r="A60" s="25" t="s">
        <v>13987</v>
      </c>
      <c r="B60" s="25" t="s">
        <v>4398</v>
      </c>
      <c r="C60" s="25" t="s">
        <v>68</v>
      </c>
      <c r="D60" s="25" t="s">
        <v>13988</v>
      </c>
      <c r="E60" s="258" t="s">
        <v>13989</v>
      </c>
      <c r="F60" s="25" t="s">
        <v>13990</v>
      </c>
      <c r="G60" s="25" t="s">
        <v>5516</v>
      </c>
      <c r="H60" s="25" t="s">
        <v>11489</v>
      </c>
      <c r="I60" s="26" t="s">
        <v>4402</v>
      </c>
      <c r="J60" s="25" t="s">
        <v>13592</v>
      </c>
      <c r="K60" s="25">
        <v>9.1999999999999993</v>
      </c>
      <c r="L60" s="26" t="s">
        <v>73</v>
      </c>
      <c r="M60" s="26" t="s">
        <v>13991</v>
      </c>
      <c r="N60" s="26" t="s">
        <v>13992</v>
      </c>
      <c r="O60" s="27" t="s">
        <v>13993</v>
      </c>
      <c r="P60" s="28"/>
      <c r="Q60" s="29">
        <v>4</v>
      </c>
      <c r="R60" s="29">
        <v>16</v>
      </c>
      <c r="S60" s="29">
        <v>287.64</v>
      </c>
      <c r="T60" s="26" t="s">
        <v>146</v>
      </c>
      <c r="U60" s="30" t="s">
        <v>78</v>
      </c>
      <c r="V60" s="26" t="s">
        <v>129</v>
      </c>
      <c r="W60" s="38" t="s">
        <v>3405</v>
      </c>
      <c r="X60" s="26" t="s">
        <v>131</v>
      </c>
      <c r="Y60" s="26" t="s">
        <v>91</v>
      </c>
      <c r="Z60" s="26" t="s">
        <v>91</v>
      </c>
      <c r="AA60" s="26"/>
      <c r="AB60" s="31" t="s">
        <v>13</v>
      </c>
      <c r="AC60" s="30" t="s">
        <v>172</v>
      </c>
      <c r="AD60" s="25" t="s">
        <v>173</v>
      </c>
      <c r="AE60" s="25" t="s">
        <v>174</v>
      </c>
      <c r="AF60" s="26" t="s">
        <v>175</v>
      </c>
      <c r="AG60" s="32">
        <v>1</v>
      </c>
      <c r="AH60" s="32"/>
      <c r="AI60" s="32"/>
      <c r="AJ60" s="32"/>
      <c r="AK60" s="30"/>
      <c r="AL60" s="32">
        <f t="shared" si="1"/>
        <v>0</v>
      </c>
      <c r="AM60" s="30"/>
      <c r="AN60" s="32"/>
      <c r="AO60" s="32"/>
      <c r="AP60" s="32"/>
      <c r="AQ60" s="32"/>
      <c r="AR60" s="32"/>
      <c r="AS60" s="32"/>
      <c r="AT60" s="32"/>
      <c r="AU60" s="30"/>
      <c r="AV60" s="30"/>
      <c r="AW60" s="30"/>
      <c r="AX60" s="30"/>
      <c r="AY60" s="30"/>
    </row>
    <row r="61" spans="1:51">
      <c r="A61" s="25" t="s">
        <v>13994</v>
      </c>
      <c r="B61" s="25" t="s">
        <v>4398</v>
      </c>
      <c r="C61" s="25" t="s">
        <v>68</v>
      </c>
      <c r="D61" s="25" t="s">
        <v>13995</v>
      </c>
      <c r="E61" s="258" t="s">
        <v>13996</v>
      </c>
      <c r="F61" s="25" t="s">
        <v>13997</v>
      </c>
      <c r="G61" s="25" t="s">
        <v>5516</v>
      </c>
      <c r="H61" s="25" t="s">
        <v>11489</v>
      </c>
      <c r="I61" s="26" t="s">
        <v>4402</v>
      </c>
      <c r="J61" s="25" t="s">
        <v>13592</v>
      </c>
      <c r="K61" s="25">
        <v>9.1999999999999993</v>
      </c>
      <c r="L61" s="26" t="s">
        <v>73</v>
      </c>
      <c r="M61" s="26" t="s">
        <v>13998</v>
      </c>
      <c r="N61" s="26" t="s">
        <v>13999</v>
      </c>
      <c r="O61" s="27" t="s">
        <v>14000</v>
      </c>
      <c r="P61" s="28"/>
      <c r="Q61" s="29">
        <v>4</v>
      </c>
      <c r="R61" s="29">
        <v>16</v>
      </c>
      <c r="S61" s="29">
        <v>266.12</v>
      </c>
      <c r="T61" s="26" t="s">
        <v>146</v>
      </c>
      <c r="U61" s="30" t="s">
        <v>78</v>
      </c>
      <c r="V61" s="26" t="s">
        <v>129</v>
      </c>
      <c r="W61" s="38" t="s">
        <v>3405</v>
      </c>
      <c r="X61" s="26" t="s">
        <v>131</v>
      </c>
      <c r="Y61" s="26" t="s">
        <v>91</v>
      </c>
      <c r="Z61" s="26" t="s">
        <v>91</v>
      </c>
      <c r="AA61" s="26"/>
      <c r="AB61" s="31" t="s">
        <v>13</v>
      </c>
      <c r="AC61" s="30" t="s">
        <v>172</v>
      </c>
      <c r="AD61" s="25" t="s">
        <v>173</v>
      </c>
      <c r="AE61" s="25" t="s">
        <v>174</v>
      </c>
      <c r="AF61" s="26" t="s">
        <v>175</v>
      </c>
      <c r="AG61" s="32">
        <v>1</v>
      </c>
      <c r="AH61" s="32"/>
      <c r="AI61" s="32"/>
      <c r="AJ61" s="32"/>
      <c r="AK61" s="30"/>
      <c r="AL61" s="32">
        <f t="shared" si="1"/>
        <v>0</v>
      </c>
      <c r="AM61" s="30"/>
      <c r="AN61" s="32"/>
      <c r="AO61" s="32"/>
      <c r="AP61" s="32"/>
      <c r="AQ61" s="32"/>
      <c r="AR61" s="32"/>
      <c r="AS61" s="32"/>
      <c r="AT61" s="32"/>
      <c r="AU61" s="30"/>
      <c r="AV61" s="30"/>
      <c r="AW61" s="30"/>
      <c r="AX61" s="30"/>
      <c r="AY61" s="30"/>
    </row>
    <row r="62" spans="1:51">
      <c r="A62" s="25" t="s">
        <v>14001</v>
      </c>
      <c r="B62" s="25" t="s">
        <v>4398</v>
      </c>
      <c r="C62" s="25" t="s">
        <v>68</v>
      </c>
      <c r="D62" s="25" t="s">
        <v>14002</v>
      </c>
      <c r="E62" s="258" t="s">
        <v>14003</v>
      </c>
      <c r="F62" s="25" t="s">
        <v>14004</v>
      </c>
      <c r="G62" s="25" t="s">
        <v>5516</v>
      </c>
      <c r="H62" s="25" t="s">
        <v>11489</v>
      </c>
      <c r="I62" s="26" t="s">
        <v>4402</v>
      </c>
      <c r="J62" s="25" t="s">
        <v>13592</v>
      </c>
      <c r="K62" s="25" t="s">
        <v>11500</v>
      </c>
      <c r="L62" s="26" t="s">
        <v>73</v>
      </c>
      <c r="M62" s="26" t="s">
        <v>14005</v>
      </c>
      <c r="N62" s="26" t="s">
        <v>14006</v>
      </c>
      <c r="O62" s="33" t="s">
        <v>14007</v>
      </c>
      <c r="P62" s="28" t="s">
        <v>11500</v>
      </c>
      <c r="Q62" s="29">
        <v>4</v>
      </c>
      <c r="R62" s="29">
        <v>16</v>
      </c>
      <c r="S62" s="29">
        <v>269.06</v>
      </c>
      <c r="T62" s="30"/>
      <c r="U62" s="30"/>
      <c r="V62" s="30"/>
      <c r="W62" s="38"/>
      <c r="X62" s="26"/>
      <c r="Y62" s="26"/>
      <c r="Z62" s="26"/>
      <c r="AA62" s="26"/>
      <c r="AB62" s="31"/>
      <c r="AC62" s="30" t="s">
        <v>172</v>
      </c>
      <c r="AD62" s="25" t="s">
        <v>173</v>
      </c>
      <c r="AE62" s="25" t="s">
        <v>174</v>
      </c>
      <c r="AF62" s="26" t="s">
        <v>175</v>
      </c>
      <c r="AG62" s="32"/>
      <c r="AH62" s="32"/>
      <c r="AI62" s="32"/>
      <c r="AJ62" s="32"/>
      <c r="AK62" s="30"/>
      <c r="AL62" s="32">
        <f t="shared" si="1"/>
        <v>0</v>
      </c>
      <c r="AM62" s="30"/>
      <c r="AN62" s="32"/>
      <c r="AO62" s="32"/>
      <c r="AP62" s="32"/>
      <c r="AQ62" s="32"/>
      <c r="AR62" s="32"/>
      <c r="AS62" s="32"/>
      <c r="AT62" s="32"/>
      <c r="AU62" s="30"/>
      <c r="AV62" s="30"/>
      <c r="AW62" s="30"/>
      <c r="AX62" s="30"/>
      <c r="AY62" s="30"/>
    </row>
    <row r="63" spans="1:51">
      <c r="A63" s="25" t="s">
        <v>14008</v>
      </c>
      <c r="B63" s="25" t="s">
        <v>4398</v>
      </c>
      <c r="C63" s="25" t="s">
        <v>68</v>
      </c>
      <c r="D63" s="25" t="s">
        <v>14009</v>
      </c>
      <c r="E63" s="258" t="s">
        <v>14010</v>
      </c>
      <c r="F63" s="25" t="s">
        <v>14011</v>
      </c>
      <c r="G63" s="25" t="s">
        <v>5516</v>
      </c>
      <c r="H63" s="25" t="s">
        <v>11489</v>
      </c>
      <c r="I63" s="26" t="s">
        <v>4402</v>
      </c>
      <c r="J63" s="25" t="s">
        <v>13592</v>
      </c>
      <c r="K63" s="25">
        <v>9.1999999999999993</v>
      </c>
      <c r="L63" s="26" t="s">
        <v>73</v>
      </c>
      <c r="M63" s="26" t="s">
        <v>14012</v>
      </c>
      <c r="N63" s="26" t="s">
        <v>14013</v>
      </c>
      <c r="O63" s="27" t="s">
        <v>14014</v>
      </c>
      <c r="P63" s="28"/>
      <c r="Q63" s="29">
        <v>4</v>
      </c>
      <c r="R63" s="29">
        <v>16</v>
      </c>
      <c r="S63" s="29">
        <v>266.2</v>
      </c>
      <c r="T63" s="26" t="s">
        <v>146</v>
      </c>
      <c r="U63" s="30" t="s">
        <v>78</v>
      </c>
      <c r="V63" s="26" t="s">
        <v>129</v>
      </c>
      <c r="W63" s="38" t="s">
        <v>3405</v>
      </c>
      <c r="X63" s="26" t="s">
        <v>131</v>
      </c>
      <c r="Y63" s="26" t="s">
        <v>91</v>
      </c>
      <c r="Z63" s="26" t="s">
        <v>91</v>
      </c>
      <c r="AA63" s="26"/>
      <c r="AB63" s="31" t="s">
        <v>13</v>
      </c>
      <c r="AC63" s="30" t="s">
        <v>172</v>
      </c>
      <c r="AD63" s="25" t="s">
        <v>173</v>
      </c>
      <c r="AE63" s="25" t="s">
        <v>174</v>
      </c>
      <c r="AF63" s="26" t="s">
        <v>175</v>
      </c>
      <c r="AG63" s="32">
        <v>1</v>
      </c>
      <c r="AH63" s="32"/>
      <c r="AI63" s="32"/>
      <c r="AJ63" s="32"/>
      <c r="AK63" s="30"/>
      <c r="AL63" s="32">
        <f t="shared" si="1"/>
        <v>0</v>
      </c>
      <c r="AM63" s="30"/>
      <c r="AN63" s="32"/>
      <c r="AO63" s="32"/>
      <c r="AP63" s="32"/>
      <c r="AQ63" s="32"/>
      <c r="AR63" s="32"/>
      <c r="AS63" s="32"/>
      <c r="AT63" s="32"/>
      <c r="AU63" s="30"/>
      <c r="AV63" s="30"/>
      <c r="AW63" s="30"/>
      <c r="AX63" s="30"/>
      <c r="AY63" s="30"/>
    </row>
    <row r="64" spans="1:51">
      <c r="A64" s="25" t="s">
        <v>14015</v>
      </c>
      <c r="B64" s="25" t="s">
        <v>4398</v>
      </c>
      <c r="C64" s="25" t="s">
        <v>68</v>
      </c>
      <c r="D64" s="25" t="s">
        <v>14016</v>
      </c>
      <c r="E64" s="258" t="s">
        <v>14017</v>
      </c>
      <c r="F64" s="25" t="s">
        <v>14018</v>
      </c>
      <c r="G64" s="25" t="s">
        <v>5516</v>
      </c>
      <c r="H64" s="25" t="s">
        <v>11489</v>
      </c>
      <c r="I64" s="26" t="s">
        <v>4402</v>
      </c>
      <c r="J64" s="25" t="s">
        <v>13592</v>
      </c>
      <c r="K64" s="25">
        <v>9.1999999999999993</v>
      </c>
      <c r="L64" s="26" t="s">
        <v>73</v>
      </c>
      <c r="M64" s="26" t="s">
        <v>14019</v>
      </c>
      <c r="N64" s="26" t="s">
        <v>14020</v>
      </c>
      <c r="O64" s="27" t="s">
        <v>14021</v>
      </c>
      <c r="P64" s="28"/>
      <c r="Q64" s="29">
        <v>4</v>
      </c>
      <c r="R64" s="29">
        <v>16</v>
      </c>
      <c r="S64" s="29">
        <v>326.56</v>
      </c>
      <c r="T64" s="26" t="s">
        <v>146</v>
      </c>
      <c r="U64" s="30" t="s">
        <v>78</v>
      </c>
      <c r="V64" s="26" t="s">
        <v>129</v>
      </c>
      <c r="W64" s="38" t="s">
        <v>3405</v>
      </c>
      <c r="X64" s="26" t="s">
        <v>131</v>
      </c>
      <c r="Y64" s="26" t="s">
        <v>91</v>
      </c>
      <c r="Z64" s="26" t="s">
        <v>91</v>
      </c>
      <c r="AA64" s="26"/>
      <c r="AB64" s="31" t="s">
        <v>13</v>
      </c>
      <c r="AC64" s="30" t="s">
        <v>172</v>
      </c>
      <c r="AD64" s="25" t="s">
        <v>173</v>
      </c>
      <c r="AE64" s="25" t="s">
        <v>174</v>
      </c>
      <c r="AF64" s="26" t="s">
        <v>175</v>
      </c>
      <c r="AG64" s="32">
        <v>1</v>
      </c>
      <c r="AH64" s="32"/>
      <c r="AI64" s="32"/>
      <c r="AJ64" s="32"/>
      <c r="AK64" s="30"/>
      <c r="AL64" s="32">
        <f t="shared" si="1"/>
        <v>0</v>
      </c>
      <c r="AM64" s="30"/>
      <c r="AN64" s="32"/>
      <c r="AO64" s="32"/>
      <c r="AP64" s="32"/>
      <c r="AQ64" s="32"/>
      <c r="AR64" s="32"/>
      <c r="AS64" s="32"/>
      <c r="AT64" s="32"/>
      <c r="AU64" s="30"/>
      <c r="AV64" s="30"/>
      <c r="AW64" s="30"/>
      <c r="AX64" s="30"/>
      <c r="AY64" s="30"/>
    </row>
    <row r="65" spans="1:51">
      <c r="A65" s="25" t="s">
        <v>14022</v>
      </c>
      <c r="B65" s="25" t="s">
        <v>4398</v>
      </c>
      <c r="C65" s="25" t="s">
        <v>68</v>
      </c>
      <c r="D65" s="25" t="s">
        <v>14023</v>
      </c>
      <c r="E65" s="258" t="s">
        <v>14024</v>
      </c>
      <c r="F65" s="25" t="s">
        <v>14025</v>
      </c>
      <c r="G65" s="25" t="s">
        <v>5516</v>
      </c>
      <c r="H65" s="25" t="s">
        <v>11489</v>
      </c>
      <c r="I65" s="26" t="s">
        <v>4402</v>
      </c>
      <c r="J65" s="25" t="s">
        <v>13592</v>
      </c>
      <c r="K65" s="25">
        <v>9.1999999999999993</v>
      </c>
      <c r="L65" s="26" t="s">
        <v>73</v>
      </c>
      <c r="M65" s="26" t="s">
        <v>14026</v>
      </c>
      <c r="N65" s="26" t="s">
        <v>14027</v>
      </c>
      <c r="O65" s="27" t="s">
        <v>14028</v>
      </c>
      <c r="P65" s="28"/>
      <c r="Q65" s="29">
        <v>4</v>
      </c>
      <c r="R65" s="29">
        <v>16</v>
      </c>
      <c r="S65" s="29">
        <v>266.41000000000003</v>
      </c>
      <c r="T65" s="26" t="s">
        <v>146</v>
      </c>
      <c r="U65" s="30" t="s">
        <v>78</v>
      </c>
      <c r="V65" s="26" t="s">
        <v>129</v>
      </c>
      <c r="W65" s="38" t="s">
        <v>3405</v>
      </c>
      <c r="X65" s="26" t="s">
        <v>131</v>
      </c>
      <c r="Y65" s="26" t="s">
        <v>91</v>
      </c>
      <c r="Z65" s="26" t="s">
        <v>91</v>
      </c>
      <c r="AA65" s="26"/>
      <c r="AB65" s="31" t="s">
        <v>13</v>
      </c>
      <c r="AC65" s="30" t="s">
        <v>172</v>
      </c>
      <c r="AD65" s="25" t="s">
        <v>173</v>
      </c>
      <c r="AE65" s="25" t="s">
        <v>174</v>
      </c>
      <c r="AF65" s="26" t="s">
        <v>175</v>
      </c>
      <c r="AG65" s="32">
        <v>1</v>
      </c>
      <c r="AH65" s="32"/>
      <c r="AI65" s="32"/>
      <c r="AJ65" s="32"/>
      <c r="AK65" s="30"/>
      <c r="AL65" s="32">
        <f t="shared" si="1"/>
        <v>0</v>
      </c>
      <c r="AM65" s="30"/>
      <c r="AN65" s="32"/>
      <c r="AO65" s="32"/>
      <c r="AP65" s="32"/>
      <c r="AQ65" s="32"/>
      <c r="AR65" s="32"/>
      <c r="AS65" s="32"/>
      <c r="AT65" s="32"/>
      <c r="AU65" s="30"/>
      <c r="AV65" s="30"/>
      <c r="AW65" s="30"/>
      <c r="AX65" s="30"/>
      <c r="AY65" s="30"/>
    </row>
    <row r="66" spans="1:51">
      <c r="A66" s="25" t="s">
        <v>14029</v>
      </c>
      <c r="B66" s="25" t="s">
        <v>4398</v>
      </c>
      <c r="C66" s="25" t="s">
        <v>68</v>
      </c>
      <c r="D66" s="25" t="s">
        <v>14030</v>
      </c>
      <c r="E66" s="258" t="s">
        <v>14031</v>
      </c>
      <c r="F66" s="25" t="s">
        <v>14032</v>
      </c>
      <c r="G66" s="25" t="s">
        <v>5516</v>
      </c>
      <c r="H66" s="25" t="s">
        <v>11489</v>
      </c>
      <c r="I66" s="26" t="s">
        <v>4402</v>
      </c>
      <c r="J66" s="25" t="s">
        <v>13592</v>
      </c>
      <c r="K66" s="25">
        <v>9.1999999999999993</v>
      </c>
      <c r="L66" s="26" t="s">
        <v>73</v>
      </c>
      <c r="M66" s="26" t="s">
        <v>14033</v>
      </c>
      <c r="N66" s="26" t="s">
        <v>14034</v>
      </c>
      <c r="O66" s="27" t="s">
        <v>14035</v>
      </c>
      <c r="P66" s="28"/>
      <c r="Q66" s="29">
        <v>4</v>
      </c>
      <c r="R66" s="29">
        <v>16</v>
      </c>
      <c r="S66" s="29">
        <v>286.12</v>
      </c>
      <c r="T66" s="26" t="s">
        <v>146</v>
      </c>
      <c r="U66" s="30" t="s">
        <v>78</v>
      </c>
      <c r="V66" s="26" t="s">
        <v>129</v>
      </c>
      <c r="W66" s="38" t="s">
        <v>3496</v>
      </c>
      <c r="X66" s="26" t="s">
        <v>131</v>
      </c>
      <c r="Y66" s="26" t="s">
        <v>91</v>
      </c>
      <c r="Z66" s="26" t="s">
        <v>91</v>
      </c>
      <c r="AA66" s="26"/>
      <c r="AB66" s="31" t="s">
        <v>15</v>
      </c>
      <c r="AC66" s="30" t="s">
        <v>172</v>
      </c>
      <c r="AD66" s="25" t="s">
        <v>173</v>
      </c>
      <c r="AE66" s="25" t="s">
        <v>174</v>
      </c>
      <c r="AF66" s="26" t="s">
        <v>175</v>
      </c>
      <c r="AG66" s="32">
        <v>1</v>
      </c>
      <c r="AH66" s="32"/>
      <c r="AI66" s="32"/>
      <c r="AJ66" s="32"/>
      <c r="AK66" s="30"/>
      <c r="AL66" s="32">
        <f t="shared" si="1"/>
        <v>0</v>
      </c>
      <c r="AM66" s="30"/>
      <c r="AN66" s="32"/>
      <c r="AO66" s="32"/>
      <c r="AP66" s="32"/>
      <c r="AQ66" s="32"/>
      <c r="AR66" s="32"/>
      <c r="AS66" s="32"/>
      <c r="AT66" s="32"/>
      <c r="AU66" s="30"/>
      <c r="AV66" s="30"/>
      <c r="AW66" s="30"/>
      <c r="AX66" s="30"/>
      <c r="AY66" s="30"/>
    </row>
    <row r="67" spans="1:51">
      <c r="A67" s="25" t="s">
        <v>14036</v>
      </c>
      <c r="B67" s="25" t="s">
        <v>4398</v>
      </c>
      <c r="C67" s="25" t="s">
        <v>68</v>
      </c>
      <c r="D67" s="25" t="s">
        <v>14037</v>
      </c>
      <c r="E67" s="258" t="s">
        <v>14038</v>
      </c>
      <c r="F67" s="25" t="s">
        <v>14039</v>
      </c>
      <c r="G67" s="25" t="s">
        <v>5516</v>
      </c>
      <c r="H67" s="25" t="s">
        <v>11489</v>
      </c>
      <c r="I67" s="26" t="s">
        <v>4402</v>
      </c>
      <c r="J67" s="25" t="s">
        <v>13592</v>
      </c>
      <c r="K67" s="25">
        <v>9.1999999999999993</v>
      </c>
      <c r="L67" s="26" t="s">
        <v>73</v>
      </c>
      <c r="M67" s="26" t="s">
        <v>14040</v>
      </c>
      <c r="N67" s="26" t="s">
        <v>14041</v>
      </c>
      <c r="O67" s="27" t="s">
        <v>14042</v>
      </c>
      <c r="P67" s="28"/>
      <c r="Q67" s="29">
        <v>4</v>
      </c>
      <c r="R67" s="29">
        <v>16</v>
      </c>
      <c r="S67" s="29">
        <v>286.38</v>
      </c>
      <c r="T67" s="26" t="s">
        <v>146</v>
      </c>
      <c r="U67" s="30" t="s">
        <v>78</v>
      </c>
      <c r="V67" s="26" t="s">
        <v>129</v>
      </c>
      <c r="W67" s="38" t="s">
        <v>3496</v>
      </c>
      <c r="X67" s="26" t="s">
        <v>131</v>
      </c>
      <c r="Y67" s="26" t="s">
        <v>91</v>
      </c>
      <c r="Z67" s="26" t="s">
        <v>91</v>
      </c>
      <c r="AA67" s="26"/>
      <c r="AB67" s="31" t="s">
        <v>15</v>
      </c>
      <c r="AC67" s="30" t="s">
        <v>172</v>
      </c>
      <c r="AD67" s="25" t="s">
        <v>173</v>
      </c>
      <c r="AE67" s="25" t="s">
        <v>174</v>
      </c>
      <c r="AF67" s="26" t="s">
        <v>175</v>
      </c>
      <c r="AG67" s="32">
        <v>1</v>
      </c>
      <c r="AH67" s="32"/>
      <c r="AI67" s="32"/>
      <c r="AJ67" s="32"/>
      <c r="AK67" s="30"/>
      <c r="AL67" s="32">
        <f t="shared" ref="AL67:AL98" si="2">IF(COUNTIF(AX:AX,"*"&amp;M67&amp;"*")&gt;0,1,0)</f>
        <v>0</v>
      </c>
      <c r="AM67" s="30"/>
      <c r="AN67" s="32"/>
      <c r="AO67" s="32"/>
      <c r="AP67" s="32"/>
      <c r="AQ67" s="32"/>
      <c r="AR67" s="32"/>
      <c r="AS67" s="32"/>
      <c r="AT67" s="32"/>
      <c r="AU67" s="30"/>
      <c r="AV67" s="30"/>
      <c r="AW67" s="30"/>
      <c r="AX67" s="30"/>
      <c r="AY67" s="30"/>
    </row>
    <row r="68" spans="1:51">
      <c r="A68" s="25" t="s">
        <v>14043</v>
      </c>
      <c r="B68" s="25" t="s">
        <v>4398</v>
      </c>
      <c r="C68" s="25" t="s">
        <v>68</v>
      </c>
      <c r="D68" s="25" t="s">
        <v>14044</v>
      </c>
      <c r="E68" s="258" t="s">
        <v>14045</v>
      </c>
      <c r="F68" s="25" t="s">
        <v>14046</v>
      </c>
      <c r="G68" s="25" t="s">
        <v>5516</v>
      </c>
      <c r="H68" s="25" t="s">
        <v>11489</v>
      </c>
      <c r="I68" s="26" t="s">
        <v>4402</v>
      </c>
      <c r="J68" s="25" t="s">
        <v>13592</v>
      </c>
      <c r="K68" s="25">
        <v>9.1999999999999993</v>
      </c>
      <c r="L68" s="26" t="s">
        <v>73</v>
      </c>
      <c r="M68" s="26" t="s">
        <v>14047</v>
      </c>
      <c r="N68" s="26" t="s">
        <v>14048</v>
      </c>
      <c r="O68" s="27" t="s">
        <v>14049</v>
      </c>
      <c r="P68" s="28"/>
      <c r="Q68" s="29">
        <v>4</v>
      </c>
      <c r="R68" s="29">
        <v>16</v>
      </c>
      <c r="S68" s="29">
        <v>266.13</v>
      </c>
      <c r="T68" s="26" t="s">
        <v>146</v>
      </c>
      <c r="U68" s="30" t="s">
        <v>78</v>
      </c>
      <c r="V68" s="26" t="s">
        <v>129</v>
      </c>
      <c r="W68" s="38" t="s">
        <v>3496</v>
      </c>
      <c r="X68" s="26" t="s">
        <v>131</v>
      </c>
      <c r="Y68" s="26" t="s">
        <v>91</v>
      </c>
      <c r="Z68" s="26" t="s">
        <v>91</v>
      </c>
      <c r="AA68" s="26"/>
      <c r="AB68" s="31" t="s">
        <v>15</v>
      </c>
      <c r="AC68" s="30" t="s">
        <v>172</v>
      </c>
      <c r="AD68" s="25" t="s">
        <v>173</v>
      </c>
      <c r="AE68" s="25" t="s">
        <v>174</v>
      </c>
      <c r="AF68" s="26" t="s">
        <v>175</v>
      </c>
      <c r="AG68" s="32">
        <v>1</v>
      </c>
      <c r="AH68" s="32"/>
      <c r="AI68" s="32"/>
      <c r="AJ68" s="32"/>
      <c r="AK68" s="30"/>
      <c r="AL68" s="32">
        <f t="shared" si="2"/>
        <v>0</v>
      </c>
      <c r="AM68" s="30"/>
      <c r="AN68" s="32"/>
      <c r="AO68" s="32"/>
      <c r="AP68" s="32"/>
      <c r="AQ68" s="32"/>
      <c r="AR68" s="32"/>
      <c r="AS68" s="32"/>
      <c r="AT68" s="32"/>
      <c r="AU68" s="30"/>
      <c r="AV68" s="30"/>
      <c r="AW68" s="30"/>
      <c r="AX68" s="30"/>
      <c r="AY68" s="30"/>
    </row>
    <row r="69" spans="1:51">
      <c r="A69" s="25" t="s">
        <v>14050</v>
      </c>
      <c r="B69" s="25" t="s">
        <v>4398</v>
      </c>
      <c r="C69" s="25" t="s">
        <v>68</v>
      </c>
      <c r="D69" s="25" t="s">
        <v>14051</v>
      </c>
      <c r="E69" s="258" t="s">
        <v>14052</v>
      </c>
      <c r="F69" s="25" t="s">
        <v>14053</v>
      </c>
      <c r="G69" s="25" t="s">
        <v>5516</v>
      </c>
      <c r="H69" s="25" t="s">
        <v>11489</v>
      </c>
      <c r="I69" s="26" t="s">
        <v>4402</v>
      </c>
      <c r="J69" s="25" t="s">
        <v>13592</v>
      </c>
      <c r="K69" s="25">
        <v>9.1999999999999993</v>
      </c>
      <c r="L69" s="26" t="s">
        <v>73</v>
      </c>
      <c r="M69" s="26" t="s">
        <v>14054</v>
      </c>
      <c r="N69" s="26" t="s">
        <v>14055</v>
      </c>
      <c r="O69" s="27" t="s">
        <v>14056</v>
      </c>
      <c r="P69" s="28"/>
      <c r="Q69" s="29">
        <v>4</v>
      </c>
      <c r="R69" s="29">
        <v>16</v>
      </c>
      <c r="S69" s="29">
        <v>266.33</v>
      </c>
      <c r="T69" s="26" t="s">
        <v>146</v>
      </c>
      <c r="U69" s="30" t="s">
        <v>78</v>
      </c>
      <c r="V69" s="26" t="s">
        <v>129</v>
      </c>
      <c r="W69" s="38" t="s">
        <v>3496</v>
      </c>
      <c r="X69" s="26" t="s">
        <v>131</v>
      </c>
      <c r="Y69" s="26" t="s">
        <v>91</v>
      </c>
      <c r="Z69" s="26" t="s">
        <v>91</v>
      </c>
      <c r="AA69" s="26"/>
      <c r="AB69" s="31" t="s">
        <v>15</v>
      </c>
      <c r="AC69" s="30" t="s">
        <v>172</v>
      </c>
      <c r="AD69" s="25" t="s">
        <v>173</v>
      </c>
      <c r="AE69" s="25" t="s">
        <v>174</v>
      </c>
      <c r="AF69" s="26" t="s">
        <v>175</v>
      </c>
      <c r="AG69" s="32">
        <v>1</v>
      </c>
      <c r="AH69" s="32"/>
      <c r="AI69" s="32"/>
      <c r="AJ69" s="32"/>
      <c r="AK69" s="30"/>
      <c r="AL69" s="32">
        <f t="shared" si="2"/>
        <v>0</v>
      </c>
      <c r="AM69" s="30"/>
      <c r="AN69" s="32"/>
      <c r="AO69" s="32"/>
      <c r="AP69" s="32"/>
      <c r="AQ69" s="32"/>
      <c r="AR69" s="32"/>
      <c r="AS69" s="32"/>
      <c r="AT69" s="32"/>
      <c r="AU69" s="30"/>
      <c r="AV69" s="30"/>
      <c r="AW69" s="30"/>
      <c r="AX69" s="30"/>
      <c r="AY69" s="30"/>
    </row>
    <row r="70" spans="1:51">
      <c r="A70" s="25" t="s">
        <v>14057</v>
      </c>
      <c r="B70" s="25" t="s">
        <v>4398</v>
      </c>
      <c r="C70" s="25" t="s">
        <v>68</v>
      </c>
      <c r="D70" s="25" t="s">
        <v>14058</v>
      </c>
      <c r="E70" s="258" t="s">
        <v>14059</v>
      </c>
      <c r="F70" s="25" t="s">
        <v>14060</v>
      </c>
      <c r="G70" s="25" t="s">
        <v>5516</v>
      </c>
      <c r="H70" s="25" t="s">
        <v>11489</v>
      </c>
      <c r="I70" s="26" t="s">
        <v>4402</v>
      </c>
      <c r="J70" s="25" t="s">
        <v>13592</v>
      </c>
      <c r="K70" s="25">
        <v>9.1999999999999993</v>
      </c>
      <c r="L70" s="26" t="s">
        <v>73</v>
      </c>
      <c r="M70" s="26" t="s">
        <v>14061</v>
      </c>
      <c r="N70" s="26" t="s">
        <v>14062</v>
      </c>
      <c r="O70" s="27" t="s">
        <v>14063</v>
      </c>
      <c r="P70" s="28"/>
      <c r="Q70" s="29">
        <v>4</v>
      </c>
      <c r="R70" s="29">
        <v>16</v>
      </c>
      <c r="S70" s="29">
        <v>266.11</v>
      </c>
      <c r="T70" s="26" t="s">
        <v>146</v>
      </c>
      <c r="U70" s="30" t="s">
        <v>78</v>
      </c>
      <c r="V70" s="26" t="s">
        <v>129</v>
      </c>
      <c r="W70" s="38" t="s">
        <v>3496</v>
      </c>
      <c r="X70" s="26" t="s">
        <v>131</v>
      </c>
      <c r="Y70" s="26" t="s">
        <v>91</v>
      </c>
      <c r="Z70" s="26" t="s">
        <v>91</v>
      </c>
      <c r="AA70" s="26"/>
      <c r="AB70" s="31" t="s">
        <v>15</v>
      </c>
      <c r="AC70" s="30" t="s">
        <v>172</v>
      </c>
      <c r="AD70" s="25" t="s">
        <v>173</v>
      </c>
      <c r="AE70" s="25" t="s">
        <v>174</v>
      </c>
      <c r="AF70" s="26" t="s">
        <v>175</v>
      </c>
      <c r="AG70" s="32">
        <v>1</v>
      </c>
      <c r="AH70" s="32"/>
      <c r="AI70" s="32"/>
      <c r="AJ70" s="32"/>
      <c r="AK70" s="30"/>
      <c r="AL70" s="32">
        <f t="shared" si="2"/>
        <v>0</v>
      </c>
      <c r="AM70" s="30"/>
      <c r="AN70" s="32"/>
      <c r="AO70" s="32"/>
      <c r="AP70" s="32"/>
      <c r="AQ70" s="32"/>
      <c r="AR70" s="32"/>
      <c r="AS70" s="32"/>
      <c r="AT70" s="32"/>
      <c r="AU70" s="30"/>
      <c r="AV70" s="30"/>
      <c r="AW70" s="30"/>
      <c r="AX70" s="30"/>
      <c r="AY70" s="30"/>
    </row>
    <row r="71" spans="1:51">
      <c r="A71" s="25" t="s">
        <v>14064</v>
      </c>
      <c r="B71" s="25" t="s">
        <v>4398</v>
      </c>
      <c r="C71" s="25" t="s">
        <v>68</v>
      </c>
      <c r="D71" s="25" t="s">
        <v>14065</v>
      </c>
      <c r="E71" s="258" t="s">
        <v>14066</v>
      </c>
      <c r="F71" s="25" t="s">
        <v>14067</v>
      </c>
      <c r="G71" s="25" t="s">
        <v>5516</v>
      </c>
      <c r="H71" s="25" t="s">
        <v>11489</v>
      </c>
      <c r="I71" s="26" t="s">
        <v>4402</v>
      </c>
      <c r="J71" s="25" t="s">
        <v>13592</v>
      </c>
      <c r="K71" s="25" t="s">
        <v>11500</v>
      </c>
      <c r="L71" s="26" t="s">
        <v>73</v>
      </c>
      <c r="M71" s="26" t="s">
        <v>14068</v>
      </c>
      <c r="N71" s="26" t="s">
        <v>14069</v>
      </c>
      <c r="O71" s="33" t="s">
        <v>14070</v>
      </c>
      <c r="P71" s="28" t="s">
        <v>11500</v>
      </c>
      <c r="Q71" s="29">
        <v>4</v>
      </c>
      <c r="R71" s="29">
        <v>16</v>
      </c>
      <c r="S71" s="29">
        <v>266.11</v>
      </c>
      <c r="T71" s="30"/>
      <c r="U71" s="30"/>
      <c r="V71" s="30"/>
      <c r="W71" s="38"/>
      <c r="X71" s="26"/>
      <c r="Y71" s="26"/>
      <c r="Z71" s="26"/>
      <c r="AA71" s="26"/>
      <c r="AB71" s="31"/>
      <c r="AC71" s="30" t="s">
        <v>172</v>
      </c>
      <c r="AD71" s="25" t="s">
        <v>173</v>
      </c>
      <c r="AE71" s="25" t="s">
        <v>174</v>
      </c>
      <c r="AF71" s="26" t="s">
        <v>175</v>
      </c>
      <c r="AG71" s="32"/>
      <c r="AH71" s="32"/>
      <c r="AI71" s="32"/>
      <c r="AJ71" s="32"/>
      <c r="AK71" s="30"/>
      <c r="AL71" s="32">
        <f t="shared" si="2"/>
        <v>0</v>
      </c>
      <c r="AM71" s="30"/>
      <c r="AN71" s="32"/>
      <c r="AO71" s="32"/>
      <c r="AP71" s="32"/>
      <c r="AQ71" s="32"/>
      <c r="AR71" s="32"/>
      <c r="AS71" s="32"/>
      <c r="AT71" s="32"/>
      <c r="AU71" s="30"/>
      <c r="AV71" s="30"/>
      <c r="AW71" s="30"/>
      <c r="AX71" s="30"/>
      <c r="AY71" s="30"/>
    </row>
    <row r="72" spans="1:51">
      <c r="A72" s="25" t="s">
        <v>14071</v>
      </c>
      <c r="B72" s="25" t="s">
        <v>4398</v>
      </c>
      <c r="C72" s="25" t="s">
        <v>68</v>
      </c>
      <c r="D72" s="25" t="s">
        <v>14072</v>
      </c>
      <c r="E72" s="258" t="s">
        <v>14073</v>
      </c>
      <c r="F72" s="25" t="s">
        <v>14074</v>
      </c>
      <c r="G72" s="25" t="s">
        <v>5516</v>
      </c>
      <c r="H72" s="25" t="s">
        <v>11489</v>
      </c>
      <c r="I72" s="26" t="s">
        <v>4402</v>
      </c>
      <c r="J72" s="25" t="s">
        <v>13592</v>
      </c>
      <c r="K72" s="25">
        <v>9.1999999999999993</v>
      </c>
      <c r="L72" s="26" t="s">
        <v>73</v>
      </c>
      <c r="M72" s="26" t="s">
        <v>14075</v>
      </c>
      <c r="N72" s="26" t="s">
        <v>14076</v>
      </c>
      <c r="O72" s="27" t="s">
        <v>14077</v>
      </c>
      <c r="P72" s="28"/>
      <c r="Q72" s="29">
        <v>4</v>
      </c>
      <c r="R72" s="29">
        <v>16</v>
      </c>
      <c r="S72" s="29">
        <v>286.11</v>
      </c>
      <c r="T72" s="26" t="s">
        <v>146</v>
      </c>
      <c r="U72" s="30" t="s">
        <v>78</v>
      </c>
      <c r="V72" s="26" t="s">
        <v>129</v>
      </c>
      <c r="W72" s="38" t="s">
        <v>3496</v>
      </c>
      <c r="X72" s="26" t="s">
        <v>131</v>
      </c>
      <c r="Y72" s="26" t="s">
        <v>91</v>
      </c>
      <c r="Z72" s="26" t="s">
        <v>91</v>
      </c>
      <c r="AA72" s="26"/>
      <c r="AB72" s="31" t="s">
        <v>15</v>
      </c>
      <c r="AC72" s="30" t="s">
        <v>172</v>
      </c>
      <c r="AD72" s="25" t="s">
        <v>173</v>
      </c>
      <c r="AE72" s="25" t="s">
        <v>174</v>
      </c>
      <c r="AF72" s="26" t="s">
        <v>175</v>
      </c>
      <c r="AG72" s="32">
        <v>1</v>
      </c>
      <c r="AH72" s="32"/>
      <c r="AI72" s="32"/>
      <c r="AJ72" s="32"/>
      <c r="AK72" s="30"/>
      <c r="AL72" s="32">
        <f t="shared" si="2"/>
        <v>0</v>
      </c>
      <c r="AM72" s="30"/>
      <c r="AN72" s="32"/>
      <c r="AO72" s="32"/>
      <c r="AP72" s="32"/>
      <c r="AQ72" s="32"/>
      <c r="AR72" s="32"/>
      <c r="AS72" s="32"/>
      <c r="AT72" s="32"/>
      <c r="AU72" s="30"/>
      <c r="AV72" s="30"/>
      <c r="AW72" s="30"/>
      <c r="AX72" s="30"/>
      <c r="AY72" s="30"/>
    </row>
    <row r="73" spans="1:51">
      <c r="A73" s="25" t="s">
        <v>14078</v>
      </c>
      <c r="B73" s="25" t="s">
        <v>4398</v>
      </c>
      <c r="C73" s="25" t="s">
        <v>68</v>
      </c>
      <c r="D73" s="25" t="s">
        <v>14079</v>
      </c>
      <c r="E73" s="258" t="s">
        <v>14080</v>
      </c>
      <c r="F73" s="25" t="s">
        <v>14081</v>
      </c>
      <c r="G73" s="25" t="s">
        <v>5516</v>
      </c>
      <c r="H73" s="25" t="s">
        <v>11489</v>
      </c>
      <c r="I73" s="26" t="s">
        <v>4402</v>
      </c>
      <c r="J73" s="25" t="s">
        <v>13592</v>
      </c>
      <c r="K73" s="25" t="s">
        <v>11500</v>
      </c>
      <c r="L73" s="26" t="s">
        <v>73</v>
      </c>
      <c r="M73" s="26" t="s">
        <v>14082</v>
      </c>
      <c r="N73" s="26" t="s">
        <v>14083</v>
      </c>
      <c r="O73" s="33" t="s">
        <v>14084</v>
      </c>
      <c r="P73" s="28" t="s">
        <v>11500</v>
      </c>
      <c r="Q73" s="29">
        <v>4</v>
      </c>
      <c r="R73" s="29">
        <v>16</v>
      </c>
      <c r="S73" s="29">
        <v>286.11</v>
      </c>
      <c r="T73" s="30"/>
      <c r="U73" s="30"/>
      <c r="V73" s="30"/>
      <c r="W73" s="38"/>
      <c r="X73" s="26"/>
      <c r="Y73" s="26"/>
      <c r="Z73" s="26"/>
      <c r="AA73" s="26"/>
      <c r="AB73" s="31"/>
      <c r="AC73" s="30" t="s">
        <v>172</v>
      </c>
      <c r="AD73" s="25" t="s">
        <v>173</v>
      </c>
      <c r="AE73" s="25" t="s">
        <v>174</v>
      </c>
      <c r="AF73" s="26" t="s">
        <v>175</v>
      </c>
      <c r="AG73" s="32"/>
      <c r="AH73" s="32"/>
      <c r="AI73" s="32"/>
      <c r="AJ73" s="32"/>
      <c r="AK73" s="30"/>
      <c r="AL73" s="32">
        <f t="shared" si="2"/>
        <v>0</v>
      </c>
      <c r="AM73" s="30"/>
      <c r="AN73" s="32"/>
      <c r="AO73" s="32"/>
      <c r="AP73" s="32"/>
      <c r="AQ73" s="32"/>
      <c r="AR73" s="32"/>
      <c r="AS73" s="32"/>
      <c r="AT73" s="32"/>
      <c r="AU73" s="30"/>
      <c r="AV73" s="30"/>
      <c r="AW73" s="30"/>
      <c r="AX73" s="30"/>
      <c r="AY73" s="30"/>
    </row>
    <row r="74" spans="1:51">
      <c r="A74" s="25" t="s">
        <v>14085</v>
      </c>
      <c r="B74" s="25" t="s">
        <v>4398</v>
      </c>
      <c r="C74" s="25" t="s">
        <v>68</v>
      </c>
      <c r="D74" s="25" t="s">
        <v>14086</v>
      </c>
      <c r="E74" s="258" t="s">
        <v>14087</v>
      </c>
      <c r="F74" s="25" t="s">
        <v>14088</v>
      </c>
      <c r="G74" s="25" t="s">
        <v>5516</v>
      </c>
      <c r="H74" s="25" t="s">
        <v>11489</v>
      </c>
      <c r="I74" s="26" t="s">
        <v>4402</v>
      </c>
      <c r="J74" s="25" t="s">
        <v>13592</v>
      </c>
      <c r="K74" s="25" t="s">
        <v>11500</v>
      </c>
      <c r="L74" s="26" t="s">
        <v>73</v>
      </c>
      <c r="M74" s="26" t="s">
        <v>14089</v>
      </c>
      <c r="N74" s="26" t="s">
        <v>14090</v>
      </c>
      <c r="O74" s="33" t="s">
        <v>14091</v>
      </c>
      <c r="P74" s="28" t="s">
        <v>11500</v>
      </c>
      <c r="Q74" s="29">
        <v>4</v>
      </c>
      <c r="R74" s="29">
        <v>16</v>
      </c>
      <c r="S74" s="29">
        <v>267.36</v>
      </c>
      <c r="T74" s="30"/>
      <c r="U74" s="30"/>
      <c r="V74" s="30"/>
      <c r="W74" s="38"/>
      <c r="X74" s="26"/>
      <c r="Y74" s="26"/>
      <c r="Z74" s="26"/>
      <c r="AA74" s="26"/>
      <c r="AB74" s="31"/>
      <c r="AC74" s="30" t="s">
        <v>172</v>
      </c>
      <c r="AD74" s="25" t="s">
        <v>173</v>
      </c>
      <c r="AE74" s="25" t="s">
        <v>174</v>
      </c>
      <c r="AF74" s="26" t="s">
        <v>175</v>
      </c>
      <c r="AG74" s="32"/>
      <c r="AH74" s="32"/>
      <c r="AI74" s="32"/>
      <c r="AJ74" s="32"/>
      <c r="AK74" s="30"/>
      <c r="AL74" s="32">
        <f t="shared" si="2"/>
        <v>0</v>
      </c>
      <c r="AM74" s="30"/>
      <c r="AN74" s="32"/>
      <c r="AO74" s="32"/>
      <c r="AP74" s="32"/>
      <c r="AQ74" s="32"/>
      <c r="AR74" s="32"/>
      <c r="AS74" s="32"/>
      <c r="AT74" s="32"/>
      <c r="AU74" s="30"/>
      <c r="AV74" s="30"/>
      <c r="AW74" s="30"/>
      <c r="AX74" s="30"/>
      <c r="AY74" s="30"/>
    </row>
    <row r="75" spans="1:51">
      <c r="A75" s="25" t="s">
        <v>14092</v>
      </c>
      <c r="B75" s="25" t="s">
        <v>4398</v>
      </c>
      <c r="C75" s="25" t="s">
        <v>68</v>
      </c>
      <c r="D75" s="25" t="s">
        <v>14093</v>
      </c>
      <c r="E75" s="258" t="s">
        <v>14094</v>
      </c>
      <c r="F75" s="25" t="s">
        <v>14095</v>
      </c>
      <c r="G75" s="25" t="s">
        <v>5516</v>
      </c>
      <c r="H75" s="25" t="s">
        <v>11489</v>
      </c>
      <c r="I75" s="26" t="s">
        <v>4402</v>
      </c>
      <c r="J75" s="25" t="s">
        <v>13592</v>
      </c>
      <c r="K75" s="25" t="s">
        <v>11500</v>
      </c>
      <c r="L75" s="26" t="s">
        <v>73</v>
      </c>
      <c r="M75" s="26" t="s">
        <v>14096</v>
      </c>
      <c r="N75" s="26" t="s">
        <v>14097</v>
      </c>
      <c r="O75" s="33" t="s">
        <v>14098</v>
      </c>
      <c r="P75" s="28" t="s">
        <v>11500</v>
      </c>
      <c r="Q75" s="29">
        <v>4</v>
      </c>
      <c r="R75" s="29">
        <v>16</v>
      </c>
      <c r="S75" s="29">
        <v>266.63</v>
      </c>
      <c r="T75" s="30"/>
      <c r="U75" s="30"/>
      <c r="V75" s="30"/>
      <c r="W75" s="38"/>
      <c r="X75" s="26"/>
      <c r="Y75" s="26"/>
      <c r="Z75" s="26"/>
      <c r="AA75" s="26"/>
      <c r="AB75" s="31"/>
      <c r="AC75" s="30" t="s">
        <v>172</v>
      </c>
      <c r="AD75" s="25" t="s">
        <v>173</v>
      </c>
      <c r="AE75" s="25" t="s">
        <v>174</v>
      </c>
      <c r="AF75" s="26" t="s">
        <v>175</v>
      </c>
      <c r="AG75" s="32"/>
      <c r="AH75" s="32"/>
      <c r="AI75" s="32"/>
      <c r="AJ75" s="32"/>
      <c r="AK75" s="30"/>
      <c r="AL75" s="32">
        <f t="shared" si="2"/>
        <v>0</v>
      </c>
      <c r="AM75" s="30"/>
      <c r="AN75" s="32"/>
      <c r="AO75" s="32"/>
      <c r="AP75" s="32"/>
      <c r="AQ75" s="32"/>
      <c r="AR75" s="32"/>
      <c r="AS75" s="32"/>
      <c r="AT75" s="32"/>
      <c r="AU75" s="30"/>
      <c r="AV75" s="30"/>
      <c r="AW75" s="30"/>
      <c r="AX75" s="30"/>
      <c r="AY75" s="30"/>
    </row>
    <row r="76" spans="1:51">
      <c r="A76" s="25" t="s">
        <v>14099</v>
      </c>
      <c r="B76" s="25" t="s">
        <v>4398</v>
      </c>
      <c r="C76" s="25" t="s">
        <v>68</v>
      </c>
      <c r="D76" s="25" t="s">
        <v>14100</v>
      </c>
      <c r="E76" s="258" t="s">
        <v>14101</v>
      </c>
      <c r="F76" s="25" t="s">
        <v>14102</v>
      </c>
      <c r="G76" s="25" t="s">
        <v>5516</v>
      </c>
      <c r="H76" s="25" t="s">
        <v>11489</v>
      </c>
      <c r="I76" s="26" t="s">
        <v>4402</v>
      </c>
      <c r="J76" s="25" t="s">
        <v>13592</v>
      </c>
      <c r="K76" s="25">
        <v>9.1999999999999993</v>
      </c>
      <c r="L76" s="26" t="s">
        <v>73</v>
      </c>
      <c r="M76" s="26" t="s">
        <v>14103</v>
      </c>
      <c r="N76" s="26" t="s">
        <v>14104</v>
      </c>
      <c r="O76" s="27" t="s">
        <v>14105</v>
      </c>
      <c r="P76" s="28"/>
      <c r="Q76" s="29">
        <v>4</v>
      </c>
      <c r="R76" s="29">
        <v>16</v>
      </c>
      <c r="S76" s="29">
        <v>286.18</v>
      </c>
      <c r="T76" s="26" t="s">
        <v>146</v>
      </c>
      <c r="U76" s="30" t="s">
        <v>78</v>
      </c>
      <c r="V76" s="26" t="s">
        <v>129</v>
      </c>
      <c r="W76" s="38" t="s">
        <v>3496</v>
      </c>
      <c r="X76" s="26" t="s">
        <v>131</v>
      </c>
      <c r="Y76" s="26" t="s">
        <v>91</v>
      </c>
      <c r="Z76" s="26" t="s">
        <v>91</v>
      </c>
      <c r="AA76" s="26"/>
      <c r="AB76" s="31" t="s">
        <v>15</v>
      </c>
      <c r="AC76" s="30" t="s">
        <v>172</v>
      </c>
      <c r="AD76" s="25" t="s">
        <v>173</v>
      </c>
      <c r="AE76" s="25" t="s">
        <v>174</v>
      </c>
      <c r="AF76" s="26" t="s">
        <v>175</v>
      </c>
      <c r="AG76" s="32">
        <v>1</v>
      </c>
      <c r="AH76" s="32"/>
      <c r="AI76" s="32"/>
      <c r="AJ76" s="32"/>
      <c r="AK76" s="30"/>
      <c r="AL76" s="32">
        <f t="shared" si="2"/>
        <v>0</v>
      </c>
      <c r="AM76" s="30"/>
      <c r="AN76" s="32"/>
      <c r="AO76" s="32"/>
      <c r="AP76" s="32"/>
      <c r="AQ76" s="32"/>
      <c r="AR76" s="32"/>
      <c r="AS76" s="32"/>
      <c r="AT76" s="32"/>
      <c r="AU76" s="30"/>
      <c r="AV76" s="30"/>
      <c r="AW76" s="30"/>
      <c r="AX76" s="30"/>
      <c r="AY76" s="30"/>
    </row>
    <row r="77" spans="1:51">
      <c r="A77" s="25" t="s">
        <v>14106</v>
      </c>
      <c r="B77" s="25" t="s">
        <v>4398</v>
      </c>
      <c r="C77" s="25" t="s">
        <v>68</v>
      </c>
      <c r="D77" s="25" t="s">
        <v>14107</v>
      </c>
      <c r="E77" s="258" t="s">
        <v>14108</v>
      </c>
      <c r="F77" s="25" t="s">
        <v>14109</v>
      </c>
      <c r="G77" s="25" t="s">
        <v>5516</v>
      </c>
      <c r="H77" s="25" t="s">
        <v>11489</v>
      </c>
      <c r="I77" s="26" t="s">
        <v>4402</v>
      </c>
      <c r="J77" s="25" t="s">
        <v>13592</v>
      </c>
      <c r="K77" s="25">
        <v>9.1999999999999993</v>
      </c>
      <c r="L77" s="26" t="s">
        <v>73</v>
      </c>
      <c r="M77" s="26" t="s">
        <v>14110</v>
      </c>
      <c r="N77" s="26" t="s">
        <v>14111</v>
      </c>
      <c r="O77" s="27" t="s">
        <v>14112</v>
      </c>
      <c r="P77" s="28"/>
      <c r="Q77" s="29">
        <v>4</v>
      </c>
      <c r="R77" s="29">
        <v>16</v>
      </c>
      <c r="S77" s="29">
        <v>266.12</v>
      </c>
      <c r="T77" s="26" t="s">
        <v>146</v>
      </c>
      <c r="U77" s="30" t="s">
        <v>78</v>
      </c>
      <c r="V77" s="26" t="s">
        <v>129</v>
      </c>
      <c r="W77" s="38" t="s">
        <v>3496</v>
      </c>
      <c r="X77" s="26" t="s">
        <v>131</v>
      </c>
      <c r="Y77" s="26" t="s">
        <v>91</v>
      </c>
      <c r="Z77" s="26" t="s">
        <v>91</v>
      </c>
      <c r="AA77" s="26"/>
      <c r="AB77" s="31" t="s">
        <v>15</v>
      </c>
      <c r="AC77" s="30" t="s">
        <v>172</v>
      </c>
      <c r="AD77" s="25" t="s">
        <v>173</v>
      </c>
      <c r="AE77" s="25" t="s">
        <v>174</v>
      </c>
      <c r="AF77" s="26" t="s">
        <v>175</v>
      </c>
      <c r="AG77" s="32">
        <v>1</v>
      </c>
      <c r="AH77" s="32"/>
      <c r="AI77" s="32"/>
      <c r="AJ77" s="32"/>
      <c r="AK77" s="30"/>
      <c r="AL77" s="32">
        <f t="shared" si="2"/>
        <v>0</v>
      </c>
      <c r="AM77" s="30"/>
      <c r="AN77" s="32"/>
      <c r="AO77" s="32"/>
      <c r="AP77" s="32"/>
      <c r="AQ77" s="32"/>
      <c r="AR77" s="32"/>
      <c r="AS77" s="32"/>
      <c r="AT77" s="32"/>
      <c r="AU77" s="30"/>
      <c r="AV77" s="30"/>
      <c r="AW77" s="30"/>
      <c r="AX77" s="30"/>
      <c r="AY77" s="30"/>
    </row>
    <row r="78" spans="1:51">
      <c r="A78" s="25" t="s">
        <v>14113</v>
      </c>
      <c r="B78" s="25" t="s">
        <v>4398</v>
      </c>
      <c r="C78" s="25" t="s">
        <v>68</v>
      </c>
      <c r="D78" s="25" t="s">
        <v>14114</v>
      </c>
      <c r="E78" s="258" t="s">
        <v>14115</v>
      </c>
      <c r="F78" s="25" t="s">
        <v>14116</v>
      </c>
      <c r="G78" s="25" t="s">
        <v>5516</v>
      </c>
      <c r="H78" s="25" t="s">
        <v>11489</v>
      </c>
      <c r="I78" s="26" t="s">
        <v>4402</v>
      </c>
      <c r="J78" s="25" t="s">
        <v>13592</v>
      </c>
      <c r="K78" s="25">
        <v>9.1999999999999993</v>
      </c>
      <c r="L78" s="26" t="s">
        <v>73</v>
      </c>
      <c r="M78" s="26" t="s">
        <v>14117</v>
      </c>
      <c r="N78" s="26" t="s">
        <v>14118</v>
      </c>
      <c r="O78" s="27" t="s">
        <v>14119</v>
      </c>
      <c r="P78" s="28"/>
      <c r="Q78" s="29">
        <v>4</v>
      </c>
      <c r="R78" s="29">
        <v>16</v>
      </c>
      <c r="S78" s="29">
        <v>266.81</v>
      </c>
      <c r="T78" s="26" t="s">
        <v>146</v>
      </c>
      <c r="U78" s="30" t="s">
        <v>78</v>
      </c>
      <c r="V78" s="26" t="s">
        <v>129</v>
      </c>
      <c r="W78" s="38" t="s">
        <v>3496</v>
      </c>
      <c r="X78" s="26" t="s">
        <v>131</v>
      </c>
      <c r="Y78" s="26" t="s">
        <v>91</v>
      </c>
      <c r="Z78" s="26" t="s">
        <v>91</v>
      </c>
      <c r="AA78" s="26"/>
      <c r="AB78" s="31" t="s">
        <v>15</v>
      </c>
      <c r="AC78" s="30" t="s">
        <v>172</v>
      </c>
      <c r="AD78" s="25" t="s">
        <v>173</v>
      </c>
      <c r="AE78" s="25" t="s">
        <v>174</v>
      </c>
      <c r="AF78" s="26" t="s">
        <v>175</v>
      </c>
      <c r="AG78" s="32">
        <v>1</v>
      </c>
      <c r="AH78" s="32"/>
      <c r="AI78" s="32"/>
      <c r="AJ78" s="32"/>
      <c r="AK78" s="30"/>
      <c r="AL78" s="32">
        <f t="shared" si="2"/>
        <v>0</v>
      </c>
      <c r="AM78" s="30"/>
      <c r="AN78" s="32"/>
      <c r="AO78" s="32"/>
      <c r="AP78" s="32"/>
      <c r="AQ78" s="32"/>
      <c r="AR78" s="32"/>
      <c r="AS78" s="32"/>
      <c r="AT78" s="32"/>
      <c r="AU78" s="30"/>
      <c r="AV78" s="30"/>
      <c r="AW78" s="30"/>
      <c r="AX78" s="30"/>
      <c r="AY78" s="30"/>
    </row>
    <row r="79" spans="1:51">
      <c r="A79" s="25" t="s">
        <v>14120</v>
      </c>
      <c r="B79" s="25" t="s">
        <v>4398</v>
      </c>
      <c r="C79" s="25" t="s">
        <v>68</v>
      </c>
      <c r="D79" s="25" t="s">
        <v>14121</v>
      </c>
      <c r="E79" s="258" t="s">
        <v>14122</v>
      </c>
      <c r="F79" s="25" t="s">
        <v>14123</v>
      </c>
      <c r="G79" s="25" t="s">
        <v>5516</v>
      </c>
      <c r="H79" s="25" t="s">
        <v>11489</v>
      </c>
      <c r="I79" s="26" t="s">
        <v>4402</v>
      </c>
      <c r="J79" s="25" t="s">
        <v>13592</v>
      </c>
      <c r="K79" s="25" t="s">
        <v>11500</v>
      </c>
      <c r="L79" s="26" t="s">
        <v>73</v>
      </c>
      <c r="M79" s="26" t="s">
        <v>14124</v>
      </c>
      <c r="N79" s="26" t="s">
        <v>14125</v>
      </c>
      <c r="O79" s="33" t="s">
        <v>14126</v>
      </c>
      <c r="P79" s="28" t="s">
        <v>11500</v>
      </c>
      <c r="Q79" s="29">
        <v>4</v>
      </c>
      <c r="R79" s="29">
        <v>16</v>
      </c>
      <c r="S79" s="29">
        <v>266.83999999999997</v>
      </c>
      <c r="T79" s="30"/>
      <c r="U79" s="30"/>
      <c r="V79" s="30"/>
      <c r="W79" s="38"/>
      <c r="X79" s="26"/>
      <c r="Y79" s="26"/>
      <c r="Z79" s="26"/>
      <c r="AA79" s="26"/>
      <c r="AB79" s="31"/>
      <c r="AC79" s="30" t="s">
        <v>172</v>
      </c>
      <c r="AD79" s="25" t="s">
        <v>173</v>
      </c>
      <c r="AE79" s="25" t="s">
        <v>174</v>
      </c>
      <c r="AF79" s="26" t="s">
        <v>175</v>
      </c>
      <c r="AG79" s="32"/>
      <c r="AH79" s="32"/>
      <c r="AI79" s="32"/>
      <c r="AJ79" s="32"/>
      <c r="AK79" s="30"/>
      <c r="AL79" s="32">
        <f t="shared" si="2"/>
        <v>0</v>
      </c>
      <c r="AM79" s="30"/>
      <c r="AN79" s="32"/>
      <c r="AO79" s="32"/>
      <c r="AP79" s="32"/>
      <c r="AQ79" s="32"/>
      <c r="AR79" s="32"/>
      <c r="AS79" s="32"/>
      <c r="AT79" s="32"/>
      <c r="AU79" s="30"/>
      <c r="AV79" s="30"/>
      <c r="AW79" s="30"/>
      <c r="AX79" s="30"/>
      <c r="AY79" s="30"/>
    </row>
    <row r="80" spans="1:51">
      <c r="A80" s="25" t="s">
        <v>14127</v>
      </c>
      <c r="B80" s="25" t="s">
        <v>4398</v>
      </c>
      <c r="C80" s="25" t="s">
        <v>68</v>
      </c>
      <c r="D80" s="25" t="s">
        <v>14128</v>
      </c>
      <c r="E80" s="258" t="s">
        <v>14129</v>
      </c>
      <c r="F80" s="25" t="s">
        <v>14130</v>
      </c>
      <c r="G80" s="25" t="s">
        <v>5516</v>
      </c>
      <c r="H80" s="25" t="s">
        <v>11489</v>
      </c>
      <c r="I80" s="26" t="s">
        <v>4402</v>
      </c>
      <c r="J80" s="25" t="s">
        <v>13592</v>
      </c>
      <c r="K80" s="25">
        <v>9.1999999999999993</v>
      </c>
      <c r="L80" s="26" t="s">
        <v>73</v>
      </c>
      <c r="M80" s="26" t="s">
        <v>14131</v>
      </c>
      <c r="N80" s="26" t="s">
        <v>14132</v>
      </c>
      <c r="O80" s="27" t="s">
        <v>14133</v>
      </c>
      <c r="P80" s="28"/>
      <c r="Q80" s="29">
        <v>4</v>
      </c>
      <c r="R80" s="29">
        <v>16</v>
      </c>
      <c r="S80" s="29">
        <v>266.12</v>
      </c>
      <c r="T80" s="26" t="s">
        <v>146</v>
      </c>
      <c r="U80" s="30" t="s">
        <v>78</v>
      </c>
      <c r="V80" s="26" t="s">
        <v>129</v>
      </c>
      <c r="W80" s="38" t="s">
        <v>3496</v>
      </c>
      <c r="X80" s="26" t="s">
        <v>131</v>
      </c>
      <c r="Y80" s="26" t="s">
        <v>91</v>
      </c>
      <c r="Z80" s="26" t="s">
        <v>91</v>
      </c>
      <c r="AA80" s="26"/>
      <c r="AB80" s="31" t="s">
        <v>15</v>
      </c>
      <c r="AC80" s="30" t="s">
        <v>172</v>
      </c>
      <c r="AD80" s="25" t="s">
        <v>173</v>
      </c>
      <c r="AE80" s="25" t="s">
        <v>174</v>
      </c>
      <c r="AF80" s="26" t="s">
        <v>175</v>
      </c>
      <c r="AG80" s="32">
        <v>1</v>
      </c>
      <c r="AH80" s="32"/>
      <c r="AI80" s="32"/>
      <c r="AJ80" s="32"/>
      <c r="AK80" s="30"/>
      <c r="AL80" s="32">
        <f t="shared" si="2"/>
        <v>0</v>
      </c>
      <c r="AM80" s="30"/>
      <c r="AN80" s="32"/>
      <c r="AO80" s="32"/>
      <c r="AP80" s="32"/>
      <c r="AQ80" s="32"/>
      <c r="AR80" s="32"/>
      <c r="AS80" s="32"/>
      <c r="AT80" s="32"/>
      <c r="AU80" s="30"/>
      <c r="AV80" s="30"/>
      <c r="AW80" s="30"/>
      <c r="AX80" s="30"/>
      <c r="AY80" s="30"/>
    </row>
    <row r="81" spans="1:51">
      <c r="A81" s="25" t="s">
        <v>14134</v>
      </c>
      <c r="B81" s="25" t="s">
        <v>4398</v>
      </c>
      <c r="C81" s="25" t="s">
        <v>68</v>
      </c>
      <c r="D81" s="25" t="s">
        <v>14135</v>
      </c>
      <c r="E81" s="258" t="s">
        <v>14136</v>
      </c>
      <c r="F81" s="25" t="s">
        <v>14137</v>
      </c>
      <c r="G81" s="25" t="s">
        <v>5516</v>
      </c>
      <c r="H81" s="25" t="s">
        <v>11489</v>
      </c>
      <c r="I81" s="26" t="s">
        <v>4402</v>
      </c>
      <c r="J81" s="25" t="s">
        <v>13592</v>
      </c>
      <c r="K81" s="25">
        <v>9.1999999999999993</v>
      </c>
      <c r="L81" s="26" t="s">
        <v>73</v>
      </c>
      <c r="M81" s="26" t="s">
        <v>14138</v>
      </c>
      <c r="N81" s="26" t="s">
        <v>14139</v>
      </c>
      <c r="O81" s="27" t="s">
        <v>14140</v>
      </c>
      <c r="P81" s="28"/>
      <c r="Q81" s="29">
        <v>4</v>
      </c>
      <c r="R81" s="29">
        <v>16</v>
      </c>
      <c r="S81" s="29">
        <v>436.12</v>
      </c>
      <c r="T81" s="26" t="s">
        <v>146</v>
      </c>
      <c r="U81" s="30" t="s">
        <v>78</v>
      </c>
      <c r="V81" s="26" t="s">
        <v>129</v>
      </c>
      <c r="W81" s="38" t="s">
        <v>3496</v>
      </c>
      <c r="X81" s="26" t="s">
        <v>131</v>
      </c>
      <c r="Y81" s="26" t="s">
        <v>91</v>
      </c>
      <c r="Z81" s="26" t="s">
        <v>91</v>
      </c>
      <c r="AA81" s="26"/>
      <c r="AB81" s="31" t="s">
        <v>15</v>
      </c>
      <c r="AC81" s="30" t="s">
        <v>172</v>
      </c>
      <c r="AD81" s="25" t="s">
        <v>173</v>
      </c>
      <c r="AE81" s="25" t="s">
        <v>174</v>
      </c>
      <c r="AF81" s="26" t="s">
        <v>175</v>
      </c>
      <c r="AG81" s="32">
        <v>1</v>
      </c>
      <c r="AH81" s="32"/>
      <c r="AI81" s="32"/>
      <c r="AJ81" s="32"/>
      <c r="AK81" s="30"/>
      <c r="AL81" s="32">
        <f t="shared" si="2"/>
        <v>0</v>
      </c>
      <c r="AM81" s="30"/>
      <c r="AN81" s="32"/>
      <c r="AO81" s="32"/>
      <c r="AP81" s="32"/>
      <c r="AQ81" s="32"/>
      <c r="AR81" s="32"/>
      <c r="AS81" s="32"/>
      <c r="AT81" s="32"/>
      <c r="AU81" s="30"/>
      <c r="AV81" s="30"/>
      <c r="AW81" s="30"/>
      <c r="AX81" s="30"/>
      <c r="AY81" s="30"/>
    </row>
    <row r="82" spans="1:51">
      <c r="A82" s="25" t="s">
        <v>14141</v>
      </c>
      <c r="B82" s="25" t="s">
        <v>4398</v>
      </c>
      <c r="C82" s="25" t="s">
        <v>68</v>
      </c>
      <c r="D82" s="25" t="s">
        <v>14142</v>
      </c>
      <c r="E82" s="258" t="s">
        <v>14143</v>
      </c>
      <c r="F82" s="25" t="s">
        <v>14144</v>
      </c>
      <c r="G82" s="25" t="s">
        <v>5516</v>
      </c>
      <c r="H82" s="25" t="s">
        <v>11489</v>
      </c>
      <c r="I82" s="26" t="s">
        <v>4402</v>
      </c>
      <c r="J82" s="25" t="s">
        <v>13592</v>
      </c>
      <c r="K82" s="25">
        <v>9.1999999999999993</v>
      </c>
      <c r="L82" s="26" t="s">
        <v>73</v>
      </c>
      <c r="M82" s="26" t="s">
        <v>14145</v>
      </c>
      <c r="N82" s="26" t="s">
        <v>14146</v>
      </c>
      <c r="O82" s="27" t="s">
        <v>14147</v>
      </c>
      <c r="P82" s="28"/>
      <c r="Q82" s="29">
        <v>4</v>
      </c>
      <c r="R82" s="29">
        <v>16</v>
      </c>
      <c r="S82" s="29">
        <v>568.22</v>
      </c>
      <c r="T82" s="26" t="s">
        <v>146</v>
      </c>
      <c r="U82" s="30" t="s">
        <v>78</v>
      </c>
      <c r="V82" s="26" t="s">
        <v>129</v>
      </c>
      <c r="W82" s="38" t="s">
        <v>3496</v>
      </c>
      <c r="X82" s="26" t="s">
        <v>131</v>
      </c>
      <c r="Y82" s="26" t="s">
        <v>91</v>
      </c>
      <c r="Z82" s="26" t="s">
        <v>91</v>
      </c>
      <c r="AA82" s="26"/>
      <c r="AB82" s="31" t="s">
        <v>15</v>
      </c>
      <c r="AC82" s="30" t="s">
        <v>172</v>
      </c>
      <c r="AD82" s="25" t="s">
        <v>173</v>
      </c>
      <c r="AE82" s="25" t="s">
        <v>174</v>
      </c>
      <c r="AF82" s="26" t="s">
        <v>175</v>
      </c>
      <c r="AG82" s="32">
        <v>1</v>
      </c>
      <c r="AH82" s="32"/>
      <c r="AI82" s="32"/>
      <c r="AJ82" s="32"/>
      <c r="AK82" s="30"/>
      <c r="AL82" s="32">
        <f t="shared" si="2"/>
        <v>0</v>
      </c>
      <c r="AM82" s="30"/>
      <c r="AN82" s="32"/>
      <c r="AO82" s="32"/>
      <c r="AP82" s="32"/>
      <c r="AQ82" s="32"/>
      <c r="AR82" s="32"/>
      <c r="AS82" s="32"/>
      <c r="AT82" s="32"/>
      <c r="AU82" s="30"/>
      <c r="AV82" s="30"/>
      <c r="AW82" s="30"/>
      <c r="AX82" s="30"/>
      <c r="AY82" s="30"/>
    </row>
    <row r="83" spans="1:51">
      <c r="A83" s="25" t="s">
        <v>14148</v>
      </c>
      <c r="B83" s="25" t="s">
        <v>4398</v>
      </c>
      <c r="C83" s="25" t="s">
        <v>68</v>
      </c>
      <c r="D83" s="25" t="s">
        <v>14149</v>
      </c>
      <c r="E83" s="258" t="s">
        <v>14150</v>
      </c>
      <c r="F83" s="25" t="s">
        <v>14151</v>
      </c>
      <c r="G83" s="25" t="s">
        <v>5516</v>
      </c>
      <c r="H83" s="25" t="s">
        <v>11489</v>
      </c>
      <c r="I83" s="26" t="s">
        <v>4402</v>
      </c>
      <c r="J83" s="25" t="s">
        <v>13592</v>
      </c>
      <c r="K83" s="25">
        <v>9.1999999999999993</v>
      </c>
      <c r="L83" s="26" t="s">
        <v>73</v>
      </c>
      <c r="M83" s="26" t="s">
        <v>14152</v>
      </c>
      <c r="N83" s="26" t="s">
        <v>14153</v>
      </c>
      <c r="O83" s="27" t="s">
        <v>14154</v>
      </c>
      <c r="P83" s="28"/>
      <c r="Q83" s="29">
        <v>4</v>
      </c>
      <c r="R83" s="29">
        <v>16</v>
      </c>
      <c r="S83" s="29">
        <v>627.41</v>
      </c>
      <c r="T83" s="26" t="s">
        <v>146</v>
      </c>
      <c r="U83" s="30" t="s">
        <v>78</v>
      </c>
      <c r="V83" s="26" t="s">
        <v>129</v>
      </c>
      <c r="W83" s="38" t="s">
        <v>3496</v>
      </c>
      <c r="X83" s="26" t="s">
        <v>131</v>
      </c>
      <c r="Y83" s="26" t="s">
        <v>91</v>
      </c>
      <c r="Z83" s="26" t="s">
        <v>91</v>
      </c>
      <c r="AA83" s="26"/>
      <c r="AB83" s="31" t="s">
        <v>15</v>
      </c>
      <c r="AC83" s="30" t="s">
        <v>172</v>
      </c>
      <c r="AD83" s="25" t="s">
        <v>173</v>
      </c>
      <c r="AE83" s="25" t="s">
        <v>174</v>
      </c>
      <c r="AF83" s="26" t="s">
        <v>175</v>
      </c>
      <c r="AG83" s="32">
        <v>1</v>
      </c>
      <c r="AH83" s="32"/>
      <c r="AI83" s="32"/>
      <c r="AJ83" s="32"/>
      <c r="AK83" s="30"/>
      <c r="AL83" s="32">
        <f t="shared" si="2"/>
        <v>0</v>
      </c>
      <c r="AM83" s="30"/>
      <c r="AN83" s="32"/>
      <c r="AO83" s="32"/>
      <c r="AP83" s="32"/>
      <c r="AQ83" s="32"/>
      <c r="AR83" s="32"/>
      <c r="AS83" s="32"/>
      <c r="AT83" s="32"/>
      <c r="AU83" s="30"/>
      <c r="AV83" s="30"/>
      <c r="AW83" s="30"/>
      <c r="AX83" s="30"/>
      <c r="AY83" s="30"/>
    </row>
    <row r="84" spans="1:51">
      <c r="A84" s="25" t="s">
        <v>14155</v>
      </c>
      <c r="B84" s="25" t="s">
        <v>4398</v>
      </c>
      <c r="C84" s="25" t="s">
        <v>68</v>
      </c>
      <c r="D84" s="25" t="s">
        <v>14156</v>
      </c>
      <c r="E84" s="258" t="s">
        <v>14157</v>
      </c>
      <c r="F84" s="25" t="s">
        <v>14158</v>
      </c>
      <c r="G84" s="25" t="s">
        <v>5516</v>
      </c>
      <c r="H84" s="25" t="s">
        <v>11489</v>
      </c>
      <c r="I84" s="26" t="s">
        <v>4402</v>
      </c>
      <c r="J84" s="25" t="s">
        <v>13592</v>
      </c>
      <c r="K84" s="25">
        <v>9.1999999999999993</v>
      </c>
      <c r="L84" s="26" t="s">
        <v>73</v>
      </c>
      <c r="M84" s="26" t="s">
        <v>14159</v>
      </c>
      <c r="N84" s="26" t="s">
        <v>14160</v>
      </c>
      <c r="O84" s="27" t="s">
        <v>14161</v>
      </c>
      <c r="P84" s="28"/>
      <c r="Q84" s="29">
        <v>4</v>
      </c>
      <c r="R84" s="29">
        <v>16</v>
      </c>
      <c r="S84" s="29">
        <v>266.2</v>
      </c>
      <c r="T84" s="26" t="s">
        <v>146</v>
      </c>
      <c r="U84" s="30" t="s">
        <v>78</v>
      </c>
      <c r="V84" s="26" t="s">
        <v>129</v>
      </c>
      <c r="W84" s="38" t="s">
        <v>3496</v>
      </c>
      <c r="X84" s="26" t="s">
        <v>131</v>
      </c>
      <c r="Y84" s="26" t="s">
        <v>91</v>
      </c>
      <c r="Z84" s="26" t="s">
        <v>91</v>
      </c>
      <c r="AA84" s="26"/>
      <c r="AB84" s="31" t="s">
        <v>15</v>
      </c>
      <c r="AC84" s="30" t="s">
        <v>172</v>
      </c>
      <c r="AD84" s="25" t="s">
        <v>173</v>
      </c>
      <c r="AE84" s="25" t="s">
        <v>174</v>
      </c>
      <c r="AF84" s="26" t="s">
        <v>175</v>
      </c>
      <c r="AG84" s="32">
        <v>1</v>
      </c>
      <c r="AH84" s="32"/>
      <c r="AI84" s="32"/>
      <c r="AJ84" s="32"/>
      <c r="AK84" s="30"/>
      <c r="AL84" s="32">
        <f t="shared" si="2"/>
        <v>0</v>
      </c>
      <c r="AM84" s="30"/>
      <c r="AN84" s="32"/>
      <c r="AO84" s="32"/>
      <c r="AP84" s="32"/>
      <c r="AQ84" s="32"/>
      <c r="AR84" s="32"/>
      <c r="AS84" s="32"/>
      <c r="AT84" s="32"/>
      <c r="AU84" s="30"/>
      <c r="AV84" s="30"/>
      <c r="AW84" s="30"/>
      <c r="AX84" s="30"/>
      <c r="AY84" s="30"/>
    </row>
    <row r="85" spans="1:51">
      <c r="A85" s="25" t="s">
        <v>14162</v>
      </c>
      <c r="B85" s="25" t="s">
        <v>4398</v>
      </c>
      <c r="C85" s="25" t="s">
        <v>68</v>
      </c>
      <c r="D85" s="25" t="s">
        <v>14163</v>
      </c>
      <c r="E85" s="258" t="s">
        <v>14164</v>
      </c>
      <c r="F85" s="25" t="s">
        <v>14165</v>
      </c>
      <c r="G85" s="25" t="s">
        <v>5516</v>
      </c>
      <c r="H85" s="25" t="s">
        <v>11489</v>
      </c>
      <c r="I85" s="26" t="s">
        <v>4402</v>
      </c>
      <c r="J85" s="25" t="s">
        <v>13592</v>
      </c>
      <c r="K85" s="25" t="s">
        <v>11500</v>
      </c>
      <c r="L85" s="26" t="s">
        <v>73</v>
      </c>
      <c r="M85" s="26" t="s">
        <v>14166</v>
      </c>
      <c r="N85" s="26" t="s">
        <v>14167</v>
      </c>
      <c r="O85" s="33" t="s">
        <v>14168</v>
      </c>
      <c r="P85" s="28" t="s">
        <v>11500</v>
      </c>
      <c r="Q85" s="29">
        <v>4</v>
      </c>
      <c r="R85" s="29">
        <v>16</v>
      </c>
      <c r="S85" s="29">
        <v>267.37</v>
      </c>
      <c r="T85" s="30"/>
      <c r="U85" s="30"/>
      <c r="V85" s="30"/>
      <c r="W85" s="38"/>
      <c r="X85" s="26"/>
      <c r="Y85" s="26"/>
      <c r="Z85" s="26"/>
      <c r="AA85" s="26"/>
      <c r="AB85" s="36"/>
      <c r="AC85" s="30" t="s">
        <v>172</v>
      </c>
      <c r="AD85" s="25" t="s">
        <v>173</v>
      </c>
      <c r="AE85" s="25" t="s">
        <v>174</v>
      </c>
      <c r="AF85" s="26" t="s">
        <v>175</v>
      </c>
      <c r="AG85" s="32"/>
      <c r="AH85" s="32"/>
      <c r="AI85" s="32"/>
      <c r="AJ85" s="32"/>
      <c r="AK85" s="30"/>
      <c r="AL85" s="32">
        <f t="shared" si="2"/>
        <v>0</v>
      </c>
      <c r="AM85" s="30"/>
      <c r="AN85" s="25"/>
      <c r="AO85" s="32"/>
      <c r="AP85" s="37"/>
      <c r="AQ85" s="32"/>
      <c r="AR85" s="32"/>
      <c r="AS85" s="32"/>
      <c r="AT85" s="32"/>
      <c r="AU85" s="30"/>
      <c r="AV85" s="30"/>
      <c r="AW85" s="30"/>
      <c r="AX85" s="30"/>
      <c r="AY85" s="30"/>
    </row>
    <row r="86" spans="1:51">
      <c r="A86" s="25" t="s">
        <v>14169</v>
      </c>
      <c r="B86" s="25" t="s">
        <v>4398</v>
      </c>
      <c r="C86" s="25" t="s">
        <v>68</v>
      </c>
      <c r="D86" s="25" t="s">
        <v>14170</v>
      </c>
      <c r="E86" s="258" t="s">
        <v>14171</v>
      </c>
      <c r="F86" s="25" t="s">
        <v>14172</v>
      </c>
      <c r="G86" s="25" t="s">
        <v>5516</v>
      </c>
      <c r="H86" s="25" t="s">
        <v>11489</v>
      </c>
      <c r="I86" s="26" t="s">
        <v>4402</v>
      </c>
      <c r="J86" s="25" t="s">
        <v>13592</v>
      </c>
      <c r="K86" s="25">
        <v>9.1999999999999993</v>
      </c>
      <c r="L86" s="26" t="s">
        <v>73</v>
      </c>
      <c r="M86" s="26" t="s">
        <v>14173</v>
      </c>
      <c r="N86" s="26" t="s">
        <v>14174</v>
      </c>
      <c r="O86" s="27" t="s">
        <v>14175</v>
      </c>
      <c r="P86" s="28"/>
      <c r="Q86" s="29">
        <v>4</v>
      </c>
      <c r="R86" s="29">
        <v>16</v>
      </c>
      <c r="S86" s="29">
        <v>266.29000000000002</v>
      </c>
      <c r="T86" s="26" t="s">
        <v>146</v>
      </c>
      <c r="U86" s="30" t="s">
        <v>78</v>
      </c>
      <c r="V86" s="26" t="s">
        <v>129</v>
      </c>
      <c r="W86" s="38" t="s">
        <v>3586</v>
      </c>
      <c r="X86" s="26" t="s">
        <v>131</v>
      </c>
      <c r="Y86" s="26" t="s">
        <v>91</v>
      </c>
      <c r="Z86" s="26" t="s">
        <v>91</v>
      </c>
      <c r="AA86" s="26"/>
      <c r="AB86" s="31" t="s">
        <v>17</v>
      </c>
      <c r="AC86" s="30" t="s">
        <v>172</v>
      </c>
      <c r="AD86" s="25" t="s">
        <v>173</v>
      </c>
      <c r="AE86" s="25" t="s">
        <v>174</v>
      </c>
      <c r="AF86" s="26" t="s">
        <v>175</v>
      </c>
      <c r="AG86" s="32">
        <v>1</v>
      </c>
      <c r="AH86" s="32"/>
      <c r="AI86" s="32"/>
      <c r="AJ86" s="32"/>
      <c r="AK86" s="30"/>
      <c r="AL86" s="32">
        <f t="shared" si="2"/>
        <v>0</v>
      </c>
      <c r="AM86" s="30"/>
      <c r="AN86" s="32"/>
      <c r="AO86" s="32"/>
      <c r="AP86" s="32"/>
      <c r="AQ86" s="32"/>
      <c r="AR86" s="32"/>
      <c r="AS86" s="32"/>
      <c r="AT86" s="32"/>
      <c r="AU86" s="30"/>
      <c r="AV86" s="30"/>
      <c r="AW86" s="30"/>
      <c r="AX86" s="30"/>
      <c r="AY86" s="30"/>
    </row>
    <row r="87" spans="1:51">
      <c r="A87" s="25" t="s">
        <v>14176</v>
      </c>
      <c r="B87" s="25" t="s">
        <v>4398</v>
      </c>
      <c r="C87" s="25" t="s">
        <v>68</v>
      </c>
      <c r="D87" s="25" t="s">
        <v>14177</v>
      </c>
      <c r="E87" s="258" t="s">
        <v>14178</v>
      </c>
      <c r="F87" s="25" t="s">
        <v>9601</v>
      </c>
      <c r="G87" s="25" t="s">
        <v>5516</v>
      </c>
      <c r="H87" s="25" t="s">
        <v>11489</v>
      </c>
      <c r="I87" s="26" t="s">
        <v>4402</v>
      </c>
      <c r="J87" s="25" t="s">
        <v>13592</v>
      </c>
      <c r="K87" s="25">
        <v>9.1999999999999993</v>
      </c>
      <c r="L87" s="26" t="s">
        <v>73</v>
      </c>
      <c r="M87" s="26" t="s">
        <v>14179</v>
      </c>
      <c r="N87" s="26" t="s">
        <v>14180</v>
      </c>
      <c r="O87" s="27" t="s">
        <v>14181</v>
      </c>
      <c r="P87" s="28"/>
      <c r="Q87" s="29">
        <v>4</v>
      </c>
      <c r="R87" s="29">
        <v>16</v>
      </c>
      <c r="S87" s="29">
        <v>316.29000000000002</v>
      </c>
      <c r="T87" s="26" t="s">
        <v>146</v>
      </c>
      <c r="U87" s="30" t="s">
        <v>78</v>
      </c>
      <c r="V87" s="26" t="s">
        <v>129</v>
      </c>
      <c r="W87" s="38" t="s">
        <v>3586</v>
      </c>
      <c r="X87" s="26" t="s">
        <v>131</v>
      </c>
      <c r="Y87" s="26" t="s">
        <v>91</v>
      </c>
      <c r="Z87" s="26" t="s">
        <v>91</v>
      </c>
      <c r="AA87" s="26"/>
      <c r="AB87" s="31" t="s">
        <v>17</v>
      </c>
      <c r="AC87" s="30" t="s">
        <v>172</v>
      </c>
      <c r="AD87" s="25" t="s">
        <v>173</v>
      </c>
      <c r="AE87" s="25" t="s">
        <v>174</v>
      </c>
      <c r="AF87" s="26" t="s">
        <v>175</v>
      </c>
      <c r="AG87" s="32">
        <v>1</v>
      </c>
      <c r="AH87" s="32"/>
      <c r="AI87" s="32"/>
      <c r="AJ87" s="32"/>
      <c r="AK87" s="30"/>
      <c r="AL87" s="32">
        <f t="shared" si="2"/>
        <v>0</v>
      </c>
      <c r="AM87" s="30"/>
      <c r="AN87" s="32"/>
      <c r="AO87" s="32"/>
      <c r="AP87" s="32"/>
      <c r="AQ87" s="32"/>
      <c r="AR87" s="32"/>
      <c r="AS87" s="32"/>
      <c r="AT87" s="32"/>
      <c r="AU87" s="30"/>
      <c r="AV87" s="30"/>
      <c r="AW87" s="30"/>
      <c r="AX87" s="30"/>
      <c r="AY87" s="30"/>
    </row>
    <row r="88" spans="1:51">
      <c r="A88" s="25" t="s">
        <v>14182</v>
      </c>
      <c r="B88" s="25" t="s">
        <v>4398</v>
      </c>
      <c r="C88" s="25" t="s">
        <v>68</v>
      </c>
      <c r="D88" s="25" t="s">
        <v>14183</v>
      </c>
      <c r="E88" s="258" t="s">
        <v>14184</v>
      </c>
      <c r="F88" s="25" t="s">
        <v>14185</v>
      </c>
      <c r="G88" s="25" t="s">
        <v>5516</v>
      </c>
      <c r="H88" s="25" t="s">
        <v>11489</v>
      </c>
      <c r="I88" s="26" t="s">
        <v>4402</v>
      </c>
      <c r="J88" s="25" t="s">
        <v>13592</v>
      </c>
      <c r="K88" s="25">
        <v>9.1999999999999993</v>
      </c>
      <c r="L88" s="26" t="s">
        <v>73</v>
      </c>
      <c r="M88" s="26" t="s">
        <v>14186</v>
      </c>
      <c r="N88" s="26" t="s">
        <v>14187</v>
      </c>
      <c r="O88" s="27" t="s">
        <v>14188</v>
      </c>
      <c r="P88" s="28"/>
      <c r="Q88" s="29">
        <v>4</v>
      </c>
      <c r="R88" s="29">
        <v>16</v>
      </c>
      <c r="S88" s="29">
        <v>267.25</v>
      </c>
      <c r="T88" s="26" t="s">
        <v>146</v>
      </c>
      <c r="U88" s="30" t="s">
        <v>78</v>
      </c>
      <c r="V88" s="26" t="s">
        <v>129</v>
      </c>
      <c r="W88" s="38" t="s">
        <v>3586</v>
      </c>
      <c r="X88" s="26" t="s">
        <v>131</v>
      </c>
      <c r="Y88" s="26" t="s">
        <v>91</v>
      </c>
      <c r="Z88" s="26" t="s">
        <v>91</v>
      </c>
      <c r="AA88" s="26"/>
      <c r="AB88" s="31" t="s">
        <v>17</v>
      </c>
      <c r="AC88" s="30" t="s">
        <v>172</v>
      </c>
      <c r="AD88" s="25" t="s">
        <v>173</v>
      </c>
      <c r="AE88" s="25" t="s">
        <v>174</v>
      </c>
      <c r="AF88" s="26" t="s">
        <v>175</v>
      </c>
      <c r="AG88" s="32">
        <v>1</v>
      </c>
      <c r="AH88" s="32"/>
      <c r="AI88" s="32"/>
      <c r="AJ88" s="32"/>
      <c r="AK88" s="30"/>
      <c r="AL88" s="32">
        <f t="shared" si="2"/>
        <v>0</v>
      </c>
      <c r="AM88" s="30"/>
      <c r="AN88" s="32"/>
      <c r="AO88" s="32"/>
      <c r="AP88" s="32"/>
      <c r="AQ88" s="32"/>
      <c r="AR88" s="32"/>
      <c r="AS88" s="30"/>
      <c r="AT88" s="32"/>
      <c r="AU88" s="30"/>
      <c r="AV88" s="30"/>
      <c r="AW88" s="30"/>
      <c r="AX88" s="30"/>
      <c r="AY88" s="30"/>
    </row>
    <row r="89" spans="1:51">
      <c r="A89" s="25" t="s">
        <v>14189</v>
      </c>
      <c r="B89" s="25" t="s">
        <v>4398</v>
      </c>
      <c r="C89" s="25" t="s">
        <v>68</v>
      </c>
      <c r="D89" s="25" t="s">
        <v>14190</v>
      </c>
      <c r="E89" s="258" t="s">
        <v>14191</v>
      </c>
      <c r="F89" s="25" t="s">
        <v>14192</v>
      </c>
      <c r="G89" s="25" t="s">
        <v>5516</v>
      </c>
      <c r="H89" s="25" t="s">
        <v>11489</v>
      </c>
      <c r="I89" s="26" t="s">
        <v>4402</v>
      </c>
      <c r="J89" s="25" t="s">
        <v>13592</v>
      </c>
      <c r="K89" s="25">
        <v>9.1999999999999993</v>
      </c>
      <c r="L89" s="26" t="s">
        <v>73</v>
      </c>
      <c r="M89" s="26" t="s">
        <v>14193</v>
      </c>
      <c r="N89" s="26" t="s">
        <v>14194</v>
      </c>
      <c r="O89" s="27" t="s">
        <v>14195</v>
      </c>
      <c r="P89" s="28"/>
      <c r="Q89" s="29">
        <v>4</v>
      </c>
      <c r="R89" s="29">
        <v>16</v>
      </c>
      <c r="S89" s="29">
        <v>266.37</v>
      </c>
      <c r="T89" s="26" t="s">
        <v>146</v>
      </c>
      <c r="U89" s="30" t="s">
        <v>78</v>
      </c>
      <c r="V89" s="26" t="s">
        <v>129</v>
      </c>
      <c r="W89" s="38" t="s">
        <v>3586</v>
      </c>
      <c r="X89" s="26" t="s">
        <v>131</v>
      </c>
      <c r="Y89" s="26" t="s">
        <v>91</v>
      </c>
      <c r="Z89" s="26" t="s">
        <v>91</v>
      </c>
      <c r="AA89" s="26"/>
      <c r="AB89" s="31" t="s">
        <v>17</v>
      </c>
      <c r="AC89" s="30" t="s">
        <v>172</v>
      </c>
      <c r="AD89" s="25" t="s">
        <v>173</v>
      </c>
      <c r="AE89" s="25" t="s">
        <v>174</v>
      </c>
      <c r="AF89" s="26" t="s">
        <v>175</v>
      </c>
      <c r="AG89" s="32">
        <v>1</v>
      </c>
      <c r="AH89" s="32"/>
      <c r="AI89" s="32"/>
      <c r="AJ89" s="32"/>
      <c r="AK89" s="30"/>
      <c r="AL89" s="32">
        <f t="shared" si="2"/>
        <v>0</v>
      </c>
      <c r="AM89" s="30"/>
      <c r="AN89" s="32"/>
      <c r="AO89" s="32"/>
      <c r="AP89" s="32"/>
      <c r="AQ89" s="32"/>
      <c r="AR89" s="32"/>
      <c r="AS89" s="32"/>
      <c r="AT89" s="32"/>
      <c r="AU89" s="30"/>
      <c r="AV89" s="30"/>
      <c r="AW89" s="30"/>
      <c r="AX89" s="30"/>
      <c r="AY89" s="30"/>
    </row>
    <row r="90" spans="1:51">
      <c r="A90" s="25" t="s">
        <v>14196</v>
      </c>
      <c r="B90" s="25" t="s">
        <v>4398</v>
      </c>
      <c r="C90" s="25" t="s">
        <v>68</v>
      </c>
      <c r="D90" s="25" t="s">
        <v>14197</v>
      </c>
      <c r="E90" s="258" t="s">
        <v>14198</v>
      </c>
      <c r="F90" s="25" t="s">
        <v>14199</v>
      </c>
      <c r="G90" s="25" t="s">
        <v>5516</v>
      </c>
      <c r="H90" s="25" t="s">
        <v>11489</v>
      </c>
      <c r="I90" s="26" t="s">
        <v>4402</v>
      </c>
      <c r="J90" s="25" t="s">
        <v>13592</v>
      </c>
      <c r="K90" s="25" t="s">
        <v>11500</v>
      </c>
      <c r="L90" s="26" t="s">
        <v>73</v>
      </c>
      <c r="M90" s="26" t="s">
        <v>14200</v>
      </c>
      <c r="N90" s="26" t="s">
        <v>14201</v>
      </c>
      <c r="O90" s="33" t="s">
        <v>14202</v>
      </c>
      <c r="P90" s="28" t="s">
        <v>11500</v>
      </c>
      <c r="Q90" s="29">
        <v>4</v>
      </c>
      <c r="R90" s="29">
        <v>16</v>
      </c>
      <c r="S90" s="29">
        <v>266.12</v>
      </c>
      <c r="T90" s="30"/>
      <c r="U90" s="30"/>
      <c r="V90" s="30"/>
      <c r="W90" s="38"/>
      <c r="X90" s="26"/>
      <c r="Y90" s="26"/>
      <c r="Z90" s="26"/>
      <c r="AA90" s="26"/>
      <c r="AB90" s="31"/>
      <c r="AC90" s="30" t="s">
        <v>172</v>
      </c>
      <c r="AD90" s="25" t="s">
        <v>173</v>
      </c>
      <c r="AE90" s="25" t="s">
        <v>174</v>
      </c>
      <c r="AF90" s="26" t="s">
        <v>175</v>
      </c>
      <c r="AG90" s="32"/>
      <c r="AH90" s="32"/>
      <c r="AI90" s="32"/>
      <c r="AJ90" s="32"/>
      <c r="AK90" s="30"/>
      <c r="AL90" s="32">
        <f t="shared" si="2"/>
        <v>0</v>
      </c>
      <c r="AM90" s="30"/>
      <c r="AN90" s="32"/>
      <c r="AO90" s="32"/>
      <c r="AP90" s="32"/>
      <c r="AQ90" s="32"/>
      <c r="AR90" s="32"/>
      <c r="AS90" s="32"/>
      <c r="AT90" s="32"/>
      <c r="AU90" s="30"/>
      <c r="AV90" s="30"/>
      <c r="AW90" s="30"/>
      <c r="AX90" s="30"/>
      <c r="AY90" s="30"/>
    </row>
    <row r="91" spans="1:51">
      <c r="A91" s="25" t="s">
        <v>14203</v>
      </c>
      <c r="B91" s="25" t="s">
        <v>4398</v>
      </c>
      <c r="C91" s="25" t="s">
        <v>68</v>
      </c>
      <c r="D91" s="25" t="s">
        <v>14204</v>
      </c>
      <c r="E91" s="258" t="s">
        <v>14205</v>
      </c>
      <c r="F91" s="25" t="s">
        <v>14206</v>
      </c>
      <c r="G91" s="25" t="s">
        <v>5516</v>
      </c>
      <c r="H91" s="25" t="s">
        <v>11489</v>
      </c>
      <c r="I91" s="26" t="s">
        <v>4402</v>
      </c>
      <c r="J91" s="25" t="s">
        <v>13592</v>
      </c>
      <c r="K91" s="25">
        <v>9.1999999999999993</v>
      </c>
      <c r="L91" s="26" t="s">
        <v>73</v>
      </c>
      <c r="M91" s="26" t="s">
        <v>14207</v>
      </c>
      <c r="N91" s="26" t="s">
        <v>14208</v>
      </c>
      <c r="O91" s="27" t="s">
        <v>14209</v>
      </c>
      <c r="P91" s="28"/>
      <c r="Q91" s="29">
        <v>4</v>
      </c>
      <c r="R91" s="29">
        <v>16</v>
      </c>
      <c r="S91" s="29">
        <v>266.27999999999997</v>
      </c>
      <c r="T91" s="26" t="s">
        <v>146</v>
      </c>
      <c r="U91" s="30" t="s">
        <v>78</v>
      </c>
      <c r="V91" s="26" t="s">
        <v>129</v>
      </c>
      <c r="W91" s="38" t="s">
        <v>3586</v>
      </c>
      <c r="X91" s="26" t="s">
        <v>131</v>
      </c>
      <c r="Y91" s="26" t="s">
        <v>91</v>
      </c>
      <c r="Z91" s="26" t="s">
        <v>91</v>
      </c>
      <c r="AA91" s="26"/>
      <c r="AB91" s="31" t="s">
        <v>17</v>
      </c>
      <c r="AC91" s="30" t="s">
        <v>172</v>
      </c>
      <c r="AD91" s="25" t="s">
        <v>173</v>
      </c>
      <c r="AE91" s="25" t="s">
        <v>174</v>
      </c>
      <c r="AF91" s="26" t="s">
        <v>175</v>
      </c>
      <c r="AG91" s="32">
        <v>1</v>
      </c>
      <c r="AH91" s="32"/>
      <c r="AI91" s="32"/>
      <c r="AJ91" s="32"/>
      <c r="AK91" s="30"/>
      <c r="AL91" s="32">
        <f t="shared" si="2"/>
        <v>0</v>
      </c>
      <c r="AM91" s="30"/>
      <c r="AN91" s="32"/>
      <c r="AO91" s="32"/>
      <c r="AP91" s="32"/>
      <c r="AQ91" s="32"/>
      <c r="AR91" s="32"/>
      <c r="AS91" s="32"/>
      <c r="AT91" s="32"/>
      <c r="AU91" s="30"/>
      <c r="AV91" s="30"/>
      <c r="AW91" s="30"/>
      <c r="AX91" s="30"/>
      <c r="AY91" s="30"/>
    </row>
    <row r="92" spans="1:51">
      <c r="A92" s="25" t="s">
        <v>14210</v>
      </c>
      <c r="B92" s="25" t="s">
        <v>4398</v>
      </c>
      <c r="C92" s="25" t="s">
        <v>68</v>
      </c>
      <c r="D92" s="25" t="s">
        <v>14211</v>
      </c>
      <c r="E92" s="258" t="s">
        <v>14212</v>
      </c>
      <c r="F92" s="25" t="s">
        <v>14213</v>
      </c>
      <c r="G92" s="25" t="s">
        <v>5516</v>
      </c>
      <c r="H92" s="25" t="s">
        <v>11489</v>
      </c>
      <c r="I92" s="26" t="s">
        <v>4402</v>
      </c>
      <c r="J92" s="25" t="s">
        <v>13592</v>
      </c>
      <c r="K92" s="25">
        <v>9.1999999999999993</v>
      </c>
      <c r="L92" s="26" t="s">
        <v>73</v>
      </c>
      <c r="M92" s="26" t="s">
        <v>14214</v>
      </c>
      <c r="N92" s="26" t="s">
        <v>14215</v>
      </c>
      <c r="O92" s="27" t="s">
        <v>14216</v>
      </c>
      <c r="P92" s="28"/>
      <c r="Q92" s="29">
        <v>4</v>
      </c>
      <c r="R92" s="29">
        <v>16</v>
      </c>
      <c r="S92" s="29">
        <v>317.38</v>
      </c>
      <c r="T92" s="26" t="s">
        <v>146</v>
      </c>
      <c r="U92" s="30" t="s">
        <v>78</v>
      </c>
      <c r="V92" s="26" t="s">
        <v>129</v>
      </c>
      <c r="W92" s="38" t="s">
        <v>3586</v>
      </c>
      <c r="X92" s="26" t="s">
        <v>131</v>
      </c>
      <c r="Y92" s="26" t="s">
        <v>91</v>
      </c>
      <c r="Z92" s="26" t="s">
        <v>91</v>
      </c>
      <c r="AA92" s="26"/>
      <c r="AB92" s="31" t="s">
        <v>17</v>
      </c>
      <c r="AC92" s="30" t="s">
        <v>172</v>
      </c>
      <c r="AD92" s="25" t="s">
        <v>173</v>
      </c>
      <c r="AE92" s="25" t="s">
        <v>174</v>
      </c>
      <c r="AF92" s="26" t="s">
        <v>175</v>
      </c>
      <c r="AG92" s="32">
        <v>1</v>
      </c>
      <c r="AH92" s="32"/>
      <c r="AI92" s="32"/>
      <c r="AJ92" s="32"/>
      <c r="AK92" s="30"/>
      <c r="AL92" s="32">
        <f t="shared" si="2"/>
        <v>0</v>
      </c>
      <c r="AM92" s="30"/>
      <c r="AN92" s="32"/>
      <c r="AO92" s="32"/>
      <c r="AP92" s="32"/>
      <c r="AQ92" s="32"/>
      <c r="AR92" s="32"/>
      <c r="AS92" s="32"/>
      <c r="AT92" s="32"/>
      <c r="AU92" s="30"/>
      <c r="AV92" s="30"/>
      <c r="AW92" s="30"/>
      <c r="AX92" s="30"/>
      <c r="AY92" s="30"/>
    </row>
    <row r="93" spans="1:51">
      <c r="A93" s="25" t="s">
        <v>14217</v>
      </c>
      <c r="B93" s="25" t="s">
        <v>4398</v>
      </c>
      <c r="C93" s="25" t="s">
        <v>68</v>
      </c>
      <c r="D93" s="25" t="s">
        <v>14218</v>
      </c>
      <c r="E93" s="258" t="s">
        <v>14219</v>
      </c>
      <c r="F93" s="25" t="s">
        <v>14220</v>
      </c>
      <c r="G93" s="25" t="s">
        <v>5516</v>
      </c>
      <c r="H93" s="25" t="s">
        <v>11489</v>
      </c>
      <c r="I93" s="26" t="s">
        <v>4402</v>
      </c>
      <c r="J93" s="25" t="s">
        <v>13592</v>
      </c>
      <c r="K93" s="25" t="s">
        <v>11500</v>
      </c>
      <c r="L93" s="26" t="s">
        <v>73</v>
      </c>
      <c r="M93" s="26" t="s">
        <v>14221</v>
      </c>
      <c r="N93" s="26" t="s">
        <v>14222</v>
      </c>
      <c r="O93" s="33" t="s">
        <v>14223</v>
      </c>
      <c r="P93" s="28" t="s">
        <v>11500</v>
      </c>
      <c r="Q93" s="29">
        <v>4</v>
      </c>
      <c r="R93" s="29">
        <v>16</v>
      </c>
      <c r="S93" s="29">
        <v>266.14999999999998</v>
      </c>
      <c r="T93" s="30"/>
      <c r="U93" s="30"/>
      <c r="V93" s="30"/>
      <c r="W93" s="38"/>
      <c r="X93" s="26"/>
      <c r="Y93" s="26"/>
      <c r="Z93" s="26"/>
      <c r="AA93" s="26"/>
      <c r="AB93" s="31"/>
      <c r="AC93" s="30" t="s">
        <v>172</v>
      </c>
      <c r="AD93" s="25" t="s">
        <v>173</v>
      </c>
      <c r="AE93" s="25" t="s">
        <v>174</v>
      </c>
      <c r="AF93" s="26" t="s">
        <v>175</v>
      </c>
      <c r="AG93" s="32"/>
      <c r="AH93" s="32"/>
      <c r="AI93" s="32"/>
      <c r="AJ93" s="32"/>
      <c r="AK93" s="30"/>
      <c r="AL93" s="32">
        <f t="shared" si="2"/>
        <v>0</v>
      </c>
      <c r="AM93" s="30"/>
      <c r="AN93" s="32"/>
      <c r="AO93" s="32"/>
      <c r="AP93" s="32"/>
      <c r="AQ93" s="32"/>
      <c r="AR93" s="32"/>
      <c r="AS93" s="32"/>
      <c r="AT93" s="32"/>
      <c r="AU93" s="30"/>
      <c r="AV93" s="30"/>
      <c r="AW93" s="30"/>
      <c r="AX93" s="30"/>
      <c r="AY93" s="30"/>
    </row>
    <row r="94" spans="1:51">
      <c r="A94" s="25" t="s">
        <v>14224</v>
      </c>
      <c r="B94" s="25" t="s">
        <v>4398</v>
      </c>
      <c r="C94" s="25" t="s">
        <v>68</v>
      </c>
      <c r="D94" s="25" t="s">
        <v>14225</v>
      </c>
      <c r="E94" s="258" t="s">
        <v>14226</v>
      </c>
      <c r="F94" s="25" t="s">
        <v>14227</v>
      </c>
      <c r="G94" s="25" t="s">
        <v>5516</v>
      </c>
      <c r="H94" s="25" t="s">
        <v>11489</v>
      </c>
      <c r="I94" s="26" t="s">
        <v>4402</v>
      </c>
      <c r="J94" s="25" t="s">
        <v>13592</v>
      </c>
      <c r="K94" s="25">
        <v>9.1999999999999993</v>
      </c>
      <c r="L94" s="26" t="s">
        <v>73</v>
      </c>
      <c r="M94" s="26" t="s">
        <v>14228</v>
      </c>
      <c r="N94" s="26" t="s">
        <v>14229</v>
      </c>
      <c r="O94" s="27" t="s">
        <v>14230</v>
      </c>
      <c r="P94" s="28"/>
      <c r="Q94" s="29">
        <v>4</v>
      </c>
      <c r="R94" s="29">
        <v>16</v>
      </c>
      <c r="S94" s="29">
        <v>286.11</v>
      </c>
      <c r="T94" s="26" t="s">
        <v>146</v>
      </c>
      <c r="U94" s="30" t="s">
        <v>78</v>
      </c>
      <c r="V94" s="26" t="s">
        <v>129</v>
      </c>
      <c r="W94" s="38" t="s">
        <v>3586</v>
      </c>
      <c r="X94" s="26" t="s">
        <v>131</v>
      </c>
      <c r="Y94" s="26" t="s">
        <v>91</v>
      </c>
      <c r="Z94" s="26" t="s">
        <v>91</v>
      </c>
      <c r="AA94" s="26"/>
      <c r="AB94" s="31" t="s">
        <v>17</v>
      </c>
      <c r="AC94" s="30" t="s">
        <v>172</v>
      </c>
      <c r="AD94" s="25" t="s">
        <v>173</v>
      </c>
      <c r="AE94" s="25" t="s">
        <v>174</v>
      </c>
      <c r="AF94" s="26" t="s">
        <v>175</v>
      </c>
      <c r="AG94" s="32">
        <v>1</v>
      </c>
      <c r="AH94" s="32"/>
      <c r="AI94" s="32"/>
      <c r="AJ94" s="32"/>
      <c r="AK94" s="30"/>
      <c r="AL94" s="32">
        <f t="shared" si="2"/>
        <v>0</v>
      </c>
      <c r="AM94" s="30"/>
      <c r="AN94" s="32"/>
      <c r="AO94" s="32"/>
      <c r="AP94" s="32"/>
      <c r="AQ94" s="32"/>
      <c r="AR94" s="32"/>
      <c r="AS94" s="32"/>
      <c r="AT94" s="32"/>
      <c r="AU94" s="30"/>
      <c r="AV94" s="30"/>
      <c r="AW94" s="30"/>
      <c r="AX94" s="30"/>
      <c r="AY94" s="30"/>
    </row>
    <row r="95" spans="1:51">
      <c r="A95" s="25" t="s">
        <v>14231</v>
      </c>
      <c r="B95" s="25" t="s">
        <v>4398</v>
      </c>
      <c r="C95" s="25" t="s">
        <v>68</v>
      </c>
      <c r="D95" s="25" t="s">
        <v>14232</v>
      </c>
      <c r="E95" s="258" t="s">
        <v>14233</v>
      </c>
      <c r="F95" s="25" t="s">
        <v>14234</v>
      </c>
      <c r="G95" s="25" t="s">
        <v>5516</v>
      </c>
      <c r="H95" s="25" t="s">
        <v>11489</v>
      </c>
      <c r="I95" s="26" t="s">
        <v>4402</v>
      </c>
      <c r="J95" s="25" t="s">
        <v>13592</v>
      </c>
      <c r="K95" s="25" t="s">
        <v>11500</v>
      </c>
      <c r="L95" s="26" t="s">
        <v>73</v>
      </c>
      <c r="M95" s="26" t="s">
        <v>14235</v>
      </c>
      <c r="N95" s="26" t="s">
        <v>14236</v>
      </c>
      <c r="O95" s="33" t="s">
        <v>14237</v>
      </c>
      <c r="P95" s="28" t="s">
        <v>11500</v>
      </c>
      <c r="Q95" s="29">
        <v>4</v>
      </c>
      <c r="R95" s="29">
        <v>16</v>
      </c>
      <c r="S95" s="29">
        <v>266.79000000000002</v>
      </c>
      <c r="T95" s="30"/>
      <c r="U95" s="30"/>
      <c r="V95" s="30"/>
      <c r="W95" s="38"/>
      <c r="X95" s="26"/>
      <c r="Y95" s="26"/>
      <c r="Z95" s="26"/>
      <c r="AA95" s="26"/>
      <c r="AB95" s="31"/>
      <c r="AC95" s="30" t="s">
        <v>172</v>
      </c>
      <c r="AD95" s="25" t="s">
        <v>173</v>
      </c>
      <c r="AE95" s="25" t="s">
        <v>174</v>
      </c>
      <c r="AF95" s="26" t="s">
        <v>175</v>
      </c>
      <c r="AG95" s="32"/>
      <c r="AH95" s="32"/>
      <c r="AI95" s="32"/>
      <c r="AJ95" s="32"/>
      <c r="AK95" s="30"/>
      <c r="AL95" s="32">
        <f t="shared" si="2"/>
        <v>0</v>
      </c>
      <c r="AM95" s="30"/>
      <c r="AN95" s="32"/>
      <c r="AO95" s="32"/>
      <c r="AP95" s="32"/>
      <c r="AQ95" s="32"/>
      <c r="AR95" s="32"/>
      <c r="AS95" s="32"/>
      <c r="AT95" s="32"/>
      <c r="AU95" s="30"/>
      <c r="AV95" s="30"/>
      <c r="AW95" s="30"/>
      <c r="AX95" s="30"/>
      <c r="AY95" s="30"/>
    </row>
    <row r="96" spans="1:51">
      <c r="A96" s="25" t="s">
        <v>14238</v>
      </c>
      <c r="B96" s="25" t="s">
        <v>4398</v>
      </c>
      <c r="C96" s="25" t="s">
        <v>68</v>
      </c>
      <c r="D96" s="25" t="s">
        <v>14239</v>
      </c>
      <c r="E96" s="258" t="s">
        <v>14240</v>
      </c>
      <c r="F96" s="25" t="s">
        <v>14241</v>
      </c>
      <c r="G96" s="25" t="s">
        <v>5516</v>
      </c>
      <c r="H96" s="25" t="s">
        <v>11489</v>
      </c>
      <c r="I96" s="26" t="s">
        <v>4402</v>
      </c>
      <c r="J96" s="25" t="s">
        <v>13592</v>
      </c>
      <c r="K96" s="25">
        <v>9.1999999999999993</v>
      </c>
      <c r="L96" s="26" t="s">
        <v>73</v>
      </c>
      <c r="M96" s="26" t="s">
        <v>14242</v>
      </c>
      <c r="N96" s="26" t="s">
        <v>14243</v>
      </c>
      <c r="O96" s="27" t="s">
        <v>14244</v>
      </c>
      <c r="P96" s="28"/>
      <c r="Q96" s="29">
        <v>4</v>
      </c>
      <c r="R96" s="29">
        <v>16</v>
      </c>
      <c r="S96" s="29">
        <v>286.83</v>
      </c>
      <c r="T96" s="26" t="s">
        <v>146</v>
      </c>
      <c r="U96" s="30" t="s">
        <v>78</v>
      </c>
      <c r="V96" s="26" t="s">
        <v>129</v>
      </c>
      <c r="W96" s="38" t="s">
        <v>3586</v>
      </c>
      <c r="X96" s="26" t="s">
        <v>131</v>
      </c>
      <c r="Y96" s="26" t="s">
        <v>91</v>
      </c>
      <c r="Z96" s="26" t="s">
        <v>91</v>
      </c>
      <c r="AA96" s="26"/>
      <c r="AB96" s="31" t="s">
        <v>17</v>
      </c>
      <c r="AC96" s="30" t="s">
        <v>172</v>
      </c>
      <c r="AD96" s="25" t="s">
        <v>173</v>
      </c>
      <c r="AE96" s="25" t="s">
        <v>174</v>
      </c>
      <c r="AF96" s="26" t="s">
        <v>175</v>
      </c>
      <c r="AG96" s="32">
        <v>1</v>
      </c>
      <c r="AH96" s="32"/>
      <c r="AI96" s="32"/>
      <c r="AJ96" s="32"/>
      <c r="AK96" s="30"/>
      <c r="AL96" s="32">
        <f t="shared" si="2"/>
        <v>0</v>
      </c>
      <c r="AM96" s="30"/>
      <c r="AN96" s="32"/>
      <c r="AO96" s="32"/>
      <c r="AP96" s="32"/>
      <c r="AQ96" s="32"/>
      <c r="AR96" s="32"/>
      <c r="AS96" s="32"/>
      <c r="AT96" s="32"/>
      <c r="AU96" s="30"/>
      <c r="AV96" s="30"/>
      <c r="AW96" s="30"/>
      <c r="AX96" s="30"/>
      <c r="AY96" s="30"/>
    </row>
    <row r="97" spans="1:51">
      <c r="A97" s="25" t="s">
        <v>14245</v>
      </c>
      <c r="B97" s="25" t="s">
        <v>4398</v>
      </c>
      <c r="C97" s="25" t="s">
        <v>68</v>
      </c>
      <c r="D97" s="25" t="s">
        <v>14246</v>
      </c>
      <c r="E97" s="258" t="s">
        <v>14247</v>
      </c>
      <c r="F97" s="25" t="s">
        <v>14248</v>
      </c>
      <c r="G97" s="25" t="s">
        <v>5516</v>
      </c>
      <c r="H97" s="25" t="s">
        <v>11489</v>
      </c>
      <c r="I97" s="26" t="s">
        <v>4402</v>
      </c>
      <c r="J97" s="25" t="s">
        <v>13592</v>
      </c>
      <c r="K97" s="25">
        <v>9.1999999999999993</v>
      </c>
      <c r="L97" s="26" t="s">
        <v>73</v>
      </c>
      <c r="M97" s="26" t="s">
        <v>14249</v>
      </c>
      <c r="N97" s="26" t="s">
        <v>14250</v>
      </c>
      <c r="O97" s="27" t="s">
        <v>14251</v>
      </c>
      <c r="P97" s="28"/>
      <c r="Q97" s="29">
        <v>8</v>
      </c>
      <c r="R97" s="29">
        <v>32</v>
      </c>
      <c r="S97" s="29">
        <v>303.24</v>
      </c>
      <c r="T97" s="26" t="s">
        <v>146</v>
      </c>
      <c r="U97" s="30" t="s">
        <v>78</v>
      </c>
      <c r="V97" s="26" t="s">
        <v>129</v>
      </c>
      <c r="W97" s="38" t="s">
        <v>3586</v>
      </c>
      <c r="X97" s="26" t="s">
        <v>131</v>
      </c>
      <c r="Y97" s="26" t="s">
        <v>91</v>
      </c>
      <c r="Z97" s="26" t="s">
        <v>91</v>
      </c>
      <c r="AA97" s="26"/>
      <c r="AB97" s="31" t="s">
        <v>17</v>
      </c>
      <c r="AC97" s="30" t="s">
        <v>172</v>
      </c>
      <c r="AD97" s="25" t="s">
        <v>173</v>
      </c>
      <c r="AE97" s="25" t="s">
        <v>174</v>
      </c>
      <c r="AF97" s="26" t="s">
        <v>175</v>
      </c>
      <c r="AG97" s="32">
        <v>1</v>
      </c>
      <c r="AH97" s="32"/>
      <c r="AI97" s="32"/>
      <c r="AJ97" s="32"/>
      <c r="AK97" s="30"/>
      <c r="AL97" s="32">
        <f t="shared" si="2"/>
        <v>0</v>
      </c>
      <c r="AM97" s="30"/>
      <c r="AN97" s="32"/>
      <c r="AO97" s="32"/>
      <c r="AP97" s="32"/>
      <c r="AQ97" s="32"/>
      <c r="AR97" s="32"/>
      <c r="AS97" s="32"/>
      <c r="AT97" s="32"/>
      <c r="AU97" s="30"/>
      <c r="AV97" s="30"/>
      <c r="AW97" s="30"/>
      <c r="AX97" s="30"/>
      <c r="AY97" s="30"/>
    </row>
    <row r="98" spans="1:51">
      <c r="A98" s="25" t="s">
        <v>14252</v>
      </c>
      <c r="B98" s="25" t="s">
        <v>4398</v>
      </c>
      <c r="C98" s="25" t="s">
        <v>68</v>
      </c>
      <c r="D98" s="25" t="s">
        <v>14253</v>
      </c>
      <c r="E98" s="258" t="s">
        <v>14254</v>
      </c>
      <c r="F98" s="25" t="s">
        <v>14255</v>
      </c>
      <c r="G98" s="25" t="s">
        <v>5516</v>
      </c>
      <c r="H98" s="25" t="s">
        <v>11489</v>
      </c>
      <c r="I98" s="26" t="s">
        <v>4402</v>
      </c>
      <c r="J98" s="25" t="s">
        <v>13592</v>
      </c>
      <c r="K98" s="25">
        <v>9.1999999999999993</v>
      </c>
      <c r="L98" s="26" t="s">
        <v>73</v>
      </c>
      <c r="M98" s="26" t="s">
        <v>14256</v>
      </c>
      <c r="N98" s="26" t="s">
        <v>14257</v>
      </c>
      <c r="O98" s="27" t="s">
        <v>14258</v>
      </c>
      <c r="P98" s="28"/>
      <c r="Q98" s="29">
        <v>4</v>
      </c>
      <c r="R98" s="29">
        <v>16</v>
      </c>
      <c r="S98" s="29">
        <v>286.16000000000003</v>
      </c>
      <c r="T98" s="26" t="s">
        <v>146</v>
      </c>
      <c r="U98" s="30" t="s">
        <v>78</v>
      </c>
      <c r="V98" s="26" t="s">
        <v>129</v>
      </c>
      <c r="W98" s="38" t="s">
        <v>3586</v>
      </c>
      <c r="X98" s="26" t="s">
        <v>131</v>
      </c>
      <c r="Y98" s="26" t="s">
        <v>91</v>
      </c>
      <c r="Z98" s="26" t="s">
        <v>91</v>
      </c>
      <c r="AA98" s="26"/>
      <c r="AB98" s="31" t="s">
        <v>17</v>
      </c>
      <c r="AC98" s="30" t="s">
        <v>172</v>
      </c>
      <c r="AD98" s="25" t="s">
        <v>173</v>
      </c>
      <c r="AE98" s="25" t="s">
        <v>174</v>
      </c>
      <c r="AF98" s="26" t="s">
        <v>175</v>
      </c>
      <c r="AG98" s="32">
        <v>1</v>
      </c>
      <c r="AH98" s="32"/>
      <c r="AI98" s="32"/>
      <c r="AJ98" s="32"/>
      <c r="AK98" s="30"/>
      <c r="AL98" s="32">
        <f t="shared" si="2"/>
        <v>0</v>
      </c>
      <c r="AM98" s="30"/>
      <c r="AN98" s="32"/>
      <c r="AO98" s="32"/>
      <c r="AP98" s="32"/>
      <c r="AQ98" s="32"/>
      <c r="AR98" s="32"/>
      <c r="AS98" s="32"/>
      <c r="AT98" s="32"/>
      <c r="AU98" s="30"/>
      <c r="AV98" s="30"/>
      <c r="AW98" s="30"/>
      <c r="AX98" s="30"/>
      <c r="AY98" s="30"/>
    </row>
    <row r="99" spans="1:51">
      <c r="A99" s="25" t="s">
        <v>14259</v>
      </c>
      <c r="B99" s="25" t="s">
        <v>4398</v>
      </c>
      <c r="C99" s="25" t="s">
        <v>68</v>
      </c>
      <c r="D99" s="25" t="s">
        <v>14260</v>
      </c>
      <c r="E99" s="258" t="s">
        <v>14261</v>
      </c>
      <c r="F99" s="25" t="s">
        <v>14262</v>
      </c>
      <c r="G99" s="25" t="s">
        <v>5516</v>
      </c>
      <c r="H99" s="25" t="s">
        <v>11489</v>
      </c>
      <c r="I99" s="26" t="s">
        <v>4402</v>
      </c>
      <c r="J99" s="25" t="s">
        <v>13592</v>
      </c>
      <c r="K99" s="25">
        <v>9.1999999999999993</v>
      </c>
      <c r="L99" s="26" t="s">
        <v>73</v>
      </c>
      <c r="M99" s="26" t="s">
        <v>14263</v>
      </c>
      <c r="N99" s="26" t="s">
        <v>14264</v>
      </c>
      <c r="O99" s="27" t="s">
        <v>14265</v>
      </c>
      <c r="P99" s="28"/>
      <c r="Q99" s="29">
        <v>4</v>
      </c>
      <c r="R99" s="29">
        <v>16</v>
      </c>
      <c r="S99" s="29">
        <v>286.11</v>
      </c>
      <c r="T99" s="26" t="s">
        <v>146</v>
      </c>
      <c r="U99" s="30" t="s">
        <v>78</v>
      </c>
      <c r="V99" s="26" t="s">
        <v>129</v>
      </c>
      <c r="W99" s="38" t="s">
        <v>3586</v>
      </c>
      <c r="X99" s="26" t="s">
        <v>131</v>
      </c>
      <c r="Y99" s="26" t="s">
        <v>91</v>
      </c>
      <c r="Z99" s="26" t="s">
        <v>91</v>
      </c>
      <c r="AA99" s="26"/>
      <c r="AB99" s="31" t="s">
        <v>17</v>
      </c>
      <c r="AC99" s="30" t="s">
        <v>172</v>
      </c>
      <c r="AD99" s="25" t="s">
        <v>173</v>
      </c>
      <c r="AE99" s="25" t="s">
        <v>174</v>
      </c>
      <c r="AF99" s="26" t="s">
        <v>175</v>
      </c>
      <c r="AG99" s="32">
        <v>1</v>
      </c>
      <c r="AH99" s="32"/>
      <c r="AI99" s="32"/>
      <c r="AJ99" s="32"/>
      <c r="AK99" s="30"/>
      <c r="AL99" s="32">
        <f t="shared" ref="AL99:AL148" si="3">IF(COUNTIF(AX:AX,"*"&amp;M99&amp;"*")&gt;0,1,0)</f>
        <v>0</v>
      </c>
      <c r="AM99" s="30"/>
      <c r="AN99" s="32"/>
      <c r="AO99" s="32"/>
      <c r="AP99" s="32"/>
      <c r="AQ99" s="32"/>
      <c r="AR99" s="32"/>
      <c r="AS99" s="32"/>
      <c r="AT99" s="32"/>
      <c r="AU99" s="30"/>
      <c r="AV99" s="30"/>
      <c r="AW99" s="30"/>
      <c r="AX99" s="30"/>
      <c r="AY99" s="30"/>
    </row>
    <row r="100" spans="1:51">
      <c r="A100" s="25" t="s">
        <v>14266</v>
      </c>
      <c r="B100" s="25" t="s">
        <v>4398</v>
      </c>
      <c r="C100" s="25" t="s">
        <v>68</v>
      </c>
      <c r="D100" s="25" t="s">
        <v>14267</v>
      </c>
      <c r="E100" s="258" t="s">
        <v>14268</v>
      </c>
      <c r="F100" s="25" t="s">
        <v>14269</v>
      </c>
      <c r="G100" s="25" t="s">
        <v>5516</v>
      </c>
      <c r="H100" s="25" t="s">
        <v>11489</v>
      </c>
      <c r="I100" s="26" t="s">
        <v>4402</v>
      </c>
      <c r="J100" s="25" t="s">
        <v>13592</v>
      </c>
      <c r="K100" s="25">
        <v>9.1999999999999993</v>
      </c>
      <c r="L100" s="26" t="s">
        <v>73</v>
      </c>
      <c r="M100" s="26" t="s">
        <v>14270</v>
      </c>
      <c r="N100" s="26" t="s">
        <v>14271</v>
      </c>
      <c r="O100" s="27" t="s">
        <v>14272</v>
      </c>
      <c r="P100" s="28"/>
      <c r="Q100" s="29">
        <v>8</v>
      </c>
      <c r="R100" s="29">
        <v>32</v>
      </c>
      <c r="S100" s="29">
        <v>433.37</v>
      </c>
      <c r="T100" s="26" t="s">
        <v>146</v>
      </c>
      <c r="U100" s="30" t="s">
        <v>78</v>
      </c>
      <c r="V100" s="26" t="s">
        <v>129</v>
      </c>
      <c r="W100" s="38" t="s">
        <v>3586</v>
      </c>
      <c r="X100" s="26" t="s">
        <v>131</v>
      </c>
      <c r="Y100" s="26" t="s">
        <v>91</v>
      </c>
      <c r="Z100" s="26" t="s">
        <v>91</v>
      </c>
      <c r="AA100" s="26"/>
      <c r="AB100" s="31" t="s">
        <v>17</v>
      </c>
      <c r="AC100" s="30" t="s">
        <v>172</v>
      </c>
      <c r="AD100" s="25" t="s">
        <v>173</v>
      </c>
      <c r="AE100" s="25" t="s">
        <v>174</v>
      </c>
      <c r="AF100" s="26" t="s">
        <v>175</v>
      </c>
      <c r="AG100" s="32">
        <v>1</v>
      </c>
      <c r="AH100" s="32"/>
      <c r="AI100" s="32"/>
      <c r="AJ100" s="32"/>
      <c r="AK100" s="30"/>
      <c r="AL100" s="32">
        <f t="shared" si="3"/>
        <v>0</v>
      </c>
      <c r="AM100" s="30"/>
      <c r="AN100" s="32"/>
      <c r="AO100" s="32"/>
      <c r="AP100" s="32"/>
      <c r="AQ100" s="32"/>
      <c r="AR100" s="32"/>
      <c r="AS100" s="32"/>
      <c r="AT100" s="32"/>
      <c r="AU100" s="30"/>
      <c r="AV100" s="30"/>
      <c r="AW100" s="30"/>
      <c r="AX100" s="30"/>
      <c r="AY100" s="30"/>
    </row>
    <row r="101" spans="1:51">
      <c r="A101" s="25" t="s">
        <v>14273</v>
      </c>
      <c r="B101" s="25" t="s">
        <v>4398</v>
      </c>
      <c r="C101" s="25" t="s">
        <v>68</v>
      </c>
      <c r="D101" s="25" t="s">
        <v>14274</v>
      </c>
      <c r="E101" s="258" t="s">
        <v>14275</v>
      </c>
      <c r="F101" s="25" t="s">
        <v>14276</v>
      </c>
      <c r="G101" s="25" t="s">
        <v>5516</v>
      </c>
      <c r="H101" s="25" t="s">
        <v>11489</v>
      </c>
      <c r="I101" s="26" t="s">
        <v>4402</v>
      </c>
      <c r="J101" s="25" t="s">
        <v>13592</v>
      </c>
      <c r="K101" s="25" t="s">
        <v>11500</v>
      </c>
      <c r="L101" s="26" t="s">
        <v>73</v>
      </c>
      <c r="M101" s="26" t="s">
        <v>14277</v>
      </c>
      <c r="N101" s="26" t="s">
        <v>14278</v>
      </c>
      <c r="O101" s="33" t="s">
        <v>14279</v>
      </c>
      <c r="P101" s="28" t="s">
        <v>11500</v>
      </c>
      <c r="Q101" s="29">
        <v>4</v>
      </c>
      <c r="R101" s="29">
        <v>16</v>
      </c>
      <c r="S101" s="29">
        <v>287.38</v>
      </c>
      <c r="T101" s="30"/>
      <c r="U101" s="30"/>
      <c r="V101" s="30"/>
      <c r="W101" s="38"/>
      <c r="X101" s="26"/>
      <c r="Y101" s="26"/>
      <c r="Z101" s="26"/>
      <c r="AA101" s="26"/>
      <c r="AB101" s="31"/>
      <c r="AC101" s="30" t="s">
        <v>172</v>
      </c>
      <c r="AD101" s="25" t="s">
        <v>173</v>
      </c>
      <c r="AE101" s="25" t="s">
        <v>174</v>
      </c>
      <c r="AF101" s="26" t="s">
        <v>175</v>
      </c>
      <c r="AG101" s="32"/>
      <c r="AH101" s="32"/>
      <c r="AI101" s="32"/>
      <c r="AJ101" s="32"/>
      <c r="AK101" s="30"/>
      <c r="AL101" s="32">
        <f t="shared" si="3"/>
        <v>0</v>
      </c>
      <c r="AM101" s="30"/>
      <c r="AN101" s="32"/>
      <c r="AO101" s="32"/>
      <c r="AP101" s="32"/>
      <c r="AQ101" s="32"/>
      <c r="AR101" s="32"/>
      <c r="AS101" s="32"/>
      <c r="AT101" s="32"/>
      <c r="AU101" s="30"/>
      <c r="AV101" s="30"/>
      <c r="AW101" s="30"/>
      <c r="AX101" s="30"/>
      <c r="AY101" s="30"/>
    </row>
    <row r="102" spans="1:51">
      <c r="A102" s="25" t="s">
        <v>14280</v>
      </c>
      <c r="B102" s="25" t="s">
        <v>4398</v>
      </c>
      <c r="C102" s="25" t="s">
        <v>68</v>
      </c>
      <c r="D102" s="25" t="s">
        <v>14281</v>
      </c>
      <c r="E102" s="258" t="s">
        <v>14282</v>
      </c>
      <c r="F102" s="25" t="s">
        <v>14283</v>
      </c>
      <c r="G102" s="25" t="s">
        <v>5516</v>
      </c>
      <c r="H102" s="25" t="s">
        <v>11489</v>
      </c>
      <c r="I102" s="26" t="s">
        <v>4402</v>
      </c>
      <c r="J102" s="25" t="s">
        <v>13592</v>
      </c>
      <c r="K102" s="25">
        <v>9.1999999999999993</v>
      </c>
      <c r="L102" s="26" t="s">
        <v>73</v>
      </c>
      <c r="M102" s="26" t="s">
        <v>14284</v>
      </c>
      <c r="N102" s="26" t="s">
        <v>14285</v>
      </c>
      <c r="O102" s="27" t="s">
        <v>14286</v>
      </c>
      <c r="P102" s="28"/>
      <c r="Q102" s="29">
        <v>4</v>
      </c>
      <c r="R102" s="29">
        <v>16</v>
      </c>
      <c r="S102" s="29">
        <v>266.18</v>
      </c>
      <c r="T102" s="26" t="s">
        <v>146</v>
      </c>
      <c r="U102" s="30" t="s">
        <v>78</v>
      </c>
      <c r="V102" s="26" t="s">
        <v>129</v>
      </c>
      <c r="W102" s="38" t="s">
        <v>3586</v>
      </c>
      <c r="X102" s="26" t="s">
        <v>131</v>
      </c>
      <c r="Y102" s="26" t="s">
        <v>91</v>
      </c>
      <c r="Z102" s="26" t="s">
        <v>91</v>
      </c>
      <c r="AA102" s="26"/>
      <c r="AB102" s="31" t="s">
        <v>17</v>
      </c>
      <c r="AC102" s="30" t="s">
        <v>172</v>
      </c>
      <c r="AD102" s="25" t="s">
        <v>173</v>
      </c>
      <c r="AE102" s="25" t="s">
        <v>174</v>
      </c>
      <c r="AF102" s="26" t="s">
        <v>175</v>
      </c>
      <c r="AG102" s="32">
        <v>1</v>
      </c>
      <c r="AH102" s="32"/>
      <c r="AI102" s="32"/>
      <c r="AJ102" s="32"/>
      <c r="AK102" s="30"/>
      <c r="AL102" s="32">
        <f t="shared" si="3"/>
        <v>0</v>
      </c>
      <c r="AM102" s="30"/>
      <c r="AN102" s="32"/>
      <c r="AO102" s="32"/>
      <c r="AP102" s="32"/>
      <c r="AQ102" s="32"/>
      <c r="AR102" s="32"/>
      <c r="AS102" s="32"/>
      <c r="AT102" s="32"/>
      <c r="AU102" s="30"/>
      <c r="AV102" s="30"/>
      <c r="AW102" s="30"/>
      <c r="AX102" s="30"/>
      <c r="AY102" s="30"/>
    </row>
    <row r="103" spans="1:51">
      <c r="A103" s="25" t="s">
        <v>14287</v>
      </c>
      <c r="B103" s="25" t="s">
        <v>4398</v>
      </c>
      <c r="C103" s="25" t="s">
        <v>68</v>
      </c>
      <c r="D103" s="25" t="s">
        <v>14288</v>
      </c>
      <c r="E103" s="258" t="s">
        <v>14289</v>
      </c>
      <c r="F103" s="25" t="s">
        <v>14290</v>
      </c>
      <c r="G103" s="25" t="s">
        <v>5516</v>
      </c>
      <c r="H103" s="25" t="s">
        <v>11489</v>
      </c>
      <c r="I103" s="26" t="s">
        <v>4402</v>
      </c>
      <c r="J103" s="25" t="s">
        <v>13592</v>
      </c>
      <c r="K103" s="25" t="s">
        <v>11500</v>
      </c>
      <c r="L103" s="26" t="s">
        <v>73</v>
      </c>
      <c r="M103" s="26" t="s">
        <v>14291</v>
      </c>
      <c r="N103" s="26" t="s">
        <v>14292</v>
      </c>
      <c r="O103" s="33" t="s">
        <v>14293</v>
      </c>
      <c r="P103" s="28" t="s">
        <v>11500</v>
      </c>
      <c r="Q103" s="29">
        <v>4</v>
      </c>
      <c r="R103" s="29">
        <v>16</v>
      </c>
      <c r="S103" s="29">
        <v>416.11</v>
      </c>
      <c r="T103" s="30"/>
      <c r="U103" s="30"/>
      <c r="V103" s="30"/>
      <c r="W103" s="38"/>
      <c r="X103" s="26"/>
      <c r="Y103" s="26"/>
      <c r="Z103" s="26"/>
      <c r="AA103" s="26"/>
      <c r="AB103" s="31"/>
      <c r="AC103" s="30" t="s">
        <v>172</v>
      </c>
      <c r="AD103" s="25" t="s">
        <v>173</v>
      </c>
      <c r="AE103" s="25" t="s">
        <v>174</v>
      </c>
      <c r="AF103" s="26" t="s">
        <v>175</v>
      </c>
      <c r="AG103" s="32"/>
      <c r="AH103" s="32"/>
      <c r="AI103" s="32"/>
      <c r="AJ103" s="32"/>
      <c r="AK103" s="30"/>
      <c r="AL103" s="32">
        <f t="shared" si="3"/>
        <v>0</v>
      </c>
      <c r="AM103" s="30"/>
      <c r="AN103" s="32"/>
      <c r="AO103" s="32"/>
      <c r="AP103" s="32"/>
      <c r="AQ103" s="32"/>
      <c r="AR103" s="32"/>
      <c r="AS103" s="32"/>
      <c r="AT103" s="32"/>
      <c r="AU103" s="30"/>
      <c r="AV103" s="30"/>
      <c r="AW103" s="30"/>
      <c r="AX103" s="30"/>
      <c r="AY103" s="30"/>
    </row>
    <row r="104" spans="1:51">
      <c r="A104" s="25" t="s">
        <v>14294</v>
      </c>
      <c r="B104" s="25" t="s">
        <v>4398</v>
      </c>
      <c r="C104" s="25" t="s">
        <v>68</v>
      </c>
      <c r="D104" s="25" t="s">
        <v>14295</v>
      </c>
      <c r="E104" s="258" t="s">
        <v>14296</v>
      </c>
      <c r="F104" s="25" t="s">
        <v>14297</v>
      </c>
      <c r="G104" s="25" t="s">
        <v>5516</v>
      </c>
      <c r="H104" s="25" t="s">
        <v>11489</v>
      </c>
      <c r="I104" s="26" t="s">
        <v>4402</v>
      </c>
      <c r="J104" s="25" t="s">
        <v>13592</v>
      </c>
      <c r="K104" s="25">
        <v>9.1999999999999993</v>
      </c>
      <c r="L104" s="26" t="s">
        <v>73</v>
      </c>
      <c r="M104" s="26" t="s">
        <v>14298</v>
      </c>
      <c r="N104" s="26" t="s">
        <v>14299</v>
      </c>
      <c r="O104" s="27" t="s">
        <v>14300</v>
      </c>
      <c r="P104" s="28"/>
      <c r="Q104" s="29">
        <v>4</v>
      </c>
      <c r="R104" s="29">
        <v>16</v>
      </c>
      <c r="S104" s="29">
        <v>516.13</v>
      </c>
      <c r="T104" s="26" t="s">
        <v>146</v>
      </c>
      <c r="U104" s="30" t="s">
        <v>78</v>
      </c>
      <c r="V104" s="26" t="s">
        <v>129</v>
      </c>
      <c r="W104" s="38" t="s">
        <v>3586</v>
      </c>
      <c r="X104" s="26" t="s">
        <v>131</v>
      </c>
      <c r="Y104" s="26" t="s">
        <v>91</v>
      </c>
      <c r="Z104" s="26" t="s">
        <v>91</v>
      </c>
      <c r="AA104" s="26"/>
      <c r="AB104" s="31" t="s">
        <v>17</v>
      </c>
      <c r="AC104" s="30" t="s">
        <v>172</v>
      </c>
      <c r="AD104" s="25" t="s">
        <v>173</v>
      </c>
      <c r="AE104" s="25" t="s">
        <v>174</v>
      </c>
      <c r="AF104" s="26" t="s">
        <v>175</v>
      </c>
      <c r="AG104" s="32">
        <v>1</v>
      </c>
      <c r="AH104" s="32"/>
      <c r="AI104" s="32"/>
      <c r="AJ104" s="32"/>
      <c r="AK104" s="30"/>
      <c r="AL104" s="32">
        <f t="shared" si="3"/>
        <v>0</v>
      </c>
      <c r="AM104" s="30"/>
      <c r="AN104" s="32"/>
      <c r="AO104" s="32"/>
      <c r="AP104" s="32"/>
      <c r="AQ104" s="32"/>
      <c r="AR104" s="32"/>
      <c r="AS104" s="32"/>
      <c r="AT104" s="32"/>
      <c r="AU104" s="30"/>
      <c r="AV104" s="30"/>
      <c r="AW104" s="30"/>
      <c r="AX104" s="30"/>
      <c r="AY104" s="30"/>
    </row>
    <row r="105" spans="1:51">
      <c r="A105" s="25" t="s">
        <v>14301</v>
      </c>
      <c r="B105" s="25" t="s">
        <v>4398</v>
      </c>
      <c r="C105" s="25" t="s">
        <v>68</v>
      </c>
      <c r="D105" s="25" t="s">
        <v>14302</v>
      </c>
      <c r="E105" s="258" t="s">
        <v>14303</v>
      </c>
      <c r="F105" s="25" t="s">
        <v>14304</v>
      </c>
      <c r="G105" s="25" t="s">
        <v>5516</v>
      </c>
      <c r="H105" s="25" t="s">
        <v>11489</v>
      </c>
      <c r="I105" s="26" t="s">
        <v>4402</v>
      </c>
      <c r="J105" s="25" t="s">
        <v>13592</v>
      </c>
      <c r="K105" s="25">
        <v>9.1999999999999993</v>
      </c>
      <c r="L105" s="26" t="s">
        <v>73</v>
      </c>
      <c r="M105" s="26" t="s">
        <v>14305</v>
      </c>
      <c r="N105" s="26" t="s">
        <v>14306</v>
      </c>
      <c r="O105" s="27" t="s">
        <v>14307</v>
      </c>
      <c r="P105" s="28"/>
      <c r="Q105" s="29">
        <v>4</v>
      </c>
      <c r="R105" s="29">
        <v>16</v>
      </c>
      <c r="S105" s="29">
        <v>366.1</v>
      </c>
      <c r="T105" s="26" t="s">
        <v>146</v>
      </c>
      <c r="U105" s="30" t="s">
        <v>78</v>
      </c>
      <c r="V105" s="26" t="s">
        <v>129</v>
      </c>
      <c r="W105" s="38" t="s">
        <v>3656</v>
      </c>
      <c r="X105" s="26" t="s">
        <v>131</v>
      </c>
      <c r="Y105" s="26" t="s">
        <v>91</v>
      </c>
      <c r="Z105" s="26" t="s">
        <v>91</v>
      </c>
      <c r="AA105" s="26"/>
      <c r="AB105" s="31" t="s">
        <v>19</v>
      </c>
      <c r="AC105" s="30" t="s">
        <v>172</v>
      </c>
      <c r="AD105" s="25" t="s">
        <v>173</v>
      </c>
      <c r="AE105" s="25" t="s">
        <v>174</v>
      </c>
      <c r="AF105" s="26" t="s">
        <v>175</v>
      </c>
      <c r="AG105" s="32">
        <v>1</v>
      </c>
      <c r="AH105" s="32"/>
      <c r="AI105" s="32"/>
      <c r="AJ105" s="32"/>
      <c r="AK105" s="30"/>
      <c r="AL105" s="32">
        <f t="shared" si="3"/>
        <v>0</v>
      </c>
      <c r="AM105" s="30"/>
      <c r="AN105" s="32"/>
      <c r="AO105" s="32"/>
      <c r="AP105" s="32"/>
      <c r="AQ105" s="32"/>
      <c r="AR105" s="32"/>
      <c r="AS105" s="32"/>
      <c r="AT105" s="32"/>
      <c r="AU105" s="30"/>
      <c r="AV105" s="30"/>
      <c r="AW105" s="30"/>
      <c r="AX105" s="30"/>
      <c r="AY105" s="30"/>
    </row>
    <row r="106" spans="1:51">
      <c r="A106" s="25" t="s">
        <v>14308</v>
      </c>
      <c r="B106" s="25" t="s">
        <v>4398</v>
      </c>
      <c r="C106" s="25" t="s">
        <v>68</v>
      </c>
      <c r="D106" s="25" t="s">
        <v>14309</v>
      </c>
      <c r="E106" s="258" t="s">
        <v>14310</v>
      </c>
      <c r="F106" s="25" t="s">
        <v>14311</v>
      </c>
      <c r="G106" s="25" t="s">
        <v>5516</v>
      </c>
      <c r="H106" s="25" t="s">
        <v>11489</v>
      </c>
      <c r="I106" s="26" t="s">
        <v>4402</v>
      </c>
      <c r="J106" s="25" t="s">
        <v>13592</v>
      </c>
      <c r="K106" s="25">
        <v>9.1999999999999993</v>
      </c>
      <c r="L106" s="26" t="s">
        <v>73</v>
      </c>
      <c r="M106" s="26" t="s">
        <v>14312</v>
      </c>
      <c r="N106" s="26" t="s">
        <v>14313</v>
      </c>
      <c r="O106" s="27" t="s">
        <v>14314</v>
      </c>
      <c r="P106" s="28"/>
      <c r="Q106" s="29">
        <v>4</v>
      </c>
      <c r="R106" s="29">
        <v>16</v>
      </c>
      <c r="S106" s="29">
        <v>266.33999999999997</v>
      </c>
      <c r="T106" s="26" t="s">
        <v>146</v>
      </c>
      <c r="U106" s="30" t="s">
        <v>78</v>
      </c>
      <c r="V106" s="26" t="s">
        <v>129</v>
      </c>
      <c r="W106" s="38" t="s">
        <v>3656</v>
      </c>
      <c r="X106" s="26" t="s">
        <v>131</v>
      </c>
      <c r="Y106" s="26" t="s">
        <v>91</v>
      </c>
      <c r="Z106" s="26" t="s">
        <v>91</v>
      </c>
      <c r="AA106" s="26"/>
      <c r="AB106" s="31" t="s">
        <v>19</v>
      </c>
      <c r="AC106" s="30" t="s">
        <v>172</v>
      </c>
      <c r="AD106" s="25" t="s">
        <v>173</v>
      </c>
      <c r="AE106" s="25" t="s">
        <v>174</v>
      </c>
      <c r="AF106" s="26" t="s">
        <v>175</v>
      </c>
      <c r="AG106" s="32">
        <v>1</v>
      </c>
      <c r="AH106" s="32"/>
      <c r="AI106" s="32"/>
      <c r="AJ106" s="32"/>
      <c r="AK106" s="30"/>
      <c r="AL106" s="32">
        <f t="shared" si="3"/>
        <v>0</v>
      </c>
      <c r="AM106" s="30"/>
      <c r="AN106" s="32"/>
      <c r="AO106" s="32"/>
      <c r="AP106" s="32"/>
      <c r="AQ106" s="32"/>
      <c r="AR106" s="32"/>
      <c r="AS106" s="32"/>
      <c r="AT106" s="32"/>
      <c r="AU106" s="30"/>
      <c r="AV106" s="30"/>
      <c r="AW106" s="30"/>
      <c r="AX106" s="30"/>
      <c r="AY106" s="30"/>
    </row>
    <row r="107" spans="1:51">
      <c r="A107" s="25" t="s">
        <v>14315</v>
      </c>
      <c r="B107" s="25" t="s">
        <v>4398</v>
      </c>
      <c r="C107" s="25" t="s">
        <v>68</v>
      </c>
      <c r="D107" s="25" t="s">
        <v>14316</v>
      </c>
      <c r="E107" s="258" t="s">
        <v>14317</v>
      </c>
      <c r="F107" s="25" t="s">
        <v>14318</v>
      </c>
      <c r="G107" s="25" t="s">
        <v>5516</v>
      </c>
      <c r="H107" s="25" t="s">
        <v>11489</v>
      </c>
      <c r="I107" s="26" t="s">
        <v>4402</v>
      </c>
      <c r="J107" s="25" t="s">
        <v>13592</v>
      </c>
      <c r="K107" s="25">
        <v>9.1999999999999993</v>
      </c>
      <c r="L107" s="26" t="s">
        <v>73</v>
      </c>
      <c r="M107" s="26" t="s">
        <v>14319</v>
      </c>
      <c r="N107" s="26" t="s">
        <v>14320</v>
      </c>
      <c r="O107" s="27" t="s">
        <v>14321</v>
      </c>
      <c r="P107" s="28"/>
      <c r="Q107" s="29">
        <v>4</v>
      </c>
      <c r="R107" s="29">
        <v>16</v>
      </c>
      <c r="S107" s="29">
        <v>266.18</v>
      </c>
      <c r="T107" s="26" t="s">
        <v>146</v>
      </c>
      <c r="U107" s="30" t="s">
        <v>78</v>
      </c>
      <c r="V107" s="26" t="s">
        <v>129</v>
      </c>
      <c r="W107" s="38" t="s">
        <v>3656</v>
      </c>
      <c r="X107" s="26" t="s">
        <v>131</v>
      </c>
      <c r="Y107" s="26" t="s">
        <v>91</v>
      </c>
      <c r="Z107" s="26" t="s">
        <v>91</v>
      </c>
      <c r="AA107" s="26"/>
      <c r="AB107" s="31" t="s">
        <v>19</v>
      </c>
      <c r="AC107" s="30" t="s">
        <v>172</v>
      </c>
      <c r="AD107" s="25" t="s">
        <v>173</v>
      </c>
      <c r="AE107" s="25" t="s">
        <v>174</v>
      </c>
      <c r="AF107" s="26" t="s">
        <v>175</v>
      </c>
      <c r="AG107" s="32">
        <v>1</v>
      </c>
      <c r="AH107" s="32"/>
      <c r="AI107" s="32"/>
      <c r="AJ107" s="32"/>
      <c r="AK107" s="30"/>
      <c r="AL107" s="32">
        <f t="shared" si="3"/>
        <v>0</v>
      </c>
      <c r="AM107" s="30"/>
      <c r="AN107" s="32"/>
      <c r="AO107" s="32"/>
      <c r="AP107" s="32"/>
      <c r="AQ107" s="32"/>
      <c r="AR107" s="32"/>
      <c r="AS107" s="25"/>
      <c r="AT107" s="25"/>
      <c r="AU107" s="30"/>
      <c r="AV107" s="30"/>
      <c r="AW107" s="39"/>
      <c r="AX107" s="30"/>
      <c r="AY107" s="30"/>
    </row>
    <row r="108" spans="1:51">
      <c r="A108" s="25" t="s">
        <v>14322</v>
      </c>
      <c r="B108" s="25" t="s">
        <v>4398</v>
      </c>
      <c r="C108" s="25" t="s">
        <v>68</v>
      </c>
      <c r="D108" s="25" t="s">
        <v>14323</v>
      </c>
      <c r="E108" s="258" t="s">
        <v>14324</v>
      </c>
      <c r="F108" s="25" t="s">
        <v>8777</v>
      </c>
      <c r="G108" s="25" t="s">
        <v>5516</v>
      </c>
      <c r="H108" s="25" t="s">
        <v>11489</v>
      </c>
      <c r="I108" s="26" t="s">
        <v>4402</v>
      </c>
      <c r="J108" s="25" t="s">
        <v>13592</v>
      </c>
      <c r="K108" s="25">
        <v>9.1999999999999993</v>
      </c>
      <c r="L108" s="26" t="s">
        <v>73</v>
      </c>
      <c r="M108" s="26" t="s">
        <v>14325</v>
      </c>
      <c r="N108" s="26" t="s">
        <v>14326</v>
      </c>
      <c r="O108" s="27" t="s">
        <v>14327</v>
      </c>
      <c r="P108" s="28"/>
      <c r="Q108" s="29">
        <v>4</v>
      </c>
      <c r="R108" s="29">
        <v>16</v>
      </c>
      <c r="S108" s="29">
        <v>566.38</v>
      </c>
      <c r="T108" s="26" t="s">
        <v>146</v>
      </c>
      <c r="U108" s="30" t="s">
        <v>78</v>
      </c>
      <c r="V108" s="26" t="s">
        <v>129</v>
      </c>
      <c r="W108" s="38" t="s">
        <v>3656</v>
      </c>
      <c r="X108" s="26" t="s">
        <v>131</v>
      </c>
      <c r="Y108" s="26" t="s">
        <v>91</v>
      </c>
      <c r="Z108" s="26" t="s">
        <v>91</v>
      </c>
      <c r="AA108" s="26"/>
      <c r="AB108" s="31" t="s">
        <v>19</v>
      </c>
      <c r="AC108" s="30" t="s">
        <v>172</v>
      </c>
      <c r="AD108" s="25" t="s">
        <v>173</v>
      </c>
      <c r="AE108" s="25" t="s">
        <v>174</v>
      </c>
      <c r="AF108" s="26" t="s">
        <v>175</v>
      </c>
      <c r="AG108" s="32">
        <v>1</v>
      </c>
      <c r="AH108" s="32"/>
      <c r="AI108" s="32"/>
      <c r="AJ108" s="32"/>
      <c r="AK108" s="30"/>
      <c r="AL108" s="32">
        <f t="shared" si="3"/>
        <v>0</v>
      </c>
      <c r="AM108" s="30"/>
      <c r="AN108" s="32"/>
      <c r="AO108" s="32"/>
      <c r="AP108" s="32"/>
      <c r="AQ108" s="32"/>
      <c r="AR108" s="32"/>
      <c r="AS108" s="32"/>
      <c r="AT108" s="32"/>
      <c r="AU108" s="30"/>
      <c r="AV108" s="30"/>
      <c r="AW108" s="30"/>
      <c r="AX108" s="30"/>
      <c r="AY108" s="30"/>
    </row>
    <row r="109" spans="1:51">
      <c r="A109" s="25" t="s">
        <v>14328</v>
      </c>
      <c r="B109" s="25" t="s">
        <v>4398</v>
      </c>
      <c r="C109" s="25" t="s">
        <v>68</v>
      </c>
      <c r="D109" s="25" t="s">
        <v>14329</v>
      </c>
      <c r="E109" s="258" t="s">
        <v>14330</v>
      </c>
      <c r="F109" s="25" t="s">
        <v>14331</v>
      </c>
      <c r="G109" s="25" t="s">
        <v>5516</v>
      </c>
      <c r="H109" s="25" t="s">
        <v>11489</v>
      </c>
      <c r="I109" s="26" t="s">
        <v>4402</v>
      </c>
      <c r="J109" s="25" t="s">
        <v>13592</v>
      </c>
      <c r="K109" s="25">
        <v>9.1999999999999993</v>
      </c>
      <c r="L109" s="26" t="s">
        <v>73</v>
      </c>
      <c r="M109" s="26" t="s">
        <v>14332</v>
      </c>
      <c r="N109" s="26" t="s">
        <v>14333</v>
      </c>
      <c r="O109" s="27" t="s">
        <v>14334</v>
      </c>
      <c r="P109" s="28"/>
      <c r="Q109" s="29">
        <v>4</v>
      </c>
      <c r="R109" s="29">
        <v>16</v>
      </c>
      <c r="S109" s="29">
        <v>266.86</v>
      </c>
      <c r="T109" s="26" t="s">
        <v>146</v>
      </c>
      <c r="U109" s="30" t="s">
        <v>78</v>
      </c>
      <c r="V109" s="26" t="s">
        <v>129</v>
      </c>
      <c r="W109" s="38" t="s">
        <v>3656</v>
      </c>
      <c r="X109" s="26" t="s">
        <v>131</v>
      </c>
      <c r="Y109" s="26" t="s">
        <v>91</v>
      </c>
      <c r="Z109" s="26" t="s">
        <v>91</v>
      </c>
      <c r="AA109" s="26"/>
      <c r="AB109" s="31" t="s">
        <v>19</v>
      </c>
      <c r="AC109" s="30" t="s">
        <v>172</v>
      </c>
      <c r="AD109" s="25" t="s">
        <v>173</v>
      </c>
      <c r="AE109" s="25" t="s">
        <v>174</v>
      </c>
      <c r="AF109" s="26" t="s">
        <v>175</v>
      </c>
      <c r="AG109" s="32">
        <v>1</v>
      </c>
      <c r="AH109" s="32"/>
      <c r="AI109" s="32"/>
      <c r="AJ109" s="32"/>
      <c r="AK109" s="30"/>
      <c r="AL109" s="32">
        <f t="shared" si="3"/>
        <v>0</v>
      </c>
      <c r="AM109" s="30"/>
      <c r="AN109" s="32"/>
      <c r="AO109" s="32"/>
      <c r="AP109" s="32"/>
      <c r="AQ109" s="32"/>
      <c r="AR109" s="32"/>
      <c r="AS109" s="32"/>
      <c r="AT109" s="32"/>
      <c r="AU109" s="30"/>
      <c r="AV109" s="30"/>
      <c r="AW109" s="30"/>
      <c r="AX109" s="30"/>
      <c r="AY109" s="30"/>
    </row>
    <row r="110" spans="1:51">
      <c r="A110" s="25" t="s">
        <v>14335</v>
      </c>
      <c r="B110" s="25" t="s">
        <v>4398</v>
      </c>
      <c r="C110" s="25" t="s">
        <v>68</v>
      </c>
      <c r="D110" s="25" t="s">
        <v>14336</v>
      </c>
      <c r="E110" s="258" t="s">
        <v>14337</v>
      </c>
      <c r="F110" s="25" t="s">
        <v>14338</v>
      </c>
      <c r="G110" s="25" t="s">
        <v>5516</v>
      </c>
      <c r="H110" s="25" t="s">
        <v>11489</v>
      </c>
      <c r="I110" s="26" t="s">
        <v>4402</v>
      </c>
      <c r="J110" s="25" t="s">
        <v>13592</v>
      </c>
      <c r="K110" s="25">
        <v>9.1999999999999993</v>
      </c>
      <c r="L110" s="26" t="s">
        <v>73</v>
      </c>
      <c r="M110" s="26" t="s">
        <v>14339</v>
      </c>
      <c r="N110" s="26" t="s">
        <v>14340</v>
      </c>
      <c r="O110" s="27" t="s">
        <v>14341</v>
      </c>
      <c r="P110" s="28"/>
      <c r="Q110" s="29">
        <v>4</v>
      </c>
      <c r="R110" s="29">
        <v>16</v>
      </c>
      <c r="S110" s="29">
        <v>266.42</v>
      </c>
      <c r="T110" s="26" t="s">
        <v>146</v>
      </c>
      <c r="U110" s="30" t="s">
        <v>78</v>
      </c>
      <c r="V110" s="26" t="s">
        <v>129</v>
      </c>
      <c r="W110" s="38" t="s">
        <v>3656</v>
      </c>
      <c r="X110" s="26" t="s">
        <v>131</v>
      </c>
      <c r="Y110" s="26" t="s">
        <v>91</v>
      </c>
      <c r="Z110" s="26" t="s">
        <v>91</v>
      </c>
      <c r="AA110" s="26"/>
      <c r="AB110" s="31" t="s">
        <v>19</v>
      </c>
      <c r="AC110" s="30" t="s">
        <v>172</v>
      </c>
      <c r="AD110" s="25" t="s">
        <v>173</v>
      </c>
      <c r="AE110" s="25" t="s">
        <v>174</v>
      </c>
      <c r="AF110" s="26" t="s">
        <v>175</v>
      </c>
      <c r="AG110" s="32">
        <v>1</v>
      </c>
      <c r="AH110" s="32"/>
      <c r="AI110" s="32"/>
      <c r="AJ110" s="32"/>
      <c r="AK110" s="30"/>
      <c r="AL110" s="32">
        <f t="shared" si="3"/>
        <v>0</v>
      </c>
      <c r="AM110" s="30"/>
      <c r="AN110" s="32"/>
      <c r="AO110" s="32"/>
      <c r="AP110" s="32"/>
      <c r="AQ110" s="32"/>
      <c r="AR110" s="32"/>
      <c r="AS110" s="32"/>
      <c r="AT110" s="32"/>
      <c r="AU110" s="30"/>
      <c r="AV110" s="30"/>
      <c r="AW110" s="30"/>
      <c r="AX110" s="30"/>
      <c r="AY110" s="30"/>
    </row>
    <row r="111" spans="1:51">
      <c r="A111" s="25" t="s">
        <v>14342</v>
      </c>
      <c r="B111" s="25" t="s">
        <v>4398</v>
      </c>
      <c r="C111" s="25" t="s">
        <v>68</v>
      </c>
      <c r="D111" s="25" t="s">
        <v>14343</v>
      </c>
      <c r="E111" s="258" t="s">
        <v>14344</v>
      </c>
      <c r="F111" s="25" t="s">
        <v>14345</v>
      </c>
      <c r="G111" s="25" t="s">
        <v>5516</v>
      </c>
      <c r="H111" s="25" t="s">
        <v>11489</v>
      </c>
      <c r="I111" s="26" t="s">
        <v>4402</v>
      </c>
      <c r="J111" s="25" t="s">
        <v>13592</v>
      </c>
      <c r="K111" s="25">
        <v>9.1999999999999993</v>
      </c>
      <c r="L111" s="26" t="s">
        <v>73</v>
      </c>
      <c r="M111" s="26" t="s">
        <v>14346</v>
      </c>
      <c r="N111" s="26" t="s">
        <v>14347</v>
      </c>
      <c r="O111" s="27" t="s">
        <v>14348</v>
      </c>
      <c r="P111" s="28"/>
      <c r="Q111" s="29">
        <v>4</v>
      </c>
      <c r="R111" s="29">
        <v>16</v>
      </c>
      <c r="S111" s="29">
        <v>267.56</v>
      </c>
      <c r="T111" s="26" t="s">
        <v>146</v>
      </c>
      <c r="U111" s="30" t="s">
        <v>78</v>
      </c>
      <c r="V111" s="26" t="s">
        <v>129</v>
      </c>
      <c r="W111" s="38" t="s">
        <v>3656</v>
      </c>
      <c r="X111" s="26" t="s">
        <v>131</v>
      </c>
      <c r="Y111" s="26" t="s">
        <v>91</v>
      </c>
      <c r="Z111" s="26" t="s">
        <v>91</v>
      </c>
      <c r="AA111" s="26"/>
      <c r="AB111" s="31" t="s">
        <v>19</v>
      </c>
      <c r="AC111" s="30" t="s">
        <v>172</v>
      </c>
      <c r="AD111" s="25" t="s">
        <v>173</v>
      </c>
      <c r="AE111" s="25" t="s">
        <v>174</v>
      </c>
      <c r="AF111" s="26" t="s">
        <v>175</v>
      </c>
      <c r="AG111" s="32">
        <v>1</v>
      </c>
      <c r="AH111" s="32"/>
      <c r="AI111" s="32"/>
      <c r="AJ111" s="32"/>
      <c r="AK111" s="30"/>
      <c r="AL111" s="32">
        <f t="shared" si="3"/>
        <v>0</v>
      </c>
      <c r="AM111" s="30"/>
      <c r="AN111" s="32"/>
      <c r="AO111" s="32"/>
      <c r="AP111" s="32"/>
      <c r="AQ111" s="32"/>
      <c r="AR111" s="32"/>
      <c r="AS111" s="32"/>
      <c r="AT111" s="32"/>
      <c r="AU111" s="30"/>
      <c r="AV111" s="30"/>
      <c r="AW111" s="30"/>
      <c r="AX111" s="30"/>
      <c r="AY111" s="30"/>
    </row>
    <row r="112" spans="1:51">
      <c r="A112" s="25" t="s">
        <v>14349</v>
      </c>
      <c r="B112" s="25" t="s">
        <v>4398</v>
      </c>
      <c r="C112" s="25" t="s">
        <v>68</v>
      </c>
      <c r="D112" s="25" t="s">
        <v>14350</v>
      </c>
      <c r="E112" s="258" t="s">
        <v>14351</v>
      </c>
      <c r="F112" s="25" t="s">
        <v>8834</v>
      </c>
      <c r="G112" s="25" t="s">
        <v>5516</v>
      </c>
      <c r="H112" s="25" t="s">
        <v>11489</v>
      </c>
      <c r="I112" s="26" t="s">
        <v>4402</v>
      </c>
      <c r="J112" s="25" t="s">
        <v>13592</v>
      </c>
      <c r="K112" s="25">
        <v>9.1999999999999993</v>
      </c>
      <c r="L112" s="26" t="s">
        <v>73</v>
      </c>
      <c r="M112" s="26" t="s">
        <v>14352</v>
      </c>
      <c r="N112" s="26" t="s">
        <v>14353</v>
      </c>
      <c r="O112" s="27" t="s">
        <v>14354</v>
      </c>
      <c r="P112" s="28"/>
      <c r="Q112" s="29">
        <v>4</v>
      </c>
      <c r="R112" s="29">
        <v>16</v>
      </c>
      <c r="S112" s="29">
        <v>316.13</v>
      </c>
      <c r="T112" s="26" t="s">
        <v>146</v>
      </c>
      <c r="U112" s="30" t="s">
        <v>78</v>
      </c>
      <c r="V112" s="26" t="s">
        <v>129</v>
      </c>
      <c r="W112" s="38" t="s">
        <v>3656</v>
      </c>
      <c r="X112" s="26" t="s">
        <v>131</v>
      </c>
      <c r="Y112" s="26" t="s">
        <v>91</v>
      </c>
      <c r="Z112" s="26" t="s">
        <v>91</v>
      </c>
      <c r="AA112" s="26"/>
      <c r="AB112" s="31" t="s">
        <v>19</v>
      </c>
      <c r="AC112" s="30" t="s">
        <v>172</v>
      </c>
      <c r="AD112" s="25" t="s">
        <v>173</v>
      </c>
      <c r="AE112" s="25" t="s">
        <v>174</v>
      </c>
      <c r="AF112" s="26" t="s">
        <v>175</v>
      </c>
      <c r="AG112" s="32">
        <v>1</v>
      </c>
      <c r="AH112" s="32"/>
      <c r="AI112" s="32"/>
      <c r="AJ112" s="32"/>
      <c r="AK112" s="30"/>
      <c r="AL112" s="32">
        <f t="shared" si="3"/>
        <v>0</v>
      </c>
      <c r="AM112" s="30"/>
      <c r="AN112" s="32"/>
      <c r="AO112" s="32"/>
      <c r="AP112" s="32"/>
      <c r="AQ112" s="32"/>
      <c r="AR112" s="32"/>
      <c r="AS112" s="32"/>
      <c r="AT112" s="32"/>
      <c r="AU112" s="30"/>
      <c r="AV112" s="30"/>
      <c r="AW112" s="30"/>
      <c r="AX112" s="30"/>
      <c r="AY112" s="30"/>
    </row>
    <row r="113" spans="1:51">
      <c r="A113" s="25" t="s">
        <v>14355</v>
      </c>
      <c r="B113" s="25" t="s">
        <v>4398</v>
      </c>
      <c r="C113" s="25" t="s">
        <v>68</v>
      </c>
      <c r="D113" s="25" t="s">
        <v>14356</v>
      </c>
      <c r="E113" s="258" t="s">
        <v>14357</v>
      </c>
      <c r="F113" s="25" t="s">
        <v>14358</v>
      </c>
      <c r="G113" s="25" t="s">
        <v>5516</v>
      </c>
      <c r="H113" s="25" t="s">
        <v>11489</v>
      </c>
      <c r="I113" s="26" t="s">
        <v>4402</v>
      </c>
      <c r="J113" s="25" t="s">
        <v>13592</v>
      </c>
      <c r="K113" s="25">
        <v>9.1999999999999993</v>
      </c>
      <c r="L113" s="26" t="s">
        <v>73</v>
      </c>
      <c r="M113" s="26" t="s">
        <v>14359</v>
      </c>
      <c r="N113" s="26" t="s">
        <v>14360</v>
      </c>
      <c r="O113" s="27" t="s">
        <v>14361</v>
      </c>
      <c r="P113" s="28"/>
      <c r="Q113" s="29">
        <v>4</v>
      </c>
      <c r="R113" s="29">
        <v>16</v>
      </c>
      <c r="S113" s="29">
        <v>266.56</v>
      </c>
      <c r="T113" s="26" t="s">
        <v>146</v>
      </c>
      <c r="U113" s="30" t="s">
        <v>78</v>
      </c>
      <c r="V113" s="26" t="s">
        <v>129</v>
      </c>
      <c r="W113" s="38" t="s">
        <v>3656</v>
      </c>
      <c r="X113" s="26" t="s">
        <v>131</v>
      </c>
      <c r="Y113" s="26" t="s">
        <v>91</v>
      </c>
      <c r="Z113" s="26" t="s">
        <v>91</v>
      </c>
      <c r="AA113" s="26"/>
      <c r="AB113" s="31" t="s">
        <v>19</v>
      </c>
      <c r="AC113" s="30" t="s">
        <v>172</v>
      </c>
      <c r="AD113" s="25" t="s">
        <v>173</v>
      </c>
      <c r="AE113" s="25" t="s">
        <v>174</v>
      </c>
      <c r="AF113" s="26" t="s">
        <v>175</v>
      </c>
      <c r="AG113" s="32">
        <v>1</v>
      </c>
      <c r="AH113" s="32"/>
      <c r="AI113" s="32"/>
      <c r="AJ113" s="32"/>
      <c r="AK113" s="30"/>
      <c r="AL113" s="32">
        <f t="shared" si="3"/>
        <v>0</v>
      </c>
      <c r="AM113" s="30"/>
      <c r="AN113" s="32"/>
      <c r="AO113" s="32"/>
      <c r="AP113" s="32"/>
      <c r="AQ113" s="32"/>
      <c r="AR113" s="32"/>
      <c r="AS113" s="32"/>
      <c r="AT113" s="32"/>
      <c r="AU113" s="30"/>
      <c r="AV113" s="30"/>
      <c r="AW113" s="30"/>
      <c r="AX113" s="30"/>
      <c r="AY113" s="30"/>
    </row>
    <row r="114" spans="1:51">
      <c r="A114" s="25" t="s">
        <v>14362</v>
      </c>
      <c r="B114" s="25" t="s">
        <v>4398</v>
      </c>
      <c r="C114" s="25" t="s">
        <v>68</v>
      </c>
      <c r="D114" s="25" t="s">
        <v>14363</v>
      </c>
      <c r="E114" s="258" t="s">
        <v>14364</v>
      </c>
      <c r="F114" s="25" t="s">
        <v>14365</v>
      </c>
      <c r="G114" s="25" t="s">
        <v>5516</v>
      </c>
      <c r="H114" s="25" t="s">
        <v>11489</v>
      </c>
      <c r="I114" s="26" t="s">
        <v>4402</v>
      </c>
      <c r="J114" s="25" t="s">
        <v>13592</v>
      </c>
      <c r="K114" s="25">
        <v>9.1999999999999993</v>
      </c>
      <c r="L114" s="26" t="s">
        <v>73</v>
      </c>
      <c r="M114" s="26" t="s">
        <v>14366</v>
      </c>
      <c r="N114" s="26" t="s">
        <v>14367</v>
      </c>
      <c r="O114" s="27" t="s">
        <v>14368</v>
      </c>
      <c r="P114" s="28"/>
      <c r="Q114" s="29">
        <v>4</v>
      </c>
      <c r="R114" s="29">
        <v>16</v>
      </c>
      <c r="S114" s="29">
        <v>416.12</v>
      </c>
      <c r="T114" s="26" t="s">
        <v>146</v>
      </c>
      <c r="U114" s="30" t="s">
        <v>78</v>
      </c>
      <c r="V114" s="26" t="s">
        <v>129</v>
      </c>
      <c r="W114" s="38" t="s">
        <v>3656</v>
      </c>
      <c r="X114" s="26" t="s">
        <v>131</v>
      </c>
      <c r="Y114" s="26" t="s">
        <v>91</v>
      </c>
      <c r="Z114" s="26" t="s">
        <v>91</v>
      </c>
      <c r="AA114" s="26"/>
      <c r="AB114" s="31" t="s">
        <v>19</v>
      </c>
      <c r="AC114" s="30" t="s">
        <v>172</v>
      </c>
      <c r="AD114" s="25" t="s">
        <v>173</v>
      </c>
      <c r="AE114" s="25" t="s">
        <v>174</v>
      </c>
      <c r="AF114" s="26" t="s">
        <v>175</v>
      </c>
      <c r="AG114" s="32">
        <v>1</v>
      </c>
      <c r="AH114" s="32"/>
      <c r="AI114" s="32"/>
      <c r="AJ114" s="32"/>
      <c r="AK114" s="30"/>
      <c r="AL114" s="32">
        <f t="shared" si="3"/>
        <v>0</v>
      </c>
      <c r="AM114" s="30"/>
      <c r="AN114" s="32"/>
      <c r="AO114" s="32"/>
      <c r="AP114" s="32"/>
      <c r="AQ114" s="32"/>
      <c r="AR114" s="32"/>
      <c r="AS114" s="32"/>
      <c r="AT114" s="32"/>
      <c r="AU114" s="30"/>
      <c r="AV114" s="30"/>
      <c r="AW114" s="30"/>
      <c r="AX114" s="30"/>
      <c r="AY114" s="30"/>
    </row>
    <row r="115" spans="1:51">
      <c r="A115" s="25" t="s">
        <v>14369</v>
      </c>
      <c r="B115" s="25" t="s">
        <v>4398</v>
      </c>
      <c r="C115" s="25" t="s">
        <v>68</v>
      </c>
      <c r="D115" s="25" t="s">
        <v>14370</v>
      </c>
      <c r="E115" s="258" t="s">
        <v>14371</v>
      </c>
      <c r="F115" s="25" t="s">
        <v>14372</v>
      </c>
      <c r="G115" s="25" t="s">
        <v>5516</v>
      </c>
      <c r="H115" s="25" t="s">
        <v>11489</v>
      </c>
      <c r="I115" s="26" t="s">
        <v>4402</v>
      </c>
      <c r="J115" s="25" t="s">
        <v>13592</v>
      </c>
      <c r="K115" s="25" t="s">
        <v>11500</v>
      </c>
      <c r="L115" s="26" t="s">
        <v>73</v>
      </c>
      <c r="M115" s="26" t="s">
        <v>14373</v>
      </c>
      <c r="N115" s="26" t="s">
        <v>14374</v>
      </c>
      <c r="O115" s="33" t="s">
        <v>14375</v>
      </c>
      <c r="P115" s="28" t="s">
        <v>11500</v>
      </c>
      <c r="Q115" s="29">
        <v>4</v>
      </c>
      <c r="R115" s="29">
        <v>16</v>
      </c>
      <c r="S115" s="29">
        <v>286.85000000000002</v>
      </c>
      <c r="T115" s="30"/>
      <c r="U115" s="30"/>
      <c r="V115" s="30"/>
      <c r="W115" s="38"/>
      <c r="X115" s="26"/>
      <c r="Y115" s="26"/>
      <c r="Z115" s="26"/>
      <c r="AA115" s="26"/>
      <c r="AB115" s="31"/>
      <c r="AC115" s="30" t="s">
        <v>172</v>
      </c>
      <c r="AD115" s="25" t="s">
        <v>173</v>
      </c>
      <c r="AE115" s="25" t="s">
        <v>174</v>
      </c>
      <c r="AF115" s="26" t="s">
        <v>175</v>
      </c>
      <c r="AG115" s="32"/>
      <c r="AH115" s="32"/>
      <c r="AI115" s="32"/>
      <c r="AJ115" s="32"/>
      <c r="AK115" s="30"/>
      <c r="AL115" s="32">
        <f t="shared" si="3"/>
        <v>0</v>
      </c>
      <c r="AM115" s="30"/>
      <c r="AN115" s="32"/>
      <c r="AO115" s="32"/>
      <c r="AP115" s="32"/>
      <c r="AQ115" s="32"/>
      <c r="AR115" s="32"/>
      <c r="AS115" s="32"/>
      <c r="AT115" s="32"/>
      <c r="AU115" s="30"/>
      <c r="AV115" s="30"/>
      <c r="AW115" s="30"/>
      <c r="AX115" s="30"/>
      <c r="AY115" s="30"/>
    </row>
    <row r="116" spans="1:51">
      <c r="A116" s="25" t="s">
        <v>14376</v>
      </c>
      <c r="B116" s="25" t="s">
        <v>4398</v>
      </c>
      <c r="C116" s="25" t="s">
        <v>68</v>
      </c>
      <c r="D116" s="25" t="s">
        <v>14377</v>
      </c>
      <c r="E116" s="258" t="s">
        <v>14378</v>
      </c>
      <c r="F116" s="25" t="s">
        <v>14379</v>
      </c>
      <c r="G116" s="25" t="s">
        <v>5516</v>
      </c>
      <c r="H116" s="25" t="s">
        <v>11489</v>
      </c>
      <c r="I116" s="26" t="s">
        <v>4402</v>
      </c>
      <c r="J116" s="25" t="s">
        <v>13592</v>
      </c>
      <c r="K116" s="25" t="s">
        <v>11500</v>
      </c>
      <c r="L116" s="26" t="s">
        <v>73</v>
      </c>
      <c r="M116" s="26" t="s">
        <v>14380</v>
      </c>
      <c r="N116" s="26" t="s">
        <v>14381</v>
      </c>
      <c r="O116" s="33" t="s">
        <v>14382</v>
      </c>
      <c r="P116" s="28" t="s">
        <v>11500</v>
      </c>
      <c r="Q116" s="29">
        <v>4</v>
      </c>
      <c r="R116" s="29">
        <v>16</v>
      </c>
      <c r="S116" s="29">
        <v>266.82</v>
      </c>
      <c r="T116" s="30"/>
      <c r="U116" s="30"/>
      <c r="V116" s="30"/>
      <c r="W116" s="38"/>
      <c r="X116" s="26"/>
      <c r="Y116" s="26"/>
      <c r="Z116" s="26"/>
      <c r="AA116" s="26"/>
      <c r="AB116" s="31"/>
      <c r="AC116" s="30" t="s">
        <v>172</v>
      </c>
      <c r="AD116" s="25" t="s">
        <v>173</v>
      </c>
      <c r="AE116" s="25" t="s">
        <v>174</v>
      </c>
      <c r="AF116" s="26" t="s">
        <v>175</v>
      </c>
      <c r="AG116" s="32"/>
      <c r="AH116" s="32"/>
      <c r="AI116" s="32"/>
      <c r="AJ116" s="32"/>
      <c r="AK116" s="30"/>
      <c r="AL116" s="32">
        <f t="shared" si="3"/>
        <v>0</v>
      </c>
      <c r="AM116" s="30"/>
      <c r="AN116" s="32"/>
      <c r="AO116" s="32"/>
      <c r="AP116" s="32"/>
      <c r="AQ116" s="32"/>
      <c r="AR116" s="32"/>
      <c r="AS116" s="32"/>
      <c r="AT116" s="32"/>
      <c r="AU116" s="30"/>
      <c r="AV116" s="30"/>
      <c r="AW116" s="30"/>
      <c r="AX116" s="30"/>
      <c r="AY116" s="30"/>
    </row>
    <row r="117" spans="1:51">
      <c r="A117" s="25" t="s">
        <v>14383</v>
      </c>
      <c r="B117" s="25" t="s">
        <v>4398</v>
      </c>
      <c r="C117" s="25" t="s">
        <v>68</v>
      </c>
      <c r="D117" s="25" t="s">
        <v>14384</v>
      </c>
      <c r="E117" s="258" t="s">
        <v>14385</v>
      </c>
      <c r="F117" s="25" t="s">
        <v>14386</v>
      </c>
      <c r="G117" s="25" t="s">
        <v>5516</v>
      </c>
      <c r="H117" s="25" t="s">
        <v>11489</v>
      </c>
      <c r="I117" s="26" t="s">
        <v>4402</v>
      </c>
      <c r="J117" s="25" t="s">
        <v>13592</v>
      </c>
      <c r="K117" s="25">
        <v>9.1999999999999993</v>
      </c>
      <c r="L117" s="26" t="s">
        <v>73</v>
      </c>
      <c r="M117" s="26" t="s">
        <v>14387</v>
      </c>
      <c r="N117" s="26" t="s">
        <v>14388</v>
      </c>
      <c r="O117" s="27" t="s">
        <v>14389</v>
      </c>
      <c r="P117" s="28"/>
      <c r="Q117" s="29">
        <v>4</v>
      </c>
      <c r="R117" s="29">
        <v>16</v>
      </c>
      <c r="S117" s="29">
        <v>267.13</v>
      </c>
      <c r="T117" s="26" t="s">
        <v>146</v>
      </c>
      <c r="U117" s="30" t="s">
        <v>78</v>
      </c>
      <c r="V117" s="26" t="s">
        <v>129</v>
      </c>
      <c r="W117" s="38" t="s">
        <v>3656</v>
      </c>
      <c r="X117" s="26" t="s">
        <v>131</v>
      </c>
      <c r="Y117" s="26" t="s">
        <v>91</v>
      </c>
      <c r="Z117" s="26" t="s">
        <v>91</v>
      </c>
      <c r="AA117" s="26"/>
      <c r="AB117" s="31" t="s">
        <v>19</v>
      </c>
      <c r="AC117" s="30" t="s">
        <v>172</v>
      </c>
      <c r="AD117" s="25" t="s">
        <v>173</v>
      </c>
      <c r="AE117" s="25" t="s">
        <v>174</v>
      </c>
      <c r="AF117" s="26" t="s">
        <v>175</v>
      </c>
      <c r="AG117" s="32">
        <v>1</v>
      </c>
      <c r="AH117" s="32"/>
      <c r="AI117" s="32"/>
      <c r="AJ117" s="32"/>
      <c r="AK117" s="30"/>
      <c r="AL117" s="32">
        <f t="shared" si="3"/>
        <v>0</v>
      </c>
      <c r="AM117" s="30"/>
      <c r="AN117" s="32"/>
      <c r="AO117" s="32"/>
      <c r="AP117" s="32"/>
      <c r="AQ117" s="32"/>
      <c r="AR117" s="32"/>
      <c r="AS117" s="32"/>
      <c r="AT117" s="32"/>
      <c r="AU117" s="30"/>
      <c r="AV117" s="30"/>
      <c r="AW117" s="30"/>
      <c r="AX117" s="30"/>
      <c r="AY117" s="30"/>
    </row>
    <row r="118" spans="1:51">
      <c r="A118" s="25" t="s">
        <v>14390</v>
      </c>
      <c r="B118" s="25" t="s">
        <v>4398</v>
      </c>
      <c r="C118" s="25" t="s">
        <v>68</v>
      </c>
      <c r="D118" s="25" t="s">
        <v>14391</v>
      </c>
      <c r="E118" s="258" t="s">
        <v>14392</v>
      </c>
      <c r="F118" s="25" t="s">
        <v>14393</v>
      </c>
      <c r="G118" s="25" t="s">
        <v>5516</v>
      </c>
      <c r="H118" s="25" t="s">
        <v>11489</v>
      </c>
      <c r="I118" s="26" t="s">
        <v>4402</v>
      </c>
      <c r="J118" s="25" t="s">
        <v>13592</v>
      </c>
      <c r="K118" s="25" t="s">
        <v>11500</v>
      </c>
      <c r="L118" s="26" t="s">
        <v>73</v>
      </c>
      <c r="M118" s="26" t="s">
        <v>14394</v>
      </c>
      <c r="N118" s="26" t="s">
        <v>14395</v>
      </c>
      <c r="O118" s="33" t="s">
        <v>14396</v>
      </c>
      <c r="P118" s="28" t="s">
        <v>11500</v>
      </c>
      <c r="Q118" s="29">
        <v>4</v>
      </c>
      <c r="R118" s="29">
        <v>16</v>
      </c>
      <c r="S118" s="29">
        <v>367.42</v>
      </c>
      <c r="T118" s="30"/>
      <c r="U118" s="30"/>
      <c r="V118" s="30"/>
      <c r="W118" s="38"/>
      <c r="X118" s="26"/>
      <c r="Y118" s="26"/>
      <c r="Z118" s="26"/>
      <c r="AA118" s="26"/>
      <c r="AB118" s="31"/>
      <c r="AC118" s="30" t="s">
        <v>172</v>
      </c>
      <c r="AD118" s="25" t="s">
        <v>173</v>
      </c>
      <c r="AE118" s="25" t="s">
        <v>174</v>
      </c>
      <c r="AF118" s="26" t="s">
        <v>175</v>
      </c>
      <c r="AG118" s="32"/>
      <c r="AH118" s="32"/>
      <c r="AI118" s="32"/>
      <c r="AJ118" s="32"/>
      <c r="AK118" s="30"/>
      <c r="AL118" s="32">
        <f t="shared" si="3"/>
        <v>0</v>
      </c>
      <c r="AM118" s="30"/>
      <c r="AN118" s="32"/>
      <c r="AO118" s="32"/>
      <c r="AP118" s="32"/>
      <c r="AQ118" s="32"/>
      <c r="AR118" s="32"/>
      <c r="AS118" s="32"/>
      <c r="AT118" s="32"/>
      <c r="AU118" s="30"/>
      <c r="AV118" s="30"/>
      <c r="AW118" s="30"/>
      <c r="AX118" s="30"/>
      <c r="AY118" s="30"/>
    </row>
    <row r="119" spans="1:51">
      <c r="A119" s="25" t="s">
        <v>14397</v>
      </c>
      <c r="B119" s="25" t="s">
        <v>4398</v>
      </c>
      <c r="C119" s="25" t="s">
        <v>68</v>
      </c>
      <c r="D119" s="25" t="s">
        <v>14398</v>
      </c>
      <c r="E119" s="258" t="s">
        <v>14399</v>
      </c>
      <c r="F119" s="25" t="s">
        <v>14400</v>
      </c>
      <c r="G119" s="25" t="s">
        <v>5516</v>
      </c>
      <c r="H119" s="25" t="s">
        <v>11489</v>
      </c>
      <c r="I119" s="26" t="s">
        <v>4402</v>
      </c>
      <c r="J119" s="25" t="s">
        <v>13592</v>
      </c>
      <c r="K119" s="25" t="s">
        <v>11500</v>
      </c>
      <c r="L119" s="26" t="s">
        <v>73</v>
      </c>
      <c r="M119" s="26" t="s">
        <v>14401</v>
      </c>
      <c r="N119" s="26" t="s">
        <v>14402</v>
      </c>
      <c r="O119" s="33" t="s">
        <v>14403</v>
      </c>
      <c r="P119" s="28" t="s">
        <v>11500</v>
      </c>
      <c r="Q119" s="29">
        <v>4</v>
      </c>
      <c r="R119" s="29">
        <v>16</v>
      </c>
      <c r="S119" s="29">
        <v>287.32</v>
      </c>
      <c r="T119" s="30"/>
      <c r="U119" s="30"/>
      <c r="V119" s="30"/>
      <c r="W119" s="38"/>
      <c r="X119" s="26"/>
      <c r="Y119" s="26"/>
      <c r="Z119" s="26"/>
      <c r="AA119" s="26"/>
      <c r="AB119" s="31"/>
      <c r="AC119" s="30" t="s">
        <v>172</v>
      </c>
      <c r="AD119" s="25" t="s">
        <v>173</v>
      </c>
      <c r="AE119" s="25" t="s">
        <v>174</v>
      </c>
      <c r="AF119" s="26" t="s">
        <v>175</v>
      </c>
      <c r="AG119" s="32"/>
      <c r="AH119" s="32"/>
      <c r="AI119" s="32"/>
      <c r="AJ119" s="32"/>
      <c r="AK119" s="30"/>
      <c r="AL119" s="32">
        <f t="shared" si="3"/>
        <v>0</v>
      </c>
      <c r="AM119" s="30"/>
      <c r="AN119" s="32"/>
      <c r="AO119" s="32"/>
      <c r="AP119" s="32"/>
      <c r="AQ119" s="32"/>
      <c r="AR119" s="32"/>
      <c r="AS119" s="32"/>
      <c r="AT119" s="32"/>
      <c r="AU119" s="30"/>
      <c r="AV119" s="30"/>
      <c r="AW119" s="30"/>
      <c r="AX119" s="30"/>
      <c r="AY119" s="30"/>
    </row>
    <row r="120" spans="1:51">
      <c r="A120" s="25" t="s">
        <v>14404</v>
      </c>
      <c r="B120" s="25" t="s">
        <v>4398</v>
      </c>
      <c r="C120" s="25" t="s">
        <v>68</v>
      </c>
      <c r="D120" s="25" t="s">
        <v>14405</v>
      </c>
      <c r="E120" s="258" t="s">
        <v>14406</v>
      </c>
      <c r="F120" s="25" t="s">
        <v>14407</v>
      </c>
      <c r="G120" s="25" t="s">
        <v>5516</v>
      </c>
      <c r="H120" s="25" t="s">
        <v>11489</v>
      </c>
      <c r="I120" s="26" t="s">
        <v>4402</v>
      </c>
      <c r="J120" s="25" t="s">
        <v>13592</v>
      </c>
      <c r="K120" s="25">
        <v>9.1999999999999993</v>
      </c>
      <c r="L120" s="26" t="s">
        <v>73</v>
      </c>
      <c r="M120" s="26" t="s">
        <v>14408</v>
      </c>
      <c r="N120" s="26" t="s">
        <v>14409</v>
      </c>
      <c r="O120" s="27" t="s">
        <v>14410</v>
      </c>
      <c r="P120" s="28"/>
      <c r="Q120" s="29">
        <v>4</v>
      </c>
      <c r="R120" s="29">
        <v>16</v>
      </c>
      <c r="S120" s="29">
        <v>267.39999999999998</v>
      </c>
      <c r="T120" s="26" t="s">
        <v>146</v>
      </c>
      <c r="U120" s="30" t="s">
        <v>78</v>
      </c>
      <c r="V120" s="26" t="s">
        <v>129</v>
      </c>
      <c r="W120" s="38" t="s">
        <v>3656</v>
      </c>
      <c r="X120" s="26" t="s">
        <v>131</v>
      </c>
      <c r="Y120" s="26" t="s">
        <v>91</v>
      </c>
      <c r="Z120" s="26" t="s">
        <v>91</v>
      </c>
      <c r="AA120" s="26"/>
      <c r="AB120" s="31" t="s">
        <v>19</v>
      </c>
      <c r="AC120" s="30" t="s">
        <v>172</v>
      </c>
      <c r="AD120" s="25" t="s">
        <v>173</v>
      </c>
      <c r="AE120" s="25" t="s">
        <v>174</v>
      </c>
      <c r="AF120" s="26" t="s">
        <v>175</v>
      </c>
      <c r="AG120" s="32">
        <v>1</v>
      </c>
      <c r="AH120" s="32"/>
      <c r="AI120" s="32"/>
      <c r="AJ120" s="32"/>
      <c r="AK120" s="30"/>
      <c r="AL120" s="32">
        <f t="shared" si="3"/>
        <v>0</v>
      </c>
      <c r="AM120" s="30"/>
      <c r="AN120" s="32"/>
      <c r="AO120" s="32"/>
      <c r="AP120" s="32"/>
      <c r="AQ120" s="32"/>
      <c r="AR120" s="32"/>
      <c r="AS120" s="32"/>
      <c r="AT120" s="32"/>
      <c r="AU120" s="30"/>
      <c r="AV120" s="30"/>
      <c r="AW120" s="30"/>
      <c r="AX120" s="30"/>
      <c r="AY120" s="30"/>
    </row>
    <row r="121" spans="1:51">
      <c r="A121" s="25" t="s">
        <v>14411</v>
      </c>
      <c r="B121" s="25" t="s">
        <v>4398</v>
      </c>
      <c r="C121" s="25" t="s">
        <v>68</v>
      </c>
      <c r="D121" s="25" t="s">
        <v>14412</v>
      </c>
      <c r="E121" s="258" t="s">
        <v>14413</v>
      </c>
      <c r="F121" s="25" t="s">
        <v>14414</v>
      </c>
      <c r="G121" s="25" t="s">
        <v>5516</v>
      </c>
      <c r="H121" s="25" t="s">
        <v>11489</v>
      </c>
      <c r="I121" s="26" t="s">
        <v>4402</v>
      </c>
      <c r="J121" s="25" t="s">
        <v>13592</v>
      </c>
      <c r="K121" s="25">
        <v>9.1999999999999993</v>
      </c>
      <c r="L121" s="26" t="s">
        <v>73</v>
      </c>
      <c r="M121" s="26" t="s">
        <v>14415</v>
      </c>
      <c r="N121" s="26" t="s">
        <v>14416</v>
      </c>
      <c r="O121" s="27" t="s">
        <v>14417</v>
      </c>
      <c r="P121" s="28"/>
      <c r="Q121" s="29">
        <v>8</v>
      </c>
      <c r="R121" s="29">
        <v>32</v>
      </c>
      <c r="S121" s="29">
        <v>302.11</v>
      </c>
      <c r="T121" s="26" t="s">
        <v>146</v>
      </c>
      <c r="U121" s="30" t="s">
        <v>78</v>
      </c>
      <c r="V121" s="26" t="s">
        <v>129</v>
      </c>
      <c r="W121" s="38" t="s">
        <v>3656</v>
      </c>
      <c r="X121" s="26" t="s">
        <v>131</v>
      </c>
      <c r="Y121" s="26" t="s">
        <v>91</v>
      </c>
      <c r="Z121" s="26" t="s">
        <v>91</v>
      </c>
      <c r="AA121" s="26"/>
      <c r="AB121" s="31" t="s">
        <v>19</v>
      </c>
      <c r="AC121" s="30" t="s">
        <v>172</v>
      </c>
      <c r="AD121" s="25" t="s">
        <v>173</v>
      </c>
      <c r="AE121" s="25" t="s">
        <v>174</v>
      </c>
      <c r="AF121" s="26" t="s">
        <v>175</v>
      </c>
      <c r="AG121" s="32">
        <v>1</v>
      </c>
      <c r="AH121" s="32"/>
      <c r="AI121" s="32"/>
      <c r="AJ121" s="32"/>
      <c r="AK121" s="30"/>
      <c r="AL121" s="32">
        <f t="shared" si="3"/>
        <v>0</v>
      </c>
      <c r="AM121" s="30"/>
      <c r="AN121" s="32"/>
      <c r="AO121" s="32"/>
      <c r="AP121" s="32"/>
      <c r="AQ121" s="32"/>
      <c r="AR121" s="32"/>
      <c r="AS121" s="32"/>
      <c r="AT121" s="32"/>
      <c r="AU121" s="30"/>
      <c r="AV121" s="30"/>
      <c r="AW121" s="30"/>
      <c r="AX121" s="30"/>
      <c r="AY121" s="30"/>
    </row>
    <row r="122" spans="1:51">
      <c r="A122" s="25" t="s">
        <v>14418</v>
      </c>
      <c r="B122" s="25" t="s">
        <v>4398</v>
      </c>
      <c r="C122" s="25" t="s">
        <v>68</v>
      </c>
      <c r="D122" s="25" t="s">
        <v>14419</v>
      </c>
      <c r="E122" s="258" t="s">
        <v>14420</v>
      </c>
      <c r="F122" s="25" t="s">
        <v>14421</v>
      </c>
      <c r="G122" s="25" t="s">
        <v>5516</v>
      </c>
      <c r="H122" s="25" t="s">
        <v>11489</v>
      </c>
      <c r="I122" s="26" t="s">
        <v>4402</v>
      </c>
      <c r="J122" s="25" t="s">
        <v>13592</v>
      </c>
      <c r="K122" s="25">
        <v>9.1999999999999993</v>
      </c>
      <c r="L122" s="26" t="s">
        <v>73</v>
      </c>
      <c r="M122" s="26" t="s">
        <v>14422</v>
      </c>
      <c r="N122" s="26" t="s">
        <v>14423</v>
      </c>
      <c r="O122" s="27" t="s">
        <v>14424</v>
      </c>
      <c r="P122" s="28"/>
      <c r="Q122" s="29">
        <v>4</v>
      </c>
      <c r="R122" s="29">
        <v>16</v>
      </c>
      <c r="S122" s="29">
        <v>286.12</v>
      </c>
      <c r="T122" s="26" t="s">
        <v>146</v>
      </c>
      <c r="U122" s="30" t="s">
        <v>78</v>
      </c>
      <c r="V122" s="26" t="s">
        <v>129</v>
      </c>
      <c r="W122" s="38" t="s">
        <v>3656</v>
      </c>
      <c r="X122" s="26" t="s">
        <v>131</v>
      </c>
      <c r="Y122" s="26" t="s">
        <v>91</v>
      </c>
      <c r="Z122" s="26" t="s">
        <v>91</v>
      </c>
      <c r="AA122" s="26"/>
      <c r="AB122" s="31" t="s">
        <v>19</v>
      </c>
      <c r="AC122" s="30" t="s">
        <v>172</v>
      </c>
      <c r="AD122" s="25" t="s">
        <v>173</v>
      </c>
      <c r="AE122" s="25" t="s">
        <v>174</v>
      </c>
      <c r="AF122" s="26" t="s">
        <v>175</v>
      </c>
      <c r="AG122" s="32">
        <v>1</v>
      </c>
      <c r="AH122" s="32"/>
      <c r="AI122" s="32"/>
      <c r="AJ122" s="32"/>
      <c r="AK122" s="30"/>
      <c r="AL122" s="32">
        <f t="shared" si="3"/>
        <v>0</v>
      </c>
      <c r="AM122" s="30"/>
      <c r="AN122" s="32"/>
      <c r="AO122" s="32"/>
      <c r="AP122" s="32"/>
      <c r="AQ122" s="32"/>
      <c r="AR122" s="32"/>
      <c r="AS122" s="32"/>
      <c r="AT122" s="32"/>
      <c r="AU122" s="30"/>
      <c r="AV122" s="30"/>
      <c r="AW122" s="30"/>
      <c r="AX122" s="30"/>
      <c r="AY122" s="30"/>
    </row>
    <row r="123" spans="1:51">
      <c r="A123" s="25" t="s">
        <v>14425</v>
      </c>
      <c r="B123" s="25" t="s">
        <v>4398</v>
      </c>
      <c r="C123" s="25" t="s">
        <v>68</v>
      </c>
      <c r="D123" s="25" t="s">
        <v>14426</v>
      </c>
      <c r="E123" s="258" t="s">
        <v>14427</v>
      </c>
      <c r="F123" s="25" t="s">
        <v>14428</v>
      </c>
      <c r="G123" s="25" t="s">
        <v>5516</v>
      </c>
      <c r="H123" s="25" t="s">
        <v>11489</v>
      </c>
      <c r="I123" s="26" t="s">
        <v>4402</v>
      </c>
      <c r="J123" s="25" t="s">
        <v>13592</v>
      </c>
      <c r="K123" s="25">
        <v>9.1999999999999993</v>
      </c>
      <c r="L123" s="26" t="s">
        <v>73</v>
      </c>
      <c r="M123" s="26" t="s">
        <v>14429</v>
      </c>
      <c r="N123" s="26" t="s">
        <v>14430</v>
      </c>
      <c r="O123" s="27" t="s">
        <v>14431</v>
      </c>
      <c r="P123" s="28"/>
      <c r="Q123" s="29">
        <v>4</v>
      </c>
      <c r="R123" s="29">
        <v>16</v>
      </c>
      <c r="S123" s="29">
        <v>266.12</v>
      </c>
      <c r="T123" s="26" t="s">
        <v>146</v>
      </c>
      <c r="U123" s="30" t="s">
        <v>78</v>
      </c>
      <c r="V123" s="26" t="s">
        <v>129</v>
      </c>
      <c r="W123" s="38" t="s">
        <v>3723</v>
      </c>
      <c r="X123" s="26" t="s">
        <v>131</v>
      </c>
      <c r="Y123" s="26" t="s">
        <v>91</v>
      </c>
      <c r="Z123" s="26" t="s">
        <v>91</v>
      </c>
      <c r="AA123" s="26"/>
      <c r="AB123" s="31" t="s">
        <v>21</v>
      </c>
      <c r="AC123" s="30" t="s">
        <v>172</v>
      </c>
      <c r="AD123" s="25" t="s">
        <v>173</v>
      </c>
      <c r="AE123" s="25" t="s">
        <v>174</v>
      </c>
      <c r="AF123" s="26" t="s">
        <v>175</v>
      </c>
      <c r="AG123" s="32">
        <v>1</v>
      </c>
      <c r="AH123" s="32"/>
      <c r="AI123" s="32"/>
      <c r="AJ123" s="32"/>
      <c r="AK123" s="30"/>
      <c r="AL123" s="32">
        <f t="shared" si="3"/>
        <v>0</v>
      </c>
      <c r="AM123" s="30"/>
      <c r="AN123" s="32"/>
      <c r="AO123" s="32"/>
      <c r="AP123" s="32"/>
      <c r="AQ123" s="32"/>
      <c r="AR123" s="32"/>
      <c r="AS123" s="32"/>
      <c r="AT123" s="32"/>
      <c r="AU123" s="30"/>
      <c r="AV123" s="30"/>
      <c r="AW123" s="30"/>
      <c r="AX123" s="30"/>
      <c r="AY123" s="30"/>
    </row>
    <row r="124" spans="1:51">
      <c r="A124" s="25" t="s">
        <v>14432</v>
      </c>
      <c r="B124" s="25" t="s">
        <v>4398</v>
      </c>
      <c r="C124" s="25" t="s">
        <v>68</v>
      </c>
      <c r="D124" s="25" t="s">
        <v>14433</v>
      </c>
      <c r="E124" s="258" t="s">
        <v>14434</v>
      </c>
      <c r="F124" s="25" t="s">
        <v>14435</v>
      </c>
      <c r="G124" s="25" t="s">
        <v>5516</v>
      </c>
      <c r="H124" s="25" t="s">
        <v>11489</v>
      </c>
      <c r="I124" s="26" t="s">
        <v>4402</v>
      </c>
      <c r="J124" s="25" t="s">
        <v>13592</v>
      </c>
      <c r="K124" s="25">
        <v>9.1999999999999993</v>
      </c>
      <c r="L124" s="26" t="s">
        <v>73</v>
      </c>
      <c r="M124" s="26" t="s">
        <v>14436</v>
      </c>
      <c r="N124" s="26" t="s">
        <v>14437</v>
      </c>
      <c r="O124" s="27" t="s">
        <v>14438</v>
      </c>
      <c r="P124" s="28"/>
      <c r="Q124" s="29">
        <v>4</v>
      </c>
      <c r="R124" s="29">
        <v>16</v>
      </c>
      <c r="S124" s="29">
        <v>267.48</v>
      </c>
      <c r="T124" s="26" t="s">
        <v>146</v>
      </c>
      <c r="U124" s="30" t="s">
        <v>78</v>
      </c>
      <c r="V124" s="26" t="s">
        <v>129</v>
      </c>
      <c r="W124" s="38" t="s">
        <v>3723</v>
      </c>
      <c r="X124" s="26" t="s">
        <v>131</v>
      </c>
      <c r="Y124" s="26" t="s">
        <v>91</v>
      </c>
      <c r="Z124" s="26" t="s">
        <v>91</v>
      </c>
      <c r="AA124" s="26"/>
      <c r="AB124" s="31" t="s">
        <v>21</v>
      </c>
      <c r="AC124" s="30" t="s">
        <v>172</v>
      </c>
      <c r="AD124" s="25" t="s">
        <v>173</v>
      </c>
      <c r="AE124" s="25" t="s">
        <v>174</v>
      </c>
      <c r="AF124" s="26" t="s">
        <v>175</v>
      </c>
      <c r="AG124" s="32">
        <v>1</v>
      </c>
      <c r="AH124" s="32"/>
      <c r="AI124" s="32"/>
      <c r="AJ124" s="32"/>
      <c r="AK124" s="30"/>
      <c r="AL124" s="32">
        <f t="shared" si="3"/>
        <v>0</v>
      </c>
      <c r="AM124" s="30"/>
      <c r="AN124" s="32"/>
      <c r="AO124" s="32"/>
      <c r="AP124" s="32"/>
      <c r="AQ124" s="32"/>
      <c r="AR124" s="32"/>
      <c r="AS124" s="32"/>
      <c r="AT124" s="32"/>
      <c r="AU124" s="30"/>
      <c r="AV124" s="30"/>
      <c r="AW124" s="30"/>
      <c r="AX124" s="30"/>
      <c r="AY124" s="30"/>
    </row>
    <row r="125" spans="1:51">
      <c r="A125" s="25" t="s">
        <v>14439</v>
      </c>
      <c r="B125" s="25" t="s">
        <v>4398</v>
      </c>
      <c r="C125" s="25" t="s">
        <v>68</v>
      </c>
      <c r="D125" s="25" t="s">
        <v>14440</v>
      </c>
      <c r="E125" s="258" t="s">
        <v>14441</v>
      </c>
      <c r="F125" s="25" t="s">
        <v>14442</v>
      </c>
      <c r="G125" s="25" t="s">
        <v>5516</v>
      </c>
      <c r="H125" s="25" t="s">
        <v>11489</v>
      </c>
      <c r="I125" s="26" t="s">
        <v>4402</v>
      </c>
      <c r="J125" s="25" t="s">
        <v>13592</v>
      </c>
      <c r="K125" s="25">
        <v>9.1999999999999993</v>
      </c>
      <c r="L125" s="26" t="s">
        <v>73</v>
      </c>
      <c r="M125" s="26" t="s">
        <v>14443</v>
      </c>
      <c r="N125" s="26" t="s">
        <v>14444</v>
      </c>
      <c r="O125" s="27" t="s">
        <v>14445</v>
      </c>
      <c r="P125" s="28"/>
      <c r="Q125" s="29">
        <v>4</v>
      </c>
      <c r="R125" s="29">
        <v>16</v>
      </c>
      <c r="S125" s="29">
        <v>316.17</v>
      </c>
      <c r="T125" s="26" t="s">
        <v>146</v>
      </c>
      <c r="U125" s="30" t="s">
        <v>78</v>
      </c>
      <c r="V125" s="26" t="s">
        <v>129</v>
      </c>
      <c r="W125" s="38" t="s">
        <v>3723</v>
      </c>
      <c r="X125" s="26" t="s">
        <v>131</v>
      </c>
      <c r="Y125" s="26" t="s">
        <v>91</v>
      </c>
      <c r="Z125" s="26" t="s">
        <v>91</v>
      </c>
      <c r="AA125" s="26"/>
      <c r="AB125" s="31" t="s">
        <v>21</v>
      </c>
      <c r="AC125" s="30" t="s">
        <v>172</v>
      </c>
      <c r="AD125" s="25" t="s">
        <v>173</v>
      </c>
      <c r="AE125" s="25" t="s">
        <v>174</v>
      </c>
      <c r="AF125" s="26" t="s">
        <v>175</v>
      </c>
      <c r="AG125" s="32">
        <v>1</v>
      </c>
      <c r="AH125" s="32"/>
      <c r="AI125" s="32"/>
      <c r="AJ125" s="32"/>
      <c r="AK125" s="30"/>
      <c r="AL125" s="32">
        <f t="shared" si="3"/>
        <v>0</v>
      </c>
      <c r="AM125" s="30"/>
      <c r="AN125" s="32"/>
      <c r="AO125" s="32"/>
      <c r="AP125" s="32"/>
      <c r="AQ125" s="32"/>
      <c r="AR125" s="32"/>
      <c r="AS125" s="32"/>
      <c r="AT125" s="32"/>
      <c r="AU125" s="30"/>
      <c r="AV125" s="30"/>
      <c r="AW125" s="30"/>
      <c r="AX125" s="30"/>
      <c r="AY125" s="30"/>
    </row>
    <row r="126" spans="1:51">
      <c r="A126" s="25" t="s">
        <v>14446</v>
      </c>
      <c r="B126" s="25" t="s">
        <v>4398</v>
      </c>
      <c r="C126" s="25" t="s">
        <v>68</v>
      </c>
      <c r="D126" s="25" t="s">
        <v>14447</v>
      </c>
      <c r="E126" s="258" t="s">
        <v>14448</v>
      </c>
      <c r="F126" s="25" t="s">
        <v>14449</v>
      </c>
      <c r="G126" s="25" t="s">
        <v>5516</v>
      </c>
      <c r="H126" s="25" t="s">
        <v>11489</v>
      </c>
      <c r="I126" s="26" t="s">
        <v>4402</v>
      </c>
      <c r="J126" s="25" t="s">
        <v>13592</v>
      </c>
      <c r="K126" s="25">
        <v>9.1999999999999993</v>
      </c>
      <c r="L126" s="26" t="s">
        <v>73</v>
      </c>
      <c r="M126" s="26" t="s">
        <v>14450</v>
      </c>
      <c r="N126" s="26" t="s">
        <v>14451</v>
      </c>
      <c r="O126" s="27" t="s">
        <v>14452</v>
      </c>
      <c r="P126" s="28"/>
      <c r="Q126" s="29">
        <v>4</v>
      </c>
      <c r="R126" s="29">
        <v>16</v>
      </c>
      <c r="S126" s="29">
        <v>266.83</v>
      </c>
      <c r="T126" s="26" t="s">
        <v>146</v>
      </c>
      <c r="U126" s="30" t="s">
        <v>78</v>
      </c>
      <c r="V126" s="26" t="s">
        <v>129</v>
      </c>
      <c r="W126" s="38" t="s">
        <v>3723</v>
      </c>
      <c r="X126" s="26" t="s">
        <v>131</v>
      </c>
      <c r="Y126" s="26" t="s">
        <v>91</v>
      </c>
      <c r="Z126" s="26" t="s">
        <v>91</v>
      </c>
      <c r="AA126" s="26"/>
      <c r="AB126" s="31" t="s">
        <v>21</v>
      </c>
      <c r="AC126" s="30" t="s">
        <v>172</v>
      </c>
      <c r="AD126" s="25" t="s">
        <v>173</v>
      </c>
      <c r="AE126" s="25" t="s">
        <v>174</v>
      </c>
      <c r="AF126" s="26" t="s">
        <v>175</v>
      </c>
      <c r="AG126" s="32">
        <v>1</v>
      </c>
      <c r="AH126" s="32"/>
      <c r="AI126" s="32"/>
      <c r="AJ126" s="32"/>
      <c r="AK126" s="30"/>
      <c r="AL126" s="32">
        <f t="shared" si="3"/>
        <v>0</v>
      </c>
      <c r="AM126" s="30"/>
      <c r="AN126" s="32"/>
      <c r="AO126" s="32"/>
      <c r="AP126" s="32"/>
      <c r="AQ126" s="32"/>
      <c r="AR126" s="32"/>
      <c r="AS126" s="32"/>
      <c r="AT126" s="32"/>
      <c r="AU126" s="30"/>
      <c r="AV126" s="30"/>
      <c r="AW126" s="30"/>
      <c r="AX126" s="30"/>
      <c r="AY126" s="30"/>
    </row>
    <row r="127" spans="1:51">
      <c r="A127" s="25" t="s">
        <v>14453</v>
      </c>
      <c r="B127" s="25" t="s">
        <v>4398</v>
      </c>
      <c r="C127" s="25" t="s">
        <v>68</v>
      </c>
      <c r="D127" s="25" t="s">
        <v>14454</v>
      </c>
      <c r="E127" s="258" t="s">
        <v>14455</v>
      </c>
      <c r="F127" s="25" t="s">
        <v>14456</v>
      </c>
      <c r="G127" s="25" t="s">
        <v>5516</v>
      </c>
      <c r="H127" s="25" t="s">
        <v>11489</v>
      </c>
      <c r="I127" s="26" t="s">
        <v>4402</v>
      </c>
      <c r="J127" s="25" t="s">
        <v>13592</v>
      </c>
      <c r="K127" s="25">
        <v>9.1999999999999993</v>
      </c>
      <c r="L127" s="26" t="s">
        <v>73</v>
      </c>
      <c r="M127" s="26" t="s">
        <v>14457</v>
      </c>
      <c r="N127" s="26" t="s">
        <v>14458</v>
      </c>
      <c r="O127" s="27" t="s">
        <v>14459</v>
      </c>
      <c r="P127" s="28"/>
      <c r="Q127" s="29">
        <v>4</v>
      </c>
      <c r="R127" s="29">
        <v>16</v>
      </c>
      <c r="S127" s="29">
        <v>287.37</v>
      </c>
      <c r="T127" s="26" t="s">
        <v>146</v>
      </c>
      <c r="U127" s="30" t="s">
        <v>78</v>
      </c>
      <c r="V127" s="26" t="s">
        <v>129</v>
      </c>
      <c r="W127" s="38" t="s">
        <v>3723</v>
      </c>
      <c r="X127" s="26" t="s">
        <v>131</v>
      </c>
      <c r="Y127" s="26" t="s">
        <v>91</v>
      </c>
      <c r="Z127" s="26" t="s">
        <v>91</v>
      </c>
      <c r="AA127" s="26"/>
      <c r="AB127" s="31" t="s">
        <v>21</v>
      </c>
      <c r="AC127" s="30" t="s">
        <v>172</v>
      </c>
      <c r="AD127" s="25" t="s">
        <v>173</v>
      </c>
      <c r="AE127" s="25" t="s">
        <v>174</v>
      </c>
      <c r="AF127" s="26" t="s">
        <v>175</v>
      </c>
      <c r="AG127" s="32">
        <v>1</v>
      </c>
      <c r="AH127" s="32"/>
      <c r="AI127" s="32"/>
      <c r="AJ127" s="32"/>
      <c r="AK127" s="30"/>
      <c r="AL127" s="32">
        <f t="shared" si="3"/>
        <v>0</v>
      </c>
      <c r="AM127" s="30"/>
      <c r="AN127" s="32"/>
      <c r="AO127" s="32"/>
      <c r="AP127" s="32"/>
      <c r="AQ127" s="32"/>
      <c r="AR127" s="32"/>
      <c r="AS127" s="32"/>
      <c r="AT127" s="32"/>
      <c r="AU127" s="30"/>
      <c r="AV127" s="30"/>
      <c r="AW127" s="30"/>
      <c r="AX127" s="30"/>
      <c r="AY127" s="30"/>
    </row>
    <row r="128" spans="1:51">
      <c r="A128" s="25" t="s">
        <v>14460</v>
      </c>
      <c r="B128" s="25" t="s">
        <v>4398</v>
      </c>
      <c r="C128" s="25" t="s">
        <v>68</v>
      </c>
      <c r="D128" s="25" t="s">
        <v>14461</v>
      </c>
      <c r="E128" s="258" t="s">
        <v>14462</v>
      </c>
      <c r="F128" s="25" t="s">
        <v>14463</v>
      </c>
      <c r="G128" s="25" t="s">
        <v>5516</v>
      </c>
      <c r="H128" s="25" t="s">
        <v>11489</v>
      </c>
      <c r="I128" s="26" t="s">
        <v>4402</v>
      </c>
      <c r="J128" s="25" t="s">
        <v>13592</v>
      </c>
      <c r="K128" s="25" t="s">
        <v>11500</v>
      </c>
      <c r="L128" s="26" t="s">
        <v>73</v>
      </c>
      <c r="M128" s="26" t="s">
        <v>14464</v>
      </c>
      <c r="N128" s="26" t="s">
        <v>14465</v>
      </c>
      <c r="O128" s="33" t="s">
        <v>14466</v>
      </c>
      <c r="P128" s="28" t="s">
        <v>11500</v>
      </c>
      <c r="Q128" s="29">
        <v>4</v>
      </c>
      <c r="R128" s="29">
        <v>16</v>
      </c>
      <c r="S128" s="29">
        <v>296.13</v>
      </c>
      <c r="T128" s="30"/>
      <c r="U128" s="30"/>
      <c r="V128" s="30"/>
      <c r="W128" s="38"/>
      <c r="X128" s="26"/>
      <c r="Y128" s="26"/>
      <c r="Z128" s="26"/>
      <c r="AA128" s="26"/>
      <c r="AB128" s="31"/>
      <c r="AC128" s="30" t="s">
        <v>172</v>
      </c>
      <c r="AD128" s="25" t="s">
        <v>173</v>
      </c>
      <c r="AE128" s="25" t="s">
        <v>174</v>
      </c>
      <c r="AF128" s="26" t="s">
        <v>175</v>
      </c>
      <c r="AG128" s="32"/>
      <c r="AH128" s="32"/>
      <c r="AI128" s="32"/>
      <c r="AJ128" s="32"/>
      <c r="AK128" s="30"/>
      <c r="AL128" s="32">
        <f t="shared" si="3"/>
        <v>0</v>
      </c>
      <c r="AM128" s="30"/>
      <c r="AN128" s="32"/>
      <c r="AO128" s="32"/>
      <c r="AP128" s="32"/>
      <c r="AQ128" s="32"/>
      <c r="AR128" s="32"/>
      <c r="AS128" s="32"/>
      <c r="AT128" s="32"/>
      <c r="AU128" s="30"/>
      <c r="AV128" s="30"/>
      <c r="AW128" s="30"/>
      <c r="AX128" s="30"/>
      <c r="AY128" s="30"/>
    </row>
    <row r="129" spans="1:51">
      <c r="A129" s="25" t="s">
        <v>14467</v>
      </c>
      <c r="B129" s="25" t="s">
        <v>4398</v>
      </c>
      <c r="C129" s="25" t="s">
        <v>68</v>
      </c>
      <c r="D129" s="25" t="s">
        <v>14468</v>
      </c>
      <c r="E129" s="258" t="s">
        <v>14469</v>
      </c>
      <c r="F129" s="25" t="s">
        <v>14470</v>
      </c>
      <c r="G129" s="25" t="s">
        <v>5516</v>
      </c>
      <c r="H129" s="25" t="s">
        <v>11489</v>
      </c>
      <c r="I129" s="26" t="s">
        <v>4402</v>
      </c>
      <c r="J129" s="25" t="s">
        <v>13592</v>
      </c>
      <c r="K129" s="25">
        <v>9.1999999999999993</v>
      </c>
      <c r="L129" s="26" t="s">
        <v>73</v>
      </c>
      <c r="M129" s="26" t="s">
        <v>14471</v>
      </c>
      <c r="N129" s="26" t="s">
        <v>14472</v>
      </c>
      <c r="O129" s="27" t="s">
        <v>14473</v>
      </c>
      <c r="P129" s="28"/>
      <c r="Q129" s="29">
        <v>4</v>
      </c>
      <c r="R129" s="29">
        <v>16</v>
      </c>
      <c r="S129" s="29">
        <v>266.12</v>
      </c>
      <c r="T129" s="26" t="s">
        <v>146</v>
      </c>
      <c r="U129" s="30" t="s">
        <v>78</v>
      </c>
      <c r="V129" s="26" t="s">
        <v>129</v>
      </c>
      <c r="W129" s="38" t="s">
        <v>3723</v>
      </c>
      <c r="X129" s="26" t="s">
        <v>131</v>
      </c>
      <c r="Y129" s="26" t="s">
        <v>91</v>
      </c>
      <c r="Z129" s="26" t="s">
        <v>91</v>
      </c>
      <c r="AA129" s="26"/>
      <c r="AB129" s="31" t="s">
        <v>21</v>
      </c>
      <c r="AC129" s="30" t="s">
        <v>172</v>
      </c>
      <c r="AD129" s="25" t="s">
        <v>173</v>
      </c>
      <c r="AE129" s="25" t="s">
        <v>174</v>
      </c>
      <c r="AF129" s="26" t="s">
        <v>175</v>
      </c>
      <c r="AG129" s="32">
        <v>1</v>
      </c>
      <c r="AH129" s="32"/>
      <c r="AI129" s="32"/>
      <c r="AJ129" s="32"/>
      <c r="AK129" s="30"/>
      <c r="AL129" s="32">
        <f t="shared" si="3"/>
        <v>0</v>
      </c>
      <c r="AM129" s="30"/>
      <c r="AN129" s="32"/>
      <c r="AO129" s="32"/>
      <c r="AP129" s="32"/>
      <c r="AQ129" s="32"/>
      <c r="AR129" s="32"/>
      <c r="AS129" s="32"/>
      <c r="AT129" s="32"/>
      <c r="AU129" s="30"/>
      <c r="AV129" s="30"/>
      <c r="AW129" s="30"/>
      <c r="AX129" s="30"/>
      <c r="AY129" s="30"/>
    </row>
    <row r="130" spans="1:51">
      <c r="A130" s="25" t="s">
        <v>14474</v>
      </c>
      <c r="B130" s="25" t="s">
        <v>4398</v>
      </c>
      <c r="C130" s="25" t="s">
        <v>68</v>
      </c>
      <c r="D130" s="25" t="s">
        <v>14475</v>
      </c>
      <c r="E130" s="258" t="s">
        <v>14476</v>
      </c>
      <c r="F130" s="25" t="s">
        <v>14477</v>
      </c>
      <c r="G130" s="25" t="s">
        <v>5516</v>
      </c>
      <c r="H130" s="25" t="s">
        <v>11489</v>
      </c>
      <c r="I130" s="26" t="s">
        <v>4402</v>
      </c>
      <c r="J130" s="25" t="s">
        <v>13592</v>
      </c>
      <c r="K130" s="25" t="s">
        <v>11500</v>
      </c>
      <c r="L130" s="26" t="s">
        <v>73</v>
      </c>
      <c r="M130" s="26" t="s">
        <v>14478</v>
      </c>
      <c r="N130" s="26" t="s">
        <v>14479</v>
      </c>
      <c r="O130" s="33" t="s">
        <v>14480</v>
      </c>
      <c r="P130" s="28" t="s">
        <v>11500</v>
      </c>
      <c r="Q130" s="29">
        <v>4</v>
      </c>
      <c r="R130" s="29">
        <v>16</v>
      </c>
      <c r="S130" s="29">
        <v>266.82</v>
      </c>
      <c r="T130" s="30"/>
      <c r="U130" s="30"/>
      <c r="V130" s="30"/>
      <c r="W130" s="38"/>
      <c r="X130" s="26"/>
      <c r="Y130" s="26"/>
      <c r="Z130" s="26"/>
      <c r="AA130" s="26"/>
      <c r="AB130" s="31"/>
      <c r="AC130" s="30" t="s">
        <v>172</v>
      </c>
      <c r="AD130" s="25" t="s">
        <v>173</v>
      </c>
      <c r="AE130" s="25" t="s">
        <v>174</v>
      </c>
      <c r="AF130" s="26" t="s">
        <v>175</v>
      </c>
      <c r="AG130" s="32"/>
      <c r="AH130" s="32"/>
      <c r="AI130" s="32"/>
      <c r="AJ130" s="32"/>
      <c r="AK130" s="30"/>
      <c r="AL130" s="32">
        <f t="shared" si="3"/>
        <v>0</v>
      </c>
      <c r="AM130" s="30"/>
      <c r="AN130" s="32"/>
      <c r="AO130" s="32"/>
      <c r="AP130" s="32"/>
      <c r="AQ130" s="32"/>
      <c r="AR130" s="32"/>
      <c r="AS130" s="32"/>
      <c r="AT130" s="32"/>
      <c r="AU130" s="30"/>
      <c r="AV130" s="30"/>
      <c r="AW130" s="30"/>
      <c r="AX130" s="30"/>
      <c r="AY130" s="30"/>
    </row>
    <row r="131" spans="1:51">
      <c r="A131" s="25" t="s">
        <v>14481</v>
      </c>
      <c r="B131" s="25" t="s">
        <v>4398</v>
      </c>
      <c r="C131" s="25" t="s">
        <v>68</v>
      </c>
      <c r="D131" s="25" t="s">
        <v>14482</v>
      </c>
      <c r="E131" s="258" t="s">
        <v>14483</v>
      </c>
      <c r="F131" s="25" t="s">
        <v>14484</v>
      </c>
      <c r="G131" s="25" t="s">
        <v>5516</v>
      </c>
      <c r="H131" s="25" t="s">
        <v>11489</v>
      </c>
      <c r="I131" s="26" t="s">
        <v>4402</v>
      </c>
      <c r="J131" s="25" t="s">
        <v>13592</v>
      </c>
      <c r="K131" s="25">
        <v>9.1999999999999993</v>
      </c>
      <c r="L131" s="26" t="s">
        <v>73</v>
      </c>
      <c r="M131" s="26" t="s">
        <v>14485</v>
      </c>
      <c r="N131" s="26" t="s">
        <v>14486</v>
      </c>
      <c r="O131" s="27" t="s">
        <v>14487</v>
      </c>
      <c r="P131" s="28"/>
      <c r="Q131" s="29">
        <v>4</v>
      </c>
      <c r="R131" s="29">
        <v>16</v>
      </c>
      <c r="S131" s="29">
        <v>286.14</v>
      </c>
      <c r="T131" s="26" t="s">
        <v>146</v>
      </c>
      <c r="U131" s="30" t="s">
        <v>78</v>
      </c>
      <c r="V131" s="26" t="s">
        <v>129</v>
      </c>
      <c r="W131" s="38" t="s">
        <v>3723</v>
      </c>
      <c r="X131" s="26" t="s">
        <v>131</v>
      </c>
      <c r="Y131" s="26" t="s">
        <v>91</v>
      </c>
      <c r="Z131" s="26" t="s">
        <v>91</v>
      </c>
      <c r="AA131" s="26"/>
      <c r="AB131" s="31" t="s">
        <v>21</v>
      </c>
      <c r="AC131" s="30" t="s">
        <v>172</v>
      </c>
      <c r="AD131" s="25" t="s">
        <v>173</v>
      </c>
      <c r="AE131" s="25" t="s">
        <v>174</v>
      </c>
      <c r="AF131" s="26" t="s">
        <v>175</v>
      </c>
      <c r="AG131" s="32">
        <v>1</v>
      </c>
      <c r="AH131" s="32"/>
      <c r="AI131" s="32"/>
      <c r="AJ131" s="32"/>
      <c r="AK131" s="30"/>
      <c r="AL131" s="32">
        <f t="shared" si="3"/>
        <v>0</v>
      </c>
      <c r="AM131" s="30"/>
      <c r="AN131" s="32"/>
      <c r="AO131" s="32"/>
      <c r="AP131" s="32"/>
      <c r="AQ131" s="32"/>
      <c r="AR131" s="32"/>
      <c r="AS131" s="32"/>
      <c r="AT131" s="32"/>
      <c r="AU131" s="30"/>
      <c r="AV131" s="30"/>
      <c r="AW131" s="30"/>
      <c r="AX131" s="30"/>
      <c r="AY131" s="30"/>
    </row>
    <row r="132" spans="1:51">
      <c r="A132" s="25" t="s">
        <v>14488</v>
      </c>
      <c r="B132" s="25" t="s">
        <v>4398</v>
      </c>
      <c r="C132" s="25" t="s">
        <v>68</v>
      </c>
      <c r="D132" s="25" t="s">
        <v>14489</v>
      </c>
      <c r="E132" s="258" t="s">
        <v>14490</v>
      </c>
      <c r="F132" s="25" t="s">
        <v>14491</v>
      </c>
      <c r="G132" s="25" t="s">
        <v>5516</v>
      </c>
      <c r="H132" s="25" t="s">
        <v>11489</v>
      </c>
      <c r="I132" s="26" t="s">
        <v>4402</v>
      </c>
      <c r="J132" s="25" t="s">
        <v>13592</v>
      </c>
      <c r="K132" s="25">
        <v>9.1999999999999993</v>
      </c>
      <c r="L132" s="26" t="s">
        <v>73</v>
      </c>
      <c r="M132" s="26" t="s">
        <v>14492</v>
      </c>
      <c r="N132" s="26" t="s">
        <v>14493</v>
      </c>
      <c r="O132" s="27" t="s">
        <v>14494</v>
      </c>
      <c r="P132" s="28"/>
      <c r="Q132" s="29">
        <v>4</v>
      </c>
      <c r="R132" s="29">
        <v>16</v>
      </c>
      <c r="S132" s="29">
        <v>266.14999999999998</v>
      </c>
      <c r="T132" s="26" t="s">
        <v>146</v>
      </c>
      <c r="U132" s="30" t="s">
        <v>78</v>
      </c>
      <c r="V132" s="26" t="s">
        <v>129</v>
      </c>
      <c r="W132" s="38" t="s">
        <v>3723</v>
      </c>
      <c r="X132" s="26" t="s">
        <v>131</v>
      </c>
      <c r="Y132" s="26" t="s">
        <v>91</v>
      </c>
      <c r="Z132" s="26" t="s">
        <v>91</v>
      </c>
      <c r="AA132" s="26"/>
      <c r="AB132" s="31" t="s">
        <v>21</v>
      </c>
      <c r="AC132" s="30" t="s">
        <v>172</v>
      </c>
      <c r="AD132" s="25" t="s">
        <v>173</v>
      </c>
      <c r="AE132" s="25" t="s">
        <v>174</v>
      </c>
      <c r="AF132" s="26" t="s">
        <v>175</v>
      </c>
      <c r="AG132" s="32">
        <v>1</v>
      </c>
      <c r="AH132" s="32"/>
      <c r="AI132" s="32"/>
      <c r="AJ132" s="32"/>
      <c r="AK132" s="30"/>
      <c r="AL132" s="32">
        <f t="shared" si="3"/>
        <v>0</v>
      </c>
      <c r="AM132" s="30"/>
      <c r="AN132" s="32"/>
      <c r="AO132" s="32"/>
      <c r="AP132" s="32"/>
      <c r="AQ132" s="32"/>
      <c r="AR132" s="32"/>
      <c r="AS132" s="32"/>
      <c r="AT132" s="32"/>
      <c r="AU132" s="30"/>
      <c r="AV132" s="30"/>
      <c r="AW132" s="30"/>
      <c r="AX132" s="30"/>
      <c r="AY132" s="30"/>
    </row>
    <row r="133" spans="1:51">
      <c r="A133" s="25" t="s">
        <v>14495</v>
      </c>
      <c r="B133" s="25" t="s">
        <v>4398</v>
      </c>
      <c r="C133" s="25" t="s">
        <v>68</v>
      </c>
      <c r="D133" s="25" t="s">
        <v>14496</v>
      </c>
      <c r="E133" s="258" t="s">
        <v>14497</v>
      </c>
      <c r="F133" s="25" t="s">
        <v>14498</v>
      </c>
      <c r="G133" s="25" t="s">
        <v>5516</v>
      </c>
      <c r="H133" s="25" t="s">
        <v>11489</v>
      </c>
      <c r="I133" s="26" t="s">
        <v>4402</v>
      </c>
      <c r="J133" s="25" t="s">
        <v>13592</v>
      </c>
      <c r="K133" s="25" t="s">
        <v>11500</v>
      </c>
      <c r="L133" s="26" t="s">
        <v>73</v>
      </c>
      <c r="M133" s="26" t="s">
        <v>14499</v>
      </c>
      <c r="N133" s="26" t="s">
        <v>14500</v>
      </c>
      <c r="O133" s="33" t="s">
        <v>14501</v>
      </c>
      <c r="P133" s="28" t="s">
        <v>11500</v>
      </c>
      <c r="Q133" s="29">
        <v>4</v>
      </c>
      <c r="R133" s="29">
        <v>16</v>
      </c>
      <c r="S133" s="29">
        <v>266.81</v>
      </c>
      <c r="T133" s="30"/>
      <c r="U133" s="30"/>
      <c r="V133" s="30"/>
      <c r="W133" s="38"/>
      <c r="X133" s="26"/>
      <c r="Y133" s="26"/>
      <c r="Z133" s="26"/>
      <c r="AA133" s="26"/>
      <c r="AB133" s="31"/>
      <c r="AC133" s="30" t="s">
        <v>172</v>
      </c>
      <c r="AD133" s="25" t="s">
        <v>173</v>
      </c>
      <c r="AE133" s="25" t="s">
        <v>174</v>
      </c>
      <c r="AF133" s="26" t="s">
        <v>175</v>
      </c>
      <c r="AG133" s="32"/>
      <c r="AH133" s="32"/>
      <c r="AI133" s="32"/>
      <c r="AJ133" s="32"/>
      <c r="AK133" s="30"/>
      <c r="AL133" s="32">
        <f t="shared" si="3"/>
        <v>0</v>
      </c>
      <c r="AM133" s="30"/>
      <c r="AN133" s="32"/>
      <c r="AO133" s="32"/>
      <c r="AP133" s="32"/>
      <c r="AQ133" s="32"/>
      <c r="AR133" s="32"/>
      <c r="AS133" s="32"/>
      <c r="AT133" s="32"/>
      <c r="AU133" s="30"/>
      <c r="AV133" s="30"/>
      <c r="AW133" s="30"/>
      <c r="AX133" s="30"/>
      <c r="AY133" s="30"/>
    </row>
    <row r="134" spans="1:51">
      <c r="A134" s="25" t="s">
        <v>14502</v>
      </c>
      <c r="B134" s="25" t="s">
        <v>4398</v>
      </c>
      <c r="C134" s="25" t="s">
        <v>68</v>
      </c>
      <c r="D134" s="25" t="s">
        <v>14503</v>
      </c>
      <c r="E134" s="258" t="s">
        <v>14504</v>
      </c>
      <c r="F134" s="25" t="s">
        <v>14505</v>
      </c>
      <c r="G134" s="25" t="s">
        <v>5516</v>
      </c>
      <c r="H134" s="25" t="s">
        <v>11489</v>
      </c>
      <c r="I134" s="26" t="s">
        <v>4402</v>
      </c>
      <c r="J134" s="25" t="s">
        <v>13592</v>
      </c>
      <c r="K134" s="25" t="s">
        <v>11500</v>
      </c>
      <c r="L134" s="26" t="s">
        <v>73</v>
      </c>
      <c r="M134" s="26" t="s">
        <v>14506</v>
      </c>
      <c r="N134" s="26" t="s">
        <v>14507</v>
      </c>
      <c r="O134" s="33" t="s">
        <v>14508</v>
      </c>
      <c r="P134" s="28" t="s">
        <v>11500</v>
      </c>
      <c r="Q134" s="29">
        <v>4</v>
      </c>
      <c r="R134" s="29">
        <v>16</v>
      </c>
      <c r="S134" s="29">
        <v>306.68</v>
      </c>
      <c r="T134" s="30"/>
      <c r="U134" s="30"/>
      <c r="V134" s="30"/>
      <c r="W134" s="38"/>
      <c r="X134" s="26"/>
      <c r="Y134" s="26"/>
      <c r="Z134" s="26"/>
      <c r="AA134" s="26"/>
      <c r="AB134" s="31"/>
      <c r="AC134" s="30" t="s">
        <v>172</v>
      </c>
      <c r="AD134" s="25" t="s">
        <v>173</v>
      </c>
      <c r="AE134" s="25" t="s">
        <v>174</v>
      </c>
      <c r="AF134" s="26" t="s">
        <v>175</v>
      </c>
      <c r="AG134" s="32"/>
      <c r="AH134" s="32"/>
      <c r="AI134" s="32"/>
      <c r="AJ134" s="32"/>
      <c r="AK134" s="30"/>
      <c r="AL134" s="32">
        <f t="shared" si="3"/>
        <v>0</v>
      </c>
      <c r="AM134" s="30"/>
      <c r="AN134" s="32"/>
      <c r="AO134" s="32"/>
      <c r="AP134" s="32"/>
      <c r="AQ134" s="32"/>
      <c r="AR134" s="32"/>
      <c r="AS134" s="32"/>
      <c r="AT134" s="32"/>
      <c r="AU134" s="30"/>
      <c r="AV134" s="30"/>
      <c r="AW134" s="30"/>
      <c r="AX134" s="30"/>
      <c r="AY134" s="30"/>
    </row>
    <row r="135" spans="1:51">
      <c r="A135" s="25" t="s">
        <v>14509</v>
      </c>
      <c r="B135" s="25" t="s">
        <v>4398</v>
      </c>
      <c r="C135" s="25" t="s">
        <v>68</v>
      </c>
      <c r="D135" s="25" t="s">
        <v>14510</v>
      </c>
      <c r="E135" s="258" t="s">
        <v>14511</v>
      </c>
      <c r="F135" s="25" t="s">
        <v>14512</v>
      </c>
      <c r="G135" s="25" t="s">
        <v>5516</v>
      </c>
      <c r="H135" s="25" t="s">
        <v>11489</v>
      </c>
      <c r="I135" s="26" t="s">
        <v>4402</v>
      </c>
      <c r="J135" s="25" t="s">
        <v>13592</v>
      </c>
      <c r="K135" s="25">
        <v>9.1999999999999993</v>
      </c>
      <c r="L135" s="26" t="s">
        <v>73</v>
      </c>
      <c r="M135" s="26" t="s">
        <v>14513</v>
      </c>
      <c r="N135" s="26" t="s">
        <v>14514</v>
      </c>
      <c r="O135" s="27" t="s">
        <v>14515</v>
      </c>
      <c r="P135" s="28"/>
      <c r="Q135" s="29">
        <v>4</v>
      </c>
      <c r="R135" s="29">
        <v>16</v>
      </c>
      <c r="S135" s="29">
        <v>267.39</v>
      </c>
      <c r="T135" s="26" t="s">
        <v>146</v>
      </c>
      <c r="U135" s="30" t="s">
        <v>78</v>
      </c>
      <c r="V135" s="26" t="s">
        <v>129</v>
      </c>
      <c r="W135" s="38" t="s">
        <v>3723</v>
      </c>
      <c r="X135" s="26" t="s">
        <v>131</v>
      </c>
      <c r="Y135" s="26" t="s">
        <v>91</v>
      </c>
      <c r="Z135" s="26" t="s">
        <v>91</v>
      </c>
      <c r="AA135" s="26"/>
      <c r="AB135" s="36" t="s">
        <v>7</v>
      </c>
      <c r="AC135" s="30" t="s">
        <v>172</v>
      </c>
      <c r="AD135" s="25" t="s">
        <v>173</v>
      </c>
      <c r="AE135" s="25" t="s">
        <v>174</v>
      </c>
      <c r="AF135" s="26" t="s">
        <v>175</v>
      </c>
      <c r="AG135" s="32">
        <v>1</v>
      </c>
      <c r="AH135" s="32"/>
      <c r="AI135" s="32"/>
      <c r="AJ135" s="32"/>
      <c r="AK135" s="30"/>
      <c r="AL135" s="32">
        <f t="shared" si="3"/>
        <v>0</v>
      </c>
      <c r="AM135" s="30"/>
      <c r="AN135" s="32"/>
      <c r="AO135" s="32"/>
      <c r="AP135" s="32"/>
      <c r="AQ135" s="32"/>
      <c r="AR135" s="32"/>
      <c r="AS135" s="32"/>
      <c r="AT135" s="32"/>
      <c r="AU135" s="30"/>
      <c r="AV135" s="30"/>
      <c r="AW135" s="30"/>
      <c r="AX135" s="30"/>
      <c r="AY135" s="30"/>
    </row>
    <row r="136" spans="1:51">
      <c r="A136" s="25" t="s">
        <v>14516</v>
      </c>
      <c r="B136" s="25" t="s">
        <v>4398</v>
      </c>
      <c r="C136" s="25" t="s">
        <v>68</v>
      </c>
      <c r="D136" s="25" t="s">
        <v>14517</v>
      </c>
      <c r="E136" s="258" t="s">
        <v>14518</v>
      </c>
      <c r="F136" s="25" t="s">
        <v>14519</v>
      </c>
      <c r="G136" s="25" t="s">
        <v>5516</v>
      </c>
      <c r="H136" s="25" t="s">
        <v>11489</v>
      </c>
      <c r="I136" s="26" t="s">
        <v>4402</v>
      </c>
      <c r="J136" s="25" t="s">
        <v>13592</v>
      </c>
      <c r="K136" s="25">
        <v>9.1999999999999993</v>
      </c>
      <c r="L136" s="26" t="s">
        <v>73</v>
      </c>
      <c r="M136" s="26" t="s">
        <v>14520</v>
      </c>
      <c r="N136" s="26" t="s">
        <v>14521</v>
      </c>
      <c r="O136" s="27" t="s">
        <v>14522</v>
      </c>
      <c r="P136" s="28"/>
      <c r="Q136" s="29">
        <v>4</v>
      </c>
      <c r="R136" s="29">
        <v>16</v>
      </c>
      <c r="S136" s="29">
        <v>477.47</v>
      </c>
      <c r="T136" s="26" t="s">
        <v>146</v>
      </c>
      <c r="U136" s="30" t="s">
        <v>78</v>
      </c>
      <c r="V136" s="26" t="s">
        <v>129</v>
      </c>
      <c r="W136" s="38" t="s">
        <v>3723</v>
      </c>
      <c r="X136" s="26" t="s">
        <v>131</v>
      </c>
      <c r="Y136" s="26" t="s">
        <v>91</v>
      </c>
      <c r="Z136" s="26" t="s">
        <v>91</v>
      </c>
      <c r="AA136" s="26"/>
      <c r="AB136" s="31" t="s">
        <v>21</v>
      </c>
      <c r="AC136" s="30" t="s">
        <v>172</v>
      </c>
      <c r="AD136" s="25" t="s">
        <v>173</v>
      </c>
      <c r="AE136" s="25" t="s">
        <v>174</v>
      </c>
      <c r="AF136" s="26" t="s">
        <v>175</v>
      </c>
      <c r="AG136" s="32">
        <v>1</v>
      </c>
      <c r="AH136" s="32"/>
      <c r="AI136" s="32"/>
      <c r="AJ136" s="32"/>
      <c r="AK136" s="30"/>
      <c r="AL136" s="32">
        <f t="shared" si="3"/>
        <v>0</v>
      </c>
      <c r="AM136" s="30"/>
      <c r="AN136" s="32"/>
      <c r="AO136" s="32"/>
      <c r="AP136" s="32"/>
      <c r="AQ136" s="32"/>
      <c r="AR136" s="32"/>
      <c r="AS136" s="32"/>
      <c r="AT136" s="32"/>
      <c r="AU136" s="30"/>
      <c r="AV136" s="30"/>
      <c r="AW136" s="30"/>
      <c r="AX136" s="30"/>
      <c r="AY136" s="30"/>
    </row>
    <row r="137" spans="1:51">
      <c r="A137" s="25" t="s">
        <v>14523</v>
      </c>
      <c r="B137" s="25" t="s">
        <v>4398</v>
      </c>
      <c r="C137" s="25" t="s">
        <v>68</v>
      </c>
      <c r="D137" s="25" t="s">
        <v>14524</v>
      </c>
      <c r="E137" s="258" t="s">
        <v>14525</v>
      </c>
      <c r="F137" s="25" t="s">
        <v>14526</v>
      </c>
      <c r="G137" s="25" t="s">
        <v>5516</v>
      </c>
      <c r="H137" s="25" t="s">
        <v>11489</v>
      </c>
      <c r="I137" s="26" t="s">
        <v>4402</v>
      </c>
      <c r="J137" s="25" t="s">
        <v>13592</v>
      </c>
      <c r="K137" s="25">
        <v>9.1999999999999993</v>
      </c>
      <c r="L137" s="26" t="s">
        <v>73</v>
      </c>
      <c r="M137" s="26" t="s">
        <v>14527</v>
      </c>
      <c r="N137" s="26" t="s">
        <v>14528</v>
      </c>
      <c r="O137" s="27" t="s">
        <v>14529</v>
      </c>
      <c r="P137" s="28"/>
      <c r="Q137" s="29">
        <v>4</v>
      </c>
      <c r="R137" s="29">
        <v>16</v>
      </c>
      <c r="S137" s="29">
        <v>266.83</v>
      </c>
      <c r="T137" s="26" t="s">
        <v>146</v>
      </c>
      <c r="U137" s="30" t="s">
        <v>78</v>
      </c>
      <c r="V137" s="26" t="s">
        <v>129</v>
      </c>
      <c r="W137" s="38" t="s">
        <v>3723</v>
      </c>
      <c r="X137" s="26" t="s">
        <v>131</v>
      </c>
      <c r="Y137" s="26" t="s">
        <v>91</v>
      </c>
      <c r="Z137" s="26" t="s">
        <v>91</v>
      </c>
      <c r="AA137" s="26"/>
      <c r="AB137" s="31" t="s">
        <v>21</v>
      </c>
      <c r="AC137" s="30" t="s">
        <v>172</v>
      </c>
      <c r="AD137" s="25" t="s">
        <v>173</v>
      </c>
      <c r="AE137" s="25" t="s">
        <v>174</v>
      </c>
      <c r="AF137" s="26" t="s">
        <v>175</v>
      </c>
      <c r="AG137" s="32">
        <v>1</v>
      </c>
      <c r="AH137" s="32"/>
      <c r="AI137" s="32"/>
      <c r="AJ137" s="32"/>
      <c r="AK137" s="30"/>
      <c r="AL137" s="32">
        <f t="shared" si="3"/>
        <v>0</v>
      </c>
      <c r="AM137" s="30"/>
      <c r="AN137" s="32"/>
      <c r="AO137" s="32"/>
      <c r="AP137" s="32"/>
      <c r="AQ137" s="32"/>
      <c r="AR137" s="32"/>
      <c r="AS137" s="32"/>
      <c r="AT137" s="32"/>
      <c r="AU137" s="30"/>
      <c r="AV137" s="30"/>
      <c r="AW137" s="30"/>
      <c r="AX137" s="30"/>
      <c r="AY137" s="30"/>
    </row>
    <row r="138" spans="1:51">
      <c r="A138" s="40" t="s">
        <v>14530</v>
      </c>
      <c r="B138" s="40" t="s">
        <v>4398</v>
      </c>
      <c r="C138" s="40" t="s">
        <v>68</v>
      </c>
      <c r="D138" s="40" t="s">
        <v>14531</v>
      </c>
      <c r="E138" s="261" t="s">
        <v>14532</v>
      </c>
      <c r="F138" s="40" t="s">
        <v>14533</v>
      </c>
      <c r="G138" s="40" t="s">
        <v>5516</v>
      </c>
      <c r="H138" s="40" t="s">
        <v>11489</v>
      </c>
      <c r="I138" s="41" t="s">
        <v>4402</v>
      </c>
      <c r="J138" s="40" t="s">
        <v>13592</v>
      </c>
      <c r="K138" s="25">
        <v>9.1999999999999993</v>
      </c>
      <c r="L138" s="41" t="s">
        <v>73</v>
      </c>
      <c r="M138" s="41" t="s">
        <v>14534</v>
      </c>
      <c r="N138" s="41" t="s">
        <v>14535</v>
      </c>
      <c r="O138" s="27" t="s">
        <v>14536</v>
      </c>
      <c r="P138" s="42"/>
      <c r="Q138" s="29">
        <v>4</v>
      </c>
      <c r="R138" s="29">
        <v>16</v>
      </c>
      <c r="S138" s="29">
        <v>266.83</v>
      </c>
      <c r="T138" s="26" t="s">
        <v>146</v>
      </c>
      <c r="U138" s="30" t="s">
        <v>78</v>
      </c>
      <c r="V138" s="26" t="s">
        <v>129</v>
      </c>
      <c r="W138" s="38" t="s">
        <v>3723</v>
      </c>
      <c r="X138" s="26" t="s">
        <v>131</v>
      </c>
      <c r="Y138" s="26" t="s">
        <v>91</v>
      </c>
      <c r="Z138" s="26" t="s">
        <v>91</v>
      </c>
      <c r="AA138" s="41"/>
      <c r="AB138" s="31" t="s">
        <v>21</v>
      </c>
      <c r="AC138" s="30" t="s">
        <v>172</v>
      </c>
      <c r="AD138" s="25" t="s">
        <v>173</v>
      </c>
      <c r="AE138" s="25" t="s">
        <v>174</v>
      </c>
      <c r="AF138" s="26" t="s">
        <v>175</v>
      </c>
      <c r="AG138" s="32">
        <v>1</v>
      </c>
      <c r="AH138" s="43"/>
      <c r="AI138" s="43"/>
      <c r="AJ138" s="43"/>
      <c r="AK138" s="44"/>
      <c r="AL138" s="43">
        <f t="shared" si="3"/>
        <v>0</v>
      </c>
      <c r="AM138" s="44"/>
      <c r="AN138" s="43"/>
      <c r="AO138" s="43"/>
      <c r="AP138" s="43"/>
      <c r="AQ138" s="43"/>
      <c r="AR138" s="43"/>
      <c r="AS138" s="43"/>
      <c r="AT138" s="43"/>
      <c r="AU138" s="44"/>
      <c r="AV138" s="44"/>
      <c r="AW138" s="44"/>
      <c r="AX138" s="44"/>
      <c r="AY138" s="44"/>
    </row>
    <row r="139" spans="1:51">
      <c r="A139" s="25" t="s">
        <v>14537</v>
      </c>
      <c r="B139" s="25" t="s">
        <v>4398</v>
      </c>
      <c r="C139" s="25" t="s">
        <v>68</v>
      </c>
      <c r="D139" s="25" t="s">
        <v>14538</v>
      </c>
      <c r="E139" s="258" t="s">
        <v>14539</v>
      </c>
      <c r="F139" s="25" t="s">
        <v>14540</v>
      </c>
      <c r="G139" s="25" t="s">
        <v>5516</v>
      </c>
      <c r="H139" s="25" t="s">
        <v>11489</v>
      </c>
      <c r="I139" s="26" t="s">
        <v>4402</v>
      </c>
      <c r="J139" s="25" t="s">
        <v>13592</v>
      </c>
      <c r="K139" s="25">
        <v>9.1999999999999993</v>
      </c>
      <c r="L139" s="26" t="s">
        <v>73</v>
      </c>
      <c r="M139" s="26" t="s">
        <v>14541</v>
      </c>
      <c r="N139" s="26" t="s">
        <v>14542</v>
      </c>
      <c r="O139" s="27" t="s">
        <v>14543</v>
      </c>
      <c r="P139" s="28"/>
      <c r="Q139" s="29">
        <v>4</v>
      </c>
      <c r="R139" s="29">
        <v>16</v>
      </c>
      <c r="S139" s="29">
        <v>286.18</v>
      </c>
      <c r="T139" s="26" t="s">
        <v>146</v>
      </c>
      <c r="U139" s="30" t="s">
        <v>78</v>
      </c>
      <c r="V139" s="26" t="s">
        <v>129</v>
      </c>
      <c r="W139" s="38" t="s">
        <v>3723</v>
      </c>
      <c r="X139" s="26" t="s">
        <v>131</v>
      </c>
      <c r="Y139" s="26" t="s">
        <v>91</v>
      </c>
      <c r="Z139" s="26" t="s">
        <v>91</v>
      </c>
      <c r="AA139" s="26"/>
      <c r="AB139" s="31" t="s">
        <v>21</v>
      </c>
      <c r="AC139" s="30" t="s">
        <v>172</v>
      </c>
      <c r="AD139" s="25" t="s">
        <v>173</v>
      </c>
      <c r="AE139" s="25" t="s">
        <v>174</v>
      </c>
      <c r="AF139" s="26" t="s">
        <v>175</v>
      </c>
      <c r="AG139" s="32">
        <v>1</v>
      </c>
      <c r="AH139" s="32"/>
      <c r="AI139" s="32"/>
      <c r="AJ139" s="32"/>
      <c r="AK139" s="30"/>
      <c r="AL139" s="32">
        <f t="shared" si="3"/>
        <v>0</v>
      </c>
      <c r="AM139" s="30"/>
      <c r="AN139" s="32"/>
      <c r="AO139" s="32"/>
      <c r="AP139" s="32"/>
      <c r="AQ139" s="32"/>
      <c r="AR139" s="32"/>
      <c r="AS139" s="32"/>
      <c r="AT139" s="32"/>
      <c r="AU139" s="30"/>
      <c r="AV139" s="30"/>
      <c r="AW139" s="30"/>
      <c r="AX139" s="30"/>
      <c r="AY139" s="30"/>
    </row>
    <row r="140" spans="1:51">
      <c r="A140" s="25" t="s">
        <v>14544</v>
      </c>
      <c r="B140" s="25" t="s">
        <v>4398</v>
      </c>
      <c r="C140" s="25" t="s">
        <v>68</v>
      </c>
      <c r="D140" s="25" t="s">
        <v>14545</v>
      </c>
      <c r="E140" s="258" t="s">
        <v>14546</v>
      </c>
      <c r="F140" s="25" t="s">
        <v>14547</v>
      </c>
      <c r="G140" s="25" t="s">
        <v>5516</v>
      </c>
      <c r="H140" s="25" t="s">
        <v>11489</v>
      </c>
      <c r="I140" s="26" t="s">
        <v>4402</v>
      </c>
      <c r="J140" s="25" t="s">
        <v>13592</v>
      </c>
      <c r="K140" s="25">
        <v>9.1999999999999993</v>
      </c>
      <c r="L140" s="26" t="s">
        <v>73</v>
      </c>
      <c r="M140" s="26" t="s">
        <v>14548</v>
      </c>
      <c r="N140" s="26" t="s">
        <v>14549</v>
      </c>
      <c r="O140" s="27" t="s">
        <v>14550</v>
      </c>
      <c r="P140" s="28"/>
      <c r="Q140" s="29">
        <v>4</v>
      </c>
      <c r="R140" s="29">
        <v>16</v>
      </c>
      <c r="S140" s="29">
        <v>266.16000000000003</v>
      </c>
      <c r="T140" s="26" t="s">
        <v>146</v>
      </c>
      <c r="U140" s="30" t="s">
        <v>78</v>
      </c>
      <c r="V140" s="26" t="s">
        <v>129</v>
      </c>
      <c r="W140" s="38" t="s">
        <v>3723</v>
      </c>
      <c r="X140" s="26" t="s">
        <v>131</v>
      </c>
      <c r="Y140" s="26" t="s">
        <v>91</v>
      </c>
      <c r="Z140" s="26" t="s">
        <v>91</v>
      </c>
      <c r="AA140" s="26"/>
      <c r="AB140" s="31" t="s">
        <v>21</v>
      </c>
      <c r="AC140" s="30" t="s">
        <v>172</v>
      </c>
      <c r="AD140" s="25" t="s">
        <v>173</v>
      </c>
      <c r="AE140" s="25" t="s">
        <v>174</v>
      </c>
      <c r="AF140" s="26" t="s">
        <v>175</v>
      </c>
      <c r="AG140" s="32">
        <v>1</v>
      </c>
      <c r="AH140" s="32"/>
      <c r="AI140" s="32"/>
      <c r="AJ140" s="32"/>
      <c r="AK140" s="30"/>
      <c r="AL140" s="32">
        <f t="shared" si="3"/>
        <v>0</v>
      </c>
      <c r="AM140" s="30"/>
      <c r="AN140" s="32"/>
      <c r="AO140" s="32"/>
      <c r="AP140" s="32"/>
      <c r="AQ140" s="32"/>
      <c r="AR140" s="32"/>
      <c r="AS140" s="32"/>
      <c r="AT140" s="32"/>
      <c r="AU140" s="30"/>
      <c r="AV140" s="30"/>
      <c r="AW140" s="30"/>
      <c r="AX140" s="30"/>
      <c r="AY140" s="30"/>
    </row>
    <row r="141" spans="1:51">
      <c r="A141" s="25" t="s">
        <v>14551</v>
      </c>
      <c r="B141" s="25" t="s">
        <v>4398</v>
      </c>
      <c r="C141" s="25" t="s">
        <v>68</v>
      </c>
      <c r="D141" s="25" t="s">
        <v>14552</v>
      </c>
      <c r="E141" s="258" t="s">
        <v>14553</v>
      </c>
      <c r="F141" s="25" t="s">
        <v>14554</v>
      </c>
      <c r="G141" s="25" t="s">
        <v>5516</v>
      </c>
      <c r="H141" s="25" t="s">
        <v>11489</v>
      </c>
      <c r="I141" s="26" t="s">
        <v>4402</v>
      </c>
      <c r="J141" s="25" t="s">
        <v>13592</v>
      </c>
      <c r="K141" s="25" t="s">
        <v>11500</v>
      </c>
      <c r="L141" s="26" t="s">
        <v>73</v>
      </c>
      <c r="M141" s="26" t="s">
        <v>14555</v>
      </c>
      <c r="N141" s="26" t="s">
        <v>14556</v>
      </c>
      <c r="O141" s="27" t="s">
        <v>14557</v>
      </c>
      <c r="P141" s="28" t="s">
        <v>11500</v>
      </c>
      <c r="Q141" s="29">
        <v>4</v>
      </c>
      <c r="R141" s="29">
        <v>16</v>
      </c>
      <c r="S141" s="29">
        <v>286.29000000000002</v>
      </c>
      <c r="T141" s="30"/>
      <c r="U141" s="30"/>
      <c r="V141" s="30"/>
      <c r="W141" s="38"/>
      <c r="X141" s="26"/>
      <c r="Y141" s="26"/>
      <c r="Z141" s="26"/>
      <c r="AA141" s="26"/>
      <c r="AB141" s="31"/>
      <c r="AC141" s="30" t="s">
        <v>172</v>
      </c>
      <c r="AD141" s="25" t="s">
        <v>173</v>
      </c>
      <c r="AE141" s="25" t="s">
        <v>174</v>
      </c>
      <c r="AF141" s="26" t="s">
        <v>175</v>
      </c>
      <c r="AG141" s="32"/>
      <c r="AH141" s="32"/>
      <c r="AI141" s="32"/>
      <c r="AJ141" s="32"/>
      <c r="AK141" s="30"/>
      <c r="AL141" s="32">
        <f t="shared" si="3"/>
        <v>0</v>
      </c>
      <c r="AM141" s="30"/>
      <c r="AN141" s="32"/>
      <c r="AO141" s="32"/>
      <c r="AP141" s="32"/>
      <c r="AQ141" s="32"/>
      <c r="AR141" s="32"/>
      <c r="AS141" s="32"/>
      <c r="AT141" s="32"/>
      <c r="AU141" s="30"/>
      <c r="AV141" s="30"/>
      <c r="AW141" s="30"/>
      <c r="AX141" s="30"/>
      <c r="AY141" s="30"/>
    </row>
    <row r="142" spans="1:51">
      <c r="A142" s="25" t="s">
        <v>14558</v>
      </c>
      <c r="B142" s="25" t="s">
        <v>4398</v>
      </c>
      <c r="C142" s="25" t="s">
        <v>68</v>
      </c>
      <c r="D142" s="25" t="s">
        <v>14559</v>
      </c>
      <c r="E142" s="258" t="s">
        <v>14560</v>
      </c>
      <c r="F142" s="25" t="s">
        <v>14561</v>
      </c>
      <c r="G142" s="25" t="s">
        <v>5516</v>
      </c>
      <c r="H142" s="25" t="s">
        <v>11489</v>
      </c>
      <c r="I142" s="26" t="s">
        <v>4402</v>
      </c>
      <c r="J142" s="25" t="s">
        <v>13592</v>
      </c>
      <c r="K142" s="25">
        <v>9.1999999999999993</v>
      </c>
      <c r="L142" s="26" t="s">
        <v>73</v>
      </c>
      <c r="M142" s="26" t="s">
        <v>14562</v>
      </c>
      <c r="N142" s="26" t="s">
        <v>14563</v>
      </c>
      <c r="O142" s="27" t="s">
        <v>14564</v>
      </c>
      <c r="P142" s="28"/>
      <c r="Q142" s="29">
        <v>4</v>
      </c>
      <c r="R142" s="29">
        <v>16</v>
      </c>
      <c r="S142" s="29">
        <v>367.38</v>
      </c>
      <c r="T142" s="26" t="s">
        <v>146</v>
      </c>
      <c r="U142" s="30" t="s">
        <v>78</v>
      </c>
      <c r="V142" s="26" t="s">
        <v>129</v>
      </c>
      <c r="W142" s="38" t="s">
        <v>3723</v>
      </c>
      <c r="X142" s="26" t="s">
        <v>131</v>
      </c>
      <c r="Y142" s="26" t="s">
        <v>91</v>
      </c>
      <c r="Z142" s="26" t="s">
        <v>91</v>
      </c>
      <c r="AA142" s="26"/>
      <c r="AB142" s="31" t="s">
        <v>21</v>
      </c>
      <c r="AC142" s="30" t="s">
        <v>172</v>
      </c>
      <c r="AD142" s="25" t="s">
        <v>173</v>
      </c>
      <c r="AE142" s="25" t="s">
        <v>174</v>
      </c>
      <c r="AF142" s="26" t="s">
        <v>175</v>
      </c>
      <c r="AG142" s="32">
        <v>1</v>
      </c>
      <c r="AH142" s="32"/>
      <c r="AI142" s="32"/>
      <c r="AJ142" s="32"/>
      <c r="AK142" s="30"/>
      <c r="AL142" s="32">
        <f t="shared" si="3"/>
        <v>0</v>
      </c>
      <c r="AM142" s="30"/>
      <c r="AN142" s="32"/>
      <c r="AO142" s="32"/>
      <c r="AP142" s="32"/>
      <c r="AQ142" s="32"/>
      <c r="AR142" s="32"/>
      <c r="AS142" s="32"/>
      <c r="AT142" s="32"/>
      <c r="AU142" s="30"/>
      <c r="AV142" s="30"/>
      <c r="AW142" s="30"/>
      <c r="AX142" s="30"/>
      <c r="AY142" s="30"/>
    </row>
    <row r="143" spans="1:51">
      <c r="A143" s="25" t="s">
        <v>14565</v>
      </c>
      <c r="B143" s="25" t="s">
        <v>4398</v>
      </c>
      <c r="C143" s="25" t="s">
        <v>68</v>
      </c>
      <c r="D143" s="25" t="s">
        <v>14566</v>
      </c>
      <c r="E143" s="258" t="s">
        <v>14567</v>
      </c>
      <c r="F143" s="25" t="s">
        <v>14568</v>
      </c>
      <c r="G143" s="25" t="s">
        <v>5516</v>
      </c>
      <c r="H143" s="25" t="s">
        <v>11489</v>
      </c>
      <c r="I143" s="26" t="s">
        <v>4402</v>
      </c>
      <c r="J143" s="25" t="s">
        <v>13592</v>
      </c>
      <c r="K143" s="25">
        <v>9.1999999999999993</v>
      </c>
      <c r="L143" s="26" t="s">
        <v>73</v>
      </c>
      <c r="M143" s="26" t="s">
        <v>14569</v>
      </c>
      <c r="N143" s="26" t="s">
        <v>14570</v>
      </c>
      <c r="O143" s="27" t="s">
        <v>14571</v>
      </c>
      <c r="P143" s="28"/>
      <c r="Q143" s="29">
        <v>4</v>
      </c>
      <c r="R143" s="29">
        <v>16</v>
      </c>
      <c r="S143" s="29">
        <v>266.75</v>
      </c>
      <c r="T143" s="26" t="s">
        <v>146</v>
      </c>
      <c r="U143" s="30" t="s">
        <v>78</v>
      </c>
      <c r="V143" s="26" t="s">
        <v>129</v>
      </c>
      <c r="W143" s="38" t="s">
        <v>3723</v>
      </c>
      <c r="X143" s="26" t="s">
        <v>131</v>
      </c>
      <c r="Y143" s="26" t="s">
        <v>91</v>
      </c>
      <c r="Z143" s="26" t="s">
        <v>91</v>
      </c>
      <c r="AA143" s="26"/>
      <c r="AB143" s="31" t="s">
        <v>21</v>
      </c>
      <c r="AC143" s="30" t="s">
        <v>172</v>
      </c>
      <c r="AD143" s="25" t="s">
        <v>173</v>
      </c>
      <c r="AE143" s="25" t="s">
        <v>174</v>
      </c>
      <c r="AF143" s="26" t="s">
        <v>175</v>
      </c>
      <c r="AG143" s="32">
        <v>1</v>
      </c>
      <c r="AH143" s="32"/>
      <c r="AI143" s="32"/>
      <c r="AJ143" s="32"/>
      <c r="AK143" s="30"/>
      <c r="AL143" s="32">
        <f t="shared" si="3"/>
        <v>0</v>
      </c>
      <c r="AM143" s="30"/>
      <c r="AN143" s="32"/>
      <c r="AO143" s="32"/>
      <c r="AP143" s="32"/>
      <c r="AQ143" s="32"/>
      <c r="AR143" s="32"/>
      <c r="AS143" s="30"/>
      <c r="AT143" s="32"/>
      <c r="AU143" s="30"/>
      <c r="AV143" s="30"/>
      <c r="AW143" s="30"/>
      <c r="AX143" s="30"/>
      <c r="AY143" s="30"/>
    </row>
    <row r="144" spans="1:51">
      <c r="A144" s="25" t="s">
        <v>13027</v>
      </c>
      <c r="B144" s="25" t="s">
        <v>4398</v>
      </c>
      <c r="C144" s="25" t="s">
        <v>68</v>
      </c>
      <c r="D144" s="25" t="s">
        <v>13028</v>
      </c>
      <c r="E144" s="258" t="s">
        <v>13029</v>
      </c>
      <c r="F144" s="25" t="s">
        <v>13030</v>
      </c>
      <c r="G144" s="25" t="s">
        <v>5516</v>
      </c>
      <c r="H144" s="25" t="s">
        <v>11489</v>
      </c>
      <c r="I144" s="26" t="s">
        <v>4402</v>
      </c>
      <c r="J144" s="25" t="s">
        <v>13592</v>
      </c>
      <c r="K144" s="25">
        <v>9.1999999999999993</v>
      </c>
      <c r="L144" s="26" t="s">
        <v>73</v>
      </c>
      <c r="M144" s="26" t="s">
        <v>13031</v>
      </c>
      <c r="N144" s="26" t="s">
        <v>13032</v>
      </c>
      <c r="O144" s="27" t="s">
        <v>14572</v>
      </c>
      <c r="P144" s="45"/>
      <c r="Q144" s="29">
        <v>4</v>
      </c>
      <c r="R144" s="29">
        <v>16</v>
      </c>
      <c r="S144" s="29">
        <v>408.04</v>
      </c>
      <c r="T144" s="26" t="s">
        <v>146</v>
      </c>
      <c r="U144" s="30" t="s">
        <v>78</v>
      </c>
      <c r="V144" s="26" t="s">
        <v>129</v>
      </c>
      <c r="W144" s="38" t="s">
        <v>3233</v>
      </c>
      <c r="X144" s="26" t="s">
        <v>131</v>
      </c>
      <c r="Y144" s="26" t="s">
        <v>91</v>
      </c>
      <c r="Z144" s="26" t="s">
        <v>91</v>
      </c>
      <c r="AA144" s="26"/>
      <c r="AB144" s="31" t="s">
        <v>9</v>
      </c>
      <c r="AC144" s="30" t="s">
        <v>172</v>
      </c>
      <c r="AD144" s="25" t="s">
        <v>173</v>
      </c>
      <c r="AE144" s="25" t="s">
        <v>174</v>
      </c>
      <c r="AF144" s="26"/>
      <c r="AG144" s="32">
        <v>1</v>
      </c>
      <c r="AH144" s="32"/>
      <c r="AI144" s="32"/>
      <c r="AJ144" s="32"/>
      <c r="AK144" s="30"/>
      <c r="AL144" s="32">
        <f t="shared" si="3"/>
        <v>0</v>
      </c>
      <c r="AM144" s="30"/>
      <c r="AN144" s="32"/>
      <c r="AO144" s="32"/>
      <c r="AP144" s="32"/>
      <c r="AQ144" s="32"/>
      <c r="AR144" s="32"/>
      <c r="AS144" s="30"/>
      <c r="AT144" s="32"/>
      <c r="AU144" s="30"/>
      <c r="AV144" s="30"/>
      <c r="AW144" s="30"/>
      <c r="AX144" s="30"/>
      <c r="AY144" s="30"/>
    </row>
    <row r="145" spans="1:51" ht="22.25" customHeight="1">
      <c r="A145" s="40" t="s">
        <v>11657</v>
      </c>
      <c r="B145" s="40" t="s">
        <v>4398</v>
      </c>
      <c r="C145" s="40" t="s">
        <v>68</v>
      </c>
      <c r="D145" s="40" t="s">
        <v>11658</v>
      </c>
      <c r="E145" s="261" t="s">
        <v>11659</v>
      </c>
      <c r="F145" s="40" t="s">
        <v>11660</v>
      </c>
      <c r="G145" s="40" t="s">
        <v>5516</v>
      </c>
      <c r="H145" s="40" t="s">
        <v>11489</v>
      </c>
      <c r="I145" s="41" t="s">
        <v>4402</v>
      </c>
      <c r="J145" s="40" t="s">
        <v>13592</v>
      </c>
      <c r="K145" s="40">
        <v>9.1999999999999993</v>
      </c>
      <c r="L145" s="41" t="s">
        <v>73</v>
      </c>
      <c r="M145" s="41" t="s">
        <v>11661</v>
      </c>
      <c r="N145" s="26" t="s">
        <v>11662</v>
      </c>
      <c r="O145" s="27" t="s">
        <v>14573</v>
      </c>
      <c r="P145" s="42"/>
      <c r="Q145" s="46">
        <v>8</v>
      </c>
      <c r="R145" s="46">
        <v>32</v>
      </c>
      <c r="S145" s="46">
        <v>400.47</v>
      </c>
      <c r="T145" s="41" t="s">
        <v>146</v>
      </c>
      <c r="U145" s="44" t="s">
        <v>78</v>
      </c>
      <c r="V145" s="41" t="s">
        <v>129</v>
      </c>
      <c r="W145" s="41" t="s">
        <v>3323</v>
      </c>
      <c r="X145" s="41" t="s">
        <v>131</v>
      </c>
      <c r="Y145" s="41" t="s">
        <v>91</v>
      </c>
      <c r="Z145" s="41" t="s">
        <v>91</v>
      </c>
      <c r="AA145" s="44"/>
      <c r="AB145" s="47" t="s">
        <v>11</v>
      </c>
      <c r="AC145" s="44" t="s">
        <v>172</v>
      </c>
      <c r="AD145" s="40" t="s">
        <v>173</v>
      </c>
      <c r="AE145" s="40" t="s">
        <v>174</v>
      </c>
      <c r="AF145" s="44"/>
      <c r="AG145" s="32">
        <v>1</v>
      </c>
      <c r="AH145" s="43"/>
      <c r="AI145" s="43"/>
      <c r="AJ145" s="43"/>
      <c r="AK145" s="44"/>
      <c r="AL145" s="32">
        <f t="shared" si="3"/>
        <v>0</v>
      </c>
      <c r="AM145" s="44"/>
      <c r="AN145" s="43"/>
      <c r="AO145" s="43"/>
      <c r="AP145" s="43"/>
      <c r="AQ145" s="43"/>
      <c r="AR145" s="43"/>
      <c r="AS145" s="43"/>
      <c r="AT145" s="43"/>
      <c r="AU145" s="44"/>
      <c r="AV145" s="44"/>
      <c r="AW145" s="44"/>
      <c r="AX145" s="44"/>
      <c r="AY145" s="44"/>
    </row>
    <row r="146" spans="1:51" ht="32" customHeight="1">
      <c r="A146" s="25" t="s">
        <v>124</v>
      </c>
      <c r="B146" s="48" t="s">
        <v>125</v>
      </c>
      <c r="C146" s="25" t="s">
        <v>68</v>
      </c>
      <c r="D146" s="25" t="s">
        <v>83</v>
      </c>
      <c r="E146" s="48" t="s">
        <v>70</v>
      </c>
      <c r="F146" s="48" t="s">
        <v>70</v>
      </c>
      <c r="G146" s="25"/>
      <c r="H146" s="25"/>
      <c r="I146" s="25"/>
      <c r="J146" s="25" t="s">
        <v>13592</v>
      </c>
      <c r="K146" s="25">
        <v>9.1999999999999993</v>
      </c>
      <c r="L146" s="26" t="s">
        <v>73</v>
      </c>
      <c r="M146" s="49" t="s">
        <v>14574</v>
      </c>
      <c r="N146" s="49" t="s">
        <v>14575</v>
      </c>
      <c r="O146" s="27" t="s">
        <v>14576</v>
      </c>
      <c r="P146" s="50" t="s">
        <v>125</v>
      </c>
      <c r="Q146" s="29">
        <v>4</v>
      </c>
      <c r="R146" s="29">
        <v>16</v>
      </c>
      <c r="S146" s="29">
        <v>266.10000000000002</v>
      </c>
      <c r="T146" s="26" t="s">
        <v>146</v>
      </c>
      <c r="U146" s="30" t="s">
        <v>78</v>
      </c>
      <c r="V146" s="26" t="s">
        <v>129</v>
      </c>
      <c r="W146" s="26" t="s">
        <v>147</v>
      </c>
      <c r="X146" s="26" t="s">
        <v>131</v>
      </c>
      <c r="Y146" s="26" t="s">
        <v>91</v>
      </c>
      <c r="Z146" s="26" t="s">
        <v>91</v>
      </c>
      <c r="AA146" s="30"/>
      <c r="AB146" s="31" t="s">
        <v>7</v>
      </c>
      <c r="AC146" s="30" t="s">
        <v>172</v>
      </c>
      <c r="AD146" s="25" t="s">
        <v>173</v>
      </c>
      <c r="AE146" s="25" t="s">
        <v>174</v>
      </c>
      <c r="AF146" s="30"/>
      <c r="AG146" s="32">
        <v>1</v>
      </c>
      <c r="AH146" s="32"/>
      <c r="AI146" s="32"/>
      <c r="AJ146" s="32"/>
      <c r="AK146" s="30"/>
      <c r="AL146" s="32">
        <f t="shared" si="3"/>
        <v>0</v>
      </c>
      <c r="AM146" s="30"/>
      <c r="AN146" s="32"/>
      <c r="AO146" s="32"/>
      <c r="AP146" s="32"/>
      <c r="AQ146" s="32"/>
      <c r="AR146" s="32"/>
      <c r="AS146" s="32"/>
      <c r="AT146" s="32"/>
      <c r="AU146" s="30"/>
      <c r="AV146" s="30"/>
      <c r="AW146" s="30"/>
      <c r="AX146" s="30"/>
      <c r="AY146" s="30"/>
    </row>
    <row r="147" spans="1:51" ht="28" customHeight="1">
      <c r="A147" s="25" t="s">
        <v>9274</v>
      </c>
      <c r="B147" s="48" t="s">
        <v>125</v>
      </c>
      <c r="C147" s="25" t="s">
        <v>68</v>
      </c>
      <c r="D147" s="26" t="s">
        <v>14577</v>
      </c>
      <c r="E147" s="48" t="s">
        <v>134</v>
      </c>
      <c r="F147" s="48" t="s">
        <v>134</v>
      </c>
      <c r="G147" s="51"/>
      <c r="H147" s="51"/>
      <c r="I147" s="30"/>
      <c r="J147" s="25" t="s">
        <v>13592</v>
      </c>
      <c r="K147" s="25">
        <v>9.1999999999999993</v>
      </c>
      <c r="L147" s="26" t="s">
        <v>73</v>
      </c>
      <c r="M147" s="49" t="s">
        <v>14578</v>
      </c>
      <c r="N147" s="49" t="s">
        <v>14579</v>
      </c>
      <c r="O147" s="27" t="s">
        <v>14580</v>
      </c>
      <c r="P147" s="39" t="s">
        <v>14581</v>
      </c>
      <c r="Q147" s="32"/>
      <c r="R147" s="32"/>
      <c r="S147" s="52"/>
      <c r="T147" s="26" t="s">
        <v>146</v>
      </c>
      <c r="U147" s="30" t="s">
        <v>78</v>
      </c>
      <c r="V147" s="26" t="s">
        <v>129</v>
      </c>
      <c r="W147" s="26" t="s">
        <v>147</v>
      </c>
      <c r="X147" s="26" t="s">
        <v>131</v>
      </c>
      <c r="Y147" s="26" t="s">
        <v>91</v>
      </c>
      <c r="Z147" s="26" t="s">
        <v>91</v>
      </c>
      <c r="AA147" s="30"/>
      <c r="AB147" s="31" t="s">
        <v>7</v>
      </c>
      <c r="AC147" s="30"/>
      <c r="AD147" s="32"/>
      <c r="AE147" s="32"/>
      <c r="AF147" s="30"/>
      <c r="AG147" s="32">
        <v>1</v>
      </c>
      <c r="AH147" s="32"/>
      <c r="AI147" s="32"/>
      <c r="AJ147" s="32"/>
      <c r="AK147" s="30"/>
      <c r="AL147" s="32">
        <f t="shared" si="3"/>
        <v>0</v>
      </c>
      <c r="AM147" s="30"/>
      <c r="AN147" s="32"/>
      <c r="AO147" s="32"/>
      <c r="AP147" s="32"/>
      <c r="AQ147" s="32"/>
      <c r="AR147" s="32"/>
      <c r="AS147" s="32"/>
      <c r="AT147" s="32"/>
      <c r="AU147" s="30"/>
      <c r="AV147" s="30"/>
      <c r="AW147" s="30"/>
      <c r="AX147" s="30"/>
      <c r="AY147" s="30"/>
    </row>
    <row r="148" spans="1:51" ht="25" customHeight="1">
      <c r="A148" s="25" t="s">
        <v>14582</v>
      </c>
      <c r="B148" s="48" t="s">
        <v>125</v>
      </c>
      <c r="C148" s="26" t="s">
        <v>73</v>
      </c>
      <c r="D148" s="26" t="s">
        <v>106</v>
      </c>
      <c r="E148" s="48" t="s">
        <v>14583</v>
      </c>
      <c r="F148" s="48" t="s">
        <v>14583</v>
      </c>
      <c r="G148" s="51"/>
      <c r="H148" s="51"/>
      <c r="I148" s="30"/>
      <c r="J148" s="25" t="s">
        <v>13592</v>
      </c>
      <c r="K148" s="25">
        <v>9.1999999999999993</v>
      </c>
      <c r="L148" s="26" t="s">
        <v>73</v>
      </c>
      <c r="M148" s="49" t="s">
        <v>14584</v>
      </c>
      <c r="N148" s="49" t="s">
        <v>14585</v>
      </c>
      <c r="O148" s="27" t="s">
        <v>14586</v>
      </c>
      <c r="P148" s="39" t="s">
        <v>14581</v>
      </c>
      <c r="Q148" s="32"/>
      <c r="R148" s="32"/>
      <c r="S148" s="32"/>
      <c r="T148" s="26" t="s">
        <v>146</v>
      </c>
      <c r="U148" s="30" t="s">
        <v>78</v>
      </c>
      <c r="V148" s="26" t="s">
        <v>129</v>
      </c>
      <c r="W148" s="26" t="s">
        <v>147</v>
      </c>
      <c r="X148" s="26" t="s">
        <v>131</v>
      </c>
      <c r="Y148" s="26" t="s">
        <v>91</v>
      </c>
      <c r="Z148" s="26" t="s">
        <v>91</v>
      </c>
      <c r="AA148" s="30"/>
      <c r="AB148" s="31" t="s">
        <v>7</v>
      </c>
      <c r="AC148" s="30"/>
      <c r="AD148" s="32"/>
      <c r="AE148" s="32"/>
      <c r="AF148" s="30"/>
      <c r="AG148" s="32">
        <v>1</v>
      </c>
      <c r="AH148" s="32"/>
      <c r="AI148" s="32"/>
      <c r="AJ148" s="32"/>
      <c r="AK148" s="30"/>
      <c r="AL148" s="32">
        <f t="shared" si="3"/>
        <v>0</v>
      </c>
      <c r="AM148" s="30"/>
      <c r="AN148" s="32"/>
      <c r="AO148" s="32"/>
      <c r="AP148" s="32"/>
      <c r="AQ148" s="32"/>
      <c r="AR148" s="32"/>
      <c r="AS148" s="32"/>
      <c r="AT148" s="32"/>
      <c r="AU148" s="30"/>
      <c r="AV148" s="30"/>
      <c r="AW148" s="30"/>
      <c r="AX148" s="30"/>
      <c r="AY148" s="30"/>
    </row>
  </sheetData>
  <sheetProtection sheet="1" formatCells="0" formatColumns="0" formatRows="0" insertColumns="0" insertRows="0" insertHyperlinks="0" deleteColumns="0" deleteRows="0" sort="0" autoFilter="0" pivotTables="0"/>
  <protectedRanges>
    <protectedRange sqref="A1:P1048576" name="Range1"/>
  </protectedRanges>
  <autoFilter ref="A1:AV148" xr:uid="{00000000-0009-0000-0000-00000E000000}"/>
  <sortState xmlns:xlrd2="http://schemas.microsoft.com/office/spreadsheetml/2017/richdata2" ref="A2:AZ143">
    <sortCondition ref="A143"/>
  </sortState>
  <phoneticPr fontId="67" type="noConversion"/>
  <conditionalFormatting sqref="E2:E146">
    <cfRule type="expression" dxfId="0" priority="1">
      <formula>AND(SUMPRODUCT(IFERROR(1*(($E$2:$E$146&amp;"x")=(E2&amp;"x")),0))&gt;1,NOT(ISBLANK(E2)))</formula>
    </cfRule>
  </conditionalFormatting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woProps xmlns="https://web.wps.cn/et/2018/main" xmlns:s="http://schemas.openxmlformats.org/spreadsheetml/2006/main">
  <woSheetsProps>
    <woSheetProps sheetStid="10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  <woSheetProps sheetStid="4" interlineOnOff="1" interlineColor="14542833" isDbSheet="0" isDashBoardSheet="0" isDbDashBoardSheet="0" isFlexPaperSheet="0">
      <cellprotection/>
      <appEtDbRelations/>
    </woSheetProps>
    <woSheetProps sheetStid="6" interlineOnOff="1" interlineColor="14542833" isDbSheet="0" isDashBoardSheet="0" isDbDashBoardSheet="0" isFlexPaperSheet="0">
      <cellprotection/>
      <appEtDbRelations/>
    </woSheetProps>
    <woSheetProps sheetStid="8" interlineOnOff="1" interlineColor="14542833" isDbSheet="0" isDashBoardSheet="0" isDbDashBoardSheet="0" isFlexPaperSheet="0">
      <cellprotection/>
      <appEtDbRelations/>
    </woSheetProps>
    <woSheetProps sheetStid="14" interlineOnOff="1" interlineColor="14542833" isDbSheet="0" isDashBoardSheet="0" isDbDashBoardSheet="0" isFlexPaperSheet="0">
      <cellprotection/>
      <appEtDbRelations/>
    </woSheetProps>
    <woSheetProps sheetStid="16" interlineOnOff="0" interlineColor="0" isDbSheet="0" isDashBoardSheet="0" isDbDashBoardSheet="0" isFlexPaperSheet="0">
      <cellprotection/>
      <appEtDbRelations/>
    </woSheetProps>
    <woSheetProps sheetStid="18" interlineOnOff="0" interlineColor="0" isDbSheet="0" isDashBoardSheet="0" isDbDashBoardSheet="0" isFlexPaperSheet="0">
      <cellprotection/>
      <appEtDbRelations/>
    </woSheetProps>
    <woSheetProps sheetStid="20" interlineOnOff="0" interlineColor="0" isDbSheet="0" isDashBoardSheet="0" isDbDashBoardSheet="0" isFlexPaperSheet="0">
      <cellprotection/>
      <appEtDbRelations/>
    </woSheetProps>
    <woSheetProps sheetStid="21" interlineOnOff="0" interlineColor="0" isDbSheet="0" isDashBoardSheet="0" isDbDashBoardSheet="0" isFlexPaperSheet="0">
      <cellprotection/>
      <appEtDbRelations/>
    </woSheetProps>
    <woSheetProps sheetStid="23" interlineOnOff="0" interlineColor="0" isDbSheet="0" isDashBoardSheet="0" isDbDashBoardSheet="0" isFlexPaperSheet="0">
      <cellprotection/>
      <appEtDbRelations/>
    </woSheetProps>
    <woSheetProps sheetStid="24" interlineOnOff="0" interlineColor="0" isDbSheet="0" isDashBoardSheet="0" isDbDashBoardSheet="0" isFlexPaperSheet="0">
      <cellprotection/>
      <appEtDbRelations/>
    </woSheetProps>
    <woSheetProps sheetStid="26" interlineOnOff="0" interlineColor="0" isDbSheet="0" isDashBoardSheet="0" isDbDashBoardSheet="0" isFlexPaperSheet="0">
      <cellprotection/>
      <appEtDbRelations/>
    </woSheetProps>
    <woSheetProps sheetStid="27" interlineOnOff="0" interlineColor="0" isDbSheet="0" isDashBoardSheet="0" isDbDashBoardSheet="0" isFlexPaperSheet="0">
      <cellprotection/>
      <appEtDbRelations/>
    </woSheetProps>
    <woSheetProps sheetStid="28" interlineOnOff="0" interlineColor="0" isDbSheet="0" isDashBoardSheet="0" isDbDashBoardSheet="0" isFlexPaperSheet="0">
      <cellprotection/>
      <appEtDbRelations/>
    </woSheetProps>
  </woSheetsProps>
  <woBookProps>
    <bookSettings fileId="523480451405" isFilterShared="0" woEtMtcEnabled="0" coreConquerUserId="" isAutoUpdatePaused="0" filterType="user" isMergeTasksAutoUpdate="0" isInserPicAsAttachment="0" supportDbFmlaDisp="0"/>
  </woBookProps>
</woProps>
</file>

<file path=customXml/item2.xml><?xml version="1.0" encoding="utf-8"?>
<comments xmlns="https://web.wps.cn/et/2018/main" xmlns:s="http://schemas.openxmlformats.org/spreadsheetml/2006/main" xmlns:r="http://schemas.openxmlformats.org/officeDocument/2006/relationships">
  <commentList sheetStid="4">
    <commentChains s:ref="D59" rgbClr="FF0000">
      <unresolved>
        <commentChain chainId="ff3b1a5f0b5c234fb3f577e82b4530bed15202a8">
          <item id="202d8cce34dcf2410070c1243569322481d2924d" userID="407522758" userName="汤健" dateTime="2026-05-22T02:56:11" isNormal="0">
            <s:text>
              <s:r>
                <s:t xml:space="preserve">桌面重发，更新了IP和桌面ID</s:t>
              </s:r>
            </s:text>
          </item>
        </commentChain>
      </unresolved>
      <resolved/>
    </commentChains>
    <commentChains s:ref="AP91" rgbClr="FF0000">
      <unresolved>
        <commentChain chainId="97d33717084aeab274153d2b38f7d3a55cb2f903">
          <item id="60d01f91a7cd31969b75d323637beaa3a530f45b" userID="407522758" userName="汤健" dateTime="2026-05-27T09:12:56" isNormal="0">
            <s:text>
              <s:r>
                <s:t xml:space="preserve">两天后，发现体验有点问题</s:t>
              </s:r>
            </s:text>
          </item>
        </commentChain>
      </unresolved>
      <resolved/>
    </commentChains>
  </commentList>
  <commentList sheetStid="14">
    <commentChains s:ref="AG91" rgbClr="FF0000">
      <unresolved>
        <commentChain chainId="27692d8db3bf8e1a40ac5d0088836bcd2f8d859e">
          <item id="ca347a7fad61c55ea36c00a92d33dc417b81f39e" userID="407522758" userName="汤健" dateTime="2026-06-12T01:43:50" isNormal="0">
            <s:text>
              <s:r>
                <s:t xml:space="preserve">安装setup报错，待排查</s:t>
              </s:r>
            </s:text>
          </item>
        </commentChain>
      </unresolved>
      <resolved/>
    </commentChains>
  </commentList>
</comments>
</file>

<file path=customXml/item3.xml><?xml version="1.0" encoding="utf-8"?>
<autofilters xmlns="https://web.wps.cn/et/2018/main">
  <sheetItem sheetStid="4">
    <filterData filterID="487275103"/>
  </sheetItem>
  <sheetItem sheetStid="6">
    <filterData filterID="487275103"/>
  </sheetItem>
  <sheetItem sheetStid="8">
    <filterData filterID="487275103"/>
  </sheetItem>
  <sheetItem sheetStid="16">
    <filterData filterID="487275103"/>
  </sheetItem>
  <sheetItem sheetStid="18">
    <filterData filterID="487275103">
      <hiddenRange rowFrom="51" rowTo="51"/>
      <hiddenRange rowFrom="69" rowTo="69"/>
      <hiddenRange rowFrom="78" rowTo="78"/>
      <hiddenRange rowFrom="106" rowTo="106"/>
    </filterData>
    <autofilterInfo filterID="487275103">
      <autoFilter xmlns="http://schemas.openxmlformats.org/spreadsheetml/2006/main" ref="A1:AU111">
        <filterColumn colId="44">
          <customFilters>
            <customFilter operator="equal" val="1"/>
          </customFilters>
        </filterColumn>
      </autoFilter>
    </autofilterInfo>
  </sheetItem>
  <sheetItem sheetStid="21">
    <filterData filterID="487275103"/>
  </sheetItem>
  <sheetItem sheetStid="26">
    <filterData filterID="515511742">
      <hiddenRange rowFrom="2" rowTo="2"/>
      <hiddenRange rowFrom="21" rowTo="21"/>
      <hiddenRange rowFrom="23" rowTo="24"/>
      <hiddenRange rowFrom="28" rowTo="29"/>
      <hiddenRange rowFrom="32" rowTo="32"/>
      <hiddenRange rowFrom="34" rowTo="37"/>
      <hiddenRange rowFrom="48" rowTo="59"/>
      <hiddenRange rowFrom="62" rowTo="62"/>
      <hiddenRange rowFrom="64" rowTo="67"/>
      <hiddenRange rowFrom="69" rowTo="69"/>
      <hiddenRange rowFrom="105" rowTo="147"/>
    </filterData>
    <filterData filterID="424518277">
      <hiddenRange rowFrom="1" rowTo="18"/>
      <hiddenRange rowFrom="28" rowTo="28"/>
      <hiddenRange rowFrom="37" rowTo="148"/>
    </filterData>
    <filterData filterID="1416672990"/>
    <autofilterInfo filterID="515511742">
      <autoFilter xmlns="http://schemas.openxmlformats.org/spreadsheetml/2006/main" ref="A1:AY149">
        <filterColumn colId="2">
          <customFilters>
            <customFilter operator="equal" val="电信"/>
          </customFilters>
        </filterColumn>
        <filterColumn colId="10">
          <customFilters>
            <customFilter operator="equal" val="8.19"/>
          </customFilters>
        </filterColumn>
      </autoFilter>
    </autofilterInfo>
    <autofilterInfo filterID="424518277">
      <autoFilter xmlns="http://schemas.openxmlformats.org/spreadsheetml/2006/main" ref="A1:AY149">
        <filterColumn colId="27">
          <customFilters>
            <customFilter operator="equal" val="10.191.240.11"/>
          </customFilters>
        </filterColumn>
      </autoFilter>
    </autofilterInfo>
  </sheetItem>
  <sheetItem sheetStid="27">
    <filterData filterID="690849087">
      <hiddenRange rowFrom="1" rowTo="20"/>
      <hiddenRange rowFrom="22" rowTo="71"/>
      <hiddenRange rowFrom="73" rowTo="93"/>
      <hiddenRange rowFrom="95" rowTo="147"/>
    </filterData>
    <filterData filterID="515511742">
      <hiddenRange rowFrom="2" rowTo="4"/>
      <hiddenRange rowFrom="7" rowTo="7"/>
      <hiddenRange rowFrom="9" rowTo="9"/>
      <hiddenRange rowFrom="16" rowTo="17"/>
      <hiddenRange rowFrom="23" rowTo="23"/>
      <hiddenRange rowFrom="27" rowTo="27"/>
      <hiddenRange rowFrom="29" rowTo="29"/>
      <hiddenRange rowFrom="34" rowTo="34"/>
      <hiddenRange rowFrom="45" rowTo="45"/>
      <hiddenRange rowFrom="50" rowTo="50"/>
      <hiddenRange rowFrom="53" rowTo="55"/>
      <hiddenRange rowFrom="64" rowTo="64"/>
      <hiddenRange rowFrom="80" rowTo="80"/>
      <hiddenRange rowFrom="91" rowTo="91"/>
      <hiddenRange rowFrom="105" rowTo="105"/>
      <hiddenRange rowFrom="114" rowTo="145"/>
      <hiddenRange rowFrom="147" rowTo="147"/>
    </filterData>
    <filterData filterID="487275103"/>
    <filterData filterID="407522758">
      <hiddenRange rowFrom="2" rowTo="4"/>
      <hiddenRange rowFrom="7" rowTo="7"/>
      <hiddenRange rowFrom="9" rowTo="9"/>
      <hiddenRange rowFrom="16" rowTo="17"/>
      <hiddenRange rowFrom="23" rowTo="23"/>
      <hiddenRange rowFrom="27" rowTo="27"/>
      <hiddenRange rowFrom="29" rowTo="29"/>
      <hiddenRange rowFrom="34" rowTo="34"/>
      <hiddenRange rowFrom="45" rowTo="45"/>
      <hiddenRange rowFrom="50" rowTo="50"/>
      <hiddenRange rowFrom="53" rowTo="55"/>
      <hiddenRange rowFrom="64" rowTo="64"/>
      <hiddenRange rowFrom="91" rowTo="91"/>
      <hiddenRange rowFrom="105" rowTo="105"/>
      <hiddenRange rowFrom="115" rowTo="115"/>
    </filterData>
    <filterData filterID="22518939">
      <hiddenRange rowFrom="2" rowTo="4"/>
      <hiddenRange rowFrom="7" rowTo="7"/>
      <hiddenRange rowFrom="9" rowTo="9"/>
      <hiddenRange rowFrom="16" rowTo="17"/>
      <hiddenRange rowFrom="23" rowTo="23"/>
      <hiddenRange rowFrom="27" rowTo="27"/>
      <hiddenRange rowFrom="29" rowTo="29"/>
      <hiddenRange rowFrom="34" rowTo="34"/>
      <hiddenRange rowFrom="45" rowTo="45"/>
      <hiddenRange rowFrom="50" rowTo="50"/>
      <hiddenRange rowFrom="53" rowTo="55"/>
      <hiddenRange rowFrom="91" rowTo="91"/>
      <hiddenRange rowFrom="105" rowTo="105"/>
    </filterData>
    <filterData filterID="1242492580">
      <hiddenRange rowFrom="2" rowTo="4"/>
      <hiddenRange rowFrom="7" rowTo="7"/>
      <hiddenRange rowFrom="9" rowTo="9"/>
      <hiddenRange rowFrom="16" rowTo="17"/>
      <hiddenRange rowFrom="23" rowTo="23"/>
      <hiddenRange rowFrom="27" rowTo="27"/>
      <hiddenRange rowFrom="29" rowTo="29"/>
      <hiddenRange rowFrom="34" rowTo="34"/>
      <hiddenRange rowFrom="45" rowTo="45"/>
      <hiddenRange rowFrom="50" rowTo="50"/>
      <hiddenRange rowFrom="53" rowTo="55"/>
      <hiddenRange rowFrom="64" rowTo="64"/>
      <hiddenRange rowFrom="91" rowTo="91"/>
      <hiddenRange rowFrom="105" rowTo="105"/>
      <hiddenRange rowFrom="115" rowTo="115"/>
    </filterData>
    <filterData filterID="279304826">
      <hiddenRange rowFrom="2" rowTo="4"/>
      <hiddenRange rowFrom="7" rowTo="7"/>
      <hiddenRange rowFrom="9" rowTo="9"/>
      <hiddenRange rowFrom="16" rowTo="17"/>
      <hiddenRange rowFrom="23" rowTo="23"/>
      <hiddenRange rowFrom="27" rowTo="27"/>
      <hiddenRange rowFrom="29" rowTo="29"/>
      <hiddenRange rowFrom="34" rowTo="34"/>
      <hiddenRange rowFrom="45" rowTo="45"/>
      <hiddenRange rowFrom="50" rowTo="50"/>
      <hiddenRange rowFrom="53" rowTo="55"/>
      <hiddenRange rowFrom="64" rowTo="64"/>
      <hiddenRange rowFrom="91" rowTo="91"/>
      <hiddenRange rowFrom="105" rowTo="105"/>
      <hiddenRange rowFrom="115" rowTo="115"/>
    </filterData>
    <filterData filterID="1416672990"/>
    <filterData filterID="424518277">
      <hiddenRange rowFrom="1" rowTo="18"/>
      <hiddenRange rowFrom="23" rowTo="23"/>
      <hiddenRange rowFrom="27" rowTo="27"/>
      <hiddenRange rowFrom="29" rowTo="29"/>
      <hiddenRange rowFrom="32" rowTo="32"/>
      <hiddenRange rowFrom="34" rowTo="34"/>
      <hiddenRange rowFrom="45" rowTo="45"/>
      <hiddenRange rowFrom="50" rowTo="50"/>
      <hiddenRange rowFrom="53" rowTo="147"/>
    </filterData>
    <filterData filterID="345121023">
      <hiddenRange rowFrom="2" rowTo="4"/>
      <hiddenRange rowFrom="7" rowTo="7"/>
      <hiddenRange rowFrom="9" rowTo="9"/>
      <hiddenRange rowFrom="16" rowTo="17"/>
      <hiddenRange rowFrom="23" rowTo="23"/>
      <hiddenRange rowFrom="27" rowTo="27"/>
      <hiddenRange rowFrom="29" rowTo="29"/>
      <hiddenRange rowFrom="34" rowTo="34"/>
      <hiddenRange rowFrom="45" rowTo="45"/>
      <hiddenRange rowFrom="50" rowTo="50"/>
      <hiddenRange rowFrom="53" rowTo="55"/>
      <hiddenRange rowFrom="64" rowTo="64"/>
      <hiddenRange rowFrom="91" rowTo="91"/>
      <hiddenRange rowFrom="105" rowTo="105"/>
      <hiddenRange rowFrom="115" rowTo="115"/>
    </filterData>
    <autofilterInfo filterID="1242492580">
      <autoFilter xmlns="http://schemas.openxmlformats.org/spreadsheetml/2006/main" ref="A1:AV148">
        <filterColumn colId="10">
          <customFilters>
            <customFilter operator="equal" val="8.21"/>
          </customFilters>
        </filterColumn>
      </autoFilter>
    </autofilterInfo>
    <autofilterInfo filterID="515511742">
      <autoFilter xmlns="http://schemas.openxmlformats.org/spreadsheetml/2006/main" ref="A1:AV148">
        <filterColumn colId="2">
          <customFilters>
            <customFilter operator="equal" val="电信"/>
          </customFilters>
        </filterColumn>
        <filterColumn colId="10">
          <customFilters>
            <customFilter operator="equal" val="8.21"/>
          </customFilters>
        </filterColumn>
      </autoFilter>
    </autofilterInfo>
    <autofilterInfo filterID="690849087">
      <autoFilter xmlns="http://schemas.openxmlformats.org/spreadsheetml/2006/main" ref="A1:AV148">
        <filterColumn colId="10">
          <customFilters>
            <customFilter operator="equal" val="8.21"/>
          </customFilters>
        </filterColumn>
        <filterColumn colId="45">
          <customFilters>
            <customFilter operator="equal" val="回退"/>
          </customFilters>
        </filterColumn>
      </autoFilter>
    </autofilterInfo>
    <autofilterInfo filterID="407522758">
      <autoFilter xmlns="http://schemas.openxmlformats.org/spreadsheetml/2006/main" ref="A1:AV148">
        <filterColumn colId="10">
          <customFilters>
            <customFilter operator="equal" val="8.21"/>
          </customFilters>
        </filterColumn>
      </autoFilter>
    </autofilterInfo>
    <autofilterInfo filterID="345121023">
      <autoFilter xmlns="http://schemas.openxmlformats.org/spreadsheetml/2006/main" ref="A1:AV148">
        <filterColumn colId="5">
          <colorFilter dxfId="2"/>
          <extLst>
            <colorFilter dxfId="0"/>
            <colorFilter dxfId="1"/>
            <dxfs count="2">
              <dxf>
                <fill>
                  <patternFill patternType="solid">
                    <fgColor rgb="FFFFFF00"/>
                    <bgColor rgb="FFFFFF00"/>
                  </patternFill>
                </fill>
              </dxf>
              <dxf>
                <fill>
                  <patternFill patternType="none"/>
                </fill>
              </dxf>
            </dxfs>
          </extLst>
        </filterColumn>
        <filterColumn colId="10">
          <customFilters>
            <customFilter operator="equal" val="8.21"/>
          </customFilters>
        </filterColumn>
        <filterColumn colId="15">
          <customFilters>
            <customFilter operator="equal" val=""/>
            <customFilter operator="equal" val="影子桌面"/>
          </customFilters>
        </filterColumn>
      </autoFilter>
    </autofilterInfo>
    <autofilterInfo filterID="424518277">
      <autoFilter xmlns="http://schemas.openxmlformats.org/spreadsheetml/2006/main" ref="A1:AV148">
        <filterColumn colId="25">
          <customFilters>
            <customFilter operator="equal" val="华泰证券-办公云桌面05"/>
          </customFilters>
        </filterColumn>
        <filterColumn colId="27">
          <customFilters>
            <customFilter operator="equal" val="10.191.240.11"/>
            <customFilter operator="equal" val="10.191.240.12"/>
          </customFilters>
        </filterColumn>
      </autoFilter>
    </autofilterInfo>
    <autofilterInfo filterID="279304826">
      <autoFilter xmlns="http://schemas.openxmlformats.org/spreadsheetml/2006/main" ref="A1:AV148">
        <filterColumn colId="10">
          <customFilters>
            <customFilter operator="equal" val="8.21"/>
          </customFilters>
        </filterColumn>
      </autoFilter>
    </autofilterInfo>
    <autofilterInfo filterID="22518939">
      <autoFilter xmlns="http://schemas.openxmlformats.org/spreadsheetml/2006/main" ref="A1:AV148">
        <filterColumn colId="10">
          <customFilters>
            <customFilter operator="equal" val="8.21"/>
          </customFilters>
        </filterColumn>
      </autoFilter>
    </autofilterInfo>
  </sheetItem>
  <sheetItem sheetStid="28">
    <filterData filterID="1242492580">
      <hiddenRange rowFrom="3" rowTo="3"/>
      <hiddenRange rowFrom="13" rowTo="13"/>
      <hiddenRange rowFrom="18" rowTo="18"/>
      <hiddenRange rowFrom="31" rowTo="31"/>
      <hiddenRange rowFrom="35" rowTo="35"/>
      <hiddenRange rowFrom="55" rowTo="55"/>
      <hiddenRange rowFrom="57" rowTo="57"/>
      <hiddenRange rowFrom="61" rowTo="61"/>
      <hiddenRange rowFrom="70" rowTo="70"/>
      <hiddenRange rowFrom="72" rowTo="74"/>
      <hiddenRange rowFrom="78" rowTo="78"/>
      <hiddenRange rowFrom="84" rowTo="84"/>
      <hiddenRange rowFrom="89" rowTo="89"/>
      <hiddenRange rowFrom="92" rowTo="92"/>
      <hiddenRange rowFrom="94" rowTo="94"/>
      <hiddenRange rowFrom="100" rowTo="100"/>
      <hiddenRange rowFrom="102" rowTo="102"/>
      <hiddenRange rowFrom="114" rowTo="115"/>
      <hiddenRange rowFrom="117" rowTo="118"/>
      <hiddenRange rowFrom="127" rowTo="127"/>
      <hiddenRange rowFrom="129" rowTo="129"/>
      <hiddenRange rowFrom="132" rowTo="133"/>
      <hiddenRange rowFrom="140" rowTo="140"/>
    </filterData>
    <filterData filterID="407522758">
      <hiddenRange rowFrom="3" rowTo="3"/>
      <hiddenRange rowFrom="13" rowTo="13"/>
      <hiddenRange rowFrom="18" rowTo="18"/>
      <hiddenRange rowFrom="31" rowTo="31"/>
      <hiddenRange rowFrom="35" rowTo="35"/>
      <hiddenRange rowFrom="55" rowTo="55"/>
      <hiddenRange rowFrom="57" rowTo="57"/>
      <hiddenRange rowFrom="61" rowTo="61"/>
      <hiddenRange rowFrom="70" rowTo="70"/>
      <hiddenRange rowFrom="72" rowTo="74"/>
      <hiddenRange rowFrom="78" rowTo="78"/>
      <hiddenRange rowFrom="84" rowTo="84"/>
      <hiddenRange rowFrom="89" rowTo="89"/>
      <hiddenRange rowFrom="92" rowTo="92"/>
      <hiddenRange rowFrom="94" rowTo="94"/>
      <hiddenRange rowFrom="100" rowTo="100"/>
      <hiddenRange rowFrom="102" rowTo="102"/>
      <hiddenRange rowFrom="114" rowTo="115"/>
      <hiddenRange rowFrom="117" rowTo="118"/>
      <hiddenRange rowFrom="127" rowTo="127"/>
      <hiddenRange rowFrom="129" rowTo="129"/>
      <hiddenRange rowFrom="132" rowTo="133"/>
      <hiddenRange rowFrom="140" rowTo="140"/>
    </filterData>
    <filterData filterID="515511742">
      <hiddenRange rowFrom="3" rowTo="3"/>
      <hiddenRange rowFrom="13" rowTo="13"/>
      <hiddenRange rowFrom="18" rowTo="18"/>
      <hiddenRange rowFrom="31" rowTo="31"/>
      <hiddenRange rowFrom="35" rowTo="35"/>
      <hiddenRange rowFrom="55" rowTo="55"/>
      <hiddenRange rowFrom="57" rowTo="57"/>
      <hiddenRange rowFrom="61" rowTo="61"/>
      <hiddenRange rowFrom="70" rowTo="70"/>
      <hiddenRange rowFrom="72" rowTo="74"/>
      <hiddenRange rowFrom="78" rowTo="78"/>
      <hiddenRange rowFrom="84" rowTo="84"/>
      <hiddenRange rowFrom="89" rowTo="89"/>
      <hiddenRange rowFrom="92" rowTo="92"/>
      <hiddenRange rowFrom="94" rowTo="94"/>
      <hiddenRange rowFrom="100" rowTo="100"/>
      <hiddenRange rowFrom="102" rowTo="102"/>
      <hiddenRange rowFrom="114" rowTo="115"/>
      <hiddenRange rowFrom="117" rowTo="118"/>
      <hiddenRange rowFrom="127" rowTo="127"/>
      <hiddenRange rowFrom="129" rowTo="129"/>
      <hiddenRange rowFrom="132" rowTo="133"/>
      <hiddenRange rowFrom="140" rowTo="140"/>
    </filterData>
    <filterData filterID="1416672990">
      <hiddenRange rowFrom="3" rowTo="3"/>
      <hiddenRange rowFrom="13" rowTo="13"/>
      <hiddenRange rowFrom="18" rowTo="18"/>
      <hiddenRange rowFrom="31" rowTo="31"/>
      <hiddenRange rowFrom="35" rowTo="35"/>
      <hiddenRange rowFrom="55" rowTo="55"/>
      <hiddenRange rowFrom="57" rowTo="57"/>
      <hiddenRange rowFrom="61" rowTo="61"/>
      <hiddenRange rowFrom="70" rowTo="70"/>
      <hiddenRange rowFrom="72" rowTo="74"/>
      <hiddenRange rowFrom="78" rowTo="78"/>
      <hiddenRange rowFrom="84" rowTo="84"/>
      <hiddenRange rowFrom="89" rowTo="89"/>
      <hiddenRange rowFrom="92" rowTo="92"/>
      <hiddenRange rowFrom="94" rowTo="94"/>
      <hiddenRange rowFrom="100" rowTo="100"/>
      <hiddenRange rowFrom="102" rowTo="102"/>
      <hiddenRange rowFrom="114" rowTo="115"/>
      <hiddenRange rowFrom="117" rowTo="118"/>
      <hiddenRange rowFrom="127" rowTo="127"/>
      <hiddenRange rowFrom="129" rowTo="129"/>
      <hiddenRange rowFrom="132" rowTo="133"/>
      <hiddenRange rowFrom="140" rowTo="140"/>
    </filterData>
    <filterData filterID="424518277">
      <hiddenRange rowFrom="1" rowTo="121"/>
      <hiddenRange rowFrom="127" rowTo="127"/>
      <hiddenRange rowFrom="129" rowTo="129"/>
      <hiddenRange rowFrom="132" rowTo="134"/>
      <hiddenRange rowFrom="140" rowTo="140"/>
      <hiddenRange rowFrom="143" rowTo="145"/>
    </filterData>
    <filterData filterID="487275103">
      <hiddenRange rowFrom="3" rowTo="3"/>
      <hiddenRange rowFrom="13" rowTo="13"/>
      <hiddenRange rowFrom="18" rowTo="18"/>
      <hiddenRange rowFrom="31" rowTo="31"/>
      <hiddenRange rowFrom="35" rowTo="35"/>
      <hiddenRange rowFrom="55" rowTo="55"/>
      <hiddenRange rowFrom="57" rowTo="57"/>
      <hiddenRange rowFrom="61" rowTo="61"/>
      <hiddenRange rowFrom="70" rowTo="70"/>
      <hiddenRange rowFrom="72" rowTo="74"/>
      <hiddenRange rowFrom="78" rowTo="78"/>
      <hiddenRange rowFrom="84" rowTo="84"/>
      <hiddenRange rowFrom="89" rowTo="89"/>
      <hiddenRange rowFrom="92" rowTo="92"/>
      <hiddenRange rowFrom="94" rowTo="94"/>
      <hiddenRange rowFrom="100" rowTo="100"/>
      <hiddenRange rowFrom="102" rowTo="102"/>
      <hiddenRange rowFrom="114" rowTo="115"/>
      <hiddenRange rowFrom="117" rowTo="118"/>
      <hiddenRange rowFrom="127" rowTo="127"/>
      <hiddenRange rowFrom="129" rowTo="129"/>
      <hiddenRange rowFrom="132" rowTo="133"/>
      <hiddenRange rowFrom="140" rowTo="140"/>
    </filterData>
    <filterData filterID="1571121833">
      <hiddenRange rowFrom="1" rowTo="111"/>
      <hiddenRange rowFrom="113" rowTo="147"/>
    </filterData>
    <filterData filterID="690849087">
      <hiddenRange rowFrom="3" rowTo="3"/>
      <hiddenRange rowFrom="13" rowTo="13"/>
      <hiddenRange rowFrom="18" rowTo="18"/>
      <hiddenRange rowFrom="31" rowTo="31"/>
      <hiddenRange rowFrom="35" rowTo="35"/>
      <hiddenRange rowFrom="55" rowTo="55"/>
      <hiddenRange rowFrom="57" rowTo="57"/>
      <hiddenRange rowFrom="61" rowTo="61"/>
      <hiddenRange rowFrom="70" rowTo="70"/>
      <hiddenRange rowFrom="72" rowTo="74"/>
      <hiddenRange rowFrom="78" rowTo="78"/>
      <hiddenRange rowFrom="84" rowTo="84"/>
      <hiddenRange rowFrom="89" rowTo="89"/>
      <hiddenRange rowFrom="92" rowTo="92"/>
      <hiddenRange rowFrom="94" rowTo="94"/>
      <hiddenRange rowFrom="100" rowTo="100"/>
      <hiddenRange rowFrom="102" rowTo="102"/>
      <hiddenRange rowFrom="114" rowTo="115"/>
      <hiddenRange rowFrom="117" rowTo="118"/>
      <hiddenRange rowFrom="127" rowTo="127"/>
      <hiddenRange rowFrom="129" rowTo="129"/>
      <hiddenRange rowFrom="132" rowTo="133"/>
      <hiddenRange rowFrom="140" rowTo="140"/>
    </filterData>
    <autofilterInfo filterID="1242492580">
      <autoFilter xmlns="http://schemas.openxmlformats.org/spreadsheetml/2006/main" ref="A1:AV148">
        <filterColumn colId="10">
          <customFilters>
            <customFilter operator="equal" val="9.2"/>
          </customFilters>
        </filterColumn>
      </autoFilter>
    </autofilterInfo>
    <autofilterInfo filterID="407522758">
      <autoFilter xmlns="http://schemas.openxmlformats.org/spreadsheetml/2006/main" ref="A1:AV148">
        <filterColumn colId="10">
          <customFilters>
            <customFilter operator="equal" val="9.2"/>
          </customFilters>
        </filterColumn>
      </autoFilter>
    </autofilterInfo>
    <autofilterInfo filterID="515511742">
      <autoFilter xmlns="http://schemas.openxmlformats.org/spreadsheetml/2006/main" ref="A1:AV148">
        <filterColumn colId="10">
          <customFilters>
            <customFilter operator="equal" val="9.2"/>
          </customFilters>
        </filterColumn>
      </autoFilter>
    </autofilterInfo>
    <autofilterInfo filterID="1416672990">
      <autoFilter xmlns="http://schemas.openxmlformats.org/spreadsheetml/2006/main" ref="A1:AV148">
        <filterColumn colId="15">
          <customFilters>
            <customFilter operator="equal" val=""/>
            <customFilter operator="equal" val="影子桌面"/>
          </customFilters>
        </filterColumn>
      </autoFilter>
    </autofilterInfo>
    <autofilterInfo filterID="424518277">
      <autoFilter xmlns="http://schemas.openxmlformats.org/spreadsheetml/2006/main" ref="A1:AV148">
        <filterColumn colId="27">
          <customFilters>
            <customFilter operator="equal" val="10.191.240.17"/>
          </customFilters>
        </filterColumn>
      </autoFilter>
    </autofilterInfo>
    <autofilterInfo filterID="487275103">
      <autoFilter xmlns="http://schemas.openxmlformats.org/spreadsheetml/2006/main" ref="A1:AV148">
        <filterColumn colId="10">
          <customFilters>
            <customFilter operator="equal" val="9.2"/>
          </customFilters>
        </filterColumn>
      </autoFilter>
    </autofilterInfo>
    <autofilterInfo filterID="1571121833">
      <autoFilter xmlns="http://schemas.openxmlformats.org/spreadsheetml/2006/main" ref="A1:AV148">
        <filterColumn colId="5">
          <customFilters>
            <customFilter operator="equal" val="武丹阳"/>
          </customFilters>
        </filterColumn>
      </autoFilter>
    </autofilterInfo>
    <autofilterInfo filterID="690849087">
      <autoFilter xmlns="http://schemas.openxmlformats.org/spreadsheetml/2006/main" ref="A1:AV148">
        <filterColumn colId="10">
          <customFilters>
            <customFilter operator="equal" val="9.2"/>
          </customFilters>
        </filterColumn>
      </autoFilter>
    </autofilterInfo>
  </sheetItem>
</autofilters>
</file>

<file path=customXml/item4.xml><?xml version="1.0" encoding="utf-8"?>
<allowEditUser xmlns="https://web.wps.cn/et/2018/main" xmlns:s="http://schemas.openxmlformats.org/spreadsheetml/2006/main" hasInvisiblePropRange="0">
  <rangeList sheetStid="10" master="" otherUserPermission="edit"/>
  <rangeList sheetStid="12" master="" otherUserPermission="edit"/>
  <rangeList sheetStid="4" master="487275103" otherUserPermission="edit">
    <arrUserId title="Range1" rangeCreator="407522758" othersAccessPermission="visible">
      <userID accessPermission="edit">407522758</userID>
    </arrUserId>
  </rangeList>
  <rangeList sheetStid="6" master="487275103" otherUserPermission="edit">
    <arrUserId title="Range1" rangeCreator="407522758" othersAccessPermission="visible">
      <userID accessPermission="edit">407522758</userID>
    </arrUserId>
  </rangeList>
  <rangeList sheetStid="8" master="487275103" otherUserPermission="edit">
    <arrUserId title="Range1" rangeCreator="407522758" othersAccessPermission="visible">
      <userID accessPermission="edit">407522758</userID>
    </arrUserId>
  </rangeList>
  <rangeList sheetStid="14" master="487275103" otherUserPermission="edit">
    <arrUserId title="Range1" rangeCreator="" othersAccessPermission="visible">
      <userID accessPermission="edit">407522758</userID>
    </arrUserId>
    <arrUserId title="Range2" rangeCreator="407522758" othersAccessPermission="visible">
      <userID accessPermission="edit">407522758</userID>
    </arrUserId>
    <arrUserId title="Range3" rangeCreator="407522758" othersAccessPermission="visible">
      <userID accessPermission="edit">407522758</userID>
    </arrUserId>
    <arrUserId title="Range4" rangeCreator="487275103" othersAccessPermission="visible">
      <userID accessPermission="edit">487275103</userID>
    </arrUserId>
    <arrUserId title="Range5" rangeCreator="487275103" othersAccessPermission="visible">
      <userID accessPermission="edit">487275103</userID>
    </arrUserId>
    <arrUserId title="Range6" rangeCreator="487275103" othersAccessPermission="visible">
      <userID accessPermission="edit">487275103</userID>
    </arrUserId>
    <arrUserId title="Range7" rangeCreator="407522758" othersAccessPermission="visible">
      <userID accessPermission="edit">407522758</userID>
    </arrUserId>
  </rangeList>
  <rangeList sheetStid="16" master="487275103" otherUserPermission="edit">
    <arrUserId title="Range1" rangeCreator="407522758" othersAccessPermission="visible">
      <userID accessPermission="edit">407522758</userID>
    </arrUserId>
  </rangeList>
  <rangeList sheetStid="18" master="487275103" otherUserPermission="edit">
    <arrUserId title="Range1" rangeCreator="407522758" othersAccessPermission="visible">
      <userID accessPermission="edit">407522758</userID>
    </arrUserId>
  </rangeList>
  <rangeList sheetStid="20" master="487275103" otherUserPermission="edit">
    <arrUserId title="Range1" rangeCreator="407522758" othersAccessPermission="visible">
      <userID accessPermission="edit">407522758</userID>
    </arrUserId>
  </rangeList>
  <rangeList sheetStid="21" master="487275103" otherUserPermission="edit">
    <arrUserId title="Range1" rangeCreator="" othersAccessPermission="visible">
      <userID accessPermission="edit">487275103</userID>
      <userID accessPermission="edit">407522758</userID>
    </arrUserId>
    <arrUserId title="Range2" rangeCreator="" othersAccessPermission="visible">
      <userID accessPermission="edit">487275103</userID>
      <userID accessPermission="edit">407522758</userID>
    </arrUserId>
  </rangeList>
  <rangeList sheetStid="23" master="487275103" otherUserPermission="edit">
    <arrUserId title="Range1" rangeCreator="" othersAccessPermission="visible">
      <userID accessPermission="edit">487275103</userID>
      <userID accessPermission="edit">407522758</userID>
    </arrUserId>
    <arrUserId title="Range2" rangeCreator="" othersAccessPermission="visible">
      <userID accessPermission="edit">487275103</userID>
      <userID accessPermission="edit">407522758</userID>
    </arrUserId>
  </rangeList>
  <rangeList sheetStid="24" master="487275103" otherUserPermission="edit">
    <arrUserId title="Range1" rangeCreator="" othersAccessPermission="visible">
      <userID accessPermission="edit">487275103</userID>
      <userID accessPermission="edit">407522758</userID>
    </arrUserId>
    <arrUserId title="Range2" rangeCreator="" othersAccessPermission="visible">
      <userID accessPermission="edit">487275103</userID>
      <userID accessPermission="edit">407522758</userID>
    </arrUserId>
  </rangeList>
  <rangeList sheetStid="26" master="487275103" otherUserPermission="edit">
    <arrUserId title="Range1" rangeCreator="" othersAccessPermission="visible">
      <userID accessPermission="edit">487275103</userID>
      <userID accessPermission="edit">407522758</userID>
    </arrUserId>
    <arrUserId title="Range2" rangeCreator="" othersAccessPermission="visible">
      <userID accessPermission="edit">487275103</userID>
      <userID accessPermission="edit">407522758</userID>
    </arrUserId>
    <arrUserId title="Range3" rangeCreator="" othersAccessPermission="visible">
      <userID accessPermission="edit">487275103</userID>
    </arrUserId>
    <arrUserId title="Range4" rangeCreator="" othersAccessPermission="visible">
      <userID accessPermission="edit">407522758</userID>
    </arrUserId>
    <arrUserId title="Range5" rangeCreator="407522758" othersAccessPermission="visible">
      <userID accessPermission="edit">407522758</userID>
    </arrUserId>
  </rangeList>
  <rangeList sheetStid="27" master="487275103" otherUserPermission="edit">
    <arrUserId title="Range1" rangeCreator="407522758" othersAccessPermission="visible">
      <userID accessPermission="edit">407522758</userID>
    </arrUserId>
  </rangeList>
  <rangeList sheetStid="28" master="487275103" otherUserPermission="edit">
    <arrUserId title="Range1" rangeCreator="" othersAccessPermission="visible">
      <userID accessPermission="edit">487275103</userID>
      <userID accessPermission="edit">407522758</userID>
    </arrUserId>
  </rangeList>
</allowEditUser>
</file>

<file path=customXml/item5.xml><?xml version="1.0" encoding="utf-8"?>
<pixelators xmlns="https://web.wps.cn/et/2018/main" xmlns:s="http://schemas.openxmlformats.org/spreadsheetml/2006/main">
  <pixelatorList sheetStid="10"/>
  <pixelatorList sheetStid="12"/>
  <pixelatorList sheetStid="4"/>
  <pixelatorList sheetStid="6"/>
  <pixelatorList sheetStid="8"/>
  <pixelatorList sheetStid="14"/>
  <pixelatorList sheetStid="16"/>
  <pixelatorList sheetStid="18"/>
  <pixelatorList sheetStid="20"/>
  <pixelatorList sheetStid="21"/>
  <pixelatorList sheetStid="23"/>
  <pixelatorList sheetStid="24"/>
  <pixelatorList sheetStid="26"/>
  <pixelatorList sheetStid="27"/>
  <pixelatorList sheetStid="28"/>
  <pixelatorList sheetStid="29"/>
</pixelators>
</file>

<file path=customXml/itemProps1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  <ds:schemaRef ds:uri="http://schemas.openxmlformats.org/officeDocument/2006/relationships"/>
  </ds:schemaRefs>
</ds:datastoreItem>
</file>

<file path=customXml/itemProps3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5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SCMT授权</vt:lpstr>
      <vt:lpstr>迁移测试</vt:lpstr>
      <vt:lpstr>21 05.25 KFS</vt:lpstr>
      <vt:lpstr>22 05.27 KFS</vt:lpstr>
      <vt:lpstr>23 05.29 KFS</vt:lpstr>
      <vt:lpstr>25 6.12 ZY</vt:lpstr>
      <vt:lpstr>26  6.17 KFS</vt:lpstr>
      <vt:lpstr>27 6.24 KFS</vt:lpstr>
      <vt:lpstr>28 6.29 ZY</vt:lpstr>
      <vt:lpstr>29 0706 ZY</vt:lpstr>
      <vt:lpstr>31 0721 ZY </vt:lpstr>
      <vt:lpstr>32 0723 ZY </vt:lpstr>
      <vt:lpstr>33 0819 ZY</vt:lpstr>
      <vt:lpstr>34 0821 ZY</vt:lpstr>
      <vt:lpstr>35 0902 ZY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tianx</dc:creator>
  <cp:lastModifiedBy>坤豪 张</cp:lastModifiedBy>
  <dcterms:created xsi:type="dcterms:W3CDTF">2023-07-28T19:15:00Z</dcterms:created>
  <dcterms:modified xsi:type="dcterms:W3CDTF">2026-09-01T08:32:00Z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2052-12.9.0.28477</vt:lpwstr>
  </property>
  <property fmtid="{D5CDD505-2E9C-101B-9397-08002B2CF9AE}" pid="3" name="ICV">
    <vt:lpwstr>71F1E3141C784F04A204870102C95EE8_12</vt:lpwstr>
  </property>
  <property fmtid="{D5CDD505-2E9C-101B-9397-08002B2CF9AE}" pid="4" name="CalculationRule">
    <vt:i4>0</vt:i4>
  </property>
</Properties>
</file>